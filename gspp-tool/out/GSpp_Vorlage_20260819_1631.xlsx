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Metadaten" sheetId="1" state="visible" r:id="rId1"/>
    <sheet name="Deckblatt" sheetId="2" state="visible" r:id="rId2"/>
    <sheet name="ARCH" sheetId="3" state="visible" r:id="rId3"/>
    <sheet name="Dashboard" sheetId="4" state="visible" r:id="rId4"/>
    <sheet name="Praktiken" sheetId="5" state="visible" r:id="rId5"/>
    <sheet name="ASST" sheetId="6" state="visible" r:id="rId6"/>
    <sheet name="BER" sheetId="7" state="visible" r:id="rId7"/>
    <sheet name="BES" sheetId="8" state="visible" r:id="rId8"/>
    <sheet name="DET" sheetId="9" state="visible" r:id="rId9"/>
    <sheet name="DEV" sheetId="10" state="visible" r:id="rId10"/>
    <sheet name="DLS" sheetId="11" state="visible" r:id="rId11"/>
    <sheet name="GC" sheetId="12" state="visible" r:id="rId12"/>
    <sheet name="GEB" sheetId="13" state="visible" r:id="rId13"/>
    <sheet name="KONF" sheetId="14" state="visible" r:id="rId14"/>
    <sheet name="NOT" sheetId="15" state="visible" r:id="rId15"/>
    <sheet name="PERF" sheetId="16" state="visible" r:id="rId16"/>
    <sheet name="PERS" sheetId="17" state="visible" r:id="rId17"/>
    <sheet name="REA" sheetId="18" state="visible" r:id="rId18"/>
    <sheet name="RISK" sheetId="19" state="visible" r:id="rId19"/>
    <sheet name="SENS" sheetId="20" state="visible" r:id="rId20"/>
    <sheet name="STM" sheetId="21" state="visible" r:id="rId21"/>
    <sheet name="TEST" sheetId="22" state="visible" r:id="rId22"/>
    <sheet name="UMS" sheetId="23" state="visible" r:id="rId23"/>
    <sheet name="VRB" sheetId="24" state="visible" r:id="rId24"/>
    <sheet name="Gefährdungen" sheetId="25" state="visible" r:id="rId25"/>
    <sheet name="Hilfstabelle" sheetId="26" state="hidden" r:id="rId26"/>
  </sheets>
  <definedNames>
    <definedName name="_xlnm._FilterDatabase" localSheetId="2" hidden="1">'ARCH'!$A$6:$Y$6</definedName>
    <definedName name="_xlnm._FilterDatabase" localSheetId="5" hidden="1">'ASST'!$A$6:$Y$6</definedName>
    <definedName name="_xlnm._FilterDatabase" localSheetId="6" hidden="1">'BER'!$A$6:$Y$6</definedName>
    <definedName name="_xlnm._FilterDatabase" localSheetId="7" hidden="1">'BES'!$A$6:$Y$6</definedName>
    <definedName name="_xlnm._FilterDatabase" localSheetId="8" hidden="1">'DET'!$A$6:$Y$6</definedName>
    <definedName name="_xlnm._FilterDatabase" localSheetId="9" hidden="1">'DEV'!$A$6:$Y$6</definedName>
    <definedName name="_xlnm._FilterDatabase" localSheetId="10" hidden="1">'DLS'!$A$6:$Y$6</definedName>
    <definedName name="_xlnm._FilterDatabase" localSheetId="11" hidden="1">'GC'!$A$6:$Y$6</definedName>
    <definedName name="_xlnm._FilterDatabase" localSheetId="12" hidden="1">'GEB'!$A$6:$Y$6</definedName>
    <definedName name="_xlnm._FilterDatabase" localSheetId="13" hidden="1">'KONF'!$A$6:$Y$6</definedName>
    <definedName name="_xlnm._FilterDatabase" localSheetId="14" hidden="1">'NOT'!$A$6:$Y$6</definedName>
    <definedName name="_xlnm._FilterDatabase" localSheetId="15" hidden="1">'PERF'!$A$6:$Y$6</definedName>
    <definedName name="_xlnm._FilterDatabase" localSheetId="16" hidden="1">'PERS'!$A$6:$Y$6</definedName>
    <definedName name="_xlnm._FilterDatabase" localSheetId="17" hidden="1">'REA'!$A$6:$Y$6</definedName>
    <definedName name="_xlnm._FilterDatabase" localSheetId="18" hidden="1">'RISK'!$A$6:$Y$6</definedName>
    <definedName name="_xlnm._FilterDatabase" localSheetId="19" hidden="1">'SENS'!$A$6:$Y$6</definedName>
    <definedName name="_xlnm._FilterDatabase" localSheetId="20" hidden="1">'STM'!$A$6:$Y$6</definedName>
    <definedName name="_xlnm._FilterDatabase" localSheetId="21" hidden="1">'TEST'!$A$6:$Y$6</definedName>
    <definedName name="_xlnm._FilterDatabase" localSheetId="22" hidden="1">'UMS'!$A$6:$Y$6</definedName>
    <definedName name="_xlnm._FilterDatabase" localSheetId="23" hidden="1">'VRB'!$A$6:$Y$6</definedName>
    <definedName name="_xlnm._FilterDatabase" localSheetId="24" hidden="1">'Gefährdungen'!$A$1:$C$1</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8">
    <font>
      <name val="Calibri"/>
      <family val="2"/>
      <color theme="1"/>
      <sz val="11"/>
      <scheme val="minor"/>
    </font>
    <font>
      <name val="Aptos"/>
      <i val="1"/>
      <color rgb="00808080"/>
      <sz val="9"/>
    </font>
    <font>
      <name val="Aptos"/>
      <b val="1"/>
      <sz val="12"/>
    </font>
    <font>
      <name val="Aptos"/>
      <b val="1"/>
      <sz val="11"/>
    </font>
    <font>
      <name val="Aptos"/>
      <i val="1"/>
      <sz val="11"/>
    </font>
    <font>
      <name val="Aptos"/>
      <b val="1"/>
      <color rgb="00FFFFFF"/>
      <sz val="11"/>
    </font>
    <font>
      <name val="Aptos"/>
      <sz val="11"/>
    </font>
    <font>
      <name val="Aptos"/>
      <i val="1"/>
      <color rgb="006F6F6F"/>
      <sz val="9"/>
    </font>
  </fonts>
  <fills count="5">
    <fill>
      <patternFill/>
    </fill>
    <fill>
      <patternFill patternType="gray125"/>
    </fill>
    <fill>
      <patternFill patternType="solid">
        <fgColor rgb="00F0F0F0"/>
      </patternFill>
    </fill>
    <fill>
      <patternFill patternType="solid">
        <fgColor rgb="0056A3BC"/>
      </patternFill>
    </fill>
    <fill>
      <patternFill patternType="solid">
        <fgColor rgb="00FDF6E3"/>
      </patternFill>
    </fill>
  </fills>
  <borders count="2">
    <border>
      <left/>
      <right/>
      <top/>
      <bottom/>
      <diagonal/>
    </border>
    <border/>
  </borders>
  <cellStyleXfs count="1">
    <xf numFmtId="0" fontId="0" fillId="0" borderId="0"/>
  </cellStyleXfs>
  <cellXfs count="21">
    <xf numFmtId="0" fontId="0" fillId="0" borderId="0" pivotButton="0" quotePrefix="0" xfId="0"/>
    <xf numFmtId="0" fontId="5" fillId="3" borderId="0" pivotButton="0" quotePrefix="0" xfId="0"/>
    <xf numFmtId="0" fontId="6" fillId="0" borderId="0" pivotButton="0" quotePrefix="0" xfId="0"/>
    <xf numFmtId="0" fontId="3" fillId="0" borderId="0" pivotButton="0" quotePrefix="0" xfId="0"/>
    <xf numFmtId="0" fontId="6"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1" pivotButton="0" quotePrefix="0" xfId="0"/>
    <xf numFmtId="0" fontId="5" fillId="3" borderId="1" applyAlignment="1" pivotButton="0" quotePrefix="0" xfId="0">
      <alignment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6" fillId="0" borderId="1" applyAlignment="1" pivotButton="0" quotePrefix="0" xfId="0">
      <alignment vertical="top"/>
    </xf>
    <xf numFmtId="0" fontId="6" fillId="0" borderId="1" applyAlignment="1" pivotButton="0" quotePrefix="0" xfId="0">
      <alignment vertical="top" wrapText="1"/>
    </xf>
    <xf numFmtId="0" fontId="4" fillId="2" borderId="1" applyAlignment="1" pivotButton="0" quotePrefix="0" xfId="0">
      <alignment vertical="top"/>
    </xf>
    <xf numFmtId="0" fontId="6" fillId="4" borderId="1" applyAlignment="1" pivotButton="0" quotePrefix="0" xfId="0">
      <alignment vertical="top"/>
    </xf>
    <xf numFmtId="164" fontId="6" fillId="4" borderId="1" applyAlignment="1" pivotButton="0" quotePrefix="0" xfId="0">
      <alignment vertical="top"/>
    </xf>
    <xf numFmtId="0" fontId="7" fillId="0" borderId="0" pivotButton="0" quotePrefix="0" xfId="0"/>
    <xf numFmtId="0" fontId="0" fillId="4" borderId="1" pivotButton="0" quotePrefix="0" xfId="0"/>
    <xf numFmtId="165" fontId="6" fillId="0" borderId="1" pivotButton="0" quotePrefix="0" xfId="0"/>
    <xf numFmtId="0" fontId="6" fillId="0" borderId="1" pivotButton="0" quotePrefix="0" xfId="0"/>
    <xf numFmtId="0" fontId="3" fillId="0" borderId="0" applyAlignment="1" pivotButton="0" quotePrefix="0" xfId="0">
      <alignment vertical="top"/>
    </xf>
  </cellXfs>
  <cellStyles count="1">
    <cellStyle name="Normal" xfId="0" builtinId="0" hidden="0"/>
  </cellStyles>
  <dxfs count="6">
    <dxf>
      <font>
        <name val="Aptos"/>
        <color rgb="001E5B2E"/>
        <sz val="11"/>
      </font>
      <fill>
        <patternFill patternType="solid">
          <fgColor rgb="00D6E9D4"/>
          <bgColor rgb="00D6E9D4"/>
        </patternFill>
      </fill>
    </dxf>
    <dxf>
      <font>
        <name val="Aptos"/>
        <color rgb="008C1D18"/>
        <sz val="11"/>
      </font>
      <fill>
        <patternFill patternType="solid">
          <fgColor rgb="00F4CCCC"/>
          <bgColor rgb="00F4CCCC"/>
        </patternFill>
      </fill>
    </dxf>
    <dxf>
      <font>
        <name val="Aptos"/>
        <color rgb="007F6000"/>
        <sz val="11"/>
      </font>
      <fill>
        <patternFill patternType="solid">
          <fgColor rgb="00FFF2CC"/>
          <bgColor rgb="00FFF2CC"/>
        </patternFill>
      </fill>
    </dxf>
    <dxf>
      <font>
        <name val="Aptos"/>
        <color rgb="006F6F6F"/>
        <sz val="11"/>
      </font>
      <fill>
        <patternFill patternType="solid">
          <fgColor rgb="00E4E4E4"/>
          <bgColor rgb="00E4E4E4"/>
        </patternFill>
      </fill>
    </dxf>
    <dxf>
      <font>
        <name val="Aptos"/>
        <color rgb="001F4E79"/>
        <sz val="11"/>
      </font>
      <fill>
        <patternFill patternType="solid">
          <fgColor rgb="00D9E6F2"/>
          <bgColor rgb="00D9E6F2"/>
        </patternFill>
      </fill>
    </dxf>
    <dxf>
      <font>
        <name val="Aptos"/>
        <color rgb="009C4500"/>
        <sz val="11"/>
      </font>
      <fill>
        <patternFill patternType="solid">
          <fgColor rgb="00FCE0C8"/>
          <bgColor rgb="00FCE0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2" customWidth="1" min="1" max="1"/>
    <col width="78" customWidth="1" min="2" max="2"/>
  </cols>
  <sheetData>
    <row r="1">
      <c r="A1" s="1" t="inlineStr">
        <is>
          <t>Herkunftsnachweis</t>
        </is>
      </c>
      <c r="B1" s="2" t="inlineStr"/>
    </row>
    <row r="2">
      <c r="A2" s="2" t="inlineStr">
        <is>
          <t>Quelle</t>
        </is>
      </c>
      <c r="B2" s="2" t="inlineStr">
        <is>
          <t>https://raw.githubusercontent.com/BSI-Bund/Stand-der-Technik-Bibliothek/main/control_layer/Grundschutz++/Grundschutz++-resolved_catalog.json</t>
        </is>
      </c>
    </row>
    <row r="3">
      <c r="A3" s="2" t="inlineStr">
        <is>
          <t>Git-Commit (SHA)</t>
        </is>
      </c>
      <c r="B3" s="2" t="inlineStr">
        <is>
          <t>f0edb1b9f67323264d463894bf051d498e526764</t>
        </is>
      </c>
    </row>
    <row r="4">
      <c r="A4" s="2" t="inlineStr">
        <is>
          <t>Commit-Datum</t>
        </is>
      </c>
      <c r="B4" s="2" t="inlineStr">
        <is>
          <t>2026-08-13T09:44:11Z</t>
        </is>
      </c>
    </row>
    <row r="5">
      <c r="A5" s="2" t="inlineStr">
        <is>
          <t>SHA-256 der Quelldatei</t>
        </is>
      </c>
      <c r="B5" s="2" t="inlineStr">
        <is>
          <t>29607ac0d3921c83af4c5435335f59c072b8d7be35e1818175dc3f92c59ac6e9</t>
        </is>
      </c>
    </row>
    <row r="6">
      <c r="A6" s="2" t="inlineStr">
        <is>
          <t>Abgerufen am (UTC)</t>
        </is>
      </c>
      <c r="B6" s="2" t="inlineStr">
        <is>
          <t>2026-08-19T14:31:58.337599+00:00</t>
        </is>
      </c>
    </row>
    <row r="7">
      <c r="A7" s="3" t="inlineStr"/>
      <c r="B7" s="2" t="inlineStr"/>
    </row>
    <row r="8">
      <c r="A8" s="3" t="inlineStr">
        <is>
          <t>Katalog</t>
        </is>
      </c>
      <c r="B8" s="2" t="inlineStr"/>
    </row>
    <row r="9">
      <c r="A9" s="2" t="inlineStr">
        <is>
          <t>Katalog-UUID</t>
        </is>
      </c>
      <c r="B9" s="2" t="inlineStr">
        <is>
          <t>863756dc-231a-4513-9047-1e44d1841861</t>
        </is>
      </c>
    </row>
    <row r="10">
      <c r="A10" s="2" t="inlineStr">
        <is>
          <t>Katalog-Version</t>
        </is>
      </c>
      <c r="B10" s="2" t="inlineStr">
        <is>
          <t>2026-08-13T09:23:10.047565+00:00</t>
        </is>
      </c>
    </row>
    <row r="11">
      <c r="A11" s="2" t="inlineStr">
        <is>
          <t>Zuletzt geaendert (BSI)</t>
        </is>
      </c>
      <c r="B11" s="2" t="inlineStr">
        <is>
          <t>2026-08-13T09:23:18.897718476Z</t>
        </is>
      </c>
    </row>
    <row r="12">
      <c r="A12" s="2" t="inlineStr">
        <is>
          <t>OSCAL-Version</t>
        </is>
      </c>
      <c r="B12" s="2" t="inlineStr">
        <is>
          <t>1.1.3</t>
        </is>
      </c>
    </row>
    <row r="13">
      <c r="A13" s="2" t="inlineStr">
        <is>
          <t>Anzahl Anforderungen</t>
        </is>
      </c>
      <c r="B13" s="2" t="n">
        <v>1000</v>
      </c>
    </row>
    <row r="14">
      <c r="A14" s="3" t="inlineStr"/>
      <c r="B14" s="2" t="inlineStr"/>
    </row>
    <row r="15">
      <c r="A15" s="3" t="inlineStr">
        <is>
          <t>Erzeugung</t>
        </is>
      </c>
      <c r="B15" s="2" t="inlineStr"/>
    </row>
    <row r="16">
      <c r="A16" s="2" t="inlineStr">
        <is>
          <t>Werkzeug-Version</t>
        </is>
      </c>
      <c r="B16" s="2"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24"/>
  <sheetViews>
    <sheetView workbookViewId="0">
      <selection activeCell="A1" sqref="A1"/>
    </sheetView>
  </sheetViews>
  <sheetFormatPr baseColWidth="8" defaultRowHeight="15"/>
  <cols>
    <col width="36" customWidth="1" min="2" max="2"/>
    <col width="62" customWidth="1" min="3" max="3"/>
  </cols>
  <sheetData>
    <row r="1">
      <c r="B1" s="1" t="inlineStr">
        <is>
          <t>Einstufung gemäß Vorgaben der Sicherheitskonzeption</t>
        </is>
      </c>
    </row>
    <row r="3">
      <c r="B3" s="3" t="inlineStr">
        <is>
          <t>Dokumententitel</t>
        </is>
      </c>
      <c r="C3" s="4" t="inlineStr">
        <is>
          <t>Praktiken und Grundschutz++-Checks</t>
        </is>
      </c>
    </row>
    <row r="4">
      <c r="B4" s="3" t="inlineStr">
        <is>
          <t>Layout</t>
        </is>
      </c>
      <c r="C4" s="4" t="inlineStr">
        <is>
          <t>BSI-Vorlage A.3.4, Kompendium-Edition 2023</t>
        </is>
      </c>
    </row>
    <row r="5">
      <c r="B5" s="3" t="inlineStr">
        <is>
          <t>Katalog</t>
        </is>
      </c>
      <c r="C5" s="4" t="inlineStr">
        <is>
          <t>Grundschutz++ (OSCAL), Anwenderkatalog des BSI</t>
        </is>
      </c>
    </row>
    <row r="6">
      <c r="B6" s="3" t="inlineStr">
        <is>
          <t>Katalog-Version</t>
        </is>
      </c>
      <c r="C6" s="4" t="inlineStr">
        <is>
          <t>2026-08-13T09:23:10.047565+00:00</t>
        </is>
      </c>
    </row>
    <row r="7">
      <c r="B7" s="3" t="inlineStr">
        <is>
          <t>Git-Commit</t>
        </is>
      </c>
      <c r="C7" s="4" t="inlineStr">
        <is>
          <t>f0edb1b9f67323264d463894bf051d498e526764</t>
        </is>
      </c>
    </row>
    <row r="8">
      <c r="B8" s="3" t="inlineStr">
        <is>
          <t>SHA-256 der Quelldatei</t>
        </is>
      </c>
      <c r="C8" s="4" t="inlineStr">
        <is>
          <t>29607ac0d3921c83af4c5435335f59c072b8d7be35e1818175dc3f92c59ac6e9</t>
        </is>
      </c>
    </row>
    <row r="9">
      <c r="B9" s="3" t="inlineStr">
        <is>
          <t>Erzeugt am (UTC)</t>
        </is>
      </c>
      <c r="C9" s="4" t="inlineStr">
        <is>
          <t>2026-08-19T14:31:58.337599+00:00</t>
        </is>
      </c>
    </row>
    <row r="10">
      <c r="B10" s="3" t="inlineStr">
        <is>
          <t>Werkzeug</t>
        </is>
      </c>
      <c r="C10" s="4" t="inlineStr">
        <is>
          <t>gspp-tool 0.1.0</t>
        </is>
      </c>
    </row>
    <row r="11">
      <c r="B11" s="3" t="inlineStr"/>
      <c r="C11" s="4" t="n"/>
    </row>
    <row r="12">
      <c r="B12" s="3" t="inlineStr">
        <is>
          <t>Anforderungszeilen</t>
        </is>
      </c>
      <c r="C12" s="4" t="n">
        <v>652</v>
      </c>
    </row>
    <row r="13">
      <c r="B13" s="3" t="inlineStr">
        <is>
          <t>Teilanforderungen (bewertbar)</t>
        </is>
      </c>
      <c r="C13" s="4" t="n">
        <v>974</v>
      </c>
    </row>
    <row r="14">
      <c r="B14" s="3" t="inlineStr"/>
      <c r="C14" s="4" t="n"/>
    </row>
    <row r="15">
      <c r="B15" s="3" t="inlineStr">
        <is>
          <t>Zuordnung zu IT-Grundschutz 2023</t>
        </is>
      </c>
      <c r="C15" s="4" t="n"/>
    </row>
    <row r="16">
      <c r="B16" s="3" t="inlineStr">
        <is>
          <t>Quelle</t>
        </is>
      </c>
      <c r="C16" s="4" t="inlineStr">
        <is>
          <t>Offizielles BSI-Mapping (control_layer/Mappings/IT-GS2023-zu-GSpp)</t>
        </is>
      </c>
    </row>
    <row r="17" ht="48" customHeight="1">
      <c r="B17" s="3" t="inlineStr">
        <is>
          <t>Abdeckung</t>
        </is>
      </c>
      <c r="C17" s="4" t="inlineStr">
        <is>
          <t>Unvollstaendig, laut BSI noch in Pilotierung - nur ca. 30% der GS++-Anforderungen haben aktuell eine Zuordnung. Leere Spalten 'Alte Anforderung' bedeuten 'noch nicht kartiert', nicht 'keine Beziehung'.</t>
        </is>
      </c>
    </row>
    <row r="18">
      <c r="B18" s="3" t="inlineStr"/>
      <c r="C18" s="4" t="n"/>
    </row>
    <row r="19">
      <c r="B19" s="3" t="inlineStr">
        <is>
          <t>Spalten ein-/ausblenden</t>
        </is>
      </c>
      <c r="C19" s="4" t="n"/>
    </row>
    <row r="20" ht="76" customHeight="1">
      <c r="B20" s="3" t="inlineStr">
        <is>
          <t>Bedienung</t>
        </is>
      </c>
      <c r="C20" s="4" t="inlineStr">
        <is>
          <t>Alle 25 Spalten sind beim Öffnen sichtbar. Über den Spaltenköpfen stehen kleine +/− Schaltflächen, mit denen sich zwei Blöcke unabhängig einklappen lassen: 'Zuordnung IT-GS 2023' (Spalten N–O) und 'Guidance' (Spalten P–Y: Erläuterung, Zielobjekte, Dokumentation, Ergebnis, Gefährdungen, Aufwand, vier Schutzziele). Keine Makros nötig.</t>
        </is>
      </c>
    </row>
    <row r="21" ht="62" customHeight="1">
      <c r="B21" s="3" t="inlineStr">
        <is>
          <t>Schwerpunkt (Schutzziel)</t>
        </is>
      </c>
      <c r="C21" s="4" t="inlineStr">
        <is>
          <t>Nennt nur Schutzziele mit Wert 2 – also jene, die laut BSI im Zentrum der Anforderung stehen. Leer heißt: kein Schutzziel besonders betont (gilt für rund die Hälfte der Anforderungen). Die Einzelwerte 0/1/2 stehen im Guidance-Block.</t>
        </is>
      </c>
    </row>
    <row r="22">
      <c r="B22" s="3" t="inlineStr"/>
      <c r="C22" s="4" t="n"/>
    </row>
    <row r="23">
      <c r="B23" s="3" t="inlineStr">
        <is>
          <t>Offene fachliche Annahme</t>
        </is>
      </c>
      <c r="C23" s="4" t="n"/>
    </row>
    <row r="24" ht="62" customHeight="1">
      <c r="B24" s="3" t="inlineStr">
        <is>
          <t>Spalte 'Schutz'</t>
        </is>
      </c>
      <c r="C24" s="4" t="inlineStr">
        <is>
          <t>GS++ kennt zwei Schutzbedarfsstufen, die 2023er-Vorlage drei Anforderungskategorien. Abgebildet wird: erhöht -&gt; erhöhter Schutzbedarf; normal-SdT + MUSS -&gt; Basis; normal-SdT + SOLLTE/KANN -&gt; Standard. Diese Zuordnung ist nicht vom BSI dokumentiert und fachlich zu bestätigen.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98"/>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ARCH</t>
        </is>
      </c>
      <c r="B3" s="6" t="inlineStr">
        <is>
          <t>Architektur</t>
        </is>
      </c>
    </row>
    <row r="4">
      <c r="A4" s="3" t="inlineStr">
        <is>
          <t>Zielobjekte</t>
        </is>
      </c>
      <c r="B4" s="7">
        <f>IF('Praktiken'!D5="","",'Praktiken'!D5)</f>
        <v/>
      </c>
    </row>
    <row r="5">
      <c r="A5" s="3" t="inlineStr">
        <is>
          <t>Zuständig</t>
        </is>
      </c>
      <c r="B5" s="7">
        <f>IF('Praktiken'!S5="","",'Praktiken'!S5)</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ARCH.1.1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APP.3.6.A1-UA.2; INF.14.A13-UA.2; NET.1.1.A1-UA.1; NET.1.1.A13-UA.1; NET.1.1.A16-UA.1; NET.1.1.A17-UA.1; NET.1.1.A2-UA.4; NET.1.1.A2-UA.5; NET.1.1.A25-UA.1; NET.1.1.A3-UA.1; NET.1.1.A3-UA.3; NET.1.2.A1-UA.1; NET.1.2.A11-UA.1; NET.1.2.A11-UA.9; NET.1.2.A12-UA.1; NET.1.2.A14-UA.2; NET.1.2.A15-UA.1; OPS.1.1.1.A15-UA.3</t>
        </is>
      </c>
      <c r="O7" s="11" t="inlineStr">
        <is>
          <t>subset-of; subset-of; subset-of; subset-of; subset-of; subset-of; subset-of; subset-of; subset-of; subset-of; subset-of; subset-of; subset-of; subset-of; subset-of; subset-of; subset-of; subset-of</t>
        </is>
      </c>
      <c r="P7" s="12" t="inlineStr">
        <is>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is>
      </c>
      <c r="Q7" s="11" t="inlineStr"/>
      <c r="R7" s="11" t="inlineStr"/>
      <c r="S7" s="12" t="inlineStr">
        <is>
          <t>Verfahren und Regelungen zur Architektur des Netzes und damit verbundener Infrastrukturen</t>
        </is>
      </c>
      <c r="T7" s="12" t="inlineStr">
        <is>
          <t>G 0.18 – Fehlplanung oder fehlende Anpassung; G 0.29 – Verstoß gegen Gesetze oder Regelungen; G 0.30 – Unberechtigte Nutzung oder Administration von Geräten und Systemen</t>
        </is>
      </c>
      <c r="U7" s="11" t="n">
        <v>0</v>
      </c>
      <c r="V7" s="11" t="n">
        <v>1</v>
      </c>
      <c r="W7" s="11" t="n">
        <v>1</v>
      </c>
      <c r="X7" s="11" t="n">
        <v>1</v>
      </c>
      <c r="Y7" s="11" t="n">
        <v>1</v>
      </c>
    </row>
    <row r="8">
      <c r="A8" s="11" t="inlineStr">
        <is>
          <t>ARCH.1.1</t>
        </is>
      </c>
      <c r="B8" s="12" t="inlineStr">
        <is>
          <t>Verfahren und Regelungen</t>
        </is>
      </c>
      <c r="C8" s="11" t="inlineStr">
        <is>
          <t>ARCH.1.1.1</t>
        </is>
      </c>
      <c r="D8" s="11" t="inlineStr">
        <is>
          <t>Basis-Anforderungen</t>
        </is>
      </c>
      <c r="E8" s="12" t="inlineStr">
        <is>
          <t>Architektur MUSS die Verfahren und Regelungen dokumentieren.</t>
        </is>
      </c>
      <c r="F8" s="14" t="n"/>
      <c r="G8" s="14" t="n"/>
      <c r="H8" s="14" t="inlineStr">
        <is>
          <t>unbearbeitet</t>
        </is>
      </c>
      <c r="I8" s="14" t="n"/>
      <c r="J8" s="14" t="n"/>
      <c r="K8" s="14" t="n"/>
      <c r="L8" s="15" t="n"/>
      <c r="M8" s="11" t="inlineStr">
        <is>
          <t>Vertraulichkeit, Integrität</t>
        </is>
      </c>
      <c r="N8" s="12" t="inlineStr">
        <is>
          <t>CON.8.A12-UA.4; INF.12.A10-UA.1; INF.12.A10-UA.2; INF.12.A10-UA.6; INF.12.A10-UA.8; INF.13.A3-UA.4; ISMS.1.A12-UA.6; NET.1.1.A2-UA.1; NET.1.1.A2-UA.3</t>
        </is>
      </c>
      <c r="O8" s="11" t="inlineStr">
        <is>
          <t>subset-of; subset-of; subset-of; subset-of; subset-of; subset-of; subset-of; equivalent-to; subset-of</t>
        </is>
      </c>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 G 0.29 – Verstoß gegen Gesetze oder Regelungen</t>
        </is>
      </c>
      <c r="U8" s="11" t="n">
        <v>0</v>
      </c>
      <c r="V8" s="11" t="n">
        <v>2</v>
      </c>
      <c r="W8" s="11" t="n">
        <v>2</v>
      </c>
      <c r="X8" s="11" t="n">
        <v>1</v>
      </c>
      <c r="Y8" s="11" t="n">
        <v>1</v>
      </c>
    </row>
    <row r="9">
      <c r="A9" s="11" t="inlineStr">
        <is>
          <t>ARCH.1.1</t>
        </is>
      </c>
      <c r="B9" s="12" t="inlineStr">
        <is>
          <t>Verfahren und Regelungen</t>
        </is>
      </c>
      <c r="C9" s="11" t="inlineStr">
        <is>
          <t>ARCH.1.1.2</t>
        </is>
      </c>
      <c r="D9" s="11" t="inlineStr">
        <is>
          <t>Basis-Anforderungen</t>
        </is>
      </c>
      <c r="E9" s="12" t="inlineStr">
        <is>
          <t>Architektur MUSS die mit den Verfahren und Regelungen verbundenen Aufgaben zuständigen Personen oder Rollen zuweisen.</t>
        </is>
      </c>
      <c r="F9" s="14" t="n"/>
      <c r="G9" s="14" t="n"/>
      <c r="H9" s="14" t="inlineStr">
        <is>
          <t>unbearbeitet</t>
        </is>
      </c>
      <c r="I9" s="14" t="n"/>
      <c r="J9" s="14" t="n"/>
      <c r="K9" s="14" t="n"/>
      <c r="L9" s="15" t="n"/>
      <c r="M9" s="11" t="inlineStr"/>
      <c r="N9" s="12" t="inlineStr">
        <is>
          <t>ISMS.1.A6-UA.7; OPS.1.1.1.A1-UA.1; OPS.1.1.1.A1-UA.2; OPS.1.1.1.A19-UA.3; ORP.1.A1-UA.1; ORP.1.A2-UA.1; ORP.1.A4-UA.1</t>
        </is>
      </c>
      <c r="O9" s="11" t="inlineStr">
        <is>
          <t>intersects-with; equivalent-to; intersects-with; subset-of; intersects-with; intersects-with; intersects-with</t>
        </is>
      </c>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ARCH.1.1</t>
        </is>
      </c>
      <c r="B10" s="12" t="inlineStr">
        <is>
          <t>Verfahren und Regelungen</t>
        </is>
      </c>
      <c r="C10" s="11" t="inlineStr">
        <is>
          <t>ARCH.1.1.3</t>
        </is>
      </c>
      <c r="D10" s="11" t="inlineStr">
        <is>
          <t>Basis-Anforderungen</t>
        </is>
      </c>
      <c r="E10" s="12" t="inlineStr">
        <is>
          <t>Architektur MUSS die zuständigen Personen oder Rollen über die Verfahren und Regelungen informieren.</t>
        </is>
      </c>
      <c r="F10" s="14" t="n"/>
      <c r="G10" s="14" t="n"/>
      <c r="H10" s="14" t="inlineStr">
        <is>
          <t>unbearbeitet</t>
        </is>
      </c>
      <c r="I10" s="14" t="n"/>
      <c r="J10" s="14" t="n"/>
      <c r="K10" s="14" t="n"/>
      <c r="L10" s="15" t="n"/>
      <c r="M10" s="11" t="inlineStr"/>
      <c r="N10" s="12" t="inlineStr">
        <is>
          <t>ISMS.1.A8-UA.6; NET.1.2.A11-UA.2; NET.3.2.A1-UA.3; ORP.1.A1-UA.4; ORP.2.A1-UA.2</t>
        </is>
      </c>
      <c r="O10" s="11" t="inlineStr">
        <is>
          <t>subset-of; equivalent-to; subset-of; equivalent-to; equivalent-to</t>
        </is>
      </c>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0.29 – Verstoß gegen Gesetze oder Regelungen</t>
        </is>
      </c>
      <c r="U10" s="11" t="n">
        <v>0</v>
      </c>
      <c r="V10" s="11" t="n">
        <v>1</v>
      </c>
      <c r="W10" s="11" t="n">
        <v>1</v>
      </c>
      <c r="X10" s="11" t="n">
        <v>1</v>
      </c>
      <c r="Y10" s="11" t="n">
        <v>0</v>
      </c>
    </row>
    <row r="11">
      <c r="A11" s="9" t="inlineStr">
        <is>
          <t>ARCH.1.2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is>
          <t>INF.11.A4-UA.4; INF.13.A4-UA.4; ISMS.1.A11-UA.2; ISMS.1.A7-UA.3; NET.2.2.A1-UA.7; NET.3.2.A1-UA.5; ORP.1.A1-UA.3</t>
        </is>
      </c>
      <c r="O11" s="11" t="inlineStr">
        <is>
          <t>intersects-with; intersects-with; intersects-with; intersects-with; subset-of; subset-of; superset-of</t>
        </is>
      </c>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 G 0.29 – Verstoß gegen Gesetze oder Regelungen; G 0.31 – Fehlerhafte Nutzung oder Administration von Geräten und Systemen</t>
        </is>
      </c>
      <c r="U11" s="11" t="n">
        <v>0</v>
      </c>
      <c r="V11" s="11" t="n">
        <v>1</v>
      </c>
      <c r="W11" s="11" t="n">
        <v>1</v>
      </c>
      <c r="X11" s="11" t="n">
        <v>1</v>
      </c>
      <c r="Y11" s="11" t="n">
        <v>0</v>
      </c>
    </row>
    <row r="12">
      <c r="A12" s="11" t="inlineStr">
        <is>
          <t>ARCH.1.2</t>
        </is>
      </c>
      <c r="B12" s="12" t="inlineStr">
        <is>
          <t>Regelmäßige Überprüfung</t>
        </is>
      </c>
      <c r="C12" s="11" t="inlineStr">
        <is>
          <t>ARCH.1.2</t>
        </is>
      </c>
      <c r="D12" s="11" t="inlineStr">
        <is>
          <t>Basis-Anforderungen</t>
        </is>
      </c>
      <c r="E12" s="12" t="inlineStr">
        <is>
          <t>Architektur MUSS die Verfahren und Regelungen regelmäßig und anlassbezogen auf Aktualität überprüfen.</t>
        </is>
      </c>
      <c r="F12" s="14" t="n"/>
      <c r="G12" s="14" t="n"/>
      <c r="H12" s="14" t="inlineStr">
        <is>
          <t>unbearbeitet</t>
        </is>
      </c>
      <c r="I12" s="14" t="n"/>
      <c r="J12" s="14" t="n"/>
      <c r="K12" s="14" t="n"/>
      <c r="L12" s="15" t="n"/>
      <c r="M12" s="11" t="inlineStr"/>
      <c r="N12" s="12" t="inlineStr">
        <is>
          <t>INF.11.A4-UA.4; INF.13.A4-UA.4; ISMS.1.A11-UA.2; ISMS.1.A7-UA.3; NET.2.2.A1-UA.7; NET.3.2.A1-UA.5; ORP.1.A1-UA.3</t>
        </is>
      </c>
      <c r="O12" s="11" t="inlineStr">
        <is>
          <t>intersects-with; intersects-with; intersects-with; intersects-with; subset-of; subset-of; superset-of</t>
        </is>
      </c>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 G 0.29 – Verstoß gegen Gesetze oder Regelungen; G 0.31 – Fehlerhafte Nutzung oder Administration von Geräten und Systemen</t>
        </is>
      </c>
      <c r="U12" s="11" t="n">
        <v>0</v>
      </c>
      <c r="V12" s="11" t="n">
        <v>1</v>
      </c>
      <c r="W12" s="11" t="n">
        <v>1</v>
      </c>
      <c r="X12" s="11" t="n">
        <v>1</v>
      </c>
      <c r="Y12" s="11" t="n">
        <v>0</v>
      </c>
    </row>
    <row r="13">
      <c r="A13" s="9" t="inlineStr">
        <is>
          <t>ARCH.2.1</t>
        </is>
      </c>
      <c r="B13" s="10" t="inlineStr">
        <is>
          <t>Netzsegmente</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is>
          <t>Vertraulichkeit, Integrität</t>
        </is>
      </c>
      <c r="N13" s="12" t="inlineStr">
        <is>
          <t>APP.4.4.A7-UA.1; INF.14.A13-UA.1; INF.14.A6-UA.1; NET.1.1.A19-UA.1; NET.1.1.A22-UA.1; NET.1.1.A23-UA.1; NET.1.1.A23-UA.3; NET.1.1.A31-UA.1; NET.1.1.A33-UA.1; NET.1.1.A34-UA.1; NET.1.1.A4-UA.1; NET.1.1.A5-UA.1; NET.1.1.A5-UA.4; NET.1.1.A6-UA.1; NET.1.2.A33-UA.1; OPS.1.1.1.A15-UA.3; OPS.1.1.2.A16-UA.2; SYS.1.5.A9-UA.3; SYS.1.5.A9-UA.4; SYS.1.5.A9-UA.5; SYS.2.5.A2-UA.3; SYS.2.6.A4-UA.2; SYS.2.6.A4-UA.3</t>
        </is>
      </c>
      <c r="O13" s="11" t="inlineStr">
        <is>
          <t>subset-of; subset-of; subset-of; subset-of; intersects-with; equivalent-to; subset-of; subset-of; subset-of; subset-of; superset-of; subset-of; subset-of; subset-of; superset-of; subset-of; subset-of; equivalent-to; subset-of; subset-of; subset-of; subset-of; subset-of</t>
        </is>
      </c>
      <c r="P13" s="12" t="inlineStr">
        <is>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is>
      </c>
      <c r="Q13" s="11" t="inlineStr">
        <is>
          <t>Netze</t>
        </is>
      </c>
      <c r="R13" s="11" t="inlineStr">
        <is>
          <t>Netzplan</t>
        </is>
      </c>
      <c r="S13" s="12" t="inlineStr">
        <is>
          <t>eine Unterteilung des internen Netzes in Netzsegmente</t>
        </is>
      </c>
      <c r="T13" s="12" t="inlineStr">
        <is>
          <t>G 0.23 – Unbefugtes Eindringen in IT-Systeme; G 0.19 – Offenlegung schützenswerter Informationen; G 0.30 – Unberechtigte Nutzung oder Administration von Geräten und Systemen; G 0.47 – Schädliche Seiteneffekte IT-gestützter Angriffe</t>
        </is>
      </c>
      <c r="U13" s="11" t="n">
        <v>2</v>
      </c>
      <c r="V13" s="11" t="n">
        <v>2</v>
      </c>
      <c r="W13" s="11" t="n">
        <v>2</v>
      </c>
      <c r="X13" s="11" t="n">
        <v>1</v>
      </c>
      <c r="Y13" s="11" t="n">
        <v>1</v>
      </c>
    </row>
    <row r="14">
      <c r="A14" s="11" t="inlineStr">
        <is>
          <t>ARCH.2.1</t>
        </is>
      </c>
      <c r="B14" s="12" t="inlineStr">
        <is>
          <t>Netzsegmente</t>
        </is>
      </c>
      <c r="C14" s="11" t="inlineStr">
        <is>
          <t>ARCH.2.1</t>
        </is>
      </c>
      <c r="D14" s="11" t="inlineStr">
        <is>
          <t>Standard-Anforderungen</t>
        </is>
      </c>
      <c r="E14" s="12" t="inlineStr">
        <is>
          <t>Architektur für Netze SOLLTE eine Unterteilung des internen Netzes in Netzsegmente unter Berücksichtigung der Anforderungen der Institution und des Schutzbedarfes verankern.</t>
        </is>
      </c>
      <c r="F14" s="14" t="n"/>
      <c r="G14" s="14" t="n"/>
      <c r="H14" s="14" t="inlineStr">
        <is>
          <t>unbearbeitet</t>
        </is>
      </c>
      <c r="I14" s="14" t="n"/>
      <c r="J14" s="14" t="n"/>
      <c r="K14" s="14" t="n"/>
      <c r="L14" s="15" t="n"/>
      <c r="M14" s="11" t="inlineStr">
        <is>
          <t>Vertraulichkeit, Integrität</t>
        </is>
      </c>
      <c r="N14" s="12" t="inlineStr">
        <is>
          <t>APP.4.4.A7-UA.1; INF.14.A13-UA.1; INF.14.A6-UA.1; NET.1.1.A19-UA.1; NET.1.1.A22-UA.1; NET.1.1.A23-UA.1; NET.1.1.A23-UA.3; NET.1.1.A31-UA.1; NET.1.1.A33-UA.1; NET.1.1.A34-UA.1; NET.1.1.A4-UA.1; NET.1.1.A5-UA.1; NET.1.1.A5-UA.4; NET.1.1.A6-UA.1; NET.1.2.A33-UA.1; OPS.1.1.1.A15-UA.3; OPS.1.1.2.A16-UA.2; SYS.1.5.A9-UA.3; SYS.1.5.A9-UA.4; SYS.1.5.A9-UA.5; SYS.2.5.A2-UA.3; SYS.2.6.A4-UA.2; SYS.2.6.A4-UA.3</t>
        </is>
      </c>
      <c r="O14" s="11" t="inlineStr">
        <is>
          <t>subset-of; subset-of; subset-of; subset-of; intersects-with; equivalent-to; subset-of; subset-of; subset-of; subset-of; superset-of; subset-of; subset-of; subset-of; superset-of; subset-of; subset-of; equivalent-to; subset-of; subset-of; subset-of; subset-of; subset-of</t>
        </is>
      </c>
      <c r="P14" s="12" t="inlineStr">
        <is>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is>
      </c>
      <c r="Q14" s="11" t="inlineStr">
        <is>
          <t>Netze</t>
        </is>
      </c>
      <c r="R14" s="11" t="inlineStr">
        <is>
          <t>Netzplan</t>
        </is>
      </c>
      <c r="S14" s="12" t="inlineStr">
        <is>
          <t>eine Unterteilung des internen Netzes in Netzsegmente</t>
        </is>
      </c>
      <c r="T14" s="12" t="inlineStr">
        <is>
          <t>G 0.23 – Unbefugtes Eindringen in IT-Systeme; G 0.19 – Offenlegung schützenswerter Informationen; G 0.30 – Unberechtigte Nutzung oder Administration von Geräten und Systemen; G 0.47 – Schädliche Seiteneffekte IT-gestützter Angriffe</t>
        </is>
      </c>
      <c r="U14" s="11" t="n">
        <v>2</v>
      </c>
      <c r="V14" s="11" t="n">
        <v>2</v>
      </c>
      <c r="W14" s="11" t="n">
        <v>2</v>
      </c>
      <c r="X14" s="11" t="n">
        <v>1</v>
      </c>
      <c r="Y14" s="11" t="n">
        <v>1</v>
      </c>
    </row>
    <row r="15">
      <c r="A15" s="9" t="inlineStr">
        <is>
          <t>ARCH.2.2</t>
        </is>
      </c>
      <c r="B15" s="10" t="inlineStr">
        <is>
          <t>Einschränkung von Verbindungen zwischen Segmenten</t>
        </is>
      </c>
      <c r="C15" s="11" t="n"/>
      <c r="D15" s="11" t="inlineStr">
        <is>
          <t>Standard-Anforderungen</t>
        </is>
      </c>
      <c r="E15" s="12" t="inlineStr">
        <is>
          <t>Gesamt:</t>
        </is>
      </c>
      <c r="F15" s="11" t="n"/>
      <c r="G15" s="11" t="n"/>
      <c r="H15" s="13">
        <f>IF(OR(COUNTBLANK($H$16:$H$28)&gt;0,COUNTIF($H$16:$H$28,"unbearbeitet")=COUNTA($H$16:$H$28)),"Bitte Teilanforderungen ausfüllen",IF(COUNTIF($H$16:$H$28,"zu klären")&gt;0,"zu klären",IF(COUNTIF($H$16:$H$28,"entbehrlich")=COUNTA($H$16:$H$28),"entbehrlich",IF(COUNTIF($H$16:$H$28,"verwiesen")=COUNTA($H$16:$H$28),"verwiesen",IF(COUNTIF($H$16:$H$28,"nein")+COUNTIF($H$16:$H$28,"entbehrlich")=COUNTA($H$16:$H$28),"nein",IF(COUNTIF($H$16:$H$28,"ja")+COUNTIF($H$16:$H$28,"entbehrlich")+COUNTIF($H$16:$H$28,"verwiesen")=COUNTA($H$16:$H$28),"ja","teilweise"))))))</f>
        <v/>
      </c>
      <c r="I15" s="11" t="n"/>
      <c r="J15" s="11" t="n"/>
      <c r="K15" s="11" t="n"/>
      <c r="L15" s="11" t="n"/>
      <c r="M15" s="11" t="inlineStr"/>
      <c r="N15" s="12" t="inlineStr">
        <is>
          <t>APP.4.4.A18-UA.3; INF.10.A6-UA.1; INF.10.A6-UA.3; INF.10.A6-UA.6; INF.14.A11-UA.3; INF.14.A11-UA.5; INF.14.A13-UA.2; NET.1.1.A10-UA.2; NET.1.1.A22-UA.6; NET.1.1.A23-UA.2; NET.1.1.A24-UA.1; NET.1.1.A4-UA.4; NET.1.1.A5-UA.4; NET.1.2.A11-UA.8; NET.3.2.A2-UA.3; NET.3.4.A14-UA.2; NET.3.4.A9-UA.2; OPS.1.1.7.A17-UA.1; SYS.1.5.A15-UA.2; SYS.1.5.A9-UA.4; SYS.4.1.A11-UA.2; SYS.4.4.A5-UA.4</t>
        </is>
      </c>
      <c r="O15" s="11" t="inlineStr">
        <is>
          <t>subset-of; subset-of; subset-of; subset-of; subset-of; subset-of; subset-of; subset-of; superset-of; intersects-with; subset-of; intersects-with; subset-of; superset-of; equivalent-to; intersects-with; subset-of; intersects-with; subset-of; equivalent-to; intersects-with; subset-of</t>
        </is>
      </c>
      <c r="P15" s="12" t="inlineStr">
        <is>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is>
      </c>
      <c r="Q15" s="11" t="inlineStr">
        <is>
          <t>Netze</t>
        </is>
      </c>
      <c r="R15" s="11" t="inlineStr">
        <is>
          <t>Netzplan</t>
        </is>
      </c>
      <c r="S15" s="12" t="inlineStr">
        <is>
          <t>Verbindungen zwischen Netzsegmenten</t>
        </is>
      </c>
      <c r="T15" s="12" t="inlineStr">
        <is>
          <t>G 0.23 – Unbefugtes Eindringen in IT-Systeme; G 0.47 – Schädliche Seiteneffekte IT-gestützter Angriffe; G 0.40 – Verhinderung von Diensten (Denial of Service)</t>
        </is>
      </c>
      <c r="U15" s="11" t="n">
        <v>2</v>
      </c>
      <c r="V15" s="11" t="n">
        <v>1</v>
      </c>
      <c r="W15" s="11" t="n">
        <v>1</v>
      </c>
      <c r="X15" s="11" t="n">
        <v>1</v>
      </c>
      <c r="Y15" s="11" t="n">
        <v>0</v>
      </c>
    </row>
    <row r="16">
      <c r="A16" s="11" t="inlineStr">
        <is>
          <t>ARCH.2.2</t>
        </is>
      </c>
      <c r="B16" s="12" t="inlineStr">
        <is>
          <t>Einschränkung von Verbindungen zwischen Segmenten</t>
        </is>
      </c>
      <c r="C16" s="11" t="inlineStr">
        <is>
          <t>ARCH.2.2</t>
        </is>
      </c>
      <c r="D16" s="11" t="inlineStr">
        <is>
          <t>Standard-Anforderungen</t>
        </is>
      </c>
      <c r="E16" s="12" t="inlineStr">
        <is>
          <t>Architektur für Netze SOLLTE Verbindungen zwischen Netzsegmenten anhand von Kriterien einschränken.</t>
        </is>
      </c>
      <c r="F16" s="14" t="n"/>
      <c r="G16" s="14" t="n"/>
      <c r="H16" s="14" t="inlineStr">
        <is>
          <t>unbearbeitet</t>
        </is>
      </c>
      <c r="I16" s="14" t="n"/>
      <c r="J16" s="14" t="n"/>
      <c r="K16" s="14" t="n"/>
      <c r="L16" s="15" t="n"/>
      <c r="M16" s="11" t="inlineStr"/>
      <c r="N16" s="12" t="inlineStr">
        <is>
          <t>APP.4.4.A18-UA.3; INF.10.A6-UA.1; INF.10.A6-UA.3; INF.10.A6-UA.6; INF.14.A11-UA.3; INF.14.A11-UA.5; INF.14.A13-UA.2; NET.1.1.A10-UA.2; NET.1.1.A22-UA.6; NET.1.1.A23-UA.2; NET.1.1.A24-UA.1; NET.1.1.A4-UA.4; NET.1.1.A5-UA.4; NET.1.2.A11-UA.8; NET.3.2.A2-UA.3; NET.3.4.A14-UA.2; NET.3.4.A9-UA.2; OPS.1.1.7.A17-UA.1; SYS.1.5.A15-UA.2; SYS.1.5.A9-UA.4; SYS.4.1.A11-UA.2; SYS.4.4.A5-UA.4</t>
        </is>
      </c>
      <c r="O16" s="11" t="inlineStr">
        <is>
          <t>subset-of; subset-of; subset-of; subset-of; subset-of; subset-of; subset-of; subset-of; superset-of; intersects-with; subset-of; intersects-with; subset-of; superset-of; equivalent-to; intersects-with; subset-of; intersects-with; subset-of; equivalent-to; intersects-with; subset-of</t>
        </is>
      </c>
      <c r="P16" s="12" t="inlineStr">
        <is>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is>
      </c>
      <c r="Q16" s="11" t="inlineStr">
        <is>
          <t>Netze</t>
        </is>
      </c>
      <c r="R16" s="11" t="inlineStr">
        <is>
          <t>Netzplan</t>
        </is>
      </c>
      <c r="S16" s="12" t="inlineStr">
        <is>
          <t>Verbindungen zwischen Netzsegmenten</t>
        </is>
      </c>
      <c r="T16" s="12" t="inlineStr">
        <is>
          <t>G 0.23 – Unbefugtes Eindringen in IT-Systeme; G 0.47 – Schädliche Seiteneffekte IT-gestützter Angriffe; G 0.40 – Verhinderung von Diensten (Denial of Service)</t>
        </is>
      </c>
      <c r="U16" s="11" t="n">
        <v>2</v>
      </c>
      <c r="V16" s="11" t="n">
        <v>1</v>
      </c>
      <c r="W16" s="11" t="n">
        <v>1</v>
      </c>
      <c r="X16" s="11" t="n">
        <v>1</v>
      </c>
      <c r="Y16" s="11" t="n">
        <v>0</v>
      </c>
    </row>
    <row r="17">
      <c r="A17" s="11" t="inlineStr">
        <is>
          <t>ARCH.2.2</t>
        </is>
      </c>
      <c r="B17" s="12" t="inlineStr">
        <is>
          <t>Einschränkung von Verbindungen zwischen Segmenten</t>
        </is>
      </c>
      <c r="C17" s="11" t="inlineStr">
        <is>
          <t>ARCH.2.2.1</t>
        </is>
      </c>
      <c r="D17" s="11" t="inlineStr">
        <is>
          <t>Standard-Anforderungen</t>
        </is>
      </c>
      <c r="E17" s="12" t="inlineStr">
        <is>
          <t>Architektur für Netze SOLLTE Verbindungen über externe Netzanschlüsse einschränken.</t>
        </is>
      </c>
      <c r="F17" s="14" t="n"/>
      <c r="G17" s="14" t="n"/>
      <c r="H17" s="14" t="inlineStr">
        <is>
          <t>unbearbeitet</t>
        </is>
      </c>
      <c r="I17" s="14" t="n"/>
      <c r="J17" s="14" t="n"/>
      <c r="K17" s="14" t="n"/>
      <c r="L17" s="15" t="n"/>
      <c r="M17" s="11" t="inlineStr">
        <is>
          <t>Vertraulichkeit, Verfügbarkeit</t>
        </is>
      </c>
      <c r="N17" s="12" t="inlineStr">
        <is>
          <t>CON.7.A7-UA.1; IND.2.1.A16-UA.1; INF.10.A6-UA.1; INF.10.A6-UA.3; INF.10.A6-UA.4; INF.10.A6-UA.5; INF.10.A6-UA.6; INF.14.A11-UA.1; INF.14.A11-UA.3; INF.14.A28-UA.2; NET.1.1.A18-UA.1; NET.3.1.A18-UA.2; NET.3.2.A19-UA.1; NET.3.2.A2-UA.3; NET.3.3.A11-UA.1; NET.3.4.A14-UA.2; NET.3.4.A9-UA.2; NET.4.2.A4-UA.2; OPS.1.2.5.A8-UA.4; SYS.1.5.A9-UA.4; SYS.3.2.1.A28-UA.2; SYS.4.1.A11-UA.2; SYS.4.4.A5-UA.4</t>
        </is>
      </c>
      <c r="O17" s="11" t="inlineStr">
        <is>
          <t>subset-of; subset-of; subset-of; subset-of; intersects-with; subset-of; subset-of; subset-of; subset-of; subset-of; superset-of; subset-of; subset-of; subset-of; subset-of; superset-of; subset-of; subset-of; subset-of; superset-of; subset-of; intersects-with; subset-of</t>
        </is>
      </c>
      <c r="P17" s="12" t="inlineStr">
        <is>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is>
      </c>
      <c r="Q17" s="11" t="inlineStr">
        <is>
          <t>Netze</t>
        </is>
      </c>
      <c r="R17" s="11" t="inlineStr">
        <is>
          <t>Netzplan</t>
        </is>
      </c>
      <c r="S17" s="12" t="inlineStr">
        <is>
          <t>Verbindungen über externe Netzanschlüsse</t>
        </is>
      </c>
      <c r="T17" s="12" t="inlineStr">
        <is>
          <t>G 0.14 – Ausspähen von Informationen (Spionage); G 0.23 – Unbefugtes Eindringen in IT-Systeme; G 0.39 – Schadprogramme; G 0.40 – Verhinderung von Diensten (Denial of Service); G 0.9 – Ausfall oder Störung von Kommunikationsnetzen; G 0.47 – Schädliche Seiteneffekte IT-gestützter Angriffe</t>
        </is>
      </c>
      <c r="U17" s="11" t="n">
        <v>2</v>
      </c>
      <c r="V17" s="11" t="n">
        <v>2</v>
      </c>
      <c r="W17" s="11" t="n">
        <v>1</v>
      </c>
      <c r="X17" s="11" t="n">
        <v>2</v>
      </c>
      <c r="Y17" s="11" t="n">
        <v>0</v>
      </c>
    </row>
    <row r="18">
      <c r="A18" s="11" t="inlineStr">
        <is>
          <t>ARCH.2.2</t>
        </is>
      </c>
      <c r="B18" s="12" t="inlineStr">
        <is>
          <t>Einschränkung von Verbindungen zwischen Segmenten</t>
        </is>
      </c>
      <c r="C18" s="11" t="inlineStr">
        <is>
          <t>ARCH.2.2.2</t>
        </is>
      </c>
      <c r="D18" s="11" t="inlineStr">
        <is>
          <t>Standard-Anforderungen</t>
        </is>
      </c>
      <c r="E18" s="12" t="inlineStr">
        <is>
          <t>Architektur für Netze SOLLTE Verbindungen zwischen Gastnetz und internem Netz einschränken.</t>
        </is>
      </c>
      <c r="F18" s="14" t="n"/>
      <c r="G18" s="14" t="n"/>
      <c r="H18" s="14" t="inlineStr">
        <is>
          <t>unbearbeitet</t>
        </is>
      </c>
      <c r="I18" s="14" t="n"/>
      <c r="J18" s="14" t="n"/>
      <c r="K18" s="14" t="n"/>
      <c r="L18" s="15" t="n"/>
      <c r="M18" s="11" t="inlineStr"/>
      <c r="N18" s="12" t="inlineStr">
        <is>
          <t>INF.10.A1-UA.4; INF.10.A6-UA.1; INF.10.A6-UA.3; INF.10.A6-UA.4; INF.10.A6-UA.6; NET.1.1.A22-UA.6; NET.1.1.A5-UA.4; NET.3.2.A2-UA.2; NET.3.4.A14-UA.2; NET.3.4.A9-UA.2</t>
        </is>
      </c>
      <c r="O18" s="11" t="inlineStr">
        <is>
          <t>subset-of; equivalent-to; equal-to; intersects-with; subset-of; superset-of; superset-of; intersects-with; intersects-with; intersects-with</t>
        </is>
      </c>
      <c r="P18" s="12" t="inlineStr">
        <is>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is>
      </c>
      <c r="Q18" s="11" t="inlineStr">
        <is>
          <t>Netze</t>
        </is>
      </c>
      <c r="R18" s="11" t="inlineStr">
        <is>
          <t>Netzplan</t>
        </is>
      </c>
      <c r="S18" s="12" t="inlineStr">
        <is>
          <t>Verbindungen zwischen Gastnetz und internem Netz</t>
        </is>
      </c>
      <c r="T18" s="12" t="inlineStr">
        <is>
          <t>G 0.23 – Unbefugtes Eindringen in IT-Systeme</t>
        </is>
      </c>
      <c r="U18" s="11" t="n">
        <v>2</v>
      </c>
      <c r="V18" s="11" t="n">
        <v>1</v>
      </c>
      <c r="W18" s="11" t="n">
        <v>1</v>
      </c>
      <c r="X18" s="11" t="n">
        <v>0</v>
      </c>
      <c r="Y18" s="11" t="n">
        <v>0</v>
      </c>
    </row>
    <row r="19">
      <c r="A19" s="11" t="inlineStr">
        <is>
          <t>ARCH.2.2</t>
        </is>
      </c>
      <c r="B19" s="12" t="inlineStr">
        <is>
          <t>Einschränkung von Verbindungen zwischen Segmenten</t>
        </is>
      </c>
      <c r="C19" s="11" t="inlineStr">
        <is>
          <t>ARCH.2.2.3</t>
        </is>
      </c>
      <c r="D19" s="11" t="inlineStr">
        <is>
          <t>Standard-Anforderungen</t>
        </is>
      </c>
      <c r="E19" s="12" t="inlineStr">
        <is>
          <t>Architektur für Netze SOLLTE Verbindungen zwischen Hostsystemen und Clients einschränken.</t>
        </is>
      </c>
      <c r="F19" s="14" t="n"/>
      <c r="G19" s="14" t="n"/>
      <c r="H19" s="14" t="inlineStr">
        <is>
          <t>unbearbeitet</t>
        </is>
      </c>
      <c r="I19" s="14" t="n"/>
      <c r="J19" s="14" t="n"/>
      <c r="K19" s="14" t="n"/>
      <c r="L19" s="15" t="n"/>
      <c r="M19" s="11" t="inlineStr"/>
      <c r="N19" s="12" t="inlineStr">
        <is>
          <t>NET.1.1.A19-UA.1; NET.1.1.A5-UA.1; NET.1.1.A5-UA.2; NET.1.1.A5-UA.3; NET.3.4.A9-UA.2; SYS.1.5.A9-UA.4; SYS.2.1.A23-UA.1; SYS.2.5.A2-UA.3</t>
        </is>
      </c>
      <c r="O19" s="11" t="inlineStr">
        <is>
          <t>equivalent-to; equivalent-to; equivalent-to; intersects-with; subset-of; equivalent-to; intersects-with; equivalent-to</t>
        </is>
      </c>
      <c r="P19" s="12" t="inlineStr">
        <is>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is>
      </c>
      <c r="Q19" s="11" t="inlineStr">
        <is>
          <t>Netze</t>
        </is>
      </c>
      <c r="R19" s="11" t="inlineStr">
        <is>
          <t>Netzplan</t>
        </is>
      </c>
      <c r="S19" s="12" t="inlineStr">
        <is>
          <t>Verbindungen zwischen Hostsystemen und Clients</t>
        </is>
      </c>
      <c r="T19" s="12" t="inlineStr">
        <is>
          <t>G 0.23 – Unbefugtes Eindringen in IT-Systeme; G 0.9 – Ausfall oder Störung von Kommunikationsnetzen; G 0.40 – Verhinderung von Diensten (Denial of Service)</t>
        </is>
      </c>
      <c r="U19" s="11" t="n">
        <v>3</v>
      </c>
      <c r="V19" s="11" t="n">
        <v>1</v>
      </c>
      <c r="W19" s="11" t="n">
        <v>1</v>
      </c>
      <c r="X19" s="11" t="n">
        <v>1</v>
      </c>
      <c r="Y19" s="11" t="n">
        <v>0</v>
      </c>
    </row>
    <row r="20">
      <c r="A20" s="11" t="inlineStr">
        <is>
          <t>ARCH.2.2</t>
        </is>
      </c>
      <c r="B20" s="12" t="inlineStr">
        <is>
          <t>Einschränkung von Verbindungen zwischen Segmenten</t>
        </is>
      </c>
      <c r="C20" s="11" t="inlineStr">
        <is>
          <t>ARCH.2.2.4</t>
        </is>
      </c>
      <c r="D20" s="11" t="inlineStr">
        <is>
          <t>Anforderungen bei erhöhtem Schutzbedarf</t>
        </is>
      </c>
      <c r="E20" s="12" t="inlineStr">
        <is>
          <t>Architektur für Netze KANN Verbindungen zwischen Daten- und VoIP-Systemen einschränken.</t>
        </is>
      </c>
      <c r="F20" s="14" t="n"/>
      <c r="G20" s="14" t="n"/>
      <c r="H20" s="14" t="inlineStr">
        <is>
          <t>unbearbeitet</t>
        </is>
      </c>
      <c r="I20" s="14" t="n"/>
      <c r="J20" s="14" t="n"/>
      <c r="K20" s="14" t="n"/>
      <c r="L20" s="15" t="n"/>
      <c r="M20" s="11" t="inlineStr">
        <is>
          <t>Verfügbarkeit</t>
        </is>
      </c>
      <c r="N20" s="12" t="inlineStr">
        <is>
          <t>INF.10.A6-UA.6; NET.4.2.A1-UA.5; NET.4.2.A16-UA.1; NET.4.2.A16-UA.2; NET.4.2.A16-UA.3; NET.4.2.A4-UA.2; NET.4.2.A4-UA.3</t>
        </is>
      </c>
      <c r="O20" s="11" t="inlineStr">
        <is>
          <t>intersects-with; intersects-with; equal-to; intersects-with; equivalent-to; intersects-with; subset-of</t>
        </is>
      </c>
      <c r="P20" s="12" t="inlineStr">
        <is>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is>
      </c>
      <c r="Q20" s="11" t="inlineStr">
        <is>
          <t>Netze</t>
        </is>
      </c>
      <c r="R20" s="11" t="inlineStr">
        <is>
          <t>Netzplan</t>
        </is>
      </c>
      <c r="S20" s="12" t="inlineStr">
        <is>
          <t>Verbindungen zwischen Daten- und VoIP-Systemen</t>
        </is>
      </c>
      <c r="T20" s="12" t="inlineStr">
        <is>
          <t>G 0.23 – Unbefugtes Eindringen in IT-Systeme; G 0.9 – Ausfall oder Störung von Kommunikationsnetzen; G 0.40 – Verhinderung von Diensten (Denial of Service)</t>
        </is>
      </c>
      <c r="U20" s="11" t="n">
        <v>5</v>
      </c>
      <c r="V20" s="11" t="n">
        <v>1</v>
      </c>
      <c r="W20" s="11" t="n">
        <v>1</v>
      </c>
      <c r="X20" s="11" t="n">
        <v>2</v>
      </c>
      <c r="Y20" s="11" t="n">
        <v>0</v>
      </c>
    </row>
    <row r="21">
      <c r="A21" s="11" t="inlineStr">
        <is>
          <t>ARCH.2.2</t>
        </is>
      </c>
      <c r="B21" s="12" t="inlineStr">
        <is>
          <t>Einschränkung von Verbindungen zwischen Segmenten</t>
        </is>
      </c>
      <c r="C21" s="11" t="inlineStr">
        <is>
          <t>ARCH.2.2.5</t>
        </is>
      </c>
      <c r="D21" s="11" t="inlineStr">
        <is>
          <t>Standard-Anforderungen</t>
        </is>
      </c>
      <c r="E21" s="12" t="inlineStr">
        <is>
          <t>Architektur für Netze SOLLTE Verbindungen zwischen OT-Systemen und anderen IT-Systemen einschränken.</t>
        </is>
      </c>
      <c r="F21" s="14" t="n"/>
      <c r="G21" s="14" t="n"/>
      <c r="H21" s="14" t="inlineStr">
        <is>
          <t>unbearbeitet</t>
        </is>
      </c>
      <c r="I21" s="14" t="n"/>
      <c r="J21" s="14" t="n"/>
      <c r="K21" s="14" t="n"/>
      <c r="L21" s="15" t="n"/>
      <c r="M21" s="11" t="inlineStr">
        <is>
          <t>Verfügbarkeit</t>
        </is>
      </c>
      <c r="N21" s="12" t="inlineStr">
        <is>
          <t>IND.1.A8-UA.1; IND.2.4.A1-UA.5; IND.3.2.A12-UA.1; IND.3.2.A5-UA.1; IND.3.2.A7-UA.1; IND.3.2.A7-UA.2; IND.3.2.A7-UA.4; IND.3.2.A8-UA.5; INF.14.A18-UA.1</t>
        </is>
      </c>
      <c r="O21" s="11" t="inlineStr">
        <is>
          <t>subset-of; subset-of; intersects-with; intersects-with; subset-of; subset-of; subset-of; intersects-with; intersects-with</t>
        </is>
      </c>
      <c r="P21" s="12" t="inlineStr">
        <is>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is>
      </c>
      <c r="Q21" s="11" t="inlineStr">
        <is>
          <t>Netze</t>
        </is>
      </c>
      <c r="R21" s="11" t="inlineStr">
        <is>
          <t>Netzplan</t>
        </is>
      </c>
      <c r="S21" s="12" t="inlineStr">
        <is>
          <t>Verbindungen zwischen OT-Systemen und anderen IT-Systemen</t>
        </is>
      </c>
      <c r="T21" s="12" t="inlineStr">
        <is>
          <t>G 0.23 – Unbefugtes Eindringen in IT-Systeme; G 0.9 – Ausfall oder Störung von Kommunikationsnetzen; G 0.40 – Verhinderung von Diensten (Denial of Service)</t>
        </is>
      </c>
      <c r="U21" s="11" t="n">
        <v>3</v>
      </c>
      <c r="V21" s="11" t="n">
        <v>1</v>
      </c>
      <c r="W21" s="11" t="n">
        <v>1</v>
      </c>
      <c r="X21" s="11" t="n">
        <v>2</v>
      </c>
      <c r="Y21" s="11" t="n">
        <v>0</v>
      </c>
    </row>
    <row r="22">
      <c r="A22" s="11" t="inlineStr">
        <is>
          <t>ARCH.2.2</t>
        </is>
      </c>
      <c r="B22" s="12" t="inlineStr">
        <is>
          <t>Einschränkung von Verbindungen zwischen Segmenten</t>
        </is>
      </c>
      <c r="C22" s="11" t="inlineStr">
        <is>
          <t>ARCH.2.2.6</t>
        </is>
      </c>
      <c r="D22" s="11" t="inlineStr">
        <is>
          <t>Standard-Anforderungen</t>
        </is>
      </c>
      <c r="E22" s="12" t="inlineStr">
        <is>
          <t>Architektur für Netze SOLLTE eine demilitarisierte Zone installieren.</t>
        </is>
      </c>
      <c r="F22" s="14" t="n"/>
      <c r="G22" s="14" t="n"/>
      <c r="H22" s="14" t="inlineStr">
        <is>
          <t>unbearbeitet</t>
        </is>
      </c>
      <c r="I22" s="14" t="n"/>
      <c r="J22" s="14" t="n"/>
      <c r="K22" s="14" t="n"/>
      <c r="L22" s="15" t="n"/>
      <c r="M22" s="11" t="inlineStr">
        <is>
          <t>Vertraulichkeit, Integrität</t>
        </is>
      </c>
      <c r="N22" s="12" t="inlineStr">
        <is>
          <t>APP.3.6.A16-UA.2; IND.1.A16-UA.2; NET.1.1.A10-UA.1; NET.1.1.A10-UA.2; NET.1.1.A10-UA.3; NET.1.1.A4-UA.1</t>
        </is>
      </c>
      <c r="O22" s="11" t="inlineStr">
        <is>
          <t>subset-of; intersects-with; subset-of; subset-of; subset-of; equal-to</t>
        </is>
      </c>
      <c r="P22" s="12" t="inlineStr">
        <is>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is>
      </c>
      <c r="Q22" s="11" t="inlineStr">
        <is>
          <t>Netze</t>
        </is>
      </c>
      <c r="R22" s="11" t="inlineStr">
        <is>
          <t>Netzplan</t>
        </is>
      </c>
      <c r="S22" s="12" t="inlineStr">
        <is>
          <t>eine demilitarisierte Zone</t>
        </is>
      </c>
      <c r="T22" s="12" t="inlineStr">
        <is>
          <t>G 0.23 – Unbefugtes Eindringen in IT-Systeme; G 0.47 – Schädliche Seiteneffekte IT-gestützter Angriffe</t>
        </is>
      </c>
      <c r="U22" s="11" t="n">
        <v>3</v>
      </c>
      <c r="V22" s="11" t="n">
        <v>2</v>
      </c>
      <c r="W22" s="11" t="n">
        <v>2</v>
      </c>
      <c r="X22" s="11" t="n">
        <v>1</v>
      </c>
      <c r="Y22" s="11" t="n">
        <v>0</v>
      </c>
    </row>
    <row r="23">
      <c r="A23" s="11" t="inlineStr">
        <is>
          <t>ARCH.2.2</t>
        </is>
      </c>
      <c r="B23" s="12" t="inlineStr">
        <is>
          <t>Einschränkung von Verbindungen zwischen Segmenten</t>
        </is>
      </c>
      <c r="C23" s="11" t="inlineStr">
        <is>
          <t>ARCH.2.2.7</t>
        </is>
      </c>
      <c r="D23" s="11" t="inlineStr">
        <is>
          <t>Standard-Anforderungen</t>
        </is>
      </c>
      <c r="E23" s="12" t="inlineStr">
        <is>
          <t>Architektur für Netze SOLLTE ein oder mehrere Management-Netze installieren.</t>
        </is>
      </c>
      <c r="F23" s="14" t="n"/>
      <c r="G23" s="14" t="n"/>
      <c r="H23" s="14" t="inlineStr">
        <is>
          <t>unbearbeitet</t>
        </is>
      </c>
      <c r="I23" s="14" t="n"/>
      <c r="J23" s="14" t="n"/>
      <c r="K23" s="14" t="n"/>
      <c r="L23" s="15" t="n"/>
      <c r="M23" s="11" t="inlineStr">
        <is>
          <t>Vertraulichkeit</t>
        </is>
      </c>
      <c r="N23" s="12" t="inlineStr">
        <is>
          <t>NET.1.1.A21-UA.5; NET.1.2.A28-UA.2; NET.1.2.A29-UA.1; NET.1.2.A33-UA.1; NET.3.1.A13-UA.1; NET.3.1.A4-UA.4; NET.3.1.A4-UA.5; NET.3.2.A18-UA.1; NET.3.2.A18-UA.3; OPS.1.1.2.A16-UA.2; SYS.1.5.A11-UA.1; SYS.1.5.A5-UA.1; SYS.1.5.A9-UA.3; SYS.1.6.A5-UA.1</t>
        </is>
      </c>
      <c r="O23" s="11" t="inlineStr">
        <is>
          <t>equivalent-to; intersects-with; subset-of; subset-of; subset-of; subset-of; intersects-with; subset-of; intersects-with; equivalent-to; subset-of; intersects-with; superset-of; subset-of</t>
        </is>
      </c>
      <c r="P23" s="12" t="inlineStr">
        <is>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is>
      </c>
      <c r="Q23" s="11" t="inlineStr">
        <is>
          <t>Netze</t>
        </is>
      </c>
      <c r="R23" s="11" t="inlineStr">
        <is>
          <t>Netzplan</t>
        </is>
      </c>
      <c r="S23" s="12" t="inlineStr">
        <is>
          <t>ein oder mehrere Management-Netze</t>
        </is>
      </c>
      <c r="T23" s="12" t="inlineStr">
        <is>
          <t>G 0.30 – Unberechtigte Nutzung oder Administration von Geräten und Systemen; G 0.23 – Unbefugtes Eindringen in IT-Systeme; G 0.32 – Missbrauch von Berechtigungen; G 0.19 – Offenlegung schützenswerter Informationen</t>
        </is>
      </c>
      <c r="U23" s="11" t="n">
        <v>3</v>
      </c>
      <c r="V23" s="11" t="n">
        <v>2</v>
      </c>
      <c r="W23" s="11" t="n">
        <v>1</v>
      </c>
      <c r="X23" s="11" t="n">
        <v>1</v>
      </c>
      <c r="Y23" s="11" t="n">
        <v>1</v>
      </c>
    </row>
    <row r="24">
      <c r="A24" s="11" t="inlineStr">
        <is>
          <t>ARCH.2.2</t>
        </is>
      </c>
      <c r="B24" s="12" t="inlineStr">
        <is>
          <t>Einschränkung von Verbindungen zwischen Segmenten</t>
        </is>
      </c>
      <c r="C24" s="11" t="inlineStr">
        <is>
          <t>ARCH.2.2.8</t>
        </is>
      </c>
      <c r="D24" s="11" t="inlineStr">
        <is>
          <t>Standard-Anforderungen</t>
        </is>
      </c>
      <c r="E24" s="12" t="inlineStr">
        <is>
          <t>Architektur für Netze SOLLTE Verbindungen zwischen Testumgebungen und Betrieb einschränken.</t>
        </is>
      </c>
      <c r="F24" s="14" t="n"/>
      <c r="G24" s="14" t="n"/>
      <c r="H24" s="14" t="inlineStr">
        <is>
          <t>unbearbeitet</t>
        </is>
      </c>
      <c r="I24" s="14" t="n"/>
      <c r="J24" s="14" t="n"/>
      <c r="K24" s="14" t="n"/>
      <c r="L24" s="15" t="n"/>
      <c r="M24" s="11" t="inlineStr">
        <is>
          <t>Vertraulichkeit, Integrität</t>
        </is>
      </c>
      <c r="N24" s="12" t="inlineStr">
        <is>
          <t>CON.8.A7-UA.8; NET.3.4.A9-UA.2; OPS.1.1.3.A9-UA.3; OPS.1.1.6.A13-UA.1; OPS.1.1.6.A13-UA.2; SYS.1.5.A9-UA.4; SYS.1.7.A33-UA.1</t>
        </is>
      </c>
      <c r="O24" s="11" t="inlineStr">
        <is>
          <t>subset-of; intersects-with; subset-of; subset-of; equal-to; superset-of; subset-of</t>
        </is>
      </c>
      <c r="P24" s="12" t="inlineStr">
        <is>
          <t>Entwicklungs-, Staging- und Testumgebungen haben oft geringere Sicherheitsvorkehrungen als Produktivsysteme. Eine saubere Trennung zwischen Test- und Produktivumgebung verhindert Übergriffe auf das Produktivsystem und vermeidet Ressourcenkonflikte.</t>
        </is>
      </c>
      <c r="Q24" s="11" t="inlineStr">
        <is>
          <t>Netze</t>
        </is>
      </c>
      <c r="R24" s="11" t="inlineStr">
        <is>
          <t>Netzplan</t>
        </is>
      </c>
      <c r="S24" s="12" t="inlineStr">
        <is>
          <t>Verbindungen zwischen Testumgebungen und Betrieb</t>
        </is>
      </c>
      <c r="T24" s="12" t="inlineStr">
        <is>
          <t>G 0.23 – Unbefugtes Eindringen in IT-Systeme; G 0.26 – Fehlfunktion von Geräten oder Systemen; G 0.20 – Informationen oder Produkte aus unzuverlässiger Quelle; G 0.28 – Software-Schwachstellen oder -Fehler</t>
        </is>
      </c>
      <c r="U24" s="11" t="n">
        <v>4</v>
      </c>
      <c r="V24" s="11" t="n">
        <v>2</v>
      </c>
      <c r="W24" s="11" t="n">
        <v>2</v>
      </c>
      <c r="X24" s="11" t="n">
        <v>1</v>
      </c>
      <c r="Y24" s="11" t="n">
        <v>1</v>
      </c>
    </row>
    <row r="25">
      <c r="A25" s="11" t="inlineStr">
        <is>
          <t>ARCH.2.2</t>
        </is>
      </c>
      <c r="B25" s="12" t="inlineStr">
        <is>
          <t>Einschränkung von Verbindungen zwischen Segmenten</t>
        </is>
      </c>
      <c r="C25" s="11" t="inlineStr">
        <is>
          <t>ARCH.2.2.9</t>
        </is>
      </c>
      <c r="D25" s="11" t="inlineStr">
        <is>
          <t>Standard-Anforderungen</t>
        </is>
      </c>
      <c r="E25" s="12" t="inlineStr">
        <is>
          <t>Architektur für Netze SOLLTE Verbindungen zwischen IPv4 und IPv6 einschränken.</t>
        </is>
      </c>
      <c r="F25" s="14" t="n"/>
      <c r="G25" s="14" t="n"/>
      <c r="H25" s="14" t="inlineStr">
        <is>
          <t>unbearbeitet</t>
        </is>
      </c>
      <c r="I25" s="14" t="n"/>
      <c r="J25" s="14" t="n"/>
      <c r="K25" s="14" t="n"/>
      <c r="L25" s="15" t="n"/>
      <c r="M25" s="11" t="inlineStr">
        <is>
          <t>Vertraulichkeit, Integrität</t>
        </is>
      </c>
      <c r="N25" s="12" t="inlineStr">
        <is>
          <t>NET.1.1.A20-UA.1; NET.3.2.A17-UA.1; NET.3.4.A9-UA.2</t>
        </is>
      </c>
      <c r="O25" s="11" t="inlineStr">
        <is>
          <t>equivalent-to; subset-of; intersects-with</t>
        </is>
      </c>
      <c r="P25" s="12" t="inlineStr">
        <is>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is>
      </c>
      <c r="Q25" s="11" t="inlineStr">
        <is>
          <t>Netze</t>
        </is>
      </c>
      <c r="R25" s="11" t="inlineStr">
        <is>
          <t>Netzplan</t>
        </is>
      </c>
      <c r="S25" s="12" t="inlineStr">
        <is>
          <t>Verbindungen zwischen IPv4 und IPv6</t>
        </is>
      </c>
      <c r="T25" s="12" t="inlineStr">
        <is>
          <t>G 0.23 – Unbefugtes Eindringen in IT-Systeme; G 0.18 – Fehlplanung oder fehlende Anpassung; G 0.39 – Schadprogramme</t>
        </is>
      </c>
      <c r="U25" s="11" t="n">
        <v>4</v>
      </c>
      <c r="V25" s="11" t="n">
        <v>2</v>
      </c>
      <c r="W25" s="11" t="n">
        <v>2</v>
      </c>
      <c r="X25" s="11" t="n">
        <v>1</v>
      </c>
      <c r="Y25" s="11" t="n">
        <v>0</v>
      </c>
    </row>
    <row r="26">
      <c r="A26" s="11" t="inlineStr">
        <is>
          <t>ARCH.2.2</t>
        </is>
      </c>
      <c r="B26" s="12" t="inlineStr">
        <is>
          <t>Einschränkung von Verbindungen zwischen Segmenten</t>
        </is>
      </c>
      <c r="C26" s="11" t="inlineStr">
        <is>
          <t>ARCH.2.2.10</t>
        </is>
      </c>
      <c r="D26" s="11" t="inlineStr">
        <is>
          <t>Standard-Anforderungen</t>
        </is>
      </c>
      <c r="E26" s="12" t="inlineStr">
        <is>
          <t>Architektur für Netze SOLLTE Verbindungen zwischen Druckern und anderen Systemen einschränken.</t>
        </is>
      </c>
      <c r="F26" s="14" t="n"/>
      <c r="G26" s="14" t="n"/>
      <c r="H26" s="14" t="inlineStr">
        <is>
          <t>unbearbeitet</t>
        </is>
      </c>
      <c r="I26" s="14" t="n"/>
      <c r="J26" s="14" t="n"/>
      <c r="K26" s="14" t="n"/>
      <c r="L26" s="15" t="n"/>
      <c r="M26" s="11" t="inlineStr"/>
      <c r="N26" s="12" t="inlineStr">
        <is>
          <t>NET.3.4.A9-UA.2; SYS.1.5.A9-UA.4; SYS.4.1.A11-UA.1; SYS.4.1.A11-UA.3; SYS.4.1.A18-UA.3; SYS.4.1.A4-UA.1</t>
        </is>
      </c>
      <c r="O26" s="11" t="inlineStr">
        <is>
          <t>intersects-with; superset-of; subset-of; subset-of; subset-of; intersects-with</t>
        </is>
      </c>
      <c r="P26" s="12" t="inlineStr">
        <is>
          <t>Drucker können Schwachstellen aufweisen, die Angreifer ausnutzen, z.B. veraltete Firmware oder ungesicherte Netzprotokolle. Durch die Segmentierung wird die Angriffsoberfläche reduziert und die Netzüberwachung erleichtert. Die Umsetzung kann physisch oder durch VLANs erfolgen.</t>
        </is>
      </c>
      <c r="Q26" s="11" t="inlineStr">
        <is>
          <t>Netze</t>
        </is>
      </c>
      <c r="R26" s="11" t="inlineStr">
        <is>
          <t>Netzplan</t>
        </is>
      </c>
      <c r="S26" s="12" t="inlineStr">
        <is>
          <t>Verbindungen zwischen Druckern und anderen Systemen</t>
        </is>
      </c>
      <c r="T26" s="12" t="inlineStr">
        <is>
          <t>G 0.30 – Unberechtigte Nutzung oder Administration von Geräten und Systemen; G 0.18 – Fehlplanung oder fehlende Anpassung; G 0.39 – Schadprogramme</t>
        </is>
      </c>
      <c r="U26" s="11" t="n">
        <v>4</v>
      </c>
      <c r="V26" s="11" t="n">
        <v>1</v>
      </c>
      <c r="W26" s="11" t="n">
        <v>1</v>
      </c>
      <c r="X26" s="11" t="n">
        <v>1</v>
      </c>
      <c r="Y26" s="11" t="n">
        <v>1</v>
      </c>
    </row>
    <row r="27">
      <c r="A27" s="11" t="inlineStr">
        <is>
          <t>ARCH.2.2</t>
        </is>
      </c>
      <c r="B27" s="12" t="inlineStr">
        <is>
          <t>Einschränkung von Verbindungen zwischen Segmenten</t>
        </is>
      </c>
      <c r="C27" s="11" t="inlineStr">
        <is>
          <t>ARCH.2.2.11</t>
        </is>
      </c>
      <c r="D27" s="11" t="inlineStr">
        <is>
          <t>Anforderungen bei erhöhtem Schutzbedarf</t>
        </is>
      </c>
      <c r="E27" s="12" t="inlineStr">
        <is>
          <t>Architektur für Netze KANN den physischen Zugang auf diese einschränken.</t>
        </is>
      </c>
      <c r="F27" s="14" t="n"/>
      <c r="G27" s="14" t="n"/>
      <c r="H27" s="14" t="inlineStr">
        <is>
          <t>unbearbeitet</t>
        </is>
      </c>
      <c r="I27" s="14" t="n"/>
      <c r="J27" s="14" t="n"/>
      <c r="K27" s="14" t="n"/>
      <c r="L27" s="15" t="n"/>
      <c r="M27" s="11" t="inlineStr"/>
      <c r="N27" s="12" t="inlineStr">
        <is>
          <t>NET.1.1.A23-UA.4; NET.1.1.A31-UA.1; NET.1.1.A32-UA.1; NET.1.1.A4-UA.1; NET.1.2.A32-UA.1; OPS.1.1.7.A21-UA.1</t>
        </is>
      </c>
      <c r="O27" s="11" t="inlineStr">
        <is>
          <t>intersects-with; subset-of; subset-of; superset-of; subset-of; subset-of</t>
        </is>
      </c>
      <c r="P27" s="12" t="inlineStr">
        <is>
          <t>Obwohl sich eine virtuelle Vernetzung immer größerer Beliebtheit erfreut, können Konfigurationsfehler oder Sicherheitslücken dabei leichter zu einer Umgehung der Netztrennung führen, als wenn die Netze bereits auf physischer Ebene voneinander getrennt werden.</t>
        </is>
      </c>
      <c r="Q27" s="11" t="inlineStr">
        <is>
          <t>Netze</t>
        </is>
      </c>
      <c r="R27" s="11" t="inlineStr">
        <is>
          <t>Netzplan</t>
        </is>
      </c>
      <c r="S27" s="12" t="inlineStr">
        <is>
          <t>den physischen Zugang auf diese</t>
        </is>
      </c>
      <c r="T27" s="12" t="inlineStr">
        <is>
          <t>G 0.18 – Fehlplanung oder fehlende Anpassung; G 0.29 – Verstoß gegen Gesetze oder Regelungen; G 0.23 – Unbefugtes Eindringen in IT-Systeme; G 0.9 – Ausfall oder Störung von Kommunikationsnetzen</t>
        </is>
      </c>
      <c r="U27" s="11" t="n">
        <v>5</v>
      </c>
      <c r="V27" s="11" t="n">
        <v>1</v>
      </c>
      <c r="W27" s="11" t="n">
        <v>1</v>
      </c>
      <c r="X27" s="11" t="n">
        <v>1</v>
      </c>
      <c r="Y27" s="11" t="n">
        <v>0</v>
      </c>
    </row>
    <row r="28">
      <c r="A28" s="11" t="inlineStr">
        <is>
          <t>ARCH.2.2</t>
        </is>
      </c>
      <c r="B28" s="12" t="inlineStr">
        <is>
          <t>Einschränkung von Verbindungen zwischen Segmenten</t>
        </is>
      </c>
      <c r="C28" s="11" t="inlineStr">
        <is>
          <t>ARCH.2.2.12</t>
        </is>
      </c>
      <c r="D28" s="11" t="inlineStr">
        <is>
          <t>Anforderungen bei erhöhtem Schutzbedarf</t>
        </is>
      </c>
      <c r="E28" s="12" t="inlineStr">
        <is>
          <t>Architektur KANN Sprungserver installieren.</t>
        </is>
      </c>
      <c r="F28" s="14" t="n"/>
      <c r="G28" s="14" t="n"/>
      <c r="H28" s="14" t="inlineStr">
        <is>
          <t>unbearbeitet</t>
        </is>
      </c>
      <c r="I28" s="14" t="n"/>
      <c r="J28" s="14" t="n"/>
      <c r="K28" s="14" t="n"/>
      <c r="L28" s="15" t="n"/>
      <c r="M28" s="11" t="inlineStr">
        <is>
          <t>Vertraulichkeit</t>
        </is>
      </c>
      <c r="N28" s="12" t="inlineStr">
        <is>
          <t>IND.3.2.A7-UA.4; NET.1.2.A21-UA.3; OPS.1.1.7.A26-UA.1; OPS.1.2.5.A25-UA.3</t>
        </is>
      </c>
      <c r="O28" s="11" t="inlineStr">
        <is>
          <t>superset-of; intersects-with; equivalent-to; equivalent-to</t>
        </is>
      </c>
      <c r="P28" s="12" t="inlineStr">
        <is>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is>
      </c>
      <c r="Q28" s="11" t="inlineStr"/>
      <c r="R28" s="11" t="inlineStr">
        <is>
          <t>Netzplan</t>
        </is>
      </c>
      <c r="S28" s="12" t="inlineStr">
        <is>
          <t>Sprungserver</t>
        </is>
      </c>
      <c r="T28" s="12" t="inlineStr">
        <is>
          <t>G 0.23 – Unbefugtes Eindringen in IT-Systeme; G 0.30 – Unberechtigte Nutzung oder Administration von Geräten und Systemen; G 0.15 – Abhören</t>
        </is>
      </c>
      <c r="U28" s="11" t="n">
        <v>5</v>
      </c>
      <c r="V28" s="11" t="n">
        <v>2</v>
      </c>
      <c r="W28" s="11" t="n">
        <v>1</v>
      </c>
      <c r="X28" s="11" t="n">
        <v>1</v>
      </c>
      <c r="Y28" s="11" t="n">
        <v>1</v>
      </c>
    </row>
    <row r="29">
      <c r="A29" s="9" t="inlineStr">
        <is>
          <t>ARCH.2.3</t>
        </is>
      </c>
      <c r="B29" s="10" t="inlineStr">
        <is>
          <t>Mikrosegmentierung</t>
        </is>
      </c>
      <c r="C29" s="11" t="n"/>
      <c r="D29" s="11" t="inlineStr">
        <is>
          <t>Anforderungen bei erhöhtem Schutzbedarf</t>
        </is>
      </c>
      <c r="E29" s="12" t="inlineStr">
        <is>
          <t>Gesamt:</t>
        </is>
      </c>
      <c r="F29" s="11" t="n"/>
      <c r="G29" s="11" t="n"/>
      <c r="H29" s="13">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
      </c>
      <c r="I29" s="11" t="n"/>
      <c r="J29" s="11" t="n"/>
      <c r="K29" s="11" t="n"/>
      <c r="L29" s="11" t="n"/>
      <c r="M29" s="11" t="inlineStr">
        <is>
          <t>Vertraulichkeit</t>
        </is>
      </c>
      <c r="N29" s="12" t="inlineStr">
        <is>
          <t>NET.1.1.A4-UA.3; NET.3.4.A9-UA.2; SYS.1.5.A4-UA.2; SYS.1.5.A9-UA.4; SYS.1.6.A5-UA.3</t>
        </is>
      </c>
      <c r="O29" s="11" t="inlineStr">
        <is>
          <t>subset-of; equivalent-to; subset-of; subset-of; equivalent-to</t>
        </is>
      </c>
      <c r="P29" s="12" t="inlineStr">
        <is>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is>
      </c>
      <c r="Q29" s="11" t="inlineStr">
        <is>
          <t>IT-Systeme</t>
        </is>
      </c>
      <c r="R29" s="11" t="inlineStr">
        <is>
          <t>Netzplan</t>
        </is>
      </c>
      <c r="S29" s="12" t="inlineStr">
        <is>
          <t>Verbindungen zu allen anderen IT-Systemen</t>
        </is>
      </c>
      <c r="T29" s="12" t="inlineStr">
        <is>
          <t>G 0.23 – Unbefugtes Eindringen in IT-Systeme; G 0.30 – Unberechtigte Nutzung oder Administration von Geräten und Systemen; G 0.15 – Abhören</t>
        </is>
      </c>
      <c r="U29" s="11" t="n">
        <v>5</v>
      </c>
      <c r="V29" s="11" t="n">
        <v>2</v>
      </c>
      <c r="W29" s="11" t="n">
        <v>1</v>
      </c>
      <c r="X29" s="11" t="n">
        <v>1</v>
      </c>
      <c r="Y29" s="11" t="n">
        <v>1</v>
      </c>
    </row>
    <row r="30">
      <c r="A30" s="11" t="inlineStr">
        <is>
          <t>ARCH.2.3</t>
        </is>
      </c>
      <c r="B30" s="12" t="inlineStr">
        <is>
          <t>Mikrosegmentierung</t>
        </is>
      </c>
      <c r="C30" s="11" t="inlineStr">
        <is>
          <t>ARCH.2.3</t>
        </is>
      </c>
      <c r="D30" s="11" t="inlineStr">
        <is>
          <t>Anforderungen bei erhöhtem Schutzbedarf</t>
        </is>
      </c>
      <c r="E30" s="12" t="inlineStr">
        <is>
          <t>Architektur für IT-Systeme KANN Verbindungen zu allen anderen IT-Systemen einschränken.</t>
        </is>
      </c>
      <c r="F30" s="14" t="n"/>
      <c r="G30" s="14" t="n"/>
      <c r="H30" s="14" t="inlineStr">
        <is>
          <t>unbearbeitet</t>
        </is>
      </c>
      <c r="I30" s="14" t="n"/>
      <c r="J30" s="14" t="n"/>
      <c r="K30" s="14" t="n"/>
      <c r="L30" s="15" t="n"/>
      <c r="M30" s="11" t="inlineStr">
        <is>
          <t>Vertraulichkeit</t>
        </is>
      </c>
      <c r="N30" s="12" t="inlineStr">
        <is>
          <t>NET.1.1.A4-UA.3; NET.3.4.A9-UA.2; SYS.1.5.A4-UA.2; SYS.1.5.A9-UA.4; SYS.1.6.A5-UA.3</t>
        </is>
      </c>
      <c r="O30" s="11" t="inlineStr">
        <is>
          <t>subset-of; equivalent-to; subset-of; subset-of; equivalent-to</t>
        </is>
      </c>
      <c r="P30" s="12" t="inlineStr">
        <is>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is>
      </c>
      <c r="Q30" s="11" t="inlineStr">
        <is>
          <t>IT-Systeme</t>
        </is>
      </c>
      <c r="R30" s="11" t="inlineStr">
        <is>
          <t>Netzplan</t>
        </is>
      </c>
      <c r="S30" s="12" t="inlineStr">
        <is>
          <t>Verbindungen zu allen anderen IT-Systemen</t>
        </is>
      </c>
      <c r="T30" s="12" t="inlineStr">
        <is>
          <t>G 0.23 – Unbefugtes Eindringen in IT-Systeme; G 0.30 – Unberechtigte Nutzung oder Administration von Geräten und Systemen; G 0.15 – Abhören</t>
        </is>
      </c>
      <c r="U30" s="11" t="n">
        <v>5</v>
      </c>
      <c r="V30" s="11" t="n">
        <v>2</v>
      </c>
      <c r="W30" s="11" t="n">
        <v>1</v>
      </c>
      <c r="X30" s="11" t="n">
        <v>1</v>
      </c>
      <c r="Y30" s="11" t="n">
        <v>1</v>
      </c>
    </row>
    <row r="31">
      <c r="A31" s="9" t="inlineStr">
        <is>
          <t>ARCH.2.4</t>
        </is>
      </c>
      <c r="B31" s="10" t="inlineStr">
        <is>
          <t>Inventar der Netze</t>
        </is>
      </c>
      <c r="C31" s="11" t="n"/>
      <c r="D31" s="11" t="inlineStr">
        <is>
          <t>Standard-Anforderungen</t>
        </is>
      </c>
      <c r="E31" s="12" t="inlineStr">
        <is>
          <t>Gesamt:</t>
        </is>
      </c>
      <c r="F31" s="11" t="n"/>
      <c r="G31" s="11" t="n"/>
      <c r="H31" s="13">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
      </c>
      <c r="I31" s="11" t="n"/>
      <c r="J31" s="11" t="n"/>
      <c r="K31" s="11" t="n"/>
      <c r="L31" s="11" t="n"/>
      <c r="M31" s="11" t="inlineStr">
        <is>
          <t>Vertraulichkeit, Integrität</t>
        </is>
      </c>
      <c r="N31" s="12" t="inlineStr">
        <is>
          <t>IND.1.A4-UA.6; INF.12.A10-UA.1; NET.1.1.A16-UA.2; NET.1.1.A17-UA.2; NET.1.1.A2-UA.5; NET.1.1.A22-UA.4; NET.1.1.A25-UA.1; NET.1.2.A12-UA.6; NET.1.2.A13-UA.2</t>
        </is>
      </c>
      <c r="O31" s="11" t="inlineStr">
        <is>
          <t>subset-of; subset-of; superset-of; superset-of; equivalent-to; superset-of; intersects-with; subset-of; intersects-with</t>
        </is>
      </c>
      <c r="P31" s="12" t="inlineStr">
        <is>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is>
      </c>
      <c r="Q31" s="11" t="inlineStr"/>
      <c r="R31" s="11" t="inlineStr">
        <is>
          <t>Netzplan</t>
        </is>
      </c>
      <c r="S31" s="12" t="inlineStr">
        <is>
          <t>ein Inventar der Netze</t>
        </is>
      </c>
      <c r="T31" s="12" t="inlineStr">
        <is>
          <t>G 0.18 – Fehlplanung oder fehlende Anpassung; G 0.23 – Unbefugtes Eindringen in IT-Systeme; G 0.30 – Unberechtigte Nutzung oder Administration von Geräten und Systemen</t>
        </is>
      </c>
      <c r="U31" s="11" t="n">
        <v>2</v>
      </c>
      <c r="V31" s="11" t="n">
        <v>2</v>
      </c>
      <c r="W31" s="11" t="n">
        <v>2</v>
      </c>
      <c r="X31" s="11" t="n">
        <v>1</v>
      </c>
      <c r="Y31" s="11" t="n">
        <v>1</v>
      </c>
    </row>
    <row r="32">
      <c r="A32" s="11" t="inlineStr">
        <is>
          <t>ARCH.2.4</t>
        </is>
      </c>
      <c r="B32" s="12" t="inlineStr">
        <is>
          <t>Inventar der Netze</t>
        </is>
      </c>
      <c r="C32" s="11" t="inlineStr">
        <is>
          <t>ARCH.2.4</t>
        </is>
      </c>
      <c r="D32" s="11" t="inlineStr">
        <is>
          <t>Standard-Anforderungen</t>
        </is>
      </c>
      <c r="E32" s="12" t="inlineStr">
        <is>
          <t>Architektur SOLLTE ein Inventar der Netze einschließlich interner Segmente, externer Netzanschlüsse und deren Verwendungszweck dokumentieren.</t>
        </is>
      </c>
      <c r="F32" s="14" t="n"/>
      <c r="G32" s="14" t="n"/>
      <c r="H32" s="14" t="inlineStr">
        <is>
          <t>unbearbeitet</t>
        </is>
      </c>
      <c r="I32" s="14" t="n"/>
      <c r="J32" s="14" t="n"/>
      <c r="K32" s="14" t="n"/>
      <c r="L32" s="15" t="n"/>
      <c r="M32" s="11" t="inlineStr">
        <is>
          <t>Vertraulichkeit, Integrität</t>
        </is>
      </c>
      <c r="N32" s="12" t="inlineStr">
        <is>
          <t>IND.1.A4-UA.6; INF.12.A10-UA.1; NET.1.1.A16-UA.2; NET.1.1.A17-UA.2; NET.1.1.A2-UA.5; NET.1.1.A22-UA.4; NET.1.1.A25-UA.1; NET.1.2.A12-UA.6; NET.1.2.A13-UA.2</t>
        </is>
      </c>
      <c r="O32" s="11" t="inlineStr">
        <is>
          <t>subset-of; subset-of; superset-of; superset-of; equivalent-to; superset-of; intersects-with; subset-of; intersects-with</t>
        </is>
      </c>
      <c r="P32" s="12" t="inlineStr">
        <is>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is>
      </c>
      <c r="Q32" s="11" t="inlineStr"/>
      <c r="R32" s="11" t="inlineStr">
        <is>
          <t>Netzplan</t>
        </is>
      </c>
      <c r="S32" s="12" t="inlineStr">
        <is>
          <t>ein Inventar der Netze</t>
        </is>
      </c>
      <c r="T32" s="12" t="inlineStr">
        <is>
          <t>G 0.18 – Fehlplanung oder fehlende Anpassung; G 0.23 – Unbefugtes Eindringen in IT-Systeme; G 0.30 – Unberechtigte Nutzung oder Administration von Geräten und Systemen</t>
        </is>
      </c>
      <c r="U32" s="11" t="n">
        <v>2</v>
      </c>
      <c r="V32" s="11" t="n">
        <v>2</v>
      </c>
      <c r="W32" s="11" t="n">
        <v>2</v>
      </c>
      <c r="X32" s="11" t="n">
        <v>1</v>
      </c>
      <c r="Y32" s="11" t="n">
        <v>1</v>
      </c>
    </row>
    <row r="33">
      <c r="A33" s="9" t="inlineStr">
        <is>
          <t>ARCH.2.5</t>
        </is>
      </c>
      <c r="B33" s="10" t="inlineStr">
        <is>
          <t>Netzplan</t>
        </is>
      </c>
      <c r="C33" s="11" t="n"/>
      <c r="D33" s="11" t="inlineStr">
        <is>
          <t>Standard-Anforderungen</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is>
          <t>Vertraulichkeit, Integrität</t>
        </is>
      </c>
      <c r="N33" s="12" t="inlineStr">
        <is>
          <t>IND.1.A4-UA.6; NET.1.1.A13-UA.3; NET.1.1.A2-UA.2; NET.1.1.A2-UA.5; NET.1.1.A25-UA.1</t>
        </is>
      </c>
      <c r="O33" s="11" t="inlineStr">
        <is>
          <t>subset-of; intersects-with; equal-to; subset-of; superset-of</t>
        </is>
      </c>
      <c r="P33" s="12" t="inlineStr">
        <is>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is>
      </c>
      <c r="Q33" s="11" t="inlineStr">
        <is>
          <t>Netze</t>
        </is>
      </c>
      <c r="R33" s="11" t="inlineStr">
        <is>
          <t>Netzplan</t>
        </is>
      </c>
      <c r="S33" s="12" t="inlineStr">
        <is>
          <t>einen Netzplan</t>
        </is>
      </c>
      <c r="T33" s="12" t="inlineStr">
        <is>
          <t>G 0.23 – Unbefugtes Eindringen in IT-Systeme; G 0.30 – Unberechtigte Nutzung oder Administration von Geräten und Systemen; G 0.18 – Fehlplanung oder fehlende Anpassung; G 0.37 – Abstreiten von Handlungen</t>
        </is>
      </c>
      <c r="U33" s="11" t="n">
        <v>2</v>
      </c>
      <c r="V33" s="11" t="n">
        <v>2</v>
      </c>
      <c r="W33" s="11" t="n">
        <v>2</v>
      </c>
      <c r="X33" s="11" t="n">
        <v>1</v>
      </c>
      <c r="Y33" s="11" t="n">
        <v>1</v>
      </c>
    </row>
    <row r="34">
      <c r="A34" s="11" t="inlineStr">
        <is>
          <t>ARCH.2.5</t>
        </is>
      </c>
      <c r="B34" s="12" t="inlineStr">
        <is>
          <t>Netzplan</t>
        </is>
      </c>
      <c r="C34" s="11" t="inlineStr">
        <is>
          <t>ARCH.2.5</t>
        </is>
      </c>
      <c r="D34" s="11" t="inlineStr">
        <is>
          <t>Standard-Anforderungen</t>
        </is>
      </c>
      <c r="E34" s="12" t="inlineStr">
        <is>
          <t>Architektur für Netze SOLLTE einen Netzplan dokumentieren.</t>
        </is>
      </c>
      <c r="F34" s="14" t="n"/>
      <c r="G34" s="14" t="n"/>
      <c r="H34" s="14" t="inlineStr">
        <is>
          <t>unbearbeitet</t>
        </is>
      </c>
      <c r="I34" s="14" t="n"/>
      <c r="J34" s="14" t="n"/>
      <c r="K34" s="14" t="n"/>
      <c r="L34" s="15" t="n"/>
      <c r="M34" s="11" t="inlineStr">
        <is>
          <t>Vertraulichkeit, Integrität</t>
        </is>
      </c>
      <c r="N34" s="12" t="inlineStr">
        <is>
          <t>IND.1.A4-UA.6; NET.1.1.A13-UA.3; NET.1.1.A2-UA.2; NET.1.1.A2-UA.5; NET.1.1.A25-UA.1</t>
        </is>
      </c>
      <c r="O34" s="11" t="inlineStr">
        <is>
          <t>subset-of; intersects-with; equal-to; subset-of; superset-of</t>
        </is>
      </c>
      <c r="P34" s="12" t="inlineStr">
        <is>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is>
      </c>
      <c r="Q34" s="11" t="inlineStr">
        <is>
          <t>Netze</t>
        </is>
      </c>
      <c r="R34" s="11" t="inlineStr">
        <is>
          <t>Netzplan</t>
        </is>
      </c>
      <c r="S34" s="12" t="inlineStr">
        <is>
          <t>einen Netzplan</t>
        </is>
      </c>
      <c r="T34" s="12" t="inlineStr">
        <is>
          <t>G 0.23 – Unbefugtes Eindringen in IT-Systeme; G 0.30 – Unberechtigte Nutzung oder Administration von Geräten und Systemen; G 0.18 – Fehlplanung oder fehlende Anpassung; G 0.37 – Abstreiten von Handlungen</t>
        </is>
      </c>
      <c r="U34" s="11" t="n">
        <v>2</v>
      </c>
      <c r="V34" s="11" t="n">
        <v>2</v>
      </c>
      <c r="W34" s="11" t="n">
        <v>2</v>
      </c>
      <c r="X34" s="11" t="n">
        <v>1</v>
      </c>
      <c r="Y34" s="11" t="n">
        <v>1</v>
      </c>
    </row>
    <row r="35">
      <c r="A35" s="9" t="inlineStr">
        <is>
          <t>ARCH.2.6</t>
        </is>
      </c>
      <c r="B35" s="10" t="inlineStr">
        <is>
          <t>Topologieüberwachung</t>
        </is>
      </c>
      <c r="C35" s="11" t="n"/>
      <c r="D35" s="11" t="inlineStr">
        <is>
          <t>Standard-Anforderungen</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c r="N35" s="12" t="inlineStr">
        <is>
          <t>NET.1.1.A1-UA.7; NET.1.1.A15-UA.3; NET.1.2.A11-UA.4; NET.2.1.A13-UA.2</t>
        </is>
      </c>
      <c r="O35" s="11" t="inlineStr">
        <is>
          <t>superset-of; equivalent-to; superset-of; subset-of</t>
        </is>
      </c>
      <c r="P35" s="12" t="inlineStr">
        <is>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is>
      </c>
      <c r="Q35" s="11" t="inlineStr">
        <is>
          <t>Netze</t>
        </is>
      </c>
      <c r="R35" s="11" t="inlineStr">
        <is>
          <t>IT-Betriebskonzept</t>
        </is>
      </c>
      <c r="S35" s="12" t="inlineStr">
        <is>
          <t>die Einhaltung der Netzarchitektur</t>
        </is>
      </c>
      <c r="T35" s="12" t="inlineStr">
        <is>
          <t>G 0.19 – Offenlegung schützenswerter Informationen; G 0.30 – Unberechtigte Nutzung oder Administration von Geräten und Systemen; G 0.22 – Manipulation von Informationen; G 0.41 – Sabotage</t>
        </is>
      </c>
      <c r="U35" s="11" t="n">
        <v>4</v>
      </c>
      <c r="V35" s="11" t="n">
        <v>1</v>
      </c>
      <c r="W35" s="11" t="n">
        <v>1</v>
      </c>
      <c r="X35" s="11" t="n">
        <v>1</v>
      </c>
      <c r="Y35" s="11" t="n">
        <v>1</v>
      </c>
    </row>
    <row r="36">
      <c r="A36" s="11" t="inlineStr">
        <is>
          <t>ARCH.2.6</t>
        </is>
      </c>
      <c r="B36" s="12" t="inlineStr">
        <is>
          <t>Topologieüberwachung</t>
        </is>
      </c>
      <c r="C36" s="11" t="inlineStr">
        <is>
          <t>ARCH.2.6</t>
        </is>
      </c>
      <c r="D36" s="11" t="inlineStr">
        <is>
          <t>Standard-Anforderungen</t>
        </is>
      </c>
      <c r="E36" s="12" t="inlineStr">
        <is>
          <t>Architektur für Netze SOLLTE die Einhaltung der Netzarchitektur regelmäßig überprüfen.</t>
        </is>
      </c>
      <c r="F36" s="14" t="n"/>
      <c r="G36" s="14" t="n"/>
      <c r="H36" s="14" t="inlineStr">
        <is>
          <t>unbearbeitet</t>
        </is>
      </c>
      <c r="I36" s="14" t="n"/>
      <c r="J36" s="14" t="n"/>
      <c r="K36" s="14" t="n"/>
      <c r="L36" s="15" t="n"/>
      <c r="M36" s="11" t="inlineStr"/>
      <c r="N36" s="12" t="inlineStr">
        <is>
          <t>NET.1.1.A1-UA.7; NET.1.1.A15-UA.3; NET.1.2.A11-UA.4; NET.2.1.A13-UA.2</t>
        </is>
      </c>
      <c r="O36" s="11" t="inlineStr">
        <is>
          <t>superset-of; equivalent-to; superset-of; subset-of</t>
        </is>
      </c>
      <c r="P36" s="12" t="inlineStr">
        <is>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is>
      </c>
      <c r="Q36" s="11" t="inlineStr">
        <is>
          <t>Netze</t>
        </is>
      </c>
      <c r="R36" s="11" t="inlineStr">
        <is>
          <t>IT-Betriebskonzept</t>
        </is>
      </c>
      <c r="S36" s="12" t="inlineStr">
        <is>
          <t>die Einhaltung der Netzarchitektur</t>
        </is>
      </c>
      <c r="T36" s="12" t="inlineStr">
        <is>
          <t>G 0.19 – Offenlegung schützenswerter Informationen; G 0.30 – Unberechtigte Nutzung oder Administration von Geräten und Systemen; G 0.22 – Manipulation von Informationen; G 0.41 – Sabotage</t>
        </is>
      </c>
      <c r="U36" s="11" t="n">
        <v>4</v>
      </c>
      <c r="V36" s="11" t="n">
        <v>1</v>
      </c>
      <c r="W36" s="11" t="n">
        <v>1</v>
      </c>
      <c r="X36" s="11" t="n">
        <v>1</v>
      </c>
      <c r="Y36" s="11" t="n">
        <v>1</v>
      </c>
    </row>
    <row r="37">
      <c r="A37" s="9" t="inlineStr">
        <is>
          <t>ARCH.3.1</t>
        </is>
      </c>
      <c r="B37" s="10" t="inlineStr">
        <is>
          <t>Netzabdeckung</t>
        </is>
      </c>
      <c r="C37" s="11" t="n"/>
      <c r="D37" s="11" t="inlineStr">
        <is>
          <t>Standard-Anforderungen</t>
        </is>
      </c>
      <c r="E37" s="12" t="inlineStr">
        <is>
          <t>Gesamt:</t>
        </is>
      </c>
      <c r="F37" s="11" t="n"/>
      <c r="G37" s="11" t="n"/>
      <c r="H37" s="13">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
      </c>
      <c r="I37" s="11" t="n"/>
      <c r="J37" s="11" t="n"/>
      <c r="K37" s="11" t="n"/>
      <c r="L37" s="11" t="n"/>
      <c r="M37" s="11" t="inlineStr">
        <is>
          <t>Vertraulichkeit, Integrität</t>
        </is>
      </c>
      <c r="N37" s="12" t="inlineStr">
        <is>
          <t>NET.2.1.A13-UA.3; NET.2.1.A4-UA.2</t>
        </is>
      </c>
      <c r="O37" s="11" t="inlineStr">
        <is>
          <t>subset-of; superset-of</t>
        </is>
      </c>
      <c r="P37" s="12" t="inlineStr">
        <is>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is>
      </c>
      <c r="Q37" s="11" t="inlineStr">
        <is>
          <t>WLANs</t>
        </is>
      </c>
      <c r="R37" s="11" t="inlineStr">
        <is>
          <t>Netzplan</t>
        </is>
      </c>
      <c r="S37" s="12" t="inlineStr">
        <is>
          <t>die Netzabdeckung</t>
        </is>
      </c>
      <c r="T37" s="12" t="inlineStr">
        <is>
          <t>G 0.18 – Fehlplanung oder fehlende Anpassung; G 0.43 – Einspielen von Nachrichten</t>
        </is>
      </c>
      <c r="U37" s="11" t="n">
        <v>2</v>
      </c>
      <c r="V37" s="11" t="n">
        <v>2</v>
      </c>
      <c r="W37" s="11" t="n">
        <v>2</v>
      </c>
      <c r="X37" s="11" t="n">
        <v>1</v>
      </c>
      <c r="Y37" s="11" t="n">
        <v>1</v>
      </c>
    </row>
    <row r="38">
      <c r="A38" s="11" t="inlineStr">
        <is>
          <t>ARCH.3.1</t>
        </is>
      </c>
      <c r="B38" s="12" t="inlineStr">
        <is>
          <t>Netzabdeckung</t>
        </is>
      </c>
      <c r="C38" s="11" t="inlineStr">
        <is>
          <t>ARCH.3.1</t>
        </is>
      </c>
      <c r="D38" s="11" t="inlineStr">
        <is>
          <t>Standard-Anforderungen</t>
        </is>
      </c>
      <c r="E38" s="12" t="inlineStr">
        <is>
          <t>Architektur für WLANs SOLLTE die Netzabdeckung testen.</t>
        </is>
      </c>
      <c r="F38" s="14" t="n"/>
      <c r="G38" s="14" t="n"/>
      <c r="H38" s="14" t="inlineStr">
        <is>
          <t>unbearbeitet</t>
        </is>
      </c>
      <c r="I38" s="14" t="n"/>
      <c r="J38" s="14" t="n"/>
      <c r="K38" s="14" t="n"/>
      <c r="L38" s="15" t="n"/>
      <c r="M38" s="11" t="inlineStr">
        <is>
          <t>Vertraulichkeit, Integrität</t>
        </is>
      </c>
      <c r="N38" s="12" t="inlineStr">
        <is>
          <t>NET.2.1.A13-UA.3; NET.2.1.A4-UA.2</t>
        </is>
      </c>
      <c r="O38" s="11" t="inlineStr">
        <is>
          <t>subset-of; superset-of</t>
        </is>
      </c>
      <c r="P38" s="12" t="inlineStr">
        <is>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is>
      </c>
      <c r="Q38" s="11" t="inlineStr">
        <is>
          <t>WLANs</t>
        </is>
      </c>
      <c r="R38" s="11" t="inlineStr">
        <is>
          <t>Netzplan</t>
        </is>
      </c>
      <c r="S38" s="12" t="inlineStr">
        <is>
          <t>die Netzabdeckung</t>
        </is>
      </c>
      <c r="T38" s="12" t="inlineStr">
        <is>
          <t>G 0.18 – Fehlplanung oder fehlende Anpassung; G 0.43 – Einspielen von Nachrichten</t>
        </is>
      </c>
      <c r="U38" s="11" t="n">
        <v>2</v>
      </c>
      <c r="V38" s="11" t="n">
        <v>2</v>
      </c>
      <c r="W38" s="11" t="n">
        <v>2</v>
      </c>
      <c r="X38" s="11" t="n">
        <v>1</v>
      </c>
      <c r="Y38" s="11" t="n">
        <v>1</v>
      </c>
    </row>
    <row r="39">
      <c r="A39" s="9" t="inlineStr">
        <is>
          <t>ARCH.3.2</t>
        </is>
      </c>
      <c r="B39" s="10" t="inlineStr">
        <is>
          <t>Einschränkung in Sicherheitsbereichen</t>
        </is>
      </c>
      <c r="C39" s="11" t="n"/>
      <c r="D39" s="11" t="inlineStr">
        <is>
          <t>Anforderungen bei erhöhtem Schutzbedarf</t>
        </is>
      </c>
      <c r="E39" s="12" t="inlineStr">
        <is>
          <t>Gesamt:</t>
        </is>
      </c>
      <c r="F39" s="11" t="n"/>
      <c r="G39" s="11" t="n"/>
      <c r="H39" s="13">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
      </c>
      <c r="I39" s="11" t="n"/>
      <c r="J39" s="11" t="n"/>
      <c r="K39" s="11" t="n"/>
      <c r="L39" s="11" t="n"/>
      <c r="M39" s="11" t="inlineStr">
        <is>
          <t>Vertraulichkeit, Verfügbarkeit</t>
        </is>
      </c>
      <c r="N39" s="12" t="inlineStr">
        <is>
          <t>NET.2.1.A1-UA.3; NET.2.1.A4-UA.3</t>
        </is>
      </c>
      <c r="O39" s="11" t="inlineStr">
        <is>
          <t>equivalent-to; equivalent-to</t>
        </is>
      </c>
      <c r="P39" s="12" t="inlineStr">
        <is>
          <t>Hierzu gehören beispielsweise abhörsichere Räume oder Serverräume, von denen aus keine Daten ins Internet gesendet werden sollen. Dies kann z.B. durch die Reduktion der Sendeleistung in benachbarten Räumen oder die Isolierung der Räume erfolgen.</t>
        </is>
      </c>
      <c r="Q39" s="11" t="inlineStr">
        <is>
          <t>WLANs</t>
        </is>
      </c>
      <c r="R39" s="11" t="inlineStr">
        <is>
          <t>Netzplan</t>
        </is>
      </c>
      <c r="S39" s="12" t="inlineStr">
        <is>
          <t>in Sicherheitsbereichen die Ausstrahlung</t>
        </is>
      </c>
      <c r="T39" s="12" t="inlineStr">
        <is>
          <t>G 0.18 – Fehlplanung oder fehlende Anpassung; G 0.16 – Diebstahl von Geräten, Datenträgern oder Dokumenten</t>
        </is>
      </c>
      <c r="U39" s="11" t="n">
        <v>4</v>
      </c>
      <c r="V39" s="11" t="n">
        <v>2</v>
      </c>
      <c r="W39" s="11" t="n">
        <v>1</v>
      </c>
      <c r="X39" s="11" t="n">
        <v>2</v>
      </c>
      <c r="Y39" s="11" t="n">
        <v>0</v>
      </c>
    </row>
    <row r="40">
      <c r="A40" s="11" t="inlineStr">
        <is>
          <t>ARCH.3.2</t>
        </is>
      </c>
      <c r="B40" s="12" t="inlineStr">
        <is>
          <t>Einschränkung in Sicherheitsbereichen</t>
        </is>
      </c>
      <c r="C40" s="11" t="inlineStr">
        <is>
          <t>ARCH.3.2</t>
        </is>
      </c>
      <c r="D40" s="11" t="inlineStr">
        <is>
          <t>Anforderungen bei erhöhtem Schutzbedarf</t>
        </is>
      </c>
      <c r="E40" s="12" t="inlineStr">
        <is>
          <t>Architektur für WLANs KANN in Sicherheitsbereichen die Ausstrahlung einschränken.</t>
        </is>
      </c>
      <c r="F40" s="14" t="n"/>
      <c r="G40" s="14" t="n"/>
      <c r="H40" s="14" t="inlineStr">
        <is>
          <t>unbearbeitet</t>
        </is>
      </c>
      <c r="I40" s="14" t="n"/>
      <c r="J40" s="14" t="n"/>
      <c r="K40" s="14" t="n"/>
      <c r="L40" s="15" t="n"/>
      <c r="M40" s="11" t="inlineStr">
        <is>
          <t>Vertraulichkeit, Verfügbarkeit</t>
        </is>
      </c>
      <c r="N40" s="12" t="inlineStr">
        <is>
          <t>NET.2.1.A1-UA.3; NET.2.1.A4-UA.3</t>
        </is>
      </c>
      <c r="O40" s="11" t="inlineStr">
        <is>
          <t>equivalent-to; equivalent-to</t>
        </is>
      </c>
      <c r="P40" s="12" t="inlineStr">
        <is>
          <t>Hierzu gehören beispielsweise abhörsichere Räume oder Serverräume, von denen aus keine Daten ins Internet gesendet werden sollen. Dies kann z.B. durch die Reduktion der Sendeleistung in benachbarten Räumen oder die Isolierung der Räume erfolgen.</t>
        </is>
      </c>
      <c r="Q40" s="11" t="inlineStr">
        <is>
          <t>WLANs</t>
        </is>
      </c>
      <c r="R40" s="11" t="inlineStr">
        <is>
          <t>Netzplan</t>
        </is>
      </c>
      <c r="S40" s="12" t="inlineStr">
        <is>
          <t>in Sicherheitsbereichen die Ausstrahlung</t>
        </is>
      </c>
      <c r="T40" s="12" t="inlineStr">
        <is>
          <t>G 0.18 – Fehlplanung oder fehlende Anpassung; G 0.16 – Diebstahl von Geräten, Datenträgern oder Dokumenten</t>
        </is>
      </c>
      <c r="U40" s="11" t="n">
        <v>4</v>
      </c>
      <c r="V40" s="11" t="n">
        <v>2</v>
      </c>
      <c r="W40" s="11" t="n">
        <v>1</v>
      </c>
      <c r="X40" s="11" t="n">
        <v>2</v>
      </c>
      <c r="Y40" s="11" t="n">
        <v>0</v>
      </c>
    </row>
    <row r="41">
      <c r="A41" s="9" t="inlineStr">
        <is>
          <t>ARCH.3.3</t>
        </is>
      </c>
      <c r="B41" s="10" t="inlineStr">
        <is>
          <t>SSIDs</t>
        </is>
      </c>
      <c r="C41" s="11" t="n"/>
      <c r="D41" s="11" t="inlineStr">
        <is>
          <t>Standard-Anforderungen</t>
        </is>
      </c>
      <c r="E41" s="12" t="inlineStr">
        <is>
          <t>Gesamt:</t>
        </is>
      </c>
      <c r="F41" s="11" t="n"/>
      <c r="G41" s="11" t="n"/>
      <c r="H41" s="13">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
      </c>
      <c r="I41" s="11" t="n"/>
      <c r="J41" s="11" t="n"/>
      <c r="K41" s="11" t="n"/>
      <c r="L41" s="11" t="n"/>
      <c r="M41" s="11" t="inlineStr">
        <is>
          <t>Vertraulichkeit, Integrität</t>
        </is>
      </c>
      <c r="N41" s="12" t="inlineStr">
        <is>
          <t>NET.2.1.A5-UA.2</t>
        </is>
      </c>
      <c r="O41" s="11" t="inlineStr">
        <is>
          <t>equivalent-to</t>
        </is>
      </c>
      <c r="P41" s="12" t="inlineStr">
        <is>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is>
      </c>
      <c r="Q41" s="11" t="inlineStr">
        <is>
          <t>WLANs</t>
        </is>
      </c>
      <c r="R41" s="11" t="inlineStr">
        <is>
          <t>Netzplan</t>
        </is>
      </c>
      <c r="S41" s="12" t="inlineStr">
        <is>
          <t>institutionsspezifische SSIDs</t>
        </is>
      </c>
      <c r="T41" s="12" t="inlineStr">
        <is>
          <t>G 0.18 – Fehlplanung oder fehlende Anpassung; G 0.23 – Unbefugtes Eindringen in IT-Systeme</t>
        </is>
      </c>
      <c r="U41" s="11" t="n">
        <v>2</v>
      </c>
      <c r="V41" s="11" t="n">
        <v>2</v>
      </c>
      <c r="W41" s="11" t="n">
        <v>2</v>
      </c>
      <c r="X41" s="11" t="n">
        <v>1</v>
      </c>
      <c r="Y41" s="11" t="n">
        <v>0</v>
      </c>
    </row>
    <row r="42">
      <c r="A42" s="11" t="inlineStr">
        <is>
          <t>ARCH.3.3</t>
        </is>
      </c>
      <c r="B42" s="12" t="inlineStr">
        <is>
          <t>SSIDs</t>
        </is>
      </c>
      <c r="C42" s="11" t="inlineStr">
        <is>
          <t>ARCH.3.3</t>
        </is>
      </c>
      <c r="D42" s="11" t="inlineStr">
        <is>
          <t>Standard-Anforderungen</t>
        </is>
      </c>
      <c r="E42" s="12" t="inlineStr">
        <is>
          <t>Architektur für WLANs SOLLTE institutionsspezifische SSIDs aktivieren.</t>
        </is>
      </c>
      <c r="F42" s="14" t="n"/>
      <c r="G42" s="14" t="n"/>
      <c r="H42" s="14" t="inlineStr">
        <is>
          <t>unbearbeitet</t>
        </is>
      </c>
      <c r="I42" s="14" t="n"/>
      <c r="J42" s="14" t="n"/>
      <c r="K42" s="14" t="n"/>
      <c r="L42" s="15" t="n"/>
      <c r="M42" s="11" t="inlineStr">
        <is>
          <t>Vertraulichkeit, Integrität</t>
        </is>
      </c>
      <c r="N42" s="12" t="inlineStr">
        <is>
          <t>NET.2.1.A5-UA.2</t>
        </is>
      </c>
      <c r="O42" s="11" t="inlineStr">
        <is>
          <t>equivalent-to</t>
        </is>
      </c>
      <c r="P42" s="12" t="inlineStr">
        <is>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is>
      </c>
      <c r="Q42" s="11" t="inlineStr">
        <is>
          <t>WLANs</t>
        </is>
      </c>
      <c r="R42" s="11" t="inlineStr">
        <is>
          <t>Netzplan</t>
        </is>
      </c>
      <c r="S42" s="12" t="inlineStr">
        <is>
          <t>institutionsspezifische SSIDs</t>
        </is>
      </c>
      <c r="T42" s="12" t="inlineStr">
        <is>
          <t>G 0.18 – Fehlplanung oder fehlende Anpassung; G 0.23 – Unbefugtes Eindringen in IT-Systeme</t>
        </is>
      </c>
      <c r="U42" s="11" t="n">
        <v>2</v>
      </c>
      <c r="V42" s="11" t="n">
        <v>2</v>
      </c>
      <c r="W42" s="11" t="n">
        <v>2</v>
      </c>
      <c r="X42" s="11" t="n">
        <v>1</v>
      </c>
      <c r="Y42" s="11" t="n">
        <v>0</v>
      </c>
    </row>
    <row r="43">
      <c r="A43" s="9" t="inlineStr">
        <is>
          <t>ARCH.3.4</t>
        </is>
      </c>
      <c r="B43" s="10" t="inlineStr">
        <is>
          <t>Verschlüsselte Netzanbindung</t>
        </is>
      </c>
      <c r="C43" s="11" t="n"/>
      <c r="D43" s="11" t="inlineStr">
        <is>
          <t>Standard-Anforderungen</t>
        </is>
      </c>
      <c r="E43" s="12" t="inlineStr">
        <is>
          <t>Gesamt:</t>
        </is>
      </c>
      <c r="F43" s="11" t="n"/>
      <c r="G43" s="11" t="n"/>
      <c r="H43" s="13">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
      </c>
      <c r="I43" s="11" t="n"/>
      <c r="J43" s="11" t="n"/>
      <c r="K43" s="11" t="n"/>
      <c r="L43" s="11" t="n"/>
      <c r="M43" s="11" t="inlineStr">
        <is>
          <t>Vertraulichkeit</t>
        </is>
      </c>
      <c r="N43" s="12" t="inlineStr">
        <is>
          <t>INF.10.A6-UA.4; NET.1.1.A34-UA.3; NET.2.1.A17-UA.1; NET.2.1.A3-UA.1; NET.2.2.A3-UA.3; SYS.2.1.A18-UA.1</t>
        </is>
      </c>
      <c r="O43" s="11" t="inlineStr">
        <is>
          <t>superset-of; superset-of; subset-of; equivalent-to; superset-of; superset-of</t>
        </is>
      </c>
      <c r="P43" s="12" t="inlineStr">
        <is>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is>
      </c>
      <c r="Q43" s="11" t="inlineStr">
        <is>
          <t>WLANs</t>
        </is>
      </c>
      <c r="R43" s="11" t="inlineStr">
        <is>
          <t>Konfigurationshistorie</t>
        </is>
      </c>
      <c r="S43" s="12" t="inlineStr">
        <is>
          <t>die Netzanbindung</t>
        </is>
      </c>
      <c r="T43" s="12" t="inlineStr">
        <is>
          <t>G 0.23 – Unbefugtes Eindringen in IT-Systeme; G 0.15 – Abhören; G 0.43 – Einspielen von Nachrichten</t>
        </is>
      </c>
      <c r="U43" s="11" t="n">
        <v>2</v>
      </c>
      <c r="V43" s="11" t="n">
        <v>2</v>
      </c>
      <c r="W43" s="11" t="n">
        <v>1</v>
      </c>
      <c r="X43" s="11" t="n">
        <v>1</v>
      </c>
      <c r="Y43" s="11" t="n">
        <v>1</v>
      </c>
    </row>
    <row r="44">
      <c r="A44" s="11" t="inlineStr">
        <is>
          <t>ARCH.3.4</t>
        </is>
      </c>
      <c r="B44" s="12" t="inlineStr">
        <is>
          <t>Verschlüsselte Netzanbindung</t>
        </is>
      </c>
      <c r="C44" s="11" t="inlineStr">
        <is>
          <t>ARCH.3.4</t>
        </is>
      </c>
      <c r="D44" s="11" t="inlineStr">
        <is>
          <t>Standard-Anforderungen</t>
        </is>
      </c>
      <c r="E44" s="12" t="inlineStr">
        <is>
          <t>Architektur für WLANs SOLLTE die Netzanbindung nach einem anerkannten Standard verschlüsseln.</t>
        </is>
      </c>
      <c r="F44" s="14" t="n"/>
      <c r="G44" s="14" t="n"/>
      <c r="H44" s="14" t="inlineStr">
        <is>
          <t>unbearbeitet</t>
        </is>
      </c>
      <c r="I44" s="14" t="n"/>
      <c r="J44" s="14" t="n"/>
      <c r="K44" s="14" t="n"/>
      <c r="L44" s="15" t="n"/>
      <c r="M44" s="11" t="inlineStr">
        <is>
          <t>Vertraulichkeit</t>
        </is>
      </c>
      <c r="N44" s="12" t="inlineStr">
        <is>
          <t>INF.10.A6-UA.4; NET.1.1.A34-UA.3; NET.2.1.A17-UA.1; NET.2.1.A3-UA.1; NET.2.2.A3-UA.3; SYS.2.1.A18-UA.1</t>
        </is>
      </c>
      <c r="O44" s="11" t="inlineStr">
        <is>
          <t>superset-of; superset-of; subset-of; equivalent-to; superset-of; superset-of</t>
        </is>
      </c>
      <c r="P44" s="12" t="inlineStr">
        <is>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is>
      </c>
      <c r="Q44" s="11" t="inlineStr">
        <is>
          <t>WLANs</t>
        </is>
      </c>
      <c r="R44" s="11" t="inlineStr">
        <is>
          <t>Konfigurationshistorie</t>
        </is>
      </c>
      <c r="S44" s="12" t="inlineStr">
        <is>
          <t>die Netzanbindung</t>
        </is>
      </c>
      <c r="T44" s="12" t="inlineStr">
        <is>
          <t>G 0.23 – Unbefugtes Eindringen in IT-Systeme; G 0.15 – Abhören; G 0.43 – Einspielen von Nachrichten</t>
        </is>
      </c>
      <c r="U44" s="11" t="n">
        <v>2</v>
      </c>
      <c r="V44" s="11" t="n">
        <v>2</v>
      </c>
      <c r="W44" s="11" t="n">
        <v>1</v>
      </c>
      <c r="X44" s="11" t="n">
        <v>1</v>
      </c>
      <c r="Y44" s="11" t="n">
        <v>1</v>
      </c>
    </row>
    <row r="45">
      <c r="A45" s="9" t="inlineStr">
        <is>
          <t>ARCH.4.1</t>
        </is>
      </c>
      <c r="B45" s="10" t="inlineStr">
        <is>
          <t>Netzzugangskontrolle</t>
        </is>
      </c>
      <c r="C45" s="11" t="n"/>
      <c r="D45" s="11" t="inlineStr">
        <is>
          <t>Standard-Anforderungen</t>
        </is>
      </c>
      <c r="E45" s="12" t="inlineStr">
        <is>
          <t>Gesamt:</t>
        </is>
      </c>
      <c r="F45" s="11" t="n"/>
      <c r="G45" s="11" t="n"/>
      <c r="H45" s="13">
        <f>IF(OR(COUNTBLANK($H$46:$H$48)&gt;0,COUNTIF($H$46:$H$48,"unbearbeitet")=COUNTA($H$46:$H$48)),"Bitte Teilanforderungen ausfüllen",IF(COUNTIF($H$46:$H$48,"zu klären")&gt;0,"zu klären",IF(COUNTIF($H$46:$H$48,"entbehrlich")=COUNTA($H$46:$H$48),"entbehrlich",IF(COUNTIF($H$46:$H$48,"verwiesen")=COUNTA($H$46:$H$48),"verwiesen",IF(COUNTIF($H$46:$H$48,"nein")+COUNTIF($H$46:$H$48,"entbehrlich")=COUNTA($H$46:$H$48),"nein",IF(COUNTIF($H$46:$H$48,"ja")+COUNTIF($H$46:$H$48,"entbehrlich")+COUNTIF($H$46:$H$48,"verwiesen")=COUNTA($H$46:$H$48),"ja","teilweise"))))))</f>
        <v/>
      </c>
      <c r="I45" s="11" t="n"/>
      <c r="J45" s="11" t="n"/>
      <c r="K45" s="11" t="n"/>
      <c r="L45" s="11" t="n"/>
      <c r="M45" s="11" t="inlineStr">
        <is>
          <t>Vertraulichkeit, Integrität</t>
        </is>
      </c>
      <c r="N45" s="12" t="inlineStr">
        <is>
          <t>INF.10.A6-UA.2; INF.14.A11-UA.4; NET.3.4.A14-UA.2; NET.3.4.A23-UA.4; NET.3.4.A7-UA.2; NET.3.4.A9-UA.2</t>
        </is>
      </c>
      <c r="O45" s="11" t="inlineStr">
        <is>
          <t>equivalent-to; subset-of; intersects-with; intersects-with; equal-to; superset-of</t>
        </is>
      </c>
      <c r="P45" s="12" t="inlineStr">
        <is>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45" s="11" t="inlineStr">
        <is>
          <t>Interne Netzsegmente</t>
        </is>
      </c>
      <c r="R45" s="11" t="inlineStr">
        <is>
          <t>Konfigurationshistorie</t>
        </is>
      </c>
      <c r="S45" s="12" t="inlineStr">
        <is>
          <t>den Zugriff von IT-Systemen auf das Netzsegment</t>
        </is>
      </c>
      <c r="T45" s="12" t="inlineStr">
        <is>
          <t>G 0.18 – Fehlplanung oder fehlende Anpassung; G 0.23 – Unbefugtes Eindringen in IT-Systeme</t>
        </is>
      </c>
      <c r="U45" s="11" t="n">
        <v>3</v>
      </c>
      <c r="V45" s="11" t="n">
        <v>2</v>
      </c>
      <c r="W45" s="11" t="n">
        <v>2</v>
      </c>
      <c r="X45" s="11" t="n">
        <v>1</v>
      </c>
      <c r="Y45" s="11" t="n">
        <v>0</v>
      </c>
    </row>
    <row r="46">
      <c r="A46" s="11" t="inlineStr">
        <is>
          <t>ARCH.4.1</t>
        </is>
      </c>
      <c r="B46" s="12" t="inlineStr">
        <is>
          <t>Netzzugangskontrolle</t>
        </is>
      </c>
      <c r="C46" s="11" t="inlineStr">
        <is>
          <t>ARCH.4.1</t>
        </is>
      </c>
      <c r="D46" s="11" t="inlineStr">
        <is>
          <t>Standard-Anforderungen</t>
        </is>
      </c>
      <c r="E46" s="12" t="inlineStr">
        <is>
          <t>Architektur für Interne Netzsegmente SOLLTE den Zugriff von IT-Systemen auf das Netzsegment im Einklang mit den zugehörigen Anforderungen des Identitäts- und Berechtigungsmanagements authentifizieren.</t>
        </is>
      </c>
      <c r="F46" s="14" t="n"/>
      <c r="G46" s="14" t="n"/>
      <c r="H46" s="14" t="inlineStr">
        <is>
          <t>unbearbeitet</t>
        </is>
      </c>
      <c r="I46" s="14" t="n"/>
      <c r="J46" s="14" t="n"/>
      <c r="K46" s="14" t="n"/>
      <c r="L46" s="15" t="n"/>
      <c r="M46" s="11" t="inlineStr">
        <is>
          <t>Vertraulichkeit, Integrität</t>
        </is>
      </c>
      <c r="N46" s="12" t="inlineStr">
        <is>
          <t>INF.10.A6-UA.2; INF.14.A11-UA.4; NET.3.4.A14-UA.2; NET.3.4.A23-UA.4; NET.3.4.A7-UA.2; NET.3.4.A9-UA.2</t>
        </is>
      </c>
      <c r="O46" s="11" t="inlineStr">
        <is>
          <t>equivalent-to; subset-of; intersects-with; intersects-with; equal-to; superset-of</t>
        </is>
      </c>
      <c r="P46" s="12" t="inlineStr">
        <is>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46" s="11" t="inlineStr">
        <is>
          <t>Interne Netzsegmente</t>
        </is>
      </c>
      <c r="R46" s="11" t="inlineStr">
        <is>
          <t>Konfigurationshistorie</t>
        </is>
      </c>
      <c r="S46" s="12" t="inlineStr">
        <is>
          <t>den Zugriff von IT-Systemen auf das Netzsegment</t>
        </is>
      </c>
      <c r="T46" s="12" t="inlineStr">
        <is>
          <t>G 0.18 – Fehlplanung oder fehlende Anpassung; G 0.23 – Unbefugtes Eindringen in IT-Systeme</t>
        </is>
      </c>
      <c r="U46" s="11" t="n">
        <v>3</v>
      </c>
      <c r="V46" s="11" t="n">
        <v>2</v>
      </c>
      <c r="W46" s="11" t="n">
        <v>2</v>
      </c>
      <c r="X46" s="11" t="n">
        <v>1</v>
      </c>
      <c r="Y46" s="11" t="n">
        <v>0</v>
      </c>
    </row>
    <row r="47">
      <c r="A47" s="11" t="inlineStr">
        <is>
          <t>ARCH.4.1</t>
        </is>
      </c>
      <c r="B47" s="12" t="inlineStr">
        <is>
          <t>Netzzugangskontrolle</t>
        </is>
      </c>
      <c r="C47" s="11" t="inlineStr">
        <is>
          <t>ARCH.4.1.1</t>
        </is>
      </c>
      <c r="D47" s="11" t="inlineStr">
        <is>
          <t>Standard-Anforderungen</t>
        </is>
      </c>
      <c r="E47" s="12" t="inlineStr">
        <is>
          <t>Architektur für Interne Netzsegmente SOLLTE den Zugriff von IT-Systemen auf das Netzsegment anhand dynamischer Kriterien im Einklang mit den zugehörigen Anforderungen des Identitäts- und Berechtigungsmanagements authentifizieren.</t>
        </is>
      </c>
      <c r="F47" s="14" t="n"/>
      <c r="G47" s="14" t="n"/>
      <c r="H47" s="14" t="inlineStr">
        <is>
          <t>unbearbeitet</t>
        </is>
      </c>
      <c r="I47" s="14" t="n"/>
      <c r="J47" s="14" t="n"/>
      <c r="K47" s="14" t="n"/>
      <c r="L47" s="15" t="n"/>
      <c r="M47" s="11" t="inlineStr"/>
      <c r="N47" s="12" t="inlineStr">
        <is>
          <t>NET.3.1.A21-UA.1; NET.3.4.A19-UA.1; NET.3.4.A9-UA.3; NET.3.4.A9-UA.4</t>
        </is>
      </c>
      <c r="O47" s="11" t="inlineStr">
        <is>
          <t>subset-of; subset-of; subset-of; subset-of</t>
        </is>
      </c>
      <c r="P47" s="12" t="inlineStr">
        <is>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47" s="11" t="inlineStr">
        <is>
          <t>Interne Netzsegmente</t>
        </is>
      </c>
      <c r="R47" s="11" t="inlineStr">
        <is>
          <t>Konfigurationshistorie</t>
        </is>
      </c>
      <c r="S47" s="12" t="inlineStr">
        <is>
          <t>den Zugriff von IT-Systemen auf das Netzsegment</t>
        </is>
      </c>
      <c r="T47" s="12" t="inlineStr">
        <is>
          <t>G 0.18 – Fehlplanung oder fehlende Anpassung; G 0.36 – Identitätsdiebstahl</t>
        </is>
      </c>
      <c r="U47" s="11" t="n">
        <v>4</v>
      </c>
      <c r="V47" s="11" t="n">
        <v>1</v>
      </c>
      <c r="W47" s="11" t="n">
        <v>1</v>
      </c>
      <c r="X47" s="11" t="n">
        <v>1</v>
      </c>
      <c r="Y47" s="11" t="n">
        <v>0</v>
      </c>
    </row>
    <row r="48">
      <c r="A48" s="11" t="inlineStr">
        <is>
          <t>ARCH.4.1</t>
        </is>
      </c>
      <c r="B48" s="12" t="inlineStr">
        <is>
          <t>Netzzugangskontrolle</t>
        </is>
      </c>
      <c r="C48" s="11" t="inlineStr">
        <is>
          <t>ARCH.4.1.2</t>
        </is>
      </c>
      <c r="D48" s="11" t="inlineStr">
        <is>
          <t>Anforderungen bei erhöhtem Schutzbedarf</t>
        </is>
      </c>
      <c r="E48" s="12" t="inlineStr">
        <is>
          <t>Architektur für Interne Netzsegmente KANN ein Quarantänenetz für nicht authentifizierte IT-Systeme installieren.</t>
        </is>
      </c>
      <c r="F48" s="14" t="n"/>
      <c r="G48" s="14" t="n"/>
      <c r="H48" s="14" t="inlineStr">
        <is>
          <t>unbearbeitet</t>
        </is>
      </c>
      <c r="I48" s="14" t="n"/>
      <c r="J48" s="14" t="n"/>
      <c r="K48" s="14" t="n"/>
      <c r="L48" s="15" t="n"/>
      <c r="M48" s="11" t="inlineStr"/>
      <c r="N48" s="12" t="inlineStr">
        <is>
          <t>NET.1.1.A4-UA.4</t>
        </is>
      </c>
      <c r="O48" s="11" t="inlineStr">
        <is>
          <t>superset-of</t>
        </is>
      </c>
      <c r="P48" s="12" t="inlineStr">
        <is>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is>
      </c>
      <c r="Q48" s="11" t="inlineStr">
        <is>
          <t>Interne Netzsegmente</t>
        </is>
      </c>
      <c r="R48" s="11" t="inlineStr">
        <is>
          <t>Konfigurationshistorie</t>
        </is>
      </c>
      <c r="S48" s="12" t="inlineStr">
        <is>
          <t>ein Quarantänenetz</t>
        </is>
      </c>
      <c r="T48" s="12" t="inlineStr">
        <is>
          <t>G 0.18 – Fehlplanung oder fehlende Anpassung</t>
        </is>
      </c>
      <c r="U48" s="11" t="n">
        <v>5</v>
      </c>
      <c r="V48" s="11" t="n">
        <v>1</v>
      </c>
      <c r="W48" s="11" t="n">
        <v>1</v>
      </c>
      <c r="X48" s="11" t="n">
        <v>1</v>
      </c>
      <c r="Y48" s="11" t="n">
        <v>0</v>
      </c>
    </row>
    <row r="49">
      <c r="A49" s="9" t="inlineStr">
        <is>
          <t>ARCH.4.2</t>
        </is>
      </c>
      <c r="B49" s="10" t="inlineStr">
        <is>
          <t>Autorisiertes Routing</t>
        </is>
      </c>
      <c r="C49" s="11" t="n"/>
      <c r="D49" s="11" t="inlineStr">
        <is>
          <t>Standard-Anforderungen</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is>
          <t>Integrität</t>
        </is>
      </c>
      <c r="N49" s="12" t="inlineStr">
        <is>
          <t>APP.5.4.A13-UA.1; NET.3.1.A1-UA.2; NET.3.1.A10-UA.2</t>
        </is>
      </c>
      <c r="O49" s="11" t="inlineStr">
        <is>
          <t>subset-of; intersects-with; intersects-with</t>
        </is>
      </c>
      <c r="P49" s="12" t="inlineStr">
        <is>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is>
      </c>
      <c r="Q49" s="11" t="inlineStr">
        <is>
          <t>Netze</t>
        </is>
      </c>
      <c r="R49" s="11" t="inlineStr">
        <is>
          <t>Konfigurationshistorie</t>
        </is>
      </c>
      <c r="S49" s="12" t="inlineStr">
        <is>
          <t>Routing-Verbindungen</t>
        </is>
      </c>
      <c r="T49" s="12" t="inlineStr">
        <is>
          <t>G 0.18 – Fehlplanung oder fehlende Anpassung; G 0.22 – Manipulation von Informationen</t>
        </is>
      </c>
      <c r="U49" s="11" t="n">
        <v>3</v>
      </c>
      <c r="V49" s="11" t="n">
        <v>1</v>
      </c>
      <c r="W49" s="11" t="n">
        <v>2</v>
      </c>
      <c r="X49" s="11" t="n">
        <v>1</v>
      </c>
      <c r="Y49" s="11" t="n">
        <v>1</v>
      </c>
    </row>
    <row r="50">
      <c r="A50" s="11" t="inlineStr">
        <is>
          <t>ARCH.4.2</t>
        </is>
      </c>
      <c r="B50" s="12" t="inlineStr">
        <is>
          <t>Autorisiertes Routing</t>
        </is>
      </c>
      <c r="C50" s="11" t="inlineStr">
        <is>
          <t>ARCH.4.2</t>
        </is>
      </c>
      <c r="D50" s="11" t="inlineStr">
        <is>
          <t>Standard-Anforderungen</t>
        </is>
      </c>
      <c r="E50" s="12" t="inlineStr">
        <is>
          <t>Architektur für Netze SOLLTE Routing-Verbindungen durch eine zuständige Person oder Rolle autorisieren.</t>
        </is>
      </c>
      <c r="F50" s="14" t="n"/>
      <c r="G50" s="14" t="n"/>
      <c r="H50" s="14" t="inlineStr">
        <is>
          <t>unbearbeitet</t>
        </is>
      </c>
      <c r="I50" s="14" t="n"/>
      <c r="J50" s="14" t="n"/>
      <c r="K50" s="14" t="n"/>
      <c r="L50" s="15" t="n"/>
      <c r="M50" s="11" t="inlineStr">
        <is>
          <t>Integrität</t>
        </is>
      </c>
      <c r="N50" s="12" t="inlineStr">
        <is>
          <t>APP.5.4.A13-UA.1; NET.3.1.A1-UA.2; NET.3.1.A10-UA.2</t>
        </is>
      </c>
      <c r="O50" s="11" t="inlineStr">
        <is>
          <t>subset-of; intersects-with; intersects-with</t>
        </is>
      </c>
      <c r="P50" s="12" t="inlineStr">
        <is>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is>
      </c>
      <c r="Q50" s="11" t="inlineStr">
        <is>
          <t>Netze</t>
        </is>
      </c>
      <c r="R50" s="11" t="inlineStr">
        <is>
          <t>Konfigurationshistorie</t>
        </is>
      </c>
      <c r="S50" s="12" t="inlineStr">
        <is>
          <t>Routing-Verbindungen</t>
        </is>
      </c>
      <c r="T50" s="12" t="inlineStr">
        <is>
          <t>G 0.18 – Fehlplanung oder fehlende Anpassung; G 0.22 – Manipulation von Informationen</t>
        </is>
      </c>
      <c r="U50" s="11" t="n">
        <v>3</v>
      </c>
      <c r="V50" s="11" t="n">
        <v>1</v>
      </c>
      <c r="W50" s="11" t="n">
        <v>2</v>
      </c>
      <c r="X50" s="11" t="n">
        <v>1</v>
      </c>
      <c r="Y50" s="11" t="n">
        <v>1</v>
      </c>
    </row>
    <row r="51">
      <c r="A51" s="9" t="inlineStr">
        <is>
          <t>ARCH.4.3</t>
        </is>
      </c>
      <c r="B51" s="10" t="inlineStr">
        <is>
          <t>Authentifizierung von Routingprotokollen</t>
        </is>
      </c>
      <c r="C51" s="11" t="n"/>
      <c r="D51" s="11" t="inlineStr">
        <is>
          <t>Standard-Anforderungen</t>
        </is>
      </c>
      <c r="E51" s="12" t="inlineStr">
        <is>
          <t>Gesamt:</t>
        </is>
      </c>
      <c r="F51" s="11" t="n"/>
      <c r="G51" s="11" t="n"/>
      <c r="H51" s="13">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
      </c>
      <c r="I51" s="11" t="n"/>
      <c r="J51" s="11" t="n"/>
      <c r="K51" s="11" t="n"/>
      <c r="L51" s="11" t="n"/>
      <c r="M51" s="11" t="inlineStr">
        <is>
          <t>Vertraulichkeit, Integrität</t>
        </is>
      </c>
      <c r="N51" s="12" t="inlineStr">
        <is>
          <t>NET.3.1.A20-UA.1</t>
        </is>
      </c>
      <c r="O51" s="11" t="inlineStr">
        <is>
          <t>equal-to</t>
        </is>
      </c>
      <c r="P51" s="12" t="inlineStr">
        <is>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51" s="11" t="inlineStr">
        <is>
          <t>Netze</t>
        </is>
      </c>
      <c r="R51" s="11" t="inlineStr">
        <is>
          <t>Konfigurationshistorie</t>
        </is>
      </c>
      <c r="S51" s="12" t="inlineStr">
        <is>
          <t>Änderungen an Routing-Tabellen</t>
        </is>
      </c>
      <c r="T51" s="12" t="inlineStr">
        <is>
          <t>G 0.18 – Fehlplanung oder fehlende Anpassung; G 0.23 – Unbefugtes Eindringen in IT-Systeme</t>
        </is>
      </c>
      <c r="U51" s="11" t="n">
        <v>3</v>
      </c>
      <c r="V51" s="11" t="n">
        <v>2</v>
      </c>
      <c r="W51" s="11" t="n">
        <v>2</v>
      </c>
      <c r="X51" s="11" t="n">
        <v>1</v>
      </c>
      <c r="Y51" s="11" t="n">
        <v>0</v>
      </c>
    </row>
    <row r="52">
      <c r="A52" s="11" t="inlineStr">
        <is>
          <t>ARCH.4.3</t>
        </is>
      </c>
      <c r="B52" s="12" t="inlineStr">
        <is>
          <t>Authentifizierung von Routingprotokollen</t>
        </is>
      </c>
      <c r="C52" s="11" t="inlineStr">
        <is>
          <t>ARCH.4.3</t>
        </is>
      </c>
      <c r="D52" s="11" t="inlineStr">
        <is>
          <t>Standard-Anforderungen</t>
        </is>
      </c>
      <c r="E52" s="12" t="inlineStr">
        <is>
          <t>Architektur für Netze SOLLTE Änderungen an Routing-Tabellen im Einklang mit den zugehörigen Anforderungen des Identitäts- und Berechtigungsmanagements authentifizieren.</t>
        </is>
      </c>
      <c r="F52" s="14" t="n"/>
      <c r="G52" s="14" t="n"/>
      <c r="H52" s="14" t="inlineStr">
        <is>
          <t>unbearbeitet</t>
        </is>
      </c>
      <c r="I52" s="14" t="n"/>
      <c r="J52" s="14" t="n"/>
      <c r="K52" s="14" t="n"/>
      <c r="L52" s="15" t="n"/>
      <c r="M52" s="11" t="inlineStr">
        <is>
          <t>Vertraulichkeit, Integrität</t>
        </is>
      </c>
      <c r="N52" s="12" t="inlineStr">
        <is>
          <t>NET.3.1.A20-UA.1</t>
        </is>
      </c>
      <c r="O52" s="11" t="inlineStr">
        <is>
          <t>equal-to</t>
        </is>
      </c>
      <c r="P52" s="12" t="inlineStr">
        <is>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52" s="11" t="inlineStr">
        <is>
          <t>Netze</t>
        </is>
      </c>
      <c r="R52" s="11" t="inlineStr">
        <is>
          <t>Konfigurationshistorie</t>
        </is>
      </c>
      <c r="S52" s="12" t="inlineStr">
        <is>
          <t>Änderungen an Routing-Tabellen</t>
        </is>
      </c>
      <c r="T52" s="12" t="inlineStr">
        <is>
          <t>G 0.18 – Fehlplanung oder fehlende Anpassung; G 0.23 – Unbefugtes Eindringen in IT-Systeme</t>
        </is>
      </c>
      <c r="U52" s="11" t="n">
        <v>3</v>
      </c>
      <c r="V52" s="11" t="n">
        <v>2</v>
      </c>
      <c r="W52" s="11" t="n">
        <v>2</v>
      </c>
      <c r="X52" s="11" t="n">
        <v>1</v>
      </c>
      <c r="Y52" s="11" t="n">
        <v>0</v>
      </c>
    </row>
    <row r="53">
      <c r="A53" s="9" t="inlineStr">
        <is>
          <t>ARCH.5.1</t>
        </is>
      </c>
      <c r="B53" s="10" t="inlineStr">
        <is>
          <t>Einschränkung und Inspektion von Verbindungen</t>
        </is>
      </c>
      <c r="C53" s="11" t="n"/>
      <c r="D53" s="11" t="inlineStr">
        <is>
          <t>Standard-Anforderungen</t>
        </is>
      </c>
      <c r="E53" s="12" t="inlineStr">
        <is>
          <t>Gesamt:</t>
        </is>
      </c>
      <c r="F53" s="11" t="n"/>
      <c r="G53" s="11" t="n"/>
      <c r="H53" s="13">
        <f>IF(OR(COUNTBLANK($H$54:$H$70)&gt;0,COUNTIF($H$54:$H$70,"unbearbeitet")=COUNTA($H$54:$H$70)),"Bitte Teilanforderungen ausfüllen",IF(COUNTIF($H$54:$H$70,"zu klären")&gt;0,"zu klären",IF(COUNTIF($H$54:$H$70,"entbehrlich")=COUNTA($H$54:$H$70),"entbehrlich",IF(COUNTIF($H$54:$H$70,"verwiesen")=COUNTA($H$54:$H$70),"verwiesen",IF(COUNTIF($H$54:$H$70,"nein")+COUNTIF($H$54:$H$70,"entbehrlich")=COUNTA($H$54:$H$70),"nein",IF(COUNTIF($H$54:$H$70,"ja")+COUNTIF($H$54:$H$70,"entbehrlich")+COUNTIF($H$54:$H$70,"verwiesen")=COUNTA($H$54:$H$70),"ja","teilweise"))))))</f>
        <v/>
      </c>
      <c r="I53" s="11" t="n"/>
      <c r="J53" s="11" t="n"/>
      <c r="K53" s="11" t="n"/>
      <c r="L53" s="11" t="n"/>
      <c r="M53" s="11" t="inlineStr">
        <is>
          <t>Vertraulichkeit</t>
        </is>
      </c>
      <c r="N53" s="12" t="inlineStr">
        <is>
          <t>IND.1.A8-UA.2; IND.2.4.A1-UA.5; INF.10.A6-UA.1; INF.10.A6-UA.6; INF.14.A11-UA.1; NET.1.1.A19-UA.2; NET.3.2.A2-UA.2; NET.3.2.A2-UA.3; NET.3.4.A9-UA.2; OPS.1.1.7.A17-UA.1; SYS.1.5.A4-UA.2</t>
        </is>
      </c>
      <c r="O53" s="11" t="inlineStr">
        <is>
          <t>subset-of; subset-of; subset-of; subset-of; subset-of; subset-of; subset-of; subset-of; subset-of; subset-of; subset-of</t>
        </is>
      </c>
      <c r="P53" s="12" t="inlineStr">
        <is>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is>
      </c>
      <c r="Q53" s="11" t="inlineStr">
        <is>
          <t>Netze</t>
        </is>
      </c>
      <c r="R53" s="11" t="inlineStr">
        <is>
          <t>Firewallregeln</t>
        </is>
      </c>
      <c r="S53" s="12" t="inlineStr">
        <is>
          <t>Verbindungen zwischen IT-Systemen</t>
        </is>
      </c>
      <c r="T53" s="12" t="inlineStr">
        <is>
          <t>G 0.23 – Unbefugtes Eindringen in IT-Systeme; G 0.14 – Ausspähen von Informationen (Spionage); G 0.30 – Unberechtigte Nutzung oder Administration von Geräten und Systemen</t>
        </is>
      </c>
      <c r="U53" s="11" t="n">
        <v>2</v>
      </c>
      <c r="V53" s="11" t="n">
        <v>2</v>
      </c>
      <c r="W53" s="11" t="n">
        <v>1</v>
      </c>
      <c r="X53" s="11" t="n">
        <v>1</v>
      </c>
      <c r="Y53" s="11" t="n">
        <v>1</v>
      </c>
    </row>
    <row r="54">
      <c r="A54" s="11" t="inlineStr">
        <is>
          <t>ARCH.5.1</t>
        </is>
      </c>
      <c r="B54" s="12" t="inlineStr">
        <is>
          <t>Einschränkung und Inspektion von Verbindungen</t>
        </is>
      </c>
      <c r="C54" s="11" t="inlineStr">
        <is>
          <t>ARCH.5.1</t>
        </is>
      </c>
      <c r="D54" s="11" t="inlineStr">
        <is>
          <t>Standard-Anforderungen</t>
        </is>
      </c>
      <c r="E54" s="12" t="inlineStr">
        <is>
          <t>Architektur für Netze SOLLTE Verbindungen zwischen IT-Systemen einschränken.</t>
        </is>
      </c>
      <c r="F54" s="14" t="n"/>
      <c r="G54" s="14" t="n"/>
      <c r="H54" s="14" t="inlineStr">
        <is>
          <t>unbearbeitet</t>
        </is>
      </c>
      <c r="I54" s="14" t="n"/>
      <c r="J54" s="14" t="n"/>
      <c r="K54" s="14" t="n"/>
      <c r="L54" s="15" t="n"/>
      <c r="M54" s="11" t="inlineStr">
        <is>
          <t>Vertraulichkeit</t>
        </is>
      </c>
      <c r="N54" s="12" t="inlineStr">
        <is>
          <t>IND.1.A8-UA.2; IND.2.4.A1-UA.5; INF.10.A6-UA.1; INF.10.A6-UA.6; INF.14.A11-UA.1; NET.1.1.A19-UA.2; NET.3.2.A2-UA.2; NET.3.2.A2-UA.3; NET.3.4.A9-UA.2; OPS.1.1.7.A17-UA.1; SYS.1.5.A4-UA.2</t>
        </is>
      </c>
      <c r="O54" s="11" t="inlineStr">
        <is>
          <t>subset-of; subset-of; subset-of; subset-of; subset-of; subset-of; subset-of; subset-of; subset-of; subset-of; subset-of</t>
        </is>
      </c>
      <c r="P54" s="12" t="inlineStr">
        <is>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is>
      </c>
      <c r="Q54" s="11" t="inlineStr">
        <is>
          <t>Netze</t>
        </is>
      </c>
      <c r="R54" s="11" t="inlineStr">
        <is>
          <t>Firewallregeln</t>
        </is>
      </c>
      <c r="S54" s="12" t="inlineStr">
        <is>
          <t>Verbindungen zwischen IT-Systemen</t>
        </is>
      </c>
      <c r="T54" s="12" t="inlineStr">
        <is>
          <t>G 0.23 – Unbefugtes Eindringen in IT-Systeme; G 0.14 – Ausspähen von Informationen (Spionage); G 0.30 – Unberechtigte Nutzung oder Administration von Geräten und Systemen</t>
        </is>
      </c>
      <c r="U54" s="11" t="n">
        <v>2</v>
      </c>
      <c r="V54" s="11" t="n">
        <v>2</v>
      </c>
      <c r="W54" s="11" t="n">
        <v>1</v>
      </c>
      <c r="X54" s="11" t="n">
        <v>1</v>
      </c>
      <c r="Y54" s="11" t="n">
        <v>1</v>
      </c>
    </row>
    <row r="55">
      <c r="A55" s="11" t="inlineStr">
        <is>
          <t>ARCH.5.1</t>
        </is>
      </c>
      <c r="B55" s="12" t="inlineStr">
        <is>
          <t>Einschränkung und Inspektion von Verbindungen</t>
        </is>
      </c>
      <c r="C55" s="11" t="inlineStr">
        <is>
          <t>ARCH.5.1.1</t>
        </is>
      </c>
      <c r="D55" s="11" t="inlineStr">
        <is>
          <t>Standard-Anforderungen</t>
        </is>
      </c>
      <c r="E55" s="12" t="inlineStr">
        <is>
          <t>Architektur für Netze SOLLTE anfällige Netzwerkprotokolle blockieren.</t>
        </is>
      </c>
      <c r="F55" s="14" t="n"/>
      <c r="G55" s="14" t="n"/>
      <c r="H55" s="14" t="inlineStr">
        <is>
          <t>unbearbeitet</t>
        </is>
      </c>
      <c r="I55" s="14" t="n"/>
      <c r="J55" s="14" t="n"/>
      <c r="K55" s="14" t="n"/>
      <c r="L55" s="15" t="n"/>
      <c r="M55" s="11" t="inlineStr">
        <is>
          <t>Vertraulichkeit, Integrität</t>
        </is>
      </c>
      <c r="N55" s="12" t="inlineStr">
        <is>
          <t>NET.3.4.A24-UA.1; OPS.1.2.5.A8-UA.1; SYS.1.9.A17-UA.2; SYS.2.2.3.A9-UA.2</t>
        </is>
      </c>
      <c r="O55" s="11" t="inlineStr">
        <is>
          <t>equivalent-to; equal-to; equivalent-to; equivalent-to</t>
        </is>
      </c>
      <c r="P55" s="12" t="inlineStr">
        <is>
          <t>Anfällig sind Netzprotokolle, wenn sie veraltete oder gar keine Algorithmen zur Verschlüsselung oder Integritätsprüfung verwenden. Hierzu gehören Protokolle wie Telnet, SMB v1, SNMP v1/v2c. Für aktuelle Verschlüsselungsalgorithmen siehe BSI TR 02102.</t>
        </is>
      </c>
      <c r="Q55" s="11" t="inlineStr">
        <is>
          <t>Netze</t>
        </is>
      </c>
      <c r="R55" s="11" t="inlineStr">
        <is>
          <t>Firewallregeln</t>
        </is>
      </c>
      <c r="S55" s="12" t="inlineStr">
        <is>
          <t>anfällige Netzwerkprotokolle</t>
        </is>
      </c>
      <c r="T55" s="12" t="inlineStr">
        <is>
          <t>G 0.23 – Unbefugtes Eindringen in IT-Systeme</t>
        </is>
      </c>
      <c r="U55" s="11" t="n">
        <v>3</v>
      </c>
      <c r="V55" s="11" t="n">
        <v>2</v>
      </c>
      <c r="W55" s="11" t="n">
        <v>2</v>
      </c>
      <c r="X55" s="11" t="n">
        <v>1</v>
      </c>
      <c r="Y55" s="11" t="n">
        <v>0</v>
      </c>
    </row>
    <row r="56">
      <c r="A56" s="11" t="inlineStr">
        <is>
          <t>ARCH.5.1</t>
        </is>
      </c>
      <c r="B56" s="12" t="inlineStr">
        <is>
          <t>Einschränkung und Inspektion von Verbindungen</t>
        </is>
      </c>
      <c r="C56" s="11" t="inlineStr">
        <is>
          <t>ARCH.5.1.2</t>
        </is>
      </c>
      <c r="D56" s="11" t="inlineStr">
        <is>
          <t>Standard-Anforderungen</t>
        </is>
      </c>
      <c r="E56" s="12" t="inlineStr">
        <is>
          <t>Architektur für Netze SOLLTE bekannte netzbasierte Angriffsmethoden blockieren.</t>
        </is>
      </c>
      <c r="F56" s="14" t="n"/>
      <c r="G56" s="14" t="n"/>
      <c r="H56" s="14" t="inlineStr">
        <is>
          <t>unbearbeitet</t>
        </is>
      </c>
      <c r="I56" s="14" t="n"/>
      <c r="J56" s="14" t="n"/>
      <c r="K56" s="14" t="n"/>
      <c r="L56" s="15" t="n"/>
      <c r="M56" s="11" t="inlineStr"/>
      <c r="N56" s="12" t="inlineStr">
        <is>
          <t>NET.1.1.A8-UA.2; NET.3.1.A15-UA.1; NET.3.1.A16-UA.1; NET.3.1.A19-UA.1; NET.3.1.A5-UA.1; NET.3.2.A10-UA.1; NET.3.2.A19-UA.1</t>
        </is>
      </c>
      <c r="O56" s="11" t="inlineStr">
        <is>
          <t>subset-of; subset-of; subset-of; subset-of; subset-of; subset-of; subset-of</t>
        </is>
      </c>
      <c r="P56" s="12" t="inlineStr">
        <is>
          <t>Netzbasierte Angriffe verwenden Netzwerktechnologien (typischerweise auf OSI Layer 2-3), z.B. Fragmentierungsangriffe. Beispiele für mögliche Maßnahmen sind DHCP snooping, ARP/Dynamic ARP Inspection, IP-source guard, BPDU guard, root guard, port-security (sticky MAC).</t>
        </is>
      </c>
      <c r="Q56" s="11" t="inlineStr">
        <is>
          <t>Netze</t>
        </is>
      </c>
      <c r="R56" s="11" t="inlineStr">
        <is>
          <t>Firewallregeln</t>
        </is>
      </c>
      <c r="S56" s="12" t="inlineStr">
        <is>
          <t>bekannte netzbasierte Angriffsmethoden</t>
        </is>
      </c>
      <c r="T56" s="12" t="inlineStr">
        <is>
          <t>G 0.23 – Unbefugtes Eindringen in IT-Systeme; G 0.40 – Verhinderung von Diensten (Denial of Service)</t>
        </is>
      </c>
      <c r="U56" s="11" t="n">
        <v>4</v>
      </c>
      <c r="V56" s="11" t="n">
        <v>1</v>
      </c>
      <c r="W56" s="11" t="n">
        <v>1</v>
      </c>
      <c r="X56" s="11" t="n">
        <v>1</v>
      </c>
      <c r="Y56" s="11" t="n">
        <v>0</v>
      </c>
    </row>
    <row r="57">
      <c r="A57" s="11" t="inlineStr">
        <is>
          <t>ARCH.5.1</t>
        </is>
      </c>
      <c r="B57" s="12" t="inlineStr">
        <is>
          <t>Einschränkung und Inspektion von Verbindungen</t>
        </is>
      </c>
      <c r="C57" s="11" t="inlineStr">
        <is>
          <t>ARCH.5.1.3</t>
        </is>
      </c>
      <c r="D57" s="11" t="inlineStr">
        <is>
          <t>Standard-Anforderungen</t>
        </is>
      </c>
      <c r="E57" s="12" t="inlineStr">
        <is>
          <t>Architektur für Netze SOLLTE bekannte TCP-basierte Angriffsmethoden blockieren.</t>
        </is>
      </c>
      <c r="F57" s="14" t="n"/>
      <c r="G57" s="14" t="n"/>
      <c r="H57" s="14" t="inlineStr">
        <is>
          <t>unbearbeitet</t>
        </is>
      </c>
      <c r="I57" s="14" t="n"/>
      <c r="J57" s="14" t="n"/>
      <c r="K57" s="14" t="n"/>
      <c r="L57" s="15" t="n"/>
      <c r="M57" s="11" t="inlineStr"/>
      <c r="N57" s="12" t="inlineStr">
        <is>
          <t>APP.3.2.A18-UA.2; NET.3.1.A17-UA.1; NET.3.2.A19-UA.1; NET.3.2.A19-UA.3; NET.3.2.A3-UA.2; OPS.1.2.5.A20-UA.2</t>
        </is>
      </c>
      <c r="O57" s="11" t="inlineStr">
        <is>
          <t>superset-of; subset-of; subset-of; subset-of; subset-of; subset-of</t>
        </is>
      </c>
      <c r="P57" s="12" t="inlineStr">
        <is>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is>
      </c>
      <c r="Q57" s="11" t="inlineStr">
        <is>
          <t>Netze</t>
        </is>
      </c>
      <c r="R57" s="11" t="inlineStr">
        <is>
          <t>Firewallregeln</t>
        </is>
      </c>
      <c r="S57" s="12" t="inlineStr">
        <is>
          <t>bekannte TCP-basierte Angriffsmethoden</t>
        </is>
      </c>
      <c r="T57" s="12" t="inlineStr">
        <is>
          <t>G 0.23 – Unbefugtes Eindringen in IT-Systeme; G 0.40 – Verhinderung von Diensten (Denial of Service)</t>
        </is>
      </c>
      <c r="U57" s="11" t="n">
        <v>4</v>
      </c>
      <c r="V57" s="11" t="n">
        <v>1</v>
      </c>
      <c r="W57" s="11" t="n">
        <v>1</v>
      </c>
      <c r="X57" s="11" t="n">
        <v>1</v>
      </c>
      <c r="Y57" s="11" t="n">
        <v>0</v>
      </c>
    </row>
    <row r="58">
      <c r="A58" s="11" t="inlineStr">
        <is>
          <t>ARCH.5.1</t>
        </is>
      </c>
      <c r="B58" s="12" t="inlineStr">
        <is>
          <t>Einschränkung und Inspektion von Verbindungen</t>
        </is>
      </c>
      <c r="C58" s="11" t="inlineStr">
        <is>
          <t>ARCH.5.1.4</t>
        </is>
      </c>
      <c r="D58" s="11" t="inlineStr">
        <is>
          <t>Standard-Anforderungen</t>
        </is>
      </c>
      <c r="E58" s="12" t="inlineStr">
        <is>
          <t>Architektur für Netze SOLLTE bekannte UDP-basierte Angriffsmethoden blockieren.</t>
        </is>
      </c>
      <c r="F58" s="14" t="n"/>
      <c r="G58" s="14" t="n"/>
      <c r="H58" s="14" t="inlineStr">
        <is>
          <t>unbearbeitet</t>
        </is>
      </c>
      <c r="I58" s="14" t="n"/>
      <c r="J58" s="14" t="n"/>
      <c r="K58" s="14" t="n"/>
      <c r="L58" s="15" t="n"/>
      <c r="M58" s="11" t="inlineStr"/>
      <c r="N58" s="12" t="inlineStr">
        <is>
          <t>APP.3.2.A18-UA.2; NET.1.1.A8-UA.2; NET.3.1.A17-UA.1; NET.3.2.A19-UA.1; NET.3.2.A19-UA.2; NET.3.2.A3-UA.4</t>
        </is>
      </c>
      <c r="O58" s="11" t="inlineStr">
        <is>
          <t>intersects-with; superset-of; intersects-with; subset-of; subset-of; equivalent-to</t>
        </is>
      </c>
      <c r="P58" s="12" t="inlineStr">
        <is>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is>
      </c>
      <c r="Q58" s="11" t="inlineStr">
        <is>
          <t>Netze</t>
        </is>
      </c>
      <c r="R58" s="11" t="inlineStr">
        <is>
          <t>Firewallregeln</t>
        </is>
      </c>
      <c r="S58" s="12" t="inlineStr">
        <is>
          <t>bekannte UDP-basierte Angriffsmethoden</t>
        </is>
      </c>
      <c r="T58" s="12" t="inlineStr">
        <is>
          <t>G 0.23 – Unbefugtes Eindringen in IT-Systeme; G 0.40 – Verhinderung von Diensten (Denial of Service)</t>
        </is>
      </c>
      <c r="U58" s="11" t="n">
        <v>4</v>
      </c>
      <c r="V58" s="11" t="n">
        <v>1</v>
      </c>
      <c r="W58" s="11" t="n">
        <v>1</v>
      </c>
      <c r="X58" s="11" t="n">
        <v>1</v>
      </c>
      <c r="Y58" s="11" t="n">
        <v>0</v>
      </c>
    </row>
    <row r="59">
      <c r="A59" s="11" t="inlineStr">
        <is>
          <t>ARCH.5.1</t>
        </is>
      </c>
      <c r="B59" s="12" t="inlineStr">
        <is>
          <t>Einschränkung und Inspektion von Verbindungen</t>
        </is>
      </c>
      <c r="C59" s="11" t="inlineStr">
        <is>
          <t>ARCH.5.1.5</t>
        </is>
      </c>
      <c r="D59" s="11" t="inlineStr">
        <is>
          <t>Standard-Anforderungen</t>
        </is>
      </c>
      <c r="E59" s="12" t="inlineStr">
        <is>
          <t>Architektur für Externe Netzanschlüsse SOLLTE Split Tunneling blockieren.</t>
        </is>
      </c>
      <c r="F59" s="14" t="n"/>
      <c r="G59" s="14" t="n"/>
      <c r="H59" s="14" t="inlineStr">
        <is>
          <t>unbearbeitet</t>
        </is>
      </c>
      <c r="I59" s="14" t="n"/>
      <c r="J59" s="14" t="n"/>
      <c r="K59" s="14" t="n"/>
      <c r="L59" s="15" t="n"/>
      <c r="M59" s="11" t="inlineStr">
        <is>
          <t>Vertraulichkeit</t>
        </is>
      </c>
      <c r="N59" s="12" t="inlineStr">
        <is>
          <t>INF.10.A6-UA.6; NET.3.3.A10-UA.1; NET.3.3.A11-UA.1</t>
        </is>
      </c>
      <c r="O59" s="11" t="inlineStr">
        <is>
          <t>subset-of; intersects-with; intersects-with</t>
        </is>
      </c>
      <c r="P59" s="12" t="inlineStr">
        <is>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is>
      </c>
      <c r="Q59" s="11" t="inlineStr">
        <is>
          <t>Externe Netzanschlüsse</t>
        </is>
      </c>
      <c r="R59" s="11" t="inlineStr">
        <is>
          <t>Firewallregeln</t>
        </is>
      </c>
      <c r="S59" s="12" t="inlineStr">
        <is>
          <t>Split Tunneling</t>
        </is>
      </c>
      <c r="T59" s="12" t="inlineStr">
        <is>
          <t>G 0.23 – Unbefugtes Eindringen in IT-Systeme; G 0.14 – Ausspähen von Informationen (Spionage)</t>
        </is>
      </c>
      <c r="U59" s="11" t="n">
        <v>3</v>
      </c>
      <c r="V59" s="11" t="n">
        <v>2</v>
      </c>
      <c r="W59" s="11" t="n">
        <v>1</v>
      </c>
      <c r="X59" s="11" t="n">
        <v>1</v>
      </c>
      <c r="Y59" s="11" t="n">
        <v>0</v>
      </c>
    </row>
    <row r="60">
      <c r="A60" s="11" t="inlineStr">
        <is>
          <t>ARCH.5.1</t>
        </is>
      </c>
      <c r="B60" s="12" t="inlineStr">
        <is>
          <t>Einschränkung und Inspektion von Verbindungen</t>
        </is>
      </c>
      <c r="C60" s="11" t="inlineStr">
        <is>
          <t>ARCH.5.1.6</t>
        </is>
      </c>
      <c r="D60" s="11" t="inlineStr">
        <is>
          <t>Standard-Anforderungen</t>
        </is>
      </c>
      <c r="E60" s="12" t="inlineStr">
        <is>
          <t>Architektur für Externe Netzanschlüsse SOLLTE Verbindungen zu Management-Schnittstellen blockieren.</t>
        </is>
      </c>
      <c r="F60" s="14" t="n"/>
      <c r="G60" s="14" t="n"/>
      <c r="H60" s="14" t="inlineStr">
        <is>
          <t>unbearbeitet</t>
        </is>
      </c>
      <c r="I60" s="14" t="n"/>
      <c r="J60" s="14" t="n"/>
      <c r="K60" s="14" t="n"/>
      <c r="L60" s="15" t="n"/>
      <c r="M60" s="11" t="inlineStr"/>
      <c r="N60" s="12" t="inlineStr">
        <is>
          <t>NET.1.1.A11-UA.6; NET.1.1.A21-UA.4; NET.1.2.A21-UA.1; NET.3.1.A13-UA.2; NET.3.1.A4-UA.1; NET.3.1.A4-UA.2; NET.3.1.A4-UA.5; NET.3.2.A18-UA.2; NET.3.2.A2-UA.2; NET.3.2.A6-UA.1; OPS.1.1.2.A16-UA.1; OPS.1.2.5.A25-UA.1; SYS.1.5.A5-UA.1</t>
        </is>
      </c>
      <c r="O60" s="11" t="inlineStr">
        <is>
          <t>superset-of; superset-of; subset-of; subset-of; superset-of; equivalent-to; superset-of; subset-of; superset-of; superset-of; intersects-with; subset-of; equivalent-to</t>
        </is>
      </c>
      <c r="P60" s="12" t="inlineStr">
        <is>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is>
      </c>
      <c r="Q60" s="11" t="inlineStr">
        <is>
          <t>Externe Netzanschlüsse</t>
        </is>
      </c>
      <c r="R60" s="11" t="inlineStr">
        <is>
          <t>Firewallregeln</t>
        </is>
      </c>
      <c r="S60" s="12" t="inlineStr">
        <is>
          <t>Verbindungen zu Management-Schnittstellen</t>
        </is>
      </c>
      <c r="T60" s="12" t="inlineStr">
        <is>
          <t>G 0.23 – Unbefugtes Eindringen in IT-Systeme; G 0.40 – Verhinderung von Diensten (Denial of Service)</t>
        </is>
      </c>
      <c r="U60" s="11" t="n">
        <v>3</v>
      </c>
      <c r="V60" s="11" t="n">
        <v>1</v>
      </c>
      <c r="W60" s="11" t="n">
        <v>1</v>
      </c>
      <c r="X60" s="11" t="n">
        <v>1</v>
      </c>
      <c r="Y60" s="11" t="n">
        <v>0</v>
      </c>
    </row>
    <row r="61">
      <c r="A61" s="11" t="inlineStr">
        <is>
          <t>ARCH.5.1</t>
        </is>
      </c>
      <c r="B61" s="12" t="inlineStr">
        <is>
          <t>Einschränkung und Inspektion von Verbindungen</t>
        </is>
      </c>
      <c r="C61" s="11" t="inlineStr">
        <is>
          <t>ARCH.5.1.7</t>
        </is>
      </c>
      <c r="D61" s="11" t="inlineStr">
        <is>
          <t>Standard-Anforderungen</t>
        </is>
      </c>
      <c r="E61" s="12" t="inlineStr">
        <is>
          <t>Architektur für Externe Netzanschlüsse SOLLTE dynamische Routingprotokolle blockieren.</t>
        </is>
      </c>
      <c r="F61" s="14" t="n"/>
      <c r="G61" s="14" t="n"/>
      <c r="H61" s="14" t="inlineStr">
        <is>
          <t>unbearbeitet</t>
        </is>
      </c>
      <c r="I61" s="14" t="n"/>
      <c r="J61" s="14" t="n"/>
      <c r="K61" s="14" t="n"/>
      <c r="L61" s="15" t="n"/>
      <c r="M61" s="11" t="inlineStr">
        <is>
          <t>Vertraulichkeit, Integrität</t>
        </is>
      </c>
      <c r="N61" s="12" t="inlineStr">
        <is>
          <t>NET.3.1.A20-UA.3; NET.3.1.A20-UA.5; NET.3.2.A2-UA.2; NET.3.2.A2-UA.3; NET.3.2.A8-UA.1</t>
        </is>
      </c>
      <c r="O61" s="11" t="inlineStr">
        <is>
          <t>intersects-with; subset-of; intersects-with; intersects-with; subset-of</t>
        </is>
      </c>
      <c r="P61" s="12" t="inlineStr">
        <is>
          <t>Dynamische Routingprotokolle könnten versehentlich oder durch Angriffe unerwünschte Verbindungen ermöglichen. An den Übergangen zu externen Netzen sind statische Default-Routen deshalb die bessere Alternative.</t>
        </is>
      </c>
      <c r="Q61" s="11" t="inlineStr">
        <is>
          <t>Externe Netzanschlüsse</t>
        </is>
      </c>
      <c r="R61" s="11" t="inlineStr">
        <is>
          <t>Firewallregeln</t>
        </is>
      </c>
      <c r="S61" s="12" t="inlineStr">
        <is>
          <t>dynamische Routingprotokolle</t>
        </is>
      </c>
      <c r="T61" s="12" t="inlineStr">
        <is>
          <t>G 0.23 – Unbefugtes Eindringen in IT-Systeme; G 0.30 – Unberechtigte Nutzung oder Administration von Geräten und Systemen; G 0.43 – Einspielen von Nachrichten</t>
        </is>
      </c>
      <c r="U61" s="11" t="n">
        <v>3</v>
      </c>
      <c r="V61" s="11" t="n">
        <v>2</v>
      </c>
      <c r="W61" s="11" t="n">
        <v>2</v>
      </c>
      <c r="X61" s="11" t="n">
        <v>1</v>
      </c>
      <c r="Y61" s="11" t="n">
        <v>1</v>
      </c>
    </row>
    <row r="62">
      <c r="A62" s="11" t="inlineStr">
        <is>
          <t>ARCH.5.1</t>
        </is>
      </c>
      <c r="B62" s="12" t="inlineStr">
        <is>
          <t>Einschränkung und Inspektion von Verbindungen</t>
        </is>
      </c>
      <c r="C62" s="11" t="inlineStr">
        <is>
          <t>ARCH.5.1.8</t>
        </is>
      </c>
      <c r="D62" s="11" t="inlineStr">
        <is>
          <t>Standard-Anforderungen</t>
        </is>
      </c>
      <c r="E62" s="12" t="inlineStr">
        <is>
          <t>Architektur für Externe Netzanschlüsse SOLLTE den Inhalt unverschlüsselter und verschlüsselter Verbindungen basierend auf der Art des Inhalts einschränken.</t>
        </is>
      </c>
      <c r="F62" s="14" t="n"/>
      <c r="G62" s="14" t="n"/>
      <c r="H62" s="14" t="inlineStr">
        <is>
          <t>unbearbeitet</t>
        </is>
      </c>
      <c r="I62" s="14" t="n"/>
      <c r="J62" s="14" t="n"/>
      <c r="K62" s="14" t="n"/>
      <c r="L62" s="15" t="n"/>
      <c r="M62" s="11" t="inlineStr">
        <is>
          <t>Vertraulichkeit, Integrität</t>
        </is>
      </c>
      <c r="N62" s="12" t="inlineStr">
        <is>
          <t>DER.1.A10-UA.1; NET.1.1.A12-UA.1; NET.3.2.A16-UA.3; NET.3.2.A16-UA.4; NET.3.2.A20-UA.1; NET.3.2.A21-UA.1; NET.3.2.A28-UA.2; NET.3.2.A28-UA.3; OPS.1.1.7.A17-UA.1; SYS.1.7.A6-UA.5; SYS.3.2.1.A28-UA.3</t>
        </is>
      </c>
      <c r="O62" s="11" t="inlineStr">
        <is>
          <t>subset-of; intersects-with; subset-of; subset-of; subset-of; subset-of; subset-of; intersects-with; intersects-with; intersects-with; intersects-with</t>
        </is>
      </c>
      <c r="P62" s="12" t="inlineStr">
        <is>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is>
      </c>
      <c r="Q62" s="11" t="inlineStr">
        <is>
          <t>Externe Netzanschlüsse</t>
        </is>
      </c>
      <c r="R62" s="11" t="inlineStr">
        <is>
          <t>Firewallregeln</t>
        </is>
      </c>
      <c r="S62" s="12" t="inlineStr">
        <is>
          <t>den Inhalt unverschlüsselter und verschlüsselter Verbindungen</t>
        </is>
      </c>
      <c r="T62" s="12" t="inlineStr">
        <is>
          <t>G 0.23 – Unbefugtes Eindringen in IT-Systeme; G 0.39 – Schadprogramme; G 0.30 – Unberechtigte Nutzung oder Administration von Geräten und Systemen</t>
        </is>
      </c>
      <c r="U62" s="11" t="n">
        <v>4</v>
      </c>
      <c r="V62" s="11" t="n">
        <v>2</v>
      </c>
      <c r="W62" s="11" t="n">
        <v>2</v>
      </c>
      <c r="X62" s="11" t="n">
        <v>1</v>
      </c>
      <c r="Y62" s="11" t="n">
        <v>1</v>
      </c>
    </row>
    <row r="63">
      <c r="A63" s="11" t="inlineStr">
        <is>
          <t>ARCH.5.1</t>
        </is>
      </c>
      <c r="B63" s="12" t="inlineStr">
        <is>
          <t>Einschränkung und Inspektion von Verbindungen</t>
        </is>
      </c>
      <c r="C63" s="11" t="inlineStr">
        <is>
          <t>ARCH.5.1.9</t>
        </is>
      </c>
      <c r="D63" s="11" t="inlineStr">
        <is>
          <t>Standard-Anforderungen</t>
        </is>
      </c>
      <c r="E63" s="12" t="inlineStr">
        <is>
          <t>Architektur für Externe Netzanschlüsse SOLLTE unerwünschte Inhalte in DNS-Verbindungen einschränken.</t>
        </is>
      </c>
      <c r="F63" s="14" t="n"/>
      <c r="G63" s="14" t="n"/>
      <c r="H63" s="14" t="inlineStr">
        <is>
          <t>unbearbeitet</t>
        </is>
      </c>
      <c r="I63" s="14" t="n"/>
      <c r="J63" s="14" t="n"/>
      <c r="K63" s="14" t="n"/>
      <c r="L63" s="15" t="n"/>
      <c r="M63" s="11" t="inlineStr">
        <is>
          <t>Vertraulichkeit</t>
        </is>
      </c>
      <c r="N63" s="12" t="inlineStr">
        <is>
          <t>APP.1.2.A11-UA.3; NET.3.2.A2-UA.3; NET.3.2.A2-UA.5; NET.3.2.A28-UA.3</t>
        </is>
      </c>
      <c r="O63" s="11" t="inlineStr">
        <is>
          <t>intersects-with; intersects-with; intersects-with; intersects-with</t>
        </is>
      </c>
      <c r="P63" s="12" t="inlineStr">
        <is>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is>
      </c>
      <c r="Q63" s="11" t="inlineStr">
        <is>
          <t>Externe Netzanschlüsse</t>
        </is>
      </c>
      <c r="R63" s="11" t="inlineStr">
        <is>
          <t>Firewallregeln</t>
        </is>
      </c>
      <c r="S63" s="12" t="inlineStr">
        <is>
          <t>unerwünschte Inhalte in DNS-Verbindungen</t>
        </is>
      </c>
      <c r="T63" s="12" t="inlineStr">
        <is>
          <t>G 0.23 – Unbefugtes Eindringen in IT-Systeme; G 0.14 – Ausspähen von Informationen (Spionage); G 0.39 – Schadprogramme</t>
        </is>
      </c>
      <c r="U63" s="11" t="n">
        <v>3</v>
      </c>
      <c r="V63" s="11" t="n">
        <v>2</v>
      </c>
      <c r="W63" s="11" t="n">
        <v>1</v>
      </c>
      <c r="X63" s="11" t="n">
        <v>1</v>
      </c>
      <c r="Y63" s="11" t="n">
        <v>0</v>
      </c>
    </row>
    <row r="64">
      <c r="A64" s="11" t="inlineStr">
        <is>
          <t>ARCH.5.1</t>
        </is>
      </c>
      <c r="B64" s="12" t="inlineStr">
        <is>
          <t>Einschränkung und Inspektion von Verbindungen</t>
        </is>
      </c>
      <c r="C64" s="11" t="inlineStr">
        <is>
          <t>ARCH.5.1.10</t>
        </is>
      </c>
      <c r="D64" s="11" t="inlineStr">
        <is>
          <t>Standard-Anforderungen</t>
        </is>
      </c>
      <c r="E64" s="12" t="inlineStr">
        <is>
          <t>Architektur für Externe Netzanschlüsse SOLLTE den Zugriff auf Webinhalte anhand von Kriterien einschränken.</t>
        </is>
      </c>
      <c r="F64" s="14" t="n"/>
      <c r="G64" s="14" t="n"/>
      <c r="H64" s="14" t="inlineStr">
        <is>
          <t>unbearbeitet</t>
        </is>
      </c>
      <c r="I64" s="14" t="n"/>
      <c r="J64" s="14" t="n"/>
      <c r="K64" s="14" t="n"/>
      <c r="L64" s="15" t="n"/>
      <c r="M64" s="11" t="inlineStr">
        <is>
          <t>Vertraulichkeit</t>
        </is>
      </c>
      <c r="N64" s="12" t="inlineStr">
        <is>
          <t>APP.1.2.A7-UA.1; NET.3.2.A28-UA.1; NET.3.2.A28-UA.3; SYS.3.2.1.A28-UA.1; SYS.3.2.1.A28-UA.3</t>
        </is>
      </c>
      <c r="O64" s="11" t="inlineStr">
        <is>
          <t>intersects-with; subset-of; subset-of; subset-of; subset-of</t>
        </is>
      </c>
      <c r="P64" s="12" t="inlineStr">
        <is>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is>
      </c>
      <c r="Q64" s="11" t="inlineStr">
        <is>
          <t>Externe Netzanschlüsse</t>
        </is>
      </c>
      <c r="R64" s="11" t="inlineStr">
        <is>
          <t>Firewallregeln</t>
        </is>
      </c>
      <c r="S64" s="12" t="inlineStr">
        <is>
          <t>den Zugriff auf Webinhalte</t>
        </is>
      </c>
      <c r="T64" s="12" t="inlineStr">
        <is>
          <t>G 0.39 – Schadprogramme; G 0.28 – Software-Schwachstellen oder -Fehler; G 0.14 – Ausspähen von Informationen (Spionage); G 0.23 – Unbefugtes Eindringen in IT-Systeme</t>
        </is>
      </c>
      <c r="U64" s="11" t="n">
        <v>2</v>
      </c>
      <c r="V64" s="11" t="n">
        <v>2</v>
      </c>
      <c r="W64" s="11" t="n">
        <v>1</v>
      </c>
      <c r="X64" s="11" t="n">
        <v>1</v>
      </c>
      <c r="Y64" s="11" t="n">
        <v>0</v>
      </c>
    </row>
    <row r="65">
      <c r="A65" s="11" t="inlineStr">
        <is>
          <t>ARCH.5.1</t>
        </is>
      </c>
      <c r="B65" s="12" t="inlineStr">
        <is>
          <t>Einschränkung und Inspektion von Verbindungen</t>
        </is>
      </c>
      <c r="C65" s="11" t="inlineStr">
        <is>
          <t>ARCH.5.1.10.1</t>
        </is>
      </c>
      <c r="D65" s="11" t="inlineStr">
        <is>
          <t>Standard-Anforderungen</t>
        </is>
      </c>
      <c r="E65" s="12" t="inlineStr">
        <is>
          <t>Architektur für Externe Netzanschlüsse SOLLTE bekannte schädliche Inhalte einschränken.</t>
        </is>
      </c>
      <c r="F65" s="14" t="n"/>
      <c r="G65" s="14" t="n"/>
      <c r="H65" s="14" t="inlineStr">
        <is>
          <t>unbearbeitet</t>
        </is>
      </c>
      <c r="I65" s="14" t="n"/>
      <c r="J65" s="14" t="n"/>
      <c r="K65" s="14" t="n"/>
      <c r="L65" s="15" t="n"/>
      <c r="M65" s="11" t="inlineStr">
        <is>
          <t>Vertraulichkeit</t>
        </is>
      </c>
      <c r="N65" s="12" t="inlineStr">
        <is>
          <t>APP.1.2.A11-UA.1; APP.1.2.A11-UA.3; IND.2.1.A16-UA.1; NET.3.2.A28-UA.3; NET.3.4.A15-UA.3</t>
        </is>
      </c>
      <c r="O65" s="11" t="inlineStr">
        <is>
          <t>subset-of; equal-to; superset-of; subset-of; intersects-with</t>
        </is>
      </c>
      <c r="P65" s="12" t="inlineStr">
        <is>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is>
      </c>
      <c r="Q65" s="11" t="inlineStr">
        <is>
          <t>Externe Netzanschlüsse</t>
        </is>
      </c>
      <c r="R65" s="11" t="inlineStr">
        <is>
          <t>Firewallregeln</t>
        </is>
      </c>
      <c r="S65" s="12" t="inlineStr">
        <is>
          <t>bekannte schädliche Inhalte</t>
        </is>
      </c>
      <c r="T65" s="12" t="inlineStr">
        <is>
          <t>G 0.39 – Schadprogramme; G 0.28 – Software-Schwachstellen oder -Fehler; G 0.14 – Ausspähen von Informationen (Spionage); G 0.23 – Unbefugtes Eindringen in IT-Systeme</t>
        </is>
      </c>
      <c r="U65" s="11" t="n">
        <v>2</v>
      </c>
      <c r="V65" s="11" t="n">
        <v>2</v>
      </c>
      <c r="W65" s="11" t="n">
        <v>1</v>
      </c>
      <c r="X65" s="11" t="n">
        <v>1</v>
      </c>
      <c r="Y65" s="11" t="n">
        <v>0</v>
      </c>
    </row>
    <row r="66">
      <c r="A66" s="11" t="inlineStr">
        <is>
          <t>ARCH.5.1</t>
        </is>
      </c>
      <c r="B66" s="12" t="inlineStr">
        <is>
          <t>Einschränkung und Inspektion von Verbindungen</t>
        </is>
      </c>
      <c r="C66" s="11" t="inlineStr">
        <is>
          <t>ARCH.5.1.10.2</t>
        </is>
      </c>
      <c r="D66" s="11" t="inlineStr">
        <is>
          <t>Standard-Anforderungen</t>
        </is>
      </c>
      <c r="E66" s="12" t="inlineStr">
        <is>
          <t>Architektur für Externe Netzanschlüsse SOLLTE bekannte illegale Inhalte einschränken.</t>
        </is>
      </c>
      <c r="F66" s="14" t="n"/>
      <c r="G66" s="14" t="n"/>
      <c r="H66" s="14" t="inlineStr">
        <is>
          <t>unbearbeitet</t>
        </is>
      </c>
      <c r="I66" s="14" t="n"/>
      <c r="J66" s="14" t="n"/>
      <c r="K66" s="14" t="n"/>
      <c r="L66" s="15" t="n"/>
      <c r="M66" s="11" t="inlineStr">
        <is>
          <t>Vertraulichkeit</t>
        </is>
      </c>
      <c r="N66" s="12" t="inlineStr">
        <is>
          <t>APP.1.2.A11-UA.1; APP.1.2.A11-UA.3; NET.3.2.A28-UA.3</t>
        </is>
      </c>
      <c r="O66" s="11" t="inlineStr">
        <is>
          <t>intersects-with; superset-of; intersects-with</t>
        </is>
      </c>
      <c r="P66" s="12" t="inlineStr">
        <is>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is>
      </c>
      <c r="Q66" s="11" t="inlineStr">
        <is>
          <t>Externe Netzanschlüsse</t>
        </is>
      </c>
      <c r="R66" s="11" t="inlineStr">
        <is>
          <t>Firewallregeln</t>
        </is>
      </c>
      <c r="S66" s="12" t="inlineStr">
        <is>
          <t>bekannte illegale Inhalte</t>
        </is>
      </c>
      <c r="T66" s="12" t="inlineStr">
        <is>
          <t>G 0.39 – Schadprogramme; G 0.28 – Software-Schwachstellen oder -Fehler; G 0.14 – Ausspähen von Informationen (Spionage); G 0.23 – Unbefugtes Eindringen in IT-Systeme</t>
        </is>
      </c>
      <c r="U66" s="11" t="n">
        <v>2</v>
      </c>
      <c r="V66" s="11" t="n">
        <v>2</v>
      </c>
      <c r="W66" s="11" t="n">
        <v>1</v>
      </c>
      <c r="X66" s="11" t="n">
        <v>1</v>
      </c>
      <c r="Y66" s="11" t="n">
        <v>0</v>
      </c>
    </row>
    <row r="67">
      <c r="A67" s="11" t="inlineStr">
        <is>
          <t>ARCH.5.1</t>
        </is>
      </c>
      <c r="B67" s="12" t="inlineStr">
        <is>
          <t>Einschränkung und Inspektion von Verbindungen</t>
        </is>
      </c>
      <c r="C67" s="11" t="inlineStr">
        <is>
          <t>ARCH.5.1.10.3</t>
        </is>
      </c>
      <c r="D67" s="11" t="inlineStr">
        <is>
          <t>Standard-Anforderungen</t>
        </is>
      </c>
      <c r="E67" s="12" t="inlineStr">
        <is>
          <t>Architektur für Externe Netzanschlüsse SOLLTE Speicherdienste einschränken.</t>
        </is>
      </c>
      <c r="F67" s="14" t="n"/>
      <c r="G67" s="14" t="n"/>
      <c r="H67" s="14" t="inlineStr">
        <is>
          <t>unbearbeitet</t>
        </is>
      </c>
      <c r="I67" s="14" t="n"/>
      <c r="J67" s="14" t="n"/>
      <c r="K67" s="14" t="n"/>
      <c r="L67" s="15" t="n"/>
      <c r="M67" s="11" t="inlineStr">
        <is>
          <t>Vertraulichkeit</t>
        </is>
      </c>
      <c r="N67" s="12" t="inlineStr">
        <is>
          <t>NET.3.4.A14-UA.2; SYS.2.1.A24-UA.1</t>
        </is>
      </c>
      <c r="O67" s="11" t="inlineStr">
        <is>
          <t>intersects-with; superset-of</t>
        </is>
      </c>
      <c r="P67" s="12" t="inlineStr">
        <is>
          <t>Ausnahmen können sinnvoll sein, wenn es nach den Geschäftsprozessen erforderlich ist, die Daten öffentlich zur Verfügung zu stellen oder diese mit anderen Institutionen über den Speicherdienst auszutauschen.</t>
        </is>
      </c>
      <c r="Q67" s="11" t="inlineStr">
        <is>
          <t>Externe Netzanschlüsse</t>
        </is>
      </c>
      <c r="R67" s="11" t="inlineStr">
        <is>
          <t>Firewallregeln</t>
        </is>
      </c>
      <c r="S67" s="12" t="inlineStr">
        <is>
          <t>Speicherdienste</t>
        </is>
      </c>
      <c r="T67" s="12" t="inlineStr">
        <is>
          <t>G 0.39 – Schadprogramme; G 0.28 – Software-Schwachstellen oder -Fehler; G 0.14 – Ausspähen von Informationen (Spionage); G 0.23 – Unbefugtes Eindringen in IT-Systeme</t>
        </is>
      </c>
      <c r="U67" s="11" t="n">
        <v>3</v>
      </c>
      <c r="V67" s="11" t="n">
        <v>2</v>
      </c>
      <c r="W67" s="11" t="n">
        <v>1</v>
      </c>
      <c r="X67" s="11" t="n">
        <v>1</v>
      </c>
      <c r="Y67" s="11" t="n">
        <v>0</v>
      </c>
    </row>
    <row r="68">
      <c r="A68" s="11" t="inlineStr">
        <is>
          <t>ARCH.5.1</t>
        </is>
      </c>
      <c r="B68" s="12" t="inlineStr">
        <is>
          <t>Einschränkung und Inspektion von Verbindungen</t>
        </is>
      </c>
      <c r="C68" s="11" t="inlineStr">
        <is>
          <t>ARCH.5.1.11</t>
        </is>
      </c>
      <c r="D68" s="11" t="inlineStr">
        <is>
          <t>Standard-Anforderungen</t>
        </is>
      </c>
      <c r="E68" s="12" t="inlineStr">
        <is>
          <t>Architektur für Externe Netzanschlüsse SOLLTE eine P-A-P-Struktur für eingehende und ausgehende Verbindungen installieren.</t>
        </is>
      </c>
      <c r="F68" s="14" t="n"/>
      <c r="G68" s="14" t="n"/>
      <c r="H68" s="14" t="inlineStr">
        <is>
          <t>unbearbeitet</t>
        </is>
      </c>
      <c r="I68" s="14" t="n"/>
      <c r="J68" s="14" t="n"/>
      <c r="K68" s="14" t="n"/>
      <c r="L68" s="15" t="n"/>
      <c r="M68" s="11" t="inlineStr">
        <is>
          <t>Vertraulichkeit, Verfügbarkeit</t>
        </is>
      </c>
      <c r="N68" s="12" t="inlineStr">
        <is>
          <t>APP.3.6.A16-UA.1; NET.1.1.A18-UA.1; NET.1.1.A18-UA.10; NET.1.1.A18-UA.2; NET.1.1.A4-UA.7; NET.3.2.A16-UA.1; NET.3.2.A16-UA.3; NET.3.2.A16-UA.4</t>
        </is>
      </c>
      <c r="O68" s="11" t="inlineStr">
        <is>
          <t>subset-of; superset-of; subset-of; subset-of; superset-of; equal-to; subset-of; subset-of</t>
        </is>
      </c>
      <c r="P68" s="12" t="inlineStr">
        <is>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is>
      </c>
      <c r="Q68" s="11" t="inlineStr">
        <is>
          <t>Externe Netzanschlüsse</t>
        </is>
      </c>
      <c r="R68" s="11" t="inlineStr">
        <is>
          <t>IT-Betriebskonzept</t>
        </is>
      </c>
      <c r="S68" s="12" t="inlineStr">
        <is>
          <t>eine P-A-P-Struktur</t>
        </is>
      </c>
      <c r="T68" s="12" t="inlineStr">
        <is>
          <t>G 0.19 – Offenlegung schützenswerter Informationen; G 0.30 – Unberechtigte Nutzung oder Administration von Geräten und Systemen; G 0.40 – Verhinderung von Diensten (Denial of Service)</t>
        </is>
      </c>
      <c r="U68" s="11" t="n">
        <v>4</v>
      </c>
      <c r="V68" s="11" t="n">
        <v>2</v>
      </c>
      <c r="W68" s="11" t="n">
        <v>1</v>
      </c>
      <c r="X68" s="11" t="n">
        <v>2</v>
      </c>
      <c r="Y68" s="11" t="n">
        <v>1</v>
      </c>
    </row>
    <row r="69">
      <c r="A69" s="11" t="inlineStr">
        <is>
          <t>ARCH.5.1</t>
        </is>
      </c>
      <c r="B69" s="12" t="inlineStr">
        <is>
          <t>Einschränkung und Inspektion von Verbindungen</t>
        </is>
      </c>
      <c r="C69" s="11" t="inlineStr">
        <is>
          <t>ARCH.5.1.12</t>
        </is>
      </c>
      <c r="D69" s="11" t="inlineStr">
        <is>
          <t>Anforderungen bei erhöhtem Schutzbedarf</t>
        </is>
      </c>
      <c r="E69" s="12" t="inlineStr">
        <is>
          <t>Architektur für Netze KANN Verbindungen zwischen IT-Systemen anhand dynamischer Kriterien einschränken.</t>
        </is>
      </c>
      <c r="F69" s="14" t="n"/>
      <c r="G69" s="14" t="n"/>
      <c r="H69" s="14" t="inlineStr">
        <is>
          <t>unbearbeitet</t>
        </is>
      </c>
      <c r="I69" s="14" t="n"/>
      <c r="J69" s="14" t="n"/>
      <c r="K69" s="14" t="n"/>
      <c r="L69" s="15" t="n"/>
      <c r="M69" s="11" t="inlineStr">
        <is>
          <t>Vertraulichkeit</t>
        </is>
      </c>
      <c r="N69" s="12" t="inlineStr">
        <is>
          <t>NET.3.2.A2-UA.4; NET.3.4.A9-UA.2</t>
        </is>
      </c>
      <c r="O69" s="11" t="inlineStr">
        <is>
          <t>intersects-with; subset-of</t>
        </is>
      </c>
      <c r="P69" s="12" t="inlineStr">
        <is>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is>
      </c>
      <c r="Q69" s="11" t="inlineStr">
        <is>
          <t>Netze</t>
        </is>
      </c>
      <c r="R69" s="11" t="inlineStr">
        <is>
          <t>IT-Betriebskonzept</t>
        </is>
      </c>
      <c r="S69" s="12" t="inlineStr">
        <is>
          <t>Verbindungen zwischen IT-Systemen</t>
        </is>
      </c>
      <c r="T69" s="12" t="inlineStr">
        <is>
          <t>G 0.19 – Offenlegung schützenswerter Informationen; G 0.30 – Unberechtigte Nutzung oder Administration von Geräten und Systemen</t>
        </is>
      </c>
      <c r="U69" s="11" t="n">
        <v>5</v>
      </c>
      <c r="V69" s="11" t="n">
        <v>2</v>
      </c>
      <c r="W69" s="11" t="n">
        <v>1</v>
      </c>
      <c r="X69" s="11" t="n">
        <v>1</v>
      </c>
      <c r="Y69" s="11" t="n">
        <v>1</v>
      </c>
    </row>
    <row r="70">
      <c r="A70" s="11" t="inlineStr">
        <is>
          <t>ARCH.5.1</t>
        </is>
      </c>
      <c r="B70" s="12" t="inlineStr">
        <is>
          <t>Einschränkung und Inspektion von Verbindungen</t>
        </is>
      </c>
      <c r="C70" s="11" t="inlineStr">
        <is>
          <t>ARCH.5.1.13</t>
        </is>
      </c>
      <c r="D70" s="11" t="inlineStr">
        <is>
          <t>Anforderungen bei erhöhtem Schutzbedarf</t>
        </is>
      </c>
      <c r="E70" s="12" t="inlineStr">
        <is>
          <t>Architektur für Externe Netzanschlüsse KANN für die Filterung diverse Produkte unterschiedlicher Hersteller für eingehende und ausgehende Verbindungen installieren.</t>
        </is>
      </c>
      <c r="F70" s="14" t="n"/>
      <c r="G70" s="14" t="n"/>
      <c r="H70" s="14" t="inlineStr">
        <is>
          <t>unbearbeitet</t>
        </is>
      </c>
      <c r="I70" s="14" t="n"/>
      <c r="J70" s="14" t="n"/>
      <c r="K70" s="14" t="n"/>
      <c r="L70" s="15" t="n"/>
      <c r="M70" s="11" t="inlineStr">
        <is>
          <t>Vertraulichkeit</t>
        </is>
      </c>
      <c r="N70" s="12" t="inlineStr">
        <is>
          <t>NET.3.2.A27-UA.1</t>
        </is>
      </c>
      <c r="O70" s="11" t="inlineStr">
        <is>
          <t>equivalent-to</t>
        </is>
      </c>
      <c r="P70" s="12" t="inlineStr">
        <is>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is>
      </c>
      <c r="Q70" s="11" t="inlineStr">
        <is>
          <t>Externe Netzanschlüsse</t>
        </is>
      </c>
      <c r="R70" s="11" t="inlineStr">
        <is>
          <t>IT-Betriebskonzept</t>
        </is>
      </c>
      <c r="S70" s="12" t="inlineStr">
        <is>
          <t>für die Filterung diverse Produkte unterschiedlicher Hersteller</t>
        </is>
      </c>
      <c r="T70" s="12" t="inlineStr">
        <is>
          <t>G 0.19 – Offenlegung schützenswerter Informationen; G 0.30 – Unberechtigte Nutzung oder Administration von Geräten und Systemen</t>
        </is>
      </c>
      <c r="U70" s="11" t="n">
        <v>5</v>
      </c>
      <c r="V70" s="11" t="n">
        <v>2</v>
      </c>
      <c r="W70" s="11" t="n">
        <v>1</v>
      </c>
      <c r="X70" s="11" t="n">
        <v>1</v>
      </c>
      <c r="Y70" s="11" t="n">
        <v>1</v>
      </c>
    </row>
    <row r="71">
      <c r="A71" s="9" t="inlineStr">
        <is>
          <t>ARCH.5.2</t>
        </is>
      </c>
      <c r="B71" s="10" t="inlineStr">
        <is>
          <t>Blockieren direkter öffentlicher Verbindungen</t>
        </is>
      </c>
      <c r="C71" s="11" t="n"/>
      <c r="D71" s="11" t="inlineStr">
        <is>
          <t>Standard-Anforderungen</t>
        </is>
      </c>
      <c r="E71" s="12" t="inlineStr">
        <is>
          <t>Gesamt:</t>
        </is>
      </c>
      <c r="F71" s="11" t="n"/>
      <c r="G71" s="11" t="n"/>
      <c r="H71" s="13">
        <f>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
      </c>
      <c r="I71" s="11" t="n"/>
      <c r="J71" s="11" t="n"/>
      <c r="K71" s="11" t="n"/>
      <c r="L71" s="11" t="n"/>
      <c r="M71" s="11" t="inlineStr">
        <is>
          <t>Vertraulichkeit</t>
        </is>
      </c>
      <c r="N71" s="12" t="inlineStr">
        <is>
          <t>CON.11.1.A16-UA.6; INF.10.A6-UA.6; NET.1.1.A8-UA.2; NET.3.2.A2-UA.2; NET.3.2.A2-UA.3; NET.3.2.A2-UA.5; SYS.2.1.A31-UA.2</t>
        </is>
      </c>
      <c r="O71" s="11" t="inlineStr">
        <is>
          <t>subset-of; intersects-with; equivalent-to; intersects-with; equal-to; equivalent-to; equivalent-to</t>
        </is>
      </c>
      <c r="P71" s="12" t="inlineStr">
        <is>
          <t>Direkte Verbindungen sind hier alle Verbindungen, die nicht von der Filterung erfasst werden. Die Anforderung ist für Firewallsysteme umgesetzt, wenn deren eingehende Verbindungen ebenfalls vollständig gefiltert werden, bevor sie Daten an Systemschnittstellen senden können.</t>
        </is>
      </c>
      <c r="Q71" s="11" t="inlineStr">
        <is>
          <t>IT-Systeme</t>
        </is>
      </c>
      <c r="R71" s="11" t="inlineStr">
        <is>
          <t>Firewallregeln</t>
        </is>
      </c>
      <c r="S71" s="12" t="inlineStr">
        <is>
          <t>direkte Verbindungen von diesen ins öffentliche Netz</t>
        </is>
      </c>
      <c r="T71" s="12" t="inlineStr">
        <is>
          <t>G 0.23 – Unbefugtes Eindringen in IT-Systeme; G 0.14 – Ausspähen von Informationen (Spionage)</t>
        </is>
      </c>
      <c r="U71" s="11" t="n">
        <v>4</v>
      </c>
      <c r="V71" s="11" t="n">
        <v>2</v>
      </c>
      <c r="W71" s="11" t="n">
        <v>1</v>
      </c>
      <c r="X71" s="11" t="n">
        <v>1</v>
      </c>
      <c r="Y71" s="11" t="n">
        <v>0</v>
      </c>
    </row>
    <row r="72">
      <c r="A72" s="11" t="inlineStr">
        <is>
          <t>ARCH.5.2</t>
        </is>
      </c>
      <c r="B72" s="12" t="inlineStr">
        <is>
          <t>Blockieren direkter öffentlicher Verbindungen</t>
        </is>
      </c>
      <c r="C72" s="11" t="inlineStr">
        <is>
          <t>ARCH.5.2</t>
        </is>
      </c>
      <c r="D72" s="11" t="inlineStr">
        <is>
          <t>Standard-Anforderungen</t>
        </is>
      </c>
      <c r="E72" s="12" t="inlineStr">
        <is>
          <t>Architektur für IT-Systeme SOLLTE direkte Verbindungen von diesen ins öffentliche Netz blockieren.</t>
        </is>
      </c>
      <c r="F72" s="14" t="n"/>
      <c r="G72" s="14" t="n"/>
      <c r="H72" s="14" t="inlineStr">
        <is>
          <t>unbearbeitet</t>
        </is>
      </c>
      <c r="I72" s="14" t="n"/>
      <c r="J72" s="14" t="n"/>
      <c r="K72" s="14" t="n"/>
      <c r="L72" s="15" t="n"/>
      <c r="M72" s="11" t="inlineStr">
        <is>
          <t>Vertraulichkeit</t>
        </is>
      </c>
      <c r="N72" s="12" t="inlineStr">
        <is>
          <t>CON.11.1.A16-UA.6; INF.10.A6-UA.6; NET.1.1.A8-UA.2; NET.3.2.A2-UA.2; NET.3.2.A2-UA.3; NET.3.2.A2-UA.5; SYS.2.1.A31-UA.2</t>
        </is>
      </c>
      <c r="O72" s="11" t="inlineStr">
        <is>
          <t>subset-of; intersects-with; equivalent-to; intersects-with; equal-to; equivalent-to; equivalent-to</t>
        </is>
      </c>
      <c r="P72" s="12" t="inlineStr">
        <is>
          <t>Direkte Verbindungen sind hier alle Verbindungen, die nicht von der Filterung erfasst werden. Die Anforderung ist für Firewallsysteme umgesetzt, wenn deren eingehende Verbindungen ebenfalls vollständig gefiltert werden, bevor sie Daten an Systemschnittstellen senden können.</t>
        </is>
      </c>
      <c r="Q72" s="11" t="inlineStr">
        <is>
          <t>IT-Systeme</t>
        </is>
      </c>
      <c r="R72" s="11" t="inlineStr">
        <is>
          <t>Firewallregeln</t>
        </is>
      </c>
      <c r="S72" s="12" t="inlineStr">
        <is>
          <t>direkte Verbindungen von diesen ins öffentliche Netz</t>
        </is>
      </c>
      <c r="T72" s="12" t="inlineStr">
        <is>
          <t>G 0.23 – Unbefugtes Eindringen in IT-Systeme; G 0.14 – Ausspähen von Informationen (Spionage)</t>
        </is>
      </c>
      <c r="U72" s="11" t="n">
        <v>4</v>
      </c>
      <c r="V72" s="11" t="n">
        <v>2</v>
      </c>
      <c r="W72" s="11" t="n">
        <v>1</v>
      </c>
      <c r="X72" s="11" t="n">
        <v>1</v>
      </c>
      <c r="Y72" s="11" t="n">
        <v>0</v>
      </c>
    </row>
    <row r="73">
      <c r="A73" s="9" t="inlineStr">
        <is>
          <t>ARCH.6.1</t>
        </is>
      </c>
      <c r="B73" s="10" t="inlineStr">
        <is>
          <t>Kontrollierte Verbindungsführung</t>
        </is>
      </c>
      <c r="C73" s="11" t="n"/>
      <c r="D73" s="11" t="inlineStr">
        <is>
          <t>Anforderungen bei erhöhtem Schutzbedarf</t>
        </is>
      </c>
      <c r="E73" s="12" t="inlineStr">
        <is>
          <t>Gesamt:</t>
        </is>
      </c>
      <c r="F73" s="11" t="n"/>
      <c r="G73" s="11" t="n"/>
      <c r="H73" s="13">
        <f>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
      </c>
      <c r="I73" s="11" t="n"/>
      <c r="J73" s="11" t="n"/>
      <c r="K73" s="11" t="n"/>
      <c r="L73" s="11" t="n"/>
      <c r="M73" s="11" t="inlineStr">
        <is>
          <t>Vertraulichkeit</t>
        </is>
      </c>
      <c r="N73" s="12" t="inlineStr">
        <is>
          <t>INF.14.A28-UA.2; NET.3.1.A4-UA.5; NET.3.2.A2-UA.2; NET.3.2.A2-UA.3; NET.3.3.A11-UA.1</t>
        </is>
      </c>
      <c r="O73" s="11" t="inlineStr">
        <is>
          <t>subset-of; subset-of; subset-of; subset-of; subset-of</t>
        </is>
      </c>
      <c r="P73" s="12" t="inlineStr">
        <is>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is>
      </c>
      <c r="Q73" s="11" t="inlineStr">
        <is>
          <t>Externe Netzanschlüsse</t>
        </is>
      </c>
      <c r="R73" s="11" t="inlineStr">
        <is>
          <t>IT-Betriebskonzept</t>
        </is>
      </c>
      <c r="S73" s="12" t="inlineStr">
        <is>
          <t>eine {{physisch oder logisch}} kontrollierte Verbindungsführung</t>
        </is>
      </c>
      <c r="T73" s="12" t="inlineStr">
        <is>
          <t>G 0.23 – Unbefugtes Eindringen in IT-Systeme; G 0.14 – Ausspähen von Informationen (Spionage)</t>
        </is>
      </c>
      <c r="U73" s="11" t="n">
        <v>5</v>
      </c>
      <c r="V73" s="11" t="n">
        <v>2</v>
      </c>
      <c r="W73" s="11" t="n">
        <v>1</v>
      </c>
      <c r="X73" s="11" t="n">
        <v>1</v>
      </c>
      <c r="Y73" s="11" t="n">
        <v>0</v>
      </c>
    </row>
    <row r="74">
      <c r="A74" s="11" t="inlineStr">
        <is>
          <t>ARCH.6.1</t>
        </is>
      </c>
      <c r="B74" s="12" t="inlineStr">
        <is>
          <t>Kontrollierte Verbindungsführung</t>
        </is>
      </c>
      <c r="C74" s="11" t="inlineStr">
        <is>
          <t>ARCH.6.1</t>
        </is>
      </c>
      <c r="D74" s="11" t="inlineStr">
        <is>
          <t>Anforderungen bei erhöhtem Schutzbedarf</t>
        </is>
      </c>
      <c r="E74" s="12" t="inlineStr">
        <is>
          <t>Architektur für Externe Netzanschlüsse KANN eine physisch oder logisch kontrollierte Verbindungsführung für Weitverkehrsverbindungen aktivieren.</t>
        </is>
      </c>
      <c r="F74" s="14" t="n"/>
      <c r="G74" s="14" t="n"/>
      <c r="H74" s="14" t="inlineStr">
        <is>
          <t>unbearbeitet</t>
        </is>
      </c>
      <c r="I74" s="14" t="n"/>
      <c r="J74" s="14" t="n"/>
      <c r="K74" s="14" t="n"/>
      <c r="L74" s="15" t="n"/>
      <c r="M74" s="11" t="inlineStr">
        <is>
          <t>Vertraulichkeit</t>
        </is>
      </c>
      <c r="N74" s="12" t="inlineStr">
        <is>
          <t>INF.14.A28-UA.2; NET.3.1.A4-UA.5; NET.3.2.A2-UA.2; NET.3.2.A2-UA.3; NET.3.3.A11-UA.1</t>
        </is>
      </c>
      <c r="O74" s="11" t="inlineStr">
        <is>
          <t>subset-of; subset-of; subset-of; subset-of; subset-of</t>
        </is>
      </c>
      <c r="P74" s="12" t="inlineStr">
        <is>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is>
      </c>
      <c r="Q74" s="11" t="inlineStr">
        <is>
          <t>Externe Netzanschlüsse</t>
        </is>
      </c>
      <c r="R74" s="11" t="inlineStr">
        <is>
          <t>IT-Betriebskonzept</t>
        </is>
      </c>
      <c r="S74" s="12" t="inlineStr">
        <is>
          <t>eine {{physisch oder logisch}} kontrollierte Verbindungsführung</t>
        </is>
      </c>
      <c r="T74" s="12" t="inlineStr">
        <is>
          <t>G 0.23 – Unbefugtes Eindringen in IT-Systeme; G 0.14 – Ausspähen von Informationen (Spionage)</t>
        </is>
      </c>
      <c r="U74" s="11" t="n">
        <v>5</v>
      </c>
      <c r="V74" s="11" t="n">
        <v>2</v>
      </c>
      <c r="W74" s="11" t="n">
        <v>1</v>
      </c>
      <c r="X74" s="11" t="n">
        <v>1</v>
      </c>
      <c r="Y74" s="11" t="n">
        <v>0</v>
      </c>
    </row>
    <row r="75">
      <c r="A75" s="9" t="inlineStr">
        <is>
          <t>ARCH.6.2</t>
        </is>
      </c>
      <c r="B75" s="10" t="inlineStr">
        <is>
          <t>Verschlüsselung von Weiterverkehrsverbindungen</t>
        </is>
      </c>
      <c r="C75" s="11" t="n"/>
      <c r="D75" s="11" t="inlineStr">
        <is>
          <t>Standard-Anforderungen</t>
        </is>
      </c>
      <c r="E75" s="12" t="inlineStr">
        <is>
          <t>Gesamt:</t>
        </is>
      </c>
      <c r="F75" s="11" t="n"/>
      <c r="G75" s="11" t="n"/>
      <c r="H75" s="13">
        <f>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
      </c>
      <c r="I75" s="11" t="n"/>
      <c r="J75" s="11" t="n"/>
      <c r="K75" s="11" t="n"/>
      <c r="L75" s="11" t="n"/>
      <c r="M75" s="11" t="inlineStr">
        <is>
          <t>Vertraulichkeit</t>
        </is>
      </c>
      <c r="N75" s="12" t="inlineStr">
        <is>
          <t>APP.3.1.A11-UA.2; APP.3.2.A11-UA.1; NET.1.1.A34-UA.3; OPS.1.2.5.A3-UA.4; OPS.1.2.5.A3-UA.5; OPS.1.2.5.A8-UA.4</t>
        </is>
      </c>
      <c r="O75" s="11" t="inlineStr">
        <is>
          <t>equivalent-to; superset-of; superset-of; subset-of; subset-of; subset-of</t>
        </is>
      </c>
      <c r="P75" s="12" t="inlineStr">
        <is>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is>
      </c>
      <c r="Q75" s="11" t="inlineStr">
        <is>
          <t>Externe Netzanschlüsse</t>
        </is>
      </c>
      <c r="R75" s="11" t="inlineStr">
        <is>
          <t>Konfigurationshistorie</t>
        </is>
      </c>
      <c r="S75" s="12" t="inlineStr">
        <is>
          <t>Verbindungen ins Weitverkehrsnetz</t>
        </is>
      </c>
      <c r="T75" s="12" t="inlineStr">
        <is>
          <t>G 0.15 – Abhören; G 0.14 – Ausspähen von Informationen (Spionage); G 0.18 – Fehlplanung oder fehlende Anpassung</t>
        </is>
      </c>
      <c r="U75" s="11" t="n">
        <v>3</v>
      </c>
      <c r="V75" s="11" t="n">
        <v>2</v>
      </c>
      <c r="W75" s="11" t="n">
        <v>1</v>
      </c>
      <c r="X75" s="11" t="n">
        <v>1</v>
      </c>
      <c r="Y75" s="11" t="n">
        <v>0</v>
      </c>
    </row>
    <row r="76">
      <c r="A76" s="11" t="inlineStr">
        <is>
          <t>ARCH.6.2</t>
        </is>
      </c>
      <c r="B76" s="12" t="inlineStr">
        <is>
          <t>Verschlüsselung von Weiterverkehrsverbindungen</t>
        </is>
      </c>
      <c r="C76" s="11" t="inlineStr">
        <is>
          <t>ARCH.6.2</t>
        </is>
      </c>
      <c r="D76" s="11" t="inlineStr">
        <is>
          <t>Standard-Anforderungen</t>
        </is>
      </c>
      <c r="E76" s="12" t="inlineStr">
        <is>
          <t>Architektur für Externe Netzanschlüsse SOLLTE Verbindungen ins Weitverkehrsnetz nach einem anerkannten Standard verschlüsseln.</t>
        </is>
      </c>
      <c r="F76" s="14" t="n"/>
      <c r="G76" s="14" t="n"/>
      <c r="H76" s="14" t="inlineStr">
        <is>
          <t>unbearbeitet</t>
        </is>
      </c>
      <c r="I76" s="14" t="n"/>
      <c r="J76" s="14" t="n"/>
      <c r="K76" s="14" t="n"/>
      <c r="L76" s="15" t="n"/>
      <c r="M76" s="11" t="inlineStr">
        <is>
          <t>Vertraulichkeit</t>
        </is>
      </c>
      <c r="N76" s="12" t="inlineStr">
        <is>
          <t>APP.3.1.A11-UA.2; APP.3.2.A11-UA.1; NET.1.1.A34-UA.3; OPS.1.2.5.A3-UA.4; OPS.1.2.5.A3-UA.5; OPS.1.2.5.A8-UA.4</t>
        </is>
      </c>
      <c r="O76" s="11" t="inlineStr">
        <is>
          <t>equivalent-to; superset-of; superset-of; subset-of; subset-of; subset-of</t>
        </is>
      </c>
      <c r="P76" s="12" t="inlineStr">
        <is>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is>
      </c>
      <c r="Q76" s="11" t="inlineStr">
        <is>
          <t>Externe Netzanschlüsse</t>
        </is>
      </c>
      <c r="R76" s="11" t="inlineStr">
        <is>
          <t>Konfigurationshistorie</t>
        </is>
      </c>
      <c r="S76" s="12" t="inlineStr">
        <is>
          <t>Verbindungen ins Weitverkehrsnetz</t>
        </is>
      </c>
      <c r="T76" s="12" t="inlineStr">
        <is>
          <t>G 0.15 – Abhören; G 0.14 – Ausspähen von Informationen (Spionage); G 0.18 – Fehlplanung oder fehlende Anpassung</t>
        </is>
      </c>
      <c r="U76" s="11" t="n">
        <v>3</v>
      </c>
      <c r="V76" s="11" t="n">
        <v>2</v>
      </c>
      <c r="W76" s="11" t="n">
        <v>1</v>
      </c>
      <c r="X76" s="11" t="n">
        <v>1</v>
      </c>
      <c r="Y76" s="11" t="n">
        <v>0</v>
      </c>
    </row>
    <row r="77">
      <c r="A77" s="9" t="inlineStr">
        <is>
          <t>ARCH.7.1</t>
        </is>
      </c>
      <c r="B77" s="10" t="inlineStr">
        <is>
          <t>Dedizierte Hostsysteme für Server</t>
        </is>
      </c>
      <c r="C77" s="11" t="n"/>
      <c r="D77" s="11" t="inlineStr">
        <is>
          <t>Standard-Anforderungen</t>
        </is>
      </c>
      <c r="E77" s="12" t="inlineStr">
        <is>
          <t>Gesamt:</t>
        </is>
      </c>
      <c r="F77" s="11" t="n"/>
      <c r="G77" s="11" t="n"/>
      <c r="H77" s="13">
        <f>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
      </c>
      <c r="I77" s="11" t="n"/>
      <c r="J77" s="11" t="n"/>
      <c r="K77" s="11" t="n"/>
      <c r="L77" s="11" t="n"/>
      <c r="M77" s="11" t="inlineStr">
        <is>
          <t>Vertraulichkeit</t>
        </is>
      </c>
      <c r="N77" s="12" t="inlineStr">
        <is>
          <t>APP.3.2.A1-UA.4; APP.3.6.A11-UA.2; APP.4.4.A15-UA.1; NET.3.4.A23-UA.3; SYS.1.1.A16-UA.3; SYS.1.1.A30-UA.1; SYS.1.6.A11-UA.1; SYS.2.1.A23-UA.1</t>
        </is>
      </c>
      <c r="O77" s="11" t="inlineStr">
        <is>
          <t>equivalent-to; subset-of; subset-of; subset-of; subset-of; subset-of; subset-of; intersects-with</t>
        </is>
      </c>
      <c r="P77" s="12" t="inlineStr">
        <is>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is>
      </c>
      <c r="Q77" s="11" t="inlineStr">
        <is>
          <t>Anwendungen</t>
        </is>
      </c>
      <c r="R77" s="11" t="inlineStr">
        <is>
          <t>Konfigurationshistorie</t>
        </is>
      </c>
      <c r="S77" s="12" t="inlineStr">
        <is>
          <t>Serverdienste ausschließlich auf für die Anwendung dedizierten {{virtuellen oder physischen}} Hostsystemen</t>
        </is>
      </c>
      <c r="T77" s="12" t="inlineStr">
        <is>
          <t>G 0.25 – Ausfall von Geräten oder Systemen; G 0.28 – Software-Schwachstellen oder -Fehler; G 0.23 – Unbefugtes Eindringen in IT-Systeme</t>
        </is>
      </c>
      <c r="U77" s="11" t="n">
        <v>3</v>
      </c>
      <c r="V77" s="11" t="n">
        <v>2</v>
      </c>
      <c r="W77" s="11" t="n">
        <v>1</v>
      </c>
      <c r="X77" s="11" t="n">
        <v>1</v>
      </c>
      <c r="Y77" s="11" t="n">
        <v>0</v>
      </c>
    </row>
    <row r="78">
      <c r="A78" s="11" t="inlineStr">
        <is>
          <t>ARCH.7.1</t>
        </is>
      </c>
      <c r="B78" s="12" t="inlineStr">
        <is>
          <t>Dedizierte Hostsysteme für Server</t>
        </is>
      </c>
      <c r="C78" s="11" t="inlineStr">
        <is>
          <t>ARCH.7.1</t>
        </is>
      </c>
      <c r="D78" s="11" t="inlineStr">
        <is>
          <t>Standard-Anforderungen</t>
        </is>
      </c>
      <c r="E78" s="12" t="inlineStr">
        <is>
          <t>Architektur für Anwendungen SOLLTE Serverdienste ausschließlich auf für die Anwendung dedizierten virtuellen oder physischen Hostsystemen platzieren.</t>
        </is>
      </c>
      <c r="F78" s="14" t="n"/>
      <c r="G78" s="14" t="n"/>
      <c r="H78" s="14" t="inlineStr">
        <is>
          <t>unbearbeitet</t>
        </is>
      </c>
      <c r="I78" s="14" t="n"/>
      <c r="J78" s="14" t="n"/>
      <c r="K78" s="14" t="n"/>
      <c r="L78" s="15" t="n"/>
      <c r="M78" s="11" t="inlineStr">
        <is>
          <t>Vertraulichkeit</t>
        </is>
      </c>
      <c r="N78" s="12" t="inlineStr">
        <is>
          <t>APP.3.2.A1-UA.4; APP.3.6.A11-UA.2; APP.4.4.A15-UA.1; NET.3.4.A23-UA.3; SYS.1.1.A16-UA.3; SYS.1.1.A30-UA.1; SYS.1.6.A11-UA.1; SYS.2.1.A23-UA.1</t>
        </is>
      </c>
      <c r="O78" s="11" t="inlineStr">
        <is>
          <t>equivalent-to; subset-of; subset-of; subset-of; subset-of; subset-of; subset-of; intersects-with</t>
        </is>
      </c>
      <c r="P78" s="12" t="inlineStr">
        <is>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is>
      </c>
      <c r="Q78" s="11" t="inlineStr">
        <is>
          <t>Anwendungen</t>
        </is>
      </c>
      <c r="R78" s="11" t="inlineStr">
        <is>
          <t>Konfigurationshistorie</t>
        </is>
      </c>
      <c r="S78" s="12" t="inlineStr">
        <is>
          <t>Serverdienste ausschließlich auf für die Anwendung dedizierten {{virtuellen oder physischen}} Hostsystemen</t>
        </is>
      </c>
      <c r="T78" s="12" t="inlineStr">
        <is>
          <t>G 0.25 – Ausfall von Geräten oder Systemen; G 0.28 – Software-Schwachstellen oder -Fehler; G 0.23 – Unbefugtes Eindringen in IT-Systeme</t>
        </is>
      </c>
      <c r="U78" s="11" t="n">
        <v>3</v>
      </c>
      <c r="V78" s="11" t="n">
        <v>2</v>
      </c>
      <c r="W78" s="11" t="n">
        <v>1</v>
      </c>
      <c r="X78" s="11" t="n">
        <v>1</v>
      </c>
      <c r="Y78" s="11" t="n">
        <v>0</v>
      </c>
    </row>
    <row r="79">
      <c r="A79" s="9" t="inlineStr">
        <is>
          <t>ARCH.7.2</t>
        </is>
      </c>
      <c r="B79" s="10" t="inlineStr">
        <is>
          <t>Dedizierte Hardware</t>
        </is>
      </c>
      <c r="C79" s="11" t="n"/>
      <c r="D79" s="11" t="inlineStr">
        <is>
          <t>Anforderungen bei erhöhtem Schutzbedarf</t>
        </is>
      </c>
      <c r="E79" s="12" t="inlineStr">
        <is>
          <t>Gesamt:</t>
        </is>
      </c>
      <c r="F79" s="11" t="n"/>
      <c r="G79" s="11" t="n"/>
      <c r="H79" s="13">
        <f>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
      </c>
      <c r="I79" s="11" t="n"/>
      <c r="J79" s="11" t="n"/>
      <c r="K79" s="11" t="n"/>
      <c r="L79" s="11" t="n"/>
      <c r="M79" s="11" t="inlineStr">
        <is>
          <t>Verfügbarkeit</t>
        </is>
      </c>
      <c r="N79" s="12" t="inlineStr">
        <is>
          <t>APP.3.6.A11-UA.2; SYS.2.5.A4-UA.2</t>
        </is>
      </c>
      <c r="O79" s="11" t="inlineStr">
        <is>
          <t>subset-of; subset-of</t>
        </is>
      </c>
      <c r="P79" s="12" t="inlineStr">
        <is>
          <t>Um die Verfügbarkeit ausreichender Ressourcen sicherzustellen und zyklische Abhängigkeiten zu vermeiden (z.B. einen VM-Host, dessen Domain Controller auf ihm selbst virtualisiert wird).</t>
        </is>
      </c>
      <c r="Q79" s="11" t="inlineStr">
        <is>
          <t>Hostsysteme</t>
        </is>
      </c>
      <c r="R79" s="11" t="inlineStr">
        <is>
          <t>Konfigurationshistorie</t>
        </is>
      </c>
      <c r="S79" s="12" t="inlineStr">
        <is>
          <t>diese auf dedizierter Hardware</t>
        </is>
      </c>
      <c r="T79" s="12" t="inlineStr">
        <is>
          <t>G 0.27 – Ressourcenmangel; G 0.18 – Fehlplanung oder fehlende Anpassung</t>
        </is>
      </c>
      <c r="U79" s="11" t="n">
        <v>5</v>
      </c>
      <c r="V79" s="11" t="n">
        <v>1</v>
      </c>
      <c r="W79" s="11" t="n">
        <v>1</v>
      </c>
      <c r="X79" s="11" t="n">
        <v>2</v>
      </c>
      <c r="Y79" s="11" t="n">
        <v>0</v>
      </c>
    </row>
    <row r="80">
      <c r="A80" s="11" t="inlineStr">
        <is>
          <t>ARCH.7.2</t>
        </is>
      </c>
      <c r="B80" s="12" t="inlineStr">
        <is>
          <t>Dedizierte Hardware</t>
        </is>
      </c>
      <c r="C80" s="11" t="inlineStr">
        <is>
          <t>ARCH.7.2</t>
        </is>
      </c>
      <c r="D80" s="11" t="inlineStr">
        <is>
          <t>Anforderungen bei erhöhtem Schutzbedarf</t>
        </is>
      </c>
      <c r="E80" s="12" t="inlineStr">
        <is>
          <t>Architektur für Hostsysteme KANN diese auf dedizierter Hardware platzieren.</t>
        </is>
      </c>
      <c r="F80" s="14" t="n"/>
      <c r="G80" s="14" t="n"/>
      <c r="H80" s="14" t="inlineStr">
        <is>
          <t>unbearbeitet</t>
        </is>
      </c>
      <c r="I80" s="14" t="n"/>
      <c r="J80" s="14" t="n"/>
      <c r="K80" s="14" t="n"/>
      <c r="L80" s="15" t="n"/>
      <c r="M80" s="11" t="inlineStr">
        <is>
          <t>Verfügbarkeit</t>
        </is>
      </c>
      <c r="N80" s="12" t="inlineStr">
        <is>
          <t>APP.3.6.A11-UA.2; SYS.2.5.A4-UA.2</t>
        </is>
      </c>
      <c r="O80" s="11" t="inlineStr">
        <is>
          <t>subset-of; subset-of</t>
        </is>
      </c>
      <c r="P80" s="12" t="inlineStr">
        <is>
          <t>Um die Verfügbarkeit ausreichender Ressourcen sicherzustellen und zyklische Abhängigkeiten zu vermeiden (z.B. einen VM-Host, dessen Domain Controller auf ihm selbst virtualisiert wird).</t>
        </is>
      </c>
      <c r="Q80" s="11" t="inlineStr">
        <is>
          <t>Hostsysteme</t>
        </is>
      </c>
      <c r="R80" s="11" t="inlineStr">
        <is>
          <t>Konfigurationshistorie</t>
        </is>
      </c>
      <c r="S80" s="12" t="inlineStr">
        <is>
          <t>diese auf dedizierter Hardware</t>
        </is>
      </c>
      <c r="T80" s="12" t="inlineStr">
        <is>
          <t>G 0.27 – Ressourcenmangel; G 0.18 – Fehlplanung oder fehlende Anpassung</t>
        </is>
      </c>
      <c r="U80" s="11" t="n">
        <v>5</v>
      </c>
      <c r="V80" s="11" t="n">
        <v>1</v>
      </c>
      <c r="W80" s="11" t="n">
        <v>1</v>
      </c>
      <c r="X80" s="11" t="n">
        <v>2</v>
      </c>
      <c r="Y80" s="11" t="n">
        <v>0</v>
      </c>
    </row>
    <row r="81">
      <c r="A81" s="9" t="inlineStr">
        <is>
          <t>ARCH.7.3</t>
        </is>
      </c>
      <c r="B81" s="10" t="inlineStr">
        <is>
          <t>Entwicklungs- und Testumgebungen</t>
        </is>
      </c>
      <c r="C81" s="11" t="n"/>
      <c r="D81" s="11" t="inlineStr">
        <is>
          <t>Standard-Anforderungen</t>
        </is>
      </c>
      <c r="E81" s="12" t="inlineStr">
        <is>
          <t>Gesamt:</t>
        </is>
      </c>
      <c r="F81" s="11" t="n"/>
      <c r="G81" s="11" t="n"/>
      <c r="H81" s="13">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
      </c>
      <c r="I81" s="11" t="n"/>
      <c r="J81" s="11" t="n"/>
      <c r="K81" s="11" t="n"/>
      <c r="L81" s="11" t="n"/>
      <c r="M81" s="11" t="inlineStr">
        <is>
          <t>Vertraulichkeit, Verfügbarkeit</t>
        </is>
      </c>
      <c r="N81" s="12" t="inlineStr">
        <is>
          <t>APP.4.4.A1-UA.1; CON.8.A7-UA.8; OPS.1.1.6.A13-UA.1; OPS.1.1.6.A13-UA.2; SYS.1.5.A10-UA.4; SYS.1.7.A33-UA.1</t>
        </is>
      </c>
      <c r="O81" s="11" t="inlineStr">
        <is>
          <t>intersects-with; subset-of; equivalent-to; equivalent-to; equal-to; subset-of</t>
        </is>
      </c>
      <c r="P81" s="12" t="inlineStr">
        <is>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is>
      </c>
      <c r="Q81" s="11" t="inlineStr">
        <is>
          <t>Virtualisierungslösungen</t>
        </is>
      </c>
      <c r="R81" s="11" t="inlineStr">
        <is>
          <t>Konfigurationshistorie</t>
        </is>
      </c>
      <c r="S81" s="12" t="inlineStr">
        <is>
          <t>Entwicklungs- und Testumgebungen nicht auf produktiven Hostsystemen</t>
        </is>
      </c>
      <c r="T81" s="12" t="inlineStr">
        <is>
          <t>G 0.18 – Fehlplanung oder fehlende Anpassung; G 0.46 – Integritätsverlust schützenswerter Informationen; G 0.19 – Offenlegung schützenswerter Informationen</t>
        </is>
      </c>
      <c r="U81" s="11" t="n">
        <v>4</v>
      </c>
      <c r="V81" s="11" t="n">
        <v>2</v>
      </c>
      <c r="W81" s="11" t="n">
        <v>1</v>
      </c>
      <c r="X81" s="11" t="n">
        <v>2</v>
      </c>
      <c r="Y81" s="11" t="n">
        <v>0</v>
      </c>
    </row>
    <row r="82">
      <c r="A82" s="11" t="inlineStr">
        <is>
          <t>ARCH.7.3</t>
        </is>
      </c>
      <c r="B82" s="12" t="inlineStr">
        <is>
          <t>Entwicklungs- und Testumgebungen</t>
        </is>
      </c>
      <c r="C82" s="11" t="inlineStr">
        <is>
          <t>ARCH.7.3</t>
        </is>
      </c>
      <c r="D82" s="11" t="inlineStr">
        <is>
          <t>Standard-Anforderungen</t>
        </is>
      </c>
      <c r="E82" s="12" t="inlineStr">
        <is>
          <t>Architektur für Virtualisierungslösungen SOLLTE Entwicklungs- und Testumgebungen nicht auf produktiven Hostsystemen platzieren.</t>
        </is>
      </c>
      <c r="F82" s="14" t="n"/>
      <c r="G82" s="14" t="n"/>
      <c r="H82" s="14" t="inlineStr">
        <is>
          <t>unbearbeitet</t>
        </is>
      </c>
      <c r="I82" s="14" t="n"/>
      <c r="J82" s="14" t="n"/>
      <c r="K82" s="14" t="n"/>
      <c r="L82" s="15" t="n"/>
      <c r="M82" s="11" t="inlineStr">
        <is>
          <t>Vertraulichkeit, Verfügbarkeit</t>
        </is>
      </c>
      <c r="N82" s="12" t="inlineStr">
        <is>
          <t>APP.4.4.A1-UA.1; CON.8.A7-UA.8; OPS.1.1.6.A13-UA.1; OPS.1.1.6.A13-UA.2; SYS.1.5.A10-UA.4; SYS.1.7.A33-UA.1</t>
        </is>
      </c>
      <c r="O82" s="11" t="inlineStr">
        <is>
          <t>intersects-with; subset-of; equivalent-to; equivalent-to; equal-to; subset-of</t>
        </is>
      </c>
      <c r="P82" s="12" t="inlineStr">
        <is>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is>
      </c>
      <c r="Q82" s="11" t="inlineStr">
        <is>
          <t>Virtualisierungslösungen</t>
        </is>
      </c>
      <c r="R82" s="11" t="inlineStr">
        <is>
          <t>Konfigurationshistorie</t>
        </is>
      </c>
      <c r="S82" s="12" t="inlineStr">
        <is>
          <t>Entwicklungs- und Testumgebungen nicht auf produktiven Hostsystemen</t>
        </is>
      </c>
      <c r="T82" s="12" t="inlineStr">
        <is>
          <t>G 0.18 – Fehlplanung oder fehlende Anpassung; G 0.46 – Integritätsverlust schützenswerter Informationen; G 0.19 – Offenlegung schützenswerter Informationen</t>
        </is>
      </c>
      <c r="U82" s="11" t="n">
        <v>4</v>
      </c>
      <c r="V82" s="11" t="n">
        <v>2</v>
      </c>
      <c r="W82" s="11" t="n">
        <v>1</v>
      </c>
      <c r="X82" s="11" t="n">
        <v>2</v>
      </c>
      <c r="Y82" s="11" t="n">
        <v>0</v>
      </c>
    </row>
    <row r="83">
      <c r="A83" s="9" t="inlineStr">
        <is>
          <t>ARCH.8.1</t>
        </is>
      </c>
      <c r="B83" s="10" t="inlineStr">
        <is>
          <t>Redundanz im Kernnetz</t>
        </is>
      </c>
      <c r="C83" s="11" t="n"/>
      <c r="D83" s="11" t="inlineStr">
        <is>
          <t>Standard-Anforderungen</t>
        </is>
      </c>
      <c r="E83" s="12" t="inlineStr">
        <is>
          <t>Gesamt:</t>
        </is>
      </c>
      <c r="F83" s="11" t="n"/>
      <c r="G83" s="11" t="n"/>
      <c r="H83" s="13">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
      </c>
      <c r="I83" s="11" t="n"/>
      <c r="J83" s="11" t="n"/>
      <c r="K83" s="11" t="n"/>
      <c r="L83" s="11" t="n"/>
      <c r="M83" s="11" t="inlineStr"/>
      <c r="N83" s="12" t="inlineStr">
        <is>
          <t>NET.1.1.A16-UA.2; NET.1.1.A17-UA.2; NET.1.1.A29-UA.1; NET.1.1.A29-UA.3; NET.3.1.A26-UA.2; SYS.1.1.A28-UA.3</t>
        </is>
      </c>
      <c r="O83" s="11" t="inlineStr">
        <is>
          <t>superset-of; superset-of; equivalent-to; superset-of; equal-to; superset-of</t>
        </is>
      </c>
      <c r="P83" s="12" t="inlineStr">
        <is>
          <t>Ziel hierbei ist es, dass beim Ausfall eines Systems oder einer Systemkomponente die Netzanbindung stets weiterhin funktionsfähig bleibt (Single-Point-of-Failure).</t>
        </is>
      </c>
      <c r="Q83" s="11" t="inlineStr">
        <is>
          <t>Netze</t>
        </is>
      </c>
      <c r="R83" s="11" t="inlineStr">
        <is>
          <t>Konfigurationshistorie</t>
        </is>
      </c>
      <c r="S83" s="12" t="inlineStr">
        <is>
          <t>für das Kernnetz redundante Netzkomponenten</t>
        </is>
      </c>
      <c r="T83" s="12" t="inlineStr">
        <is>
          <t>G 0.25 – Ausfall von Geräten oder Systemen; G 0.11 – Ausfall oder Störung von Dienstleistern; G 0.9 – Ausfall oder Störung von Kommunikationsnetzen; G 0.18 – Fehlplanung oder fehlende Anpassung</t>
        </is>
      </c>
      <c r="U83" s="11" t="n">
        <v>4</v>
      </c>
      <c r="V83" s="11" t="n">
        <v>1</v>
      </c>
      <c r="W83" s="11" t="n">
        <v>1</v>
      </c>
      <c r="X83" s="11" t="n">
        <v>1</v>
      </c>
      <c r="Y83" s="11" t="n">
        <v>0</v>
      </c>
    </row>
    <row r="84">
      <c r="A84" s="11" t="inlineStr">
        <is>
          <t>ARCH.8.1</t>
        </is>
      </c>
      <c r="B84" s="12" t="inlineStr">
        <is>
          <t>Redundanz im Kernnetz</t>
        </is>
      </c>
      <c r="C84" s="11" t="inlineStr">
        <is>
          <t>ARCH.8.1</t>
        </is>
      </c>
      <c r="D84" s="11" t="inlineStr">
        <is>
          <t>Standard-Anforderungen</t>
        </is>
      </c>
      <c r="E84" s="12" t="inlineStr">
        <is>
          <t>Architektur für Netze SOLLTE für das Kernnetz redundante Netzkomponenten installieren.</t>
        </is>
      </c>
      <c r="F84" s="14" t="n"/>
      <c r="G84" s="14" t="n"/>
      <c r="H84" s="14" t="inlineStr">
        <is>
          <t>unbearbeitet</t>
        </is>
      </c>
      <c r="I84" s="14" t="n"/>
      <c r="J84" s="14" t="n"/>
      <c r="K84" s="14" t="n"/>
      <c r="L84" s="15" t="n"/>
      <c r="M84" s="11" t="inlineStr"/>
      <c r="N84" s="12" t="inlineStr">
        <is>
          <t>NET.1.1.A16-UA.2; NET.1.1.A17-UA.2; NET.1.1.A29-UA.1; NET.1.1.A29-UA.3; NET.3.1.A26-UA.2; SYS.1.1.A28-UA.3</t>
        </is>
      </c>
      <c r="O84" s="11" t="inlineStr">
        <is>
          <t>superset-of; superset-of; equivalent-to; superset-of; equal-to; superset-of</t>
        </is>
      </c>
      <c r="P84" s="12" t="inlineStr">
        <is>
          <t>Ziel hierbei ist es, dass beim Ausfall eines Systems oder einer Systemkomponente die Netzanbindung stets weiterhin funktionsfähig bleibt (Single-Point-of-Failure).</t>
        </is>
      </c>
      <c r="Q84" s="11" t="inlineStr">
        <is>
          <t>Netze</t>
        </is>
      </c>
      <c r="R84" s="11" t="inlineStr">
        <is>
          <t>Konfigurationshistorie</t>
        </is>
      </c>
      <c r="S84" s="12" t="inlineStr">
        <is>
          <t>für das Kernnetz redundante Netzkomponenten</t>
        </is>
      </c>
      <c r="T84" s="12" t="inlineStr">
        <is>
          <t>G 0.25 – Ausfall von Geräten oder Systemen; G 0.11 – Ausfall oder Störung von Dienstleistern; G 0.9 – Ausfall oder Störung von Kommunikationsnetzen; G 0.18 – Fehlplanung oder fehlende Anpassung</t>
        </is>
      </c>
      <c r="U84" s="11" t="n">
        <v>4</v>
      </c>
      <c r="V84" s="11" t="n">
        <v>1</v>
      </c>
      <c r="W84" s="11" t="n">
        <v>1</v>
      </c>
      <c r="X84" s="11" t="n">
        <v>1</v>
      </c>
      <c r="Y84" s="11" t="n">
        <v>0</v>
      </c>
    </row>
    <row r="85">
      <c r="A85" s="9" t="inlineStr">
        <is>
          <t>ARCH.8.2</t>
        </is>
      </c>
      <c r="B85" s="10" t="inlineStr">
        <is>
          <t>Redundante TK-Anbindung</t>
        </is>
      </c>
      <c r="C85" s="11" t="n"/>
      <c r="D85" s="11" t="inlineStr">
        <is>
          <t>Anforderungen bei erhöhtem Schutzbedarf</t>
        </is>
      </c>
      <c r="E85" s="12" t="inlineStr">
        <is>
          <t>Gesamt:</t>
        </is>
      </c>
      <c r="F85" s="11" t="n"/>
      <c r="G85" s="11" t="n"/>
      <c r="H85" s="13">
        <f>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
      </c>
      <c r="I85" s="11" t="n"/>
      <c r="J85" s="11" t="n"/>
      <c r="K85" s="11" t="n"/>
      <c r="L85" s="11" t="n"/>
      <c r="M85" s="11" t="inlineStr">
        <is>
          <t>Verfügbarkeit</t>
        </is>
      </c>
      <c r="N85" s="12" t="inlineStr">
        <is>
          <t>APP.5.4.A11-UA.3; NET.1.1.A29-UA.1; NET.4.1.A19-UA.1; NET.4.1.A19-UA.2</t>
        </is>
      </c>
      <c r="O85" s="11" t="inlineStr">
        <is>
          <t>superset-of; superset-of; equal-to; intersects-with</t>
        </is>
      </c>
      <c r="P85" s="12" t="inlineStr">
        <is>
          <t>Telekommunikationsanbindungen sind z.B. SIP-Trunks zum öffentlichen Telefonnetz (PSTN). Für weitere Details siehe „Kompendium für organisationsinterne Telekommunikationssysteme mit erhöhtem Schutzbedarf".</t>
        </is>
      </c>
      <c r="Q85" s="11" t="inlineStr">
        <is>
          <t>Externe Netzanschlüsse</t>
        </is>
      </c>
      <c r="R85" s="11" t="inlineStr">
        <is>
          <t>Konfigurationshistorie</t>
        </is>
      </c>
      <c r="S85" s="12" t="inlineStr">
        <is>
          <t>redundante TK-Anbindungen</t>
        </is>
      </c>
      <c r="T85" s="12" t="inlineStr">
        <is>
          <t>G 0.9 – Ausfall oder Störung von Kommunikationsnetzen; G 0.27 – Ressourcenmangel; G 0.25 – Ausfall von Geräten oder Systemen; G 0.11 – Ausfall oder Störung von Dienstleistern</t>
        </is>
      </c>
      <c r="U85" s="11" t="n">
        <v>4</v>
      </c>
      <c r="V85" s="11" t="n">
        <v>1</v>
      </c>
      <c r="W85" s="11" t="n">
        <v>1</v>
      </c>
      <c r="X85" s="11" t="n">
        <v>2</v>
      </c>
      <c r="Y85" s="11" t="n">
        <v>0</v>
      </c>
    </row>
    <row r="86">
      <c r="A86" s="11" t="inlineStr">
        <is>
          <t>ARCH.8.2</t>
        </is>
      </c>
      <c r="B86" s="12" t="inlineStr">
        <is>
          <t>Redundante TK-Anbindung</t>
        </is>
      </c>
      <c r="C86" s="11" t="inlineStr">
        <is>
          <t>ARCH.8.2</t>
        </is>
      </c>
      <c r="D86" s="11" t="inlineStr">
        <is>
          <t>Anforderungen bei erhöhtem Schutzbedarf</t>
        </is>
      </c>
      <c r="E86" s="12" t="inlineStr">
        <is>
          <t>Architektur für Externe Netzanschlüsse KANN redundante TK-Anbindungen für eingehende und ausgehende Verbindungen installieren.</t>
        </is>
      </c>
      <c r="F86" s="14" t="n"/>
      <c r="G86" s="14" t="n"/>
      <c r="H86" s="14" t="inlineStr">
        <is>
          <t>unbearbeitet</t>
        </is>
      </c>
      <c r="I86" s="14" t="n"/>
      <c r="J86" s="14" t="n"/>
      <c r="K86" s="14" t="n"/>
      <c r="L86" s="15" t="n"/>
      <c r="M86" s="11" t="inlineStr">
        <is>
          <t>Verfügbarkeit</t>
        </is>
      </c>
      <c r="N86" s="12" t="inlineStr">
        <is>
          <t>APP.5.4.A11-UA.3; NET.1.1.A29-UA.1; NET.4.1.A19-UA.1; NET.4.1.A19-UA.2</t>
        </is>
      </c>
      <c r="O86" s="11" t="inlineStr">
        <is>
          <t>superset-of; superset-of; equal-to; intersects-with</t>
        </is>
      </c>
      <c r="P86" s="12" t="inlineStr">
        <is>
          <t>Telekommunikationsanbindungen sind z.B. SIP-Trunks zum öffentlichen Telefonnetz (PSTN). Für weitere Details siehe „Kompendium für organisationsinterne Telekommunikationssysteme mit erhöhtem Schutzbedarf".</t>
        </is>
      </c>
      <c r="Q86" s="11" t="inlineStr">
        <is>
          <t>Externe Netzanschlüsse</t>
        </is>
      </c>
      <c r="R86" s="11" t="inlineStr">
        <is>
          <t>Konfigurationshistorie</t>
        </is>
      </c>
      <c r="S86" s="12" t="inlineStr">
        <is>
          <t>redundante TK-Anbindungen</t>
        </is>
      </c>
      <c r="T86" s="12" t="inlineStr">
        <is>
          <t>G 0.9 – Ausfall oder Störung von Kommunikationsnetzen; G 0.27 – Ressourcenmangel; G 0.25 – Ausfall von Geräten oder Systemen; G 0.11 – Ausfall oder Störung von Dienstleistern</t>
        </is>
      </c>
      <c r="U86" s="11" t="n">
        <v>4</v>
      </c>
      <c r="V86" s="11" t="n">
        <v>1</v>
      </c>
      <c r="W86" s="11" t="n">
        <v>1</v>
      </c>
      <c r="X86" s="11" t="n">
        <v>2</v>
      </c>
      <c r="Y86" s="11" t="n">
        <v>0</v>
      </c>
    </row>
    <row r="87">
      <c r="A87" s="9" t="inlineStr">
        <is>
          <t>ARCH.8.3</t>
        </is>
      </c>
      <c r="B87" s="10" t="inlineStr">
        <is>
          <t>Redundante Server</t>
        </is>
      </c>
      <c r="C87" s="11" t="n"/>
      <c r="D87" s="11" t="inlineStr">
        <is>
          <t>Anforderungen bei erhöhtem Schutzbedarf</t>
        </is>
      </c>
      <c r="E87" s="12" t="inlineStr">
        <is>
          <t>Gesamt:</t>
        </is>
      </c>
      <c r="F87" s="11" t="n"/>
      <c r="G87" s="11" t="n"/>
      <c r="H87" s="13">
        <f>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
      </c>
      <c r="I87" s="11" t="n"/>
      <c r="J87" s="11" t="n"/>
      <c r="K87" s="11" t="n"/>
      <c r="L87" s="11" t="n"/>
      <c r="M87" s="11" t="inlineStr">
        <is>
          <t>Verfügbarkeit</t>
        </is>
      </c>
      <c r="N87" s="12" t="inlineStr">
        <is>
          <t>APP.3.2.A15-UA.1; APP.3.2.A15-UA.2; APP.3.6.A2-UA.1; APP.3.6.A2-UA.2; APP.5.3.A11-UA.1; NET.1.1.A28-UA.2; NET.1.1.A29-UA.1; NET.1.2.A30-UA.2; OPS.1.1.7.A20-UA.2; SYS.1.1.A15-UA.1; SYS.1.1.A25-UA.3; SYS.1.1.A28-UA.1; SYS.1.1.A28-UA.3; SYS.1.9.A21-UA.2; SYS.2.5.A18-UA.3; SYS.2.6.A15-UA.1</t>
        </is>
      </c>
      <c r="O87" s="11" t="inlineStr">
        <is>
          <t>subset-of; subset-of; subset-of; subset-of; subset-of; superset-of; subset-of; subset-of; subset-of; intersects-with; subset-of; intersects-with; intersects-with; subset-of; subset-of; superset-of</t>
        </is>
      </c>
      <c r="P87" s="12" t="inlineStr">
        <is>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is>
      </c>
      <c r="Q87" s="11" t="inlineStr">
        <is>
          <t>Anwendungen</t>
        </is>
      </c>
      <c r="R87" s="11" t="inlineStr">
        <is>
          <t>Konfigurationshistorie</t>
        </is>
      </c>
      <c r="S87" s="12" t="inlineStr">
        <is>
          <t>für die Funktionsfähigkeit der Anwendung erforderliche Hostsysteme redundant</t>
        </is>
      </c>
      <c r="T87" s="12" t="inlineStr">
        <is>
          <t>G 0.25 – Ausfall von Geräten oder Systemen; G 0.9 – Ausfall oder Störung von Kommunikationsnetzen; G 0.40 – Verhinderung von Diensten (Denial of Service); G 0.27 – Ressourcenmangel</t>
        </is>
      </c>
      <c r="U87" s="11" t="n">
        <v>5</v>
      </c>
      <c r="V87" s="11" t="n">
        <v>1</v>
      </c>
      <c r="W87" s="11" t="n">
        <v>1</v>
      </c>
      <c r="X87" s="11" t="n">
        <v>2</v>
      </c>
      <c r="Y87" s="11" t="n">
        <v>0</v>
      </c>
    </row>
    <row r="88">
      <c r="A88" s="11" t="inlineStr">
        <is>
          <t>ARCH.8.3</t>
        </is>
      </c>
      <c r="B88" s="12" t="inlineStr">
        <is>
          <t>Redundante Server</t>
        </is>
      </c>
      <c r="C88" s="11" t="inlineStr">
        <is>
          <t>ARCH.8.3</t>
        </is>
      </c>
      <c r="D88" s="11" t="inlineStr">
        <is>
          <t>Anforderungen bei erhöhtem Schutzbedarf</t>
        </is>
      </c>
      <c r="E88" s="12" t="inlineStr">
        <is>
          <t>Architektur für Anwendungen KANN für die Funktionsfähigkeit der Anwendung erforderliche Hostsysteme redundant installieren.</t>
        </is>
      </c>
      <c r="F88" s="14" t="n"/>
      <c r="G88" s="14" t="n"/>
      <c r="H88" s="14" t="inlineStr">
        <is>
          <t>unbearbeitet</t>
        </is>
      </c>
      <c r="I88" s="14" t="n"/>
      <c r="J88" s="14" t="n"/>
      <c r="K88" s="14" t="n"/>
      <c r="L88" s="15" t="n"/>
      <c r="M88" s="11" t="inlineStr">
        <is>
          <t>Verfügbarkeit</t>
        </is>
      </c>
      <c r="N88" s="12" t="inlineStr">
        <is>
          <t>APP.3.2.A15-UA.1; APP.3.2.A15-UA.2; APP.3.6.A2-UA.1; APP.3.6.A2-UA.2; APP.5.3.A11-UA.1; NET.1.1.A28-UA.2; NET.1.1.A29-UA.1; NET.1.2.A30-UA.2; OPS.1.1.7.A20-UA.2; SYS.1.1.A15-UA.1; SYS.1.1.A25-UA.3; SYS.1.1.A28-UA.1; SYS.1.1.A28-UA.3; SYS.1.9.A21-UA.2; SYS.2.5.A18-UA.3; SYS.2.6.A15-UA.1</t>
        </is>
      </c>
      <c r="O88" s="11" t="inlineStr">
        <is>
          <t>subset-of; subset-of; subset-of; subset-of; subset-of; superset-of; subset-of; subset-of; subset-of; intersects-with; subset-of; intersects-with; intersects-with; subset-of; subset-of; superset-of</t>
        </is>
      </c>
      <c r="P88" s="12" t="inlineStr">
        <is>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is>
      </c>
      <c r="Q88" s="11" t="inlineStr">
        <is>
          <t>Anwendungen</t>
        </is>
      </c>
      <c r="R88" s="11" t="inlineStr">
        <is>
          <t>Konfigurationshistorie</t>
        </is>
      </c>
      <c r="S88" s="12" t="inlineStr">
        <is>
          <t>für die Funktionsfähigkeit der Anwendung erforderliche Hostsysteme redundant</t>
        </is>
      </c>
      <c r="T88" s="12" t="inlineStr">
        <is>
          <t>G 0.25 – Ausfall von Geräten oder Systemen; G 0.9 – Ausfall oder Störung von Kommunikationsnetzen; G 0.40 – Verhinderung von Diensten (Denial of Service); G 0.27 – Ressourcenmangel</t>
        </is>
      </c>
      <c r="U88" s="11" t="n">
        <v>5</v>
      </c>
      <c r="V88" s="11" t="n">
        <v>1</v>
      </c>
      <c r="W88" s="11" t="n">
        <v>1</v>
      </c>
      <c r="X88" s="11" t="n">
        <v>2</v>
      </c>
      <c r="Y88" s="11" t="n">
        <v>0</v>
      </c>
    </row>
    <row r="89">
      <c r="A89" s="9" t="inlineStr">
        <is>
          <t>ARCH.9.1</t>
        </is>
      </c>
      <c r="B89" s="10" t="inlineStr">
        <is>
          <t>Dimensionierung der Netzanbindung</t>
        </is>
      </c>
      <c r="C89" s="11" t="n"/>
      <c r="D89" s="11" t="inlineStr">
        <is>
          <t>Standard-Anforderungen</t>
        </is>
      </c>
      <c r="E89" s="12" t="inlineStr">
        <is>
          <t>Gesamt:</t>
        </is>
      </c>
      <c r="F89" s="11" t="n"/>
      <c r="G89" s="11" t="n"/>
      <c r="H89" s="13">
        <f>IF(OR(COUNTBLANK($H$90:$H$90)&gt;0,COUNTIF($H$90:$H$90,"unbearbeitet")=COUNTA($H$90:$H$90)),"Bitte Teilanforderungen ausfüllen",IF(COUNTIF($H$90:$H$90,"zu klären")&gt;0,"zu klären",IF(COUNTIF($H$90:$H$90,"entbehrlich")=COUNTA($H$90:$H$90),"entbehrlich",IF(COUNTIF($H$90:$H$90,"verwiesen")=COUNTA($H$90:$H$90),"verwiesen",IF(COUNTIF($H$90:$H$90,"nein")+COUNTIF($H$90:$H$90,"entbehrlich")=COUNTA($H$90:$H$90),"nein",IF(COUNTIF($H$90:$H$90,"ja")+COUNTIF($H$90:$H$90,"entbehrlich")+COUNTIF($H$90:$H$90,"verwiesen")=COUNTA($H$90:$H$90),"ja","teilweise"))))))</f>
        <v/>
      </c>
      <c r="I89" s="11" t="n"/>
      <c r="J89" s="11" t="n"/>
      <c r="K89" s="11" t="n"/>
      <c r="L89" s="11" t="n"/>
      <c r="M89" s="11" t="inlineStr">
        <is>
          <t>Verfügbarkeit</t>
        </is>
      </c>
      <c r="N89" s="12" t="inlineStr">
        <is>
          <t>INF.12.A17-UA.3; INF.12.A5-UA.1; NET.4.2.A1-UA.6; SYS.1.9.A6-UA.2; SYS.2.5.A2-UA.1</t>
        </is>
      </c>
      <c r="O89" s="11" t="inlineStr">
        <is>
          <t>superset-of; superset-of; equivalent-to; subset-of; subset-of</t>
        </is>
      </c>
      <c r="P89" s="12" t="inlineStr">
        <is>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is>
      </c>
      <c r="Q89" s="11" t="inlineStr">
        <is>
          <t>Netze</t>
        </is>
      </c>
      <c r="R89" s="11" t="inlineStr">
        <is>
          <t>IT-Betriebskonzept</t>
        </is>
      </c>
      <c r="S89" s="12" t="inlineStr">
        <is>
          <t>eine bedarfsgerechte Netzanbindung</t>
        </is>
      </c>
      <c r="T89" s="12" t="inlineStr">
        <is>
          <t>G 0.18 – Fehlplanung oder fehlende Anpassung; G 0.27 – Ressourcenmangel</t>
        </is>
      </c>
      <c r="U89" s="11" t="n">
        <v>3</v>
      </c>
      <c r="V89" s="11" t="n">
        <v>1</v>
      </c>
      <c r="W89" s="11" t="n">
        <v>1</v>
      </c>
      <c r="X89" s="11" t="n">
        <v>2</v>
      </c>
      <c r="Y89" s="11" t="n">
        <v>0</v>
      </c>
    </row>
    <row r="90">
      <c r="A90" s="11" t="inlineStr">
        <is>
          <t>ARCH.9.1</t>
        </is>
      </c>
      <c r="B90" s="12" t="inlineStr">
        <is>
          <t>Dimensionierung der Netzanbindung</t>
        </is>
      </c>
      <c r="C90" s="11" t="inlineStr">
        <is>
          <t>ARCH.9.1</t>
        </is>
      </c>
      <c r="D90" s="11" t="inlineStr">
        <is>
          <t>Standard-Anforderungen</t>
        </is>
      </c>
      <c r="E90" s="12" t="inlineStr">
        <is>
          <t>Architektur für Netze SOLLTE eine bedarfsgerechte Netzanbindung installieren.</t>
        </is>
      </c>
      <c r="F90" s="14" t="n"/>
      <c r="G90" s="14" t="n"/>
      <c r="H90" s="14" t="inlineStr">
        <is>
          <t>unbearbeitet</t>
        </is>
      </c>
      <c r="I90" s="14" t="n"/>
      <c r="J90" s="14" t="n"/>
      <c r="K90" s="14" t="n"/>
      <c r="L90" s="15" t="n"/>
      <c r="M90" s="11" t="inlineStr">
        <is>
          <t>Verfügbarkeit</t>
        </is>
      </c>
      <c r="N90" s="12" t="inlineStr">
        <is>
          <t>INF.12.A17-UA.3; INF.12.A5-UA.1; NET.4.2.A1-UA.6; SYS.1.9.A6-UA.2; SYS.2.5.A2-UA.1</t>
        </is>
      </c>
      <c r="O90" s="11" t="inlineStr">
        <is>
          <t>superset-of; superset-of; equivalent-to; subset-of; subset-of</t>
        </is>
      </c>
      <c r="P90" s="12" t="inlineStr">
        <is>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is>
      </c>
      <c r="Q90" s="11" t="inlineStr">
        <is>
          <t>Netze</t>
        </is>
      </c>
      <c r="R90" s="11" t="inlineStr">
        <is>
          <t>IT-Betriebskonzept</t>
        </is>
      </c>
      <c r="S90" s="12" t="inlineStr">
        <is>
          <t>eine bedarfsgerechte Netzanbindung</t>
        </is>
      </c>
      <c r="T90" s="12" t="inlineStr">
        <is>
          <t>G 0.18 – Fehlplanung oder fehlende Anpassung; G 0.27 – Ressourcenmangel</t>
        </is>
      </c>
      <c r="U90" s="11" t="n">
        <v>3</v>
      </c>
      <c r="V90" s="11" t="n">
        <v>1</v>
      </c>
      <c r="W90" s="11" t="n">
        <v>1</v>
      </c>
      <c r="X90" s="11" t="n">
        <v>2</v>
      </c>
      <c r="Y90" s="11" t="n">
        <v>0</v>
      </c>
    </row>
    <row r="91">
      <c r="A91" s="9" t="inlineStr">
        <is>
          <t>ARCH.9.2</t>
        </is>
      </c>
      <c r="B91" s="10" t="inlineStr">
        <is>
          <t>Lastverteilung</t>
        </is>
      </c>
      <c r="C91" s="11" t="n"/>
      <c r="D91" s="11" t="inlineStr">
        <is>
          <t>Anforderungen bei erhöhtem Schutzbedarf</t>
        </is>
      </c>
      <c r="E91" s="12" t="inlineStr">
        <is>
          <t>Gesamt:</t>
        </is>
      </c>
      <c r="F91" s="11" t="n"/>
      <c r="G91" s="11" t="n"/>
      <c r="H91" s="13">
        <f>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
      </c>
      <c r="I91" s="11" t="n"/>
      <c r="J91" s="11" t="n"/>
      <c r="K91" s="11" t="n"/>
      <c r="L91" s="11" t="n"/>
      <c r="M91" s="11" t="inlineStr">
        <is>
          <t>Verfügbarkeit</t>
        </is>
      </c>
      <c r="N91" s="12" t="inlineStr">
        <is>
          <t>SYS.1.1.A28-UA.1; SYS.2.6.A12-UA.2</t>
        </is>
      </c>
      <c r="O91" s="11" t="inlineStr">
        <is>
          <t>superset-of; subset-of</t>
        </is>
      </c>
      <c r="P91" s="12" t="inlineStr">
        <is>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is>
      </c>
      <c r="Q91" s="11" t="inlineStr">
        <is>
          <t>Anwendungen</t>
        </is>
      </c>
      <c r="R91" s="11" t="inlineStr">
        <is>
          <t>Konfigurationshistorie</t>
        </is>
      </c>
      <c r="S91" s="12" t="inlineStr">
        <is>
          <t>eine {{netzbasierte oder serverbasierte}} automatische Lastverteilung</t>
        </is>
      </c>
      <c r="T91" s="12" t="inlineStr">
        <is>
          <t>G 0.18 – Fehlplanung oder fehlende Anpassung; G 0.27 – Ressourcenmangel</t>
        </is>
      </c>
      <c r="U91" s="11" t="n">
        <v>5</v>
      </c>
      <c r="V91" s="11" t="n">
        <v>1</v>
      </c>
      <c r="W91" s="11" t="n">
        <v>1</v>
      </c>
      <c r="X91" s="11" t="n">
        <v>2</v>
      </c>
      <c r="Y91" s="11" t="n">
        <v>0</v>
      </c>
    </row>
    <row r="92">
      <c r="A92" s="11" t="inlineStr">
        <is>
          <t>ARCH.9.2</t>
        </is>
      </c>
      <c r="B92" s="12" t="inlineStr">
        <is>
          <t>Lastverteilung</t>
        </is>
      </c>
      <c r="C92" s="11" t="inlineStr">
        <is>
          <t>ARCH.9.2</t>
        </is>
      </c>
      <c r="D92" s="11" t="inlineStr">
        <is>
          <t>Anforderungen bei erhöhtem Schutzbedarf</t>
        </is>
      </c>
      <c r="E92" s="12" t="inlineStr">
        <is>
          <t>Architektur für Anwendungen KANN eine netzbasierte oder serverbasierte automatische Lastverteilung aktivieren.</t>
        </is>
      </c>
      <c r="F92" s="14" t="n"/>
      <c r="G92" s="14" t="n"/>
      <c r="H92" s="14" t="inlineStr">
        <is>
          <t>unbearbeitet</t>
        </is>
      </c>
      <c r="I92" s="14" t="n"/>
      <c r="J92" s="14" t="n"/>
      <c r="K92" s="14" t="n"/>
      <c r="L92" s="15" t="n"/>
      <c r="M92" s="11" t="inlineStr">
        <is>
          <t>Verfügbarkeit</t>
        </is>
      </c>
      <c r="N92" s="12" t="inlineStr">
        <is>
          <t>SYS.1.1.A28-UA.1; SYS.2.6.A12-UA.2</t>
        </is>
      </c>
      <c r="O92" s="11" t="inlineStr">
        <is>
          <t>superset-of; subset-of</t>
        </is>
      </c>
      <c r="P92" s="12" t="inlineStr">
        <is>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is>
      </c>
      <c r="Q92" s="11" t="inlineStr">
        <is>
          <t>Anwendungen</t>
        </is>
      </c>
      <c r="R92" s="11" t="inlineStr">
        <is>
          <t>Konfigurationshistorie</t>
        </is>
      </c>
      <c r="S92" s="12" t="inlineStr">
        <is>
          <t>eine {{netzbasierte oder serverbasierte}} automatische Lastverteilung</t>
        </is>
      </c>
      <c r="T92" s="12" t="inlineStr">
        <is>
          <t>G 0.18 – Fehlplanung oder fehlende Anpassung; G 0.27 – Ressourcenmangel</t>
        </is>
      </c>
      <c r="U92" s="11" t="n">
        <v>5</v>
      </c>
      <c r="V92" s="11" t="n">
        <v>1</v>
      </c>
      <c r="W92" s="11" t="n">
        <v>1</v>
      </c>
      <c r="X92" s="11" t="n">
        <v>2</v>
      </c>
      <c r="Y92" s="11" t="n">
        <v>0</v>
      </c>
    </row>
    <row r="93">
      <c r="A93" s="9" t="inlineStr">
        <is>
          <t>ARCH.9.3</t>
        </is>
      </c>
      <c r="B93" s="10" t="inlineStr">
        <is>
          <t>Automatische Skalierung</t>
        </is>
      </c>
      <c r="C93" s="11" t="n"/>
      <c r="D93" s="11" t="inlineStr">
        <is>
          <t>Anforderungen bei erhöhtem Schutzbedarf</t>
        </is>
      </c>
      <c r="E93" s="12" t="inlineStr">
        <is>
          <t>Gesamt:</t>
        </is>
      </c>
      <c r="F93" s="11" t="n"/>
      <c r="G93" s="11" t="n"/>
      <c r="H93" s="13">
        <f>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
      </c>
      <c r="I93" s="11" t="n"/>
      <c r="J93" s="11" t="n"/>
      <c r="K93" s="11" t="n"/>
      <c r="L93" s="11" t="n"/>
      <c r="M93" s="11" t="inlineStr"/>
      <c r="N93" s="12" t="inlineStr">
        <is>
          <t>APP.4.3.A11-UA.4</t>
        </is>
      </c>
      <c r="O93" s="11" t="inlineStr">
        <is>
          <t>intersects-with</t>
        </is>
      </c>
      <c r="P93" s="12" t="inlineStr">
        <is>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is>
      </c>
      <c r="Q93" s="11" t="inlineStr">
        <is>
          <t>Anwendungen</t>
        </is>
      </c>
      <c r="R93" s="11" t="inlineStr">
        <is>
          <t>Konfigurationshistorie</t>
        </is>
      </c>
      <c r="S93" s="12" t="inlineStr">
        <is>
          <t>eine automatische Skalierung der von der Anwendung verwendeten Computerinstanzen</t>
        </is>
      </c>
      <c r="T93" s="12" t="inlineStr">
        <is>
          <t>G 0.27 – Ressourcenmangel</t>
        </is>
      </c>
      <c r="U93" s="11" t="n">
        <v>5</v>
      </c>
      <c r="V93" s="11" t="n">
        <v>0</v>
      </c>
      <c r="W93" s="11" t="n">
        <v>0</v>
      </c>
      <c r="X93" s="11" t="n">
        <v>1</v>
      </c>
      <c r="Y93" s="11" t="n">
        <v>0</v>
      </c>
    </row>
    <row r="94">
      <c r="A94" s="11" t="inlineStr">
        <is>
          <t>ARCH.9.3</t>
        </is>
      </c>
      <c r="B94" s="12" t="inlineStr">
        <is>
          <t>Automatische Skalierung</t>
        </is>
      </c>
      <c r="C94" s="11" t="inlineStr">
        <is>
          <t>ARCH.9.3</t>
        </is>
      </c>
      <c r="D94" s="11" t="inlineStr">
        <is>
          <t>Anforderungen bei erhöhtem Schutzbedarf</t>
        </is>
      </c>
      <c r="E94" s="12" t="inlineStr">
        <is>
          <t>Architektur für Anwendungen KANN eine automatische Skalierung der von der Anwendung verwendeten Computerinstanzen anhand von Schwellwerten aktivieren.</t>
        </is>
      </c>
      <c r="F94" s="14" t="n"/>
      <c r="G94" s="14" t="n"/>
      <c r="H94" s="14" t="inlineStr">
        <is>
          <t>unbearbeitet</t>
        </is>
      </c>
      <c r="I94" s="14" t="n"/>
      <c r="J94" s="14" t="n"/>
      <c r="K94" s="14" t="n"/>
      <c r="L94" s="15" t="n"/>
      <c r="M94" s="11" t="inlineStr"/>
      <c r="N94" s="12" t="inlineStr">
        <is>
          <t>APP.4.3.A11-UA.4</t>
        </is>
      </c>
      <c r="O94" s="11" t="inlineStr">
        <is>
          <t>intersects-with</t>
        </is>
      </c>
      <c r="P94" s="12" t="inlineStr">
        <is>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is>
      </c>
      <c r="Q94" s="11" t="inlineStr">
        <is>
          <t>Anwendungen</t>
        </is>
      </c>
      <c r="R94" s="11" t="inlineStr">
        <is>
          <t>Konfigurationshistorie</t>
        </is>
      </c>
      <c r="S94" s="12" t="inlineStr">
        <is>
          <t>eine automatische Skalierung der von der Anwendung verwendeten Computerinstanzen</t>
        </is>
      </c>
      <c r="T94" s="12" t="inlineStr">
        <is>
          <t>G 0.27 – Ressourcenmangel</t>
        </is>
      </c>
      <c r="U94" s="11" t="n">
        <v>5</v>
      </c>
      <c r="V94" s="11" t="n">
        <v>0</v>
      </c>
      <c r="W94" s="11" t="n">
        <v>0</v>
      </c>
      <c r="X94" s="11" t="n">
        <v>1</v>
      </c>
      <c r="Y94" s="11" t="n">
        <v>0</v>
      </c>
    </row>
    <row r="95">
      <c r="A95" s="9" t="inlineStr">
        <is>
          <t>ARCH.9.4</t>
        </is>
      </c>
      <c r="B95" s="10" t="inlineStr">
        <is>
          <t>Content Delivery Network</t>
        </is>
      </c>
      <c r="C95" s="11" t="n"/>
      <c r="D95" s="11" t="inlineStr">
        <is>
          <t>Anforderungen bei erhöhtem Schutzbedarf</t>
        </is>
      </c>
      <c r="E95" s="12" t="inlineStr">
        <is>
          <t>Gesamt:</t>
        </is>
      </c>
      <c r="F95" s="11" t="n"/>
      <c r="G95" s="11" t="n"/>
      <c r="H95" s="13">
        <f>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
      </c>
      <c r="I95" s="11" t="n"/>
      <c r="J95" s="11" t="n"/>
      <c r="K95" s="11" t="n"/>
      <c r="L95" s="11" t="n"/>
      <c r="M95" s="11" t="inlineStr"/>
      <c r="N95" s="12" t="inlineStr">
        <is>
          <t>NET.3.1.A17-UA.1; SYS.1.1.A25-UA.3; SYS.1.1.A28-UA.1</t>
        </is>
      </c>
      <c r="O95" s="11" t="inlineStr">
        <is>
          <t>intersects-with; superset-of; superset-of</t>
        </is>
      </c>
      <c r="P95" s="12" t="inlineStr">
        <is>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is>
      </c>
      <c r="Q95" s="11" t="inlineStr">
        <is>
          <t>Anwendungen</t>
        </is>
      </c>
      <c r="R95" s="11" t="inlineStr">
        <is>
          <t>Konfigurationshistorie</t>
        </is>
      </c>
      <c r="S95" s="12" t="inlineStr">
        <is>
          <t>ein Content Delivery Network</t>
        </is>
      </c>
      <c r="T95" s="12" t="inlineStr">
        <is>
          <t>G 0.18 – Fehlplanung oder fehlende Anpassung; G 0.27 – Ressourcenmangel; G 0.25 – Ausfall von Geräten oder Systemen</t>
        </is>
      </c>
      <c r="U95" s="11" t="n">
        <v>5</v>
      </c>
      <c r="V95" s="11" t="n">
        <v>1</v>
      </c>
      <c r="W95" s="11" t="n">
        <v>1</v>
      </c>
      <c r="X95" s="11" t="n">
        <v>1</v>
      </c>
      <c r="Y95" s="11" t="n">
        <v>0</v>
      </c>
    </row>
    <row r="96">
      <c r="A96" s="11" t="inlineStr">
        <is>
          <t>ARCH.9.4</t>
        </is>
      </c>
      <c r="B96" s="12" t="inlineStr">
        <is>
          <t>Content Delivery Network</t>
        </is>
      </c>
      <c r="C96" s="11" t="inlineStr">
        <is>
          <t>ARCH.9.4</t>
        </is>
      </c>
      <c r="D96" s="11" t="inlineStr">
        <is>
          <t>Anforderungen bei erhöhtem Schutzbedarf</t>
        </is>
      </c>
      <c r="E96" s="12" t="inlineStr">
        <is>
          <t>Architektur für Anwendungen KANN ein Content Delivery Network installieren.</t>
        </is>
      </c>
      <c r="F96" s="14" t="n"/>
      <c r="G96" s="14" t="n"/>
      <c r="H96" s="14" t="inlineStr">
        <is>
          <t>unbearbeitet</t>
        </is>
      </c>
      <c r="I96" s="14" t="n"/>
      <c r="J96" s="14" t="n"/>
      <c r="K96" s="14" t="n"/>
      <c r="L96" s="15" t="n"/>
      <c r="M96" s="11" t="inlineStr"/>
      <c r="N96" s="12" t="inlineStr">
        <is>
          <t>NET.3.1.A17-UA.1; SYS.1.1.A25-UA.3; SYS.1.1.A28-UA.1</t>
        </is>
      </c>
      <c r="O96" s="11" t="inlineStr">
        <is>
          <t>intersects-with; superset-of; superset-of</t>
        </is>
      </c>
      <c r="P96" s="12" t="inlineStr">
        <is>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is>
      </c>
      <c r="Q96" s="11" t="inlineStr">
        <is>
          <t>Anwendungen</t>
        </is>
      </c>
      <c r="R96" s="11" t="inlineStr">
        <is>
          <t>Konfigurationshistorie</t>
        </is>
      </c>
      <c r="S96" s="12" t="inlineStr">
        <is>
          <t>ein Content Delivery Network</t>
        </is>
      </c>
      <c r="T96" s="12" t="inlineStr">
        <is>
          <t>G 0.18 – Fehlplanung oder fehlende Anpassung; G 0.27 – Ressourcenmangel; G 0.25 – Ausfall von Geräten oder Systemen</t>
        </is>
      </c>
      <c r="U96" s="11" t="n">
        <v>5</v>
      </c>
      <c r="V96" s="11" t="n">
        <v>1</v>
      </c>
      <c r="W96" s="11" t="n">
        <v>1</v>
      </c>
      <c r="X96" s="11" t="n">
        <v>1</v>
      </c>
      <c r="Y96" s="11" t="n">
        <v>0</v>
      </c>
    </row>
    <row r="97">
      <c r="A97" s="9" t="inlineStr">
        <is>
          <t>ARCH.9.5</t>
        </is>
      </c>
      <c r="B97" s="10" t="inlineStr">
        <is>
          <t>Schutz gegen volumetrische DoS-Angriffe</t>
        </is>
      </c>
      <c r="C97" s="11" t="n"/>
      <c r="D97" s="11" t="inlineStr">
        <is>
          <t>Anforderungen bei erhöhtem Schutzbedarf</t>
        </is>
      </c>
      <c r="E97" s="12" t="inlineStr">
        <is>
          <t>Gesamt:</t>
        </is>
      </c>
      <c r="F97" s="11" t="n"/>
      <c r="G97" s="11" t="n"/>
      <c r="H97" s="13">
        <f>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
      </c>
      <c r="I97" s="11" t="n"/>
      <c r="J97" s="11" t="n"/>
      <c r="K97" s="11" t="n"/>
      <c r="L97" s="11" t="n"/>
      <c r="M97" s="11" t="inlineStr"/>
      <c r="N97" s="12" t="inlineStr">
        <is>
          <t>APP.3.2.A18-UA.2; APP.5.3.A2-UA.7; CON.10.A17-UA.1; NET.1.1.A30-UA.1; NET.1.1.A30-UA.2; NET.3.1.A17-UA.1; OPS.1.2.5.A20-UA.2</t>
        </is>
      </c>
      <c r="O97" s="11" t="inlineStr">
        <is>
          <t>subset-of; equivalent-to; intersects-with; subset-of; subset-of; subset-of; subset-of</t>
        </is>
      </c>
      <c r="P97" s="12" t="inlineStr">
        <is>
          <t>Volumetrische Angriffe können z.B. durch die Verwendung von Anycast-DNS, Upstream Rate Limiting, On-Premise- oder Cloud-Scrubbing, BGP FlowSpec-Filter, Auto-Null-Routing oder Remotely Triggered Blackholing abgewehrt werden.</t>
        </is>
      </c>
      <c r="Q97" s="11" t="inlineStr">
        <is>
          <t>Netze</t>
        </is>
      </c>
      <c r="R97" s="11" t="inlineStr">
        <is>
          <t>Konfigurationshistorie</t>
        </is>
      </c>
      <c r="S97" s="12" t="inlineStr">
        <is>
          <t>Schutzmaßnahmen gegen volumetrische DoS-Angriffe</t>
        </is>
      </c>
      <c r="T97" s="12" t="inlineStr">
        <is>
          <t>G 0.27 – Ressourcenmangel; G 0.40 – Verhinderung von Diensten (Denial of Service); G 0.25 – Ausfall von Geräten oder Systemen</t>
        </is>
      </c>
      <c r="U97" s="11" t="n">
        <v>5</v>
      </c>
      <c r="V97" s="11" t="n">
        <v>0</v>
      </c>
      <c r="W97" s="11" t="n">
        <v>0</v>
      </c>
      <c r="X97" s="11" t="n">
        <v>1</v>
      </c>
      <c r="Y97" s="11" t="n">
        <v>0</v>
      </c>
    </row>
    <row r="98">
      <c r="A98" s="11" t="inlineStr">
        <is>
          <t>ARCH.9.5</t>
        </is>
      </c>
      <c r="B98" s="12" t="inlineStr">
        <is>
          <t>Schutz gegen volumetrische DoS-Angriffe</t>
        </is>
      </c>
      <c r="C98" s="11" t="inlineStr">
        <is>
          <t>ARCH.9.5</t>
        </is>
      </c>
      <c r="D98" s="11" t="inlineStr">
        <is>
          <t>Anforderungen bei erhöhtem Schutzbedarf</t>
        </is>
      </c>
      <c r="E98" s="12" t="inlineStr">
        <is>
          <t>Architektur für Netze KANN Schutzmaßnahmen gegen volumetrische DoS-Angriffe aktivieren.</t>
        </is>
      </c>
      <c r="F98" s="14" t="n"/>
      <c r="G98" s="14" t="n"/>
      <c r="H98" s="14" t="inlineStr">
        <is>
          <t>unbearbeitet</t>
        </is>
      </c>
      <c r="I98" s="14" t="n"/>
      <c r="J98" s="14" t="n"/>
      <c r="K98" s="14" t="n"/>
      <c r="L98" s="15" t="n"/>
      <c r="M98" s="11" t="inlineStr"/>
      <c r="N98" s="12" t="inlineStr">
        <is>
          <t>APP.3.2.A18-UA.2; APP.5.3.A2-UA.7; CON.10.A17-UA.1; NET.1.1.A30-UA.1; NET.1.1.A30-UA.2; NET.3.1.A17-UA.1; OPS.1.2.5.A20-UA.2</t>
        </is>
      </c>
      <c r="O98" s="11" t="inlineStr">
        <is>
          <t>subset-of; equivalent-to; intersects-with; subset-of; subset-of; subset-of; subset-of</t>
        </is>
      </c>
      <c r="P98" s="12" t="inlineStr">
        <is>
          <t>Volumetrische Angriffe können z.B. durch die Verwendung von Anycast-DNS, Upstream Rate Limiting, On-Premise- oder Cloud-Scrubbing, BGP FlowSpec-Filter, Auto-Null-Routing oder Remotely Triggered Blackholing abgewehrt werden.</t>
        </is>
      </c>
      <c r="Q98" s="11" t="inlineStr">
        <is>
          <t>Netze</t>
        </is>
      </c>
      <c r="R98" s="11" t="inlineStr">
        <is>
          <t>Konfigurationshistorie</t>
        </is>
      </c>
      <c r="S98" s="12" t="inlineStr">
        <is>
          <t>Schutzmaßnahmen gegen volumetrische DoS-Angriffe</t>
        </is>
      </c>
      <c r="T98" s="12" t="inlineStr">
        <is>
          <t>G 0.27 – Ressourcenmangel; G 0.40 – Verhinderung von Diensten (Denial of Service); G 0.25 – Ausfall von Geräten oder Systemen</t>
        </is>
      </c>
      <c r="U98" s="11" t="n">
        <v>5</v>
      </c>
      <c r="V98" s="11" t="n">
        <v>0</v>
      </c>
      <c r="W98" s="11" t="n">
        <v>0</v>
      </c>
      <c r="X98" s="11" t="n">
        <v>1</v>
      </c>
      <c r="Y98" s="11" t="n">
        <v>0</v>
      </c>
    </row>
  </sheetData>
  <autoFilter ref="A6:Y6"/>
  <conditionalFormatting sqref="H7:H98">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7 H18 H19 H20 H21 H22 H23 H24 H25 H26 H27 H28 H30 H32 H34 H36 H38 H40 H42 H44 H46 H47 H48 H50 H52 H54 H55 H56 H57 H58 H59 H60 H61 H62 H63 H64 H65 H66 H67 H68 H69 H70 H72 H74 H76 H78 H80 H82 H84 H86 H88 H90 H92 H94 H96 H98"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23"/>
  <sheetViews>
    <sheetView workbookViewId="0">
      <selection activeCell="A1" sqref="A1"/>
    </sheetView>
  </sheetViews>
  <sheetFormatPr baseColWidth="8" defaultRowHeight="15"/>
  <cols>
    <col width="44" customWidth="1" min="2" max="2"/>
    <col width="14" customWidth="1" min="3" max="3"/>
  </cols>
  <sheetData>
    <row r="2">
      <c r="B2" s="1" t="inlineStr">
        <is>
          <t>Status Bearbeitung</t>
        </is>
      </c>
      <c r="C2" s="1" t="inlineStr">
        <is>
          <t>Anzahl</t>
        </is>
      </c>
    </row>
    <row r="3">
      <c r="B3" s="2" t="inlineStr">
        <is>
          <t>Relevante Praktiken</t>
        </is>
      </c>
      <c r="C3" s="2">
        <f>COUNTIF(Praktiken!$C$5:$C$24,"Ja")</f>
        <v/>
      </c>
    </row>
    <row r="4">
      <c r="B4" s="2" t="inlineStr">
        <is>
          <t>Abgeschlossene Praktiken</t>
        </is>
      </c>
      <c r="C4" s="2">
        <f>COUNTIFS(Praktiken!$C$5:$C$24,"Ja",Praktiken!$G$5:$G$24,1)</f>
        <v/>
      </c>
    </row>
    <row r="5">
      <c r="B5" s="2" t="inlineStr">
        <is>
          <t>Begonnene Praktiken</t>
        </is>
      </c>
      <c r="C5" s="2">
        <f>COUNTIFS(Praktiken!$C$5:$C$24,"Ja",Praktiken!$G$5:$G$24,"&gt;0",Praktiken!$G$5:$G$24,"&lt;1")</f>
        <v/>
      </c>
    </row>
    <row r="6">
      <c r="B6" s="2" t="inlineStr"/>
      <c r="C6" s="2" t="inlineStr"/>
    </row>
    <row r="7">
      <c r="B7" s="1" t="inlineStr">
        <is>
          <t>Status Umsetzung</t>
        </is>
      </c>
      <c r="C7" s="1" t="inlineStr">
        <is>
          <t>Anzahl</t>
        </is>
      </c>
    </row>
    <row r="8">
      <c r="B8" s="2" t="inlineStr">
        <is>
          <t>Teilanforderungen: ja</t>
        </is>
      </c>
      <c r="C8" s="2">
        <f>SUMIFS(Praktiken!$H$5:$H$24,Praktiken!$C$5:$C$24,"Ja")</f>
        <v/>
      </c>
    </row>
    <row r="9">
      <c r="B9" s="2" t="inlineStr">
        <is>
          <t>Teilanforderungen: nein</t>
        </is>
      </c>
      <c r="C9" s="2">
        <f>SUMIFS(Praktiken!$I$5:$I$24,Praktiken!$C$5:$C$24,"Ja")</f>
        <v/>
      </c>
    </row>
    <row r="10">
      <c r="B10" s="2" t="inlineStr">
        <is>
          <t>Teilanforderungen: teilweise</t>
        </is>
      </c>
      <c r="C10" s="2">
        <f>SUMIFS(Praktiken!$J$5:$J$24,Praktiken!$C$5:$C$24,"Ja")</f>
        <v/>
      </c>
    </row>
    <row r="11">
      <c r="B11" s="2" t="inlineStr">
        <is>
          <t>Teilanforderungen: entbehrlich</t>
        </is>
      </c>
      <c r="C11" s="2">
        <f>SUMIFS(Praktiken!$K$5:$K$24,Praktiken!$C$5:$C$24,"Ja")</f>
        <v/>
      </c>
    </row>
    <row r="12">
      <c r="B12" s="2" t="inlineStr">
        <is>
          <t>Teilanforderungen: verwiesen</t>
        </is>
      </c>
      <c r="C12" s="2">
        <f>SUMIFS(Praktiken!$L$5:$L$24,Praktiken!$C$5:$C$24,"Ja")</f>
        <v/>
      </c>
    </row>
    <row r="13">
      <c r="B13" s="2" t="inlineStr">
        <is>
          <t>Teilanforderungen: zu klären</t>
        </is>
      </c>
      <c r="C13" s="2">
        <f>SUMIFS(Praktiken!$M$5:$M$24,Praktiken!$C$5:$C$24,"Ja")</f>
        <v/>
      </c>
    </row>
    <row r="14">
      <c r="B14" s="2" t="inlineStr">
        <is>
          <t>Teilanforderungen: unbearbeitet</t>
        </is>
      </c>
      <c r="C14" s="2">
        <f>SUMIFS(Praktiken!$N$5:$N$24,Praktiken!$C$5:$C$24,"Ja")</f>
        <v/>
      </c>
    </row>
    <row r="15">
      <c r="B15" s="2" t="inlineStr"/>
      <c r="C15" s="2" t="inlineStr"/>
    </row>
    <row r="16">
      <c r="B16" s="2" t="inlineStr">
        <is>
          <t>Erreichte Punkte je Schutzziel</t>
        </is>
      </c>
      <c r="C16" s="2" t="inlineStr">
        <is>
          <t>Punkte</t>
        </is>
      </c>
    </row>
    <row r="17">
      <c r="B17" s="2" t="inlineStr">
        <is>
          <t>Vertraulichkeit</t>
        </is>
      </c>
      <c r="C17" s="2">
        <f>SUMIFS(Praktiken!$O$5:$O$24,Praktiken!$C$5:$C$24,"Ja")</f>
        <v/>
      </c>
    </row>
    <row r="18">
      <c r="B18" s="2" t="inlineStr">
        <is>
          <t>Integrität</t>
        </is>
      </c>
      <c r="C18" s="2">
        <f>SUMIFS(Praktiken!$P$5:$P$24,Praktiken!$C$5:$C$24,"Ja")</f>
        <v/>
      </c>
    </row>
    <row r="19">
      <c r="B19" s="2" t="inlineStr">
        <is>
          <t>Verfügbarkeit</t>
        </is>
      </c>
      <c r="C19" s="2">
        <f>SUMIFS(Praktiken!$Q$5:$Q$24,Praktiken!$C$5:$C$24,"Ja")</f>
        <v/>
      </c>
    </row>
    <row r="20">
      <c r="B20" s="2" t="inlineStr">
        <is>
          <t>Authentizität</t>
        </is>
      </c>
      <c r="C20" s="2">
        <f>SUMIFS(Praktiken!$R$5:$R$24,Praktiken!$C$5:$C$24,"Ja")</f>
        <v/>
      </c>
    </row>
    <row r="21">
      <c r="B21" s="2" t="inlineStr"/>
      <c r="C21" s="2" t="inlineStr"/>
    </row>
    <row r="23">
      <c r="B23" s="16" t="inlineStr">
        <is>
          <t>Punkte = Summe der Schutzzielwerte (0–2) aller Teilanforderungen mit Status "ja". Entbehrliche und verwiesene Anforderungen zählen nicht mit.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4:T27"/>
  <sheetViews>
    <sheetView workbookViewId="0">
      <pane ySplit="4" topLeftCell="A5" activePane="bottomLeft" state="frozen"/>
      <selection pane="bottomLeft" activeCell="A1" sqref="A1"/>
    </sheetView>
  </sheetViews>
  <sheetFormatPr baseColWidth="8" defaultRowHeight="15"/>
  <cols>
    <col width="12" customWidth="1" min="1" max="1"/>
    <col width="34" customWidth="1" min="2" max="2"/>
    <col width="14" customWidth="1" min="3" max="3"/>
    <col width="22" customWidth="1" min="4" max="4"/>
    <col width="30" customWidth="1" min="5" max="5"/>
    <col width="18" customWidth="1" min="6" max="6"/>
    <col width="20"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8" customWidth="1" min="19" max="19"/>
    <col width="30" customWidth="1" min="20" max="20"/>
  </cols>
  <sheetData>
    <row r="4" ht="28" customHeight="1">
      <c r="A4" s="8" t="inlineStr">
        <is>
          <t>Praktik</t>
        </is>
      </c>
      <c r="B4" s="8" t="inlineStr">
        <is>
          <t>Titel</t>
        </is>
      </c>
      <c r="C4" s="8" t="inlineStr">
        <is>
          <t>Relevanz</t>
        </is>
      </c>
      <c r="D4" s="8" t="inlineStr">
        <is>
          <t>Zielobjekt</t>
        </is>
      </c>
      <c r="E4" s="8" t="inlineStr">
        <is>
          <t>Begründung</t>
        </is>
      </c>
      <c r="F4" s="8" t="inlineStr">
        <is>
          <t>Umsetzungsstand (%)</t>
        </is>
      </c>
      <c r="G4" s="8" t="inlineStr">
        <is>
          <t>Bearbeitungsstand (%)</t>
        </is>
      </c>
      <c r="H4" s="8" t="inlineStr">
        <is>
          <t>ja</t>
        </is>
      </c>
      <c r="I4" s="8" t="inlineStr">
        <is>
          <t>nein</t>
        </is>
      </c>
      <c r="J4" s="8" t="inlineStr">
        <is>
          <t>teilweise</t>
        </is>
      </c>
      <c r="K4" s="8" t="inlineStr">
        <is>
          <t>entbehrlich</t>
        </is>
      </c>
      <c r="L4" s="8" t="inlineStr">
        <is>
          <t>verwiesen</t>
        </is>
      </c>
      <c r="M4" s="8" t="inlineStr">
        <is>
          <t>zu klären</t>
        </is>
      </c>
      <c r="N4" s="8" t="inlineStr">
        <is>
          <t>unbearbeitet</t>
        </is>
      </c>
      <c r="O4" s="8" t="inlineStr">
        <is>
          <t>Punkte Vertraulichkeit</t>
        </is>
      </c>
      <c r="P4" s="8" t="inlineStr">
        <is>
          <t>Punkte Integrität</t>
        </is>
      </c>
      <c r="Q4" s="8" t="inlineStr">
        <is>
          <t>Punkte Verfügbarkeit</t>
        </is>
      </c>
      <c r="R4" s="8" t="inlineStr">
        <is>
          <t>Punkte Authentizität</t>
        </is>
      </c>
      <c r="S4" s="8" t="inlineStr">
        <is>
          <t>Zuständig</t>
        </is>
      </c>
      <c r="T4" s="8" t="inlineStr">
        <is>
          <t>Kommentar</t>
        </is>
      </c>
    </row>
    <row r="5">
      <c r="A5" s="3" t="inlineStr">
        <is>
          <t>ARCH</t>
        </is>
      </c>
      <c r="B5" s="2" t="inlineStr">
        <is>
          <t>Architektur</t>
        </is>
      </c>
      <c r="C5" s="17" t="n"/>
      <c r="D5" s="17" t="n"/>
      <c r="E5" s="17" t="n"/>
      <c r="F5" s="18">
        <f>IF($C5="Ja",IFERROR((COUNTIFS('ARCH'!$C$7:$C$98,"&lt;&gt;",'ARCH'!$H$7:$H$98,"ja")+COUNTIFS('ARCH'!$C$7:$C$98,"&lt;&gt;",'ARCH'!$H$7:$H$98,"entbehrlich")+COUNTIFS('ARCH'!$C$7:$C$98,"&lt;&gt;",'ARCH'!$H$7:$H$98,"verwiesen"))/COUNTA('ARCH'!$C$7:$C$98),0),"")</f>
        <v/>
      </c>
      <c r="G5" s="18">
        <f>IF($C5="Ja",IFERROR((COUNTA('ARCH'!$C$7:$C$98)-COUNTIFS('ARCH'!$C$7:$C$98,"&lt;&gt;",'ARCH'!$H$7:$H$98,"unbearbeitet"))/COUNTA('ARCH'!$C$7:$C$98),0),"")</f>
        <v/>
      </c>
      <c r="H5" s="19">
        <f>IF($C5="Ja",COUNTIFS('ARCH'!$C$7:$C$98,"&lt;&gt;",'ARCH'!$H$7:$H$98,"ja"),"")</f>
        <v/>
      </c>
      <c r="I5" s="19">
        <f>IF($C5="Ja",COUNTIFS('ARCH'!$C$7:$C$98,"&lt;&gt;",'ARCH'!$H$7:$H$98,"nein"),"")</f>
        <v/>
      </c>
      <c r="J5" s="19">
        <f>IF($C5="Ja",COUNTIFS('ARCH'!$C$7:$C$98,"&lt;&gt;",'ARCH'!$H$7:$H$98,"teilweise"),"")</f>
        <v/>
      </c>
      <c r="K5" s="19">
        <f>IF($C5="Ja",COUNTIFS('ARCH'!$C$7:$C$98,"&lt;&gt;",'ARCH'!$H$7:$H$98,"entbehrlich"),"")</f>
        <v/>
      </c>
      <c r="L5" s="19">
        <f>IF($C5="Ja",COUNTIFS('ARCH'!$C$7:$C$98,"&lt;&gt;",'ARCH'!$H$7:$H$98,"verwiesen"),"")</f>
        <v/>
      </c>
      <c r="M5" s="19">
        <f>IF($C5="Ja",COUNTIFS('ARCH'!$C$7:$C$98,"&lt;&gt;",'ARCH'!$H$7:$H$98,"zu klären"),"")</f>
        <v/>
      </c>
      <c r="N5" s="19">
        <f>IF($C5="Ja",COUNTIFS('ARCH'!$C$7:$C$98,"&lt;&gt;",'ARCH'!$H$7:$H$98,"unbearbeitet"),"")</f>
        <v/>
      </c>
      <c r="O5" s="19">
        <f>IF($C5="Ja",SUMIFS('ARCH'!$V$7:$V$98,'ARCH'!$C$7:$C$98,"&lt;&gt;",'ARCH'!$H$7:$H$98,"ja"),"")</f>
        <v/>
      </c>
      <c r="P5" s="19">
        <f>IF($C5="Ja",SUMIFS('ARCH'!$W$7:$W$98,'ARCH'!$C$7:$C$98,"&lt;&gt;",'ARCH'!$H$7:$H$98,"ja"),"")</f>
        <v/>
      </c>
      <c r="Q5" s="19">
        <f>IF($C5="Ja",SUMIFS('ARCH'!$X$7:$X$98,'ARCH'!$C$7:$C$98,"&lt;&gt;",'ARCH'!$H$7:$H$98,"ja"),"")</f>
        <v/>
      </c>
      <c r="R5" s="19">
        <f>IF($C5="Ja",SUMIFS('ARCH'!$Y$7:$Y$98,'ARCH'!$C$7:$C$98,"&lt;&gt;",'ARCH'!$H$7:$H$98,"ja"),"")</f>
        <v/>
      </c>
      <c r="S5" s="17" t="n"/>
      <c r="T5" s="17" t="n"/>
    </row>
    <row r="6">
      <c r="A6" s="3" t="inlineStr">
        <is>
          <t>ASST</t>
        </is>
      </c>
      <c r="B6" s="2" t="inlineStr">
        <is>
          <t>Informationen und Assets</t>
        </is>
      </c>
      <c r="C6" s="17" t="n"/>
      <c r="D6" s="17" t="n"/>
      <c r="E6" s="17" t="n"/>
      <c r="F6" s="18">
        <f>IF($C6="Ja",IFERROR((COUNTIFS('ASST'!$C$7:$C$107,"&lt;&gt;",'ASST'!$H$7:$H$107,"ja")+COUNTIFS('ASST'!$C$7:$C$107,"&lt;&gt;",'ASST'!$H$7:$H$107,"entbehrlich")+COUNTIFS('ASST'!$C$7:$C$107,"&lt;&gt;",'ASST'!$H$7:$H$107,"verwiesen"))/COUNTA('ASST'!$C$7:$C$107),0),"")</f>
        <v/>
      </c>
      <c r="G6" s="18">
        <f>IF($C6="Ja",IFERROR((COUNTA('ASST'!$C$7:$C$107)-COUNTIFS('ASST'!$C$7:$C$107,"&lt;&gt;",'ASST'!$H$7:$H$107,"unbearbeitet"))/COUNTA('ASST'!$C$7:$C$107),0),"")</f>
        <v/>
      </c>
      <c r="H6" s="19">
        <f>IF($C6="Ja",COUNTIFS('ASST'!$C$7:$C$107,"&lt;&gt;",'ASST'!$H$7:$H$107,"ja"),"")</f>
        <v/>
      </c>
      <c r="I6" s="19">
        <f>IF($C6="Ja",COUNTIFS('ASST'!$C$7:$C$107,"&lt;&gt;",'ASST'!$H$7:$H$107,"nein"),"")</f>
        <v/>
      </c>
      <c r="J6" s="19">
        <f>IF($C6="Ja",COUNTIFS('ASST'!$C$7:$C$107,"&lt;&gt;",'ASST'!$H$7:$H$107,"teilweise"),"")</f>
        <v/>
      </c>
      <c r="K6" s="19">
        <f>IF($C6="Ja",COUNTIFS('ASST'!$C$7:$C$107,"&lt;&gt;",'ASST'!$H$7:$H$107,"entbehrlich"),"")</f>
        <v/>
      </c>
      <c r="L6" s="19">
        <f>IF($C6="Ja",COUNTIFS('ASST'!$C$7:$C$107,"&lt;&gt;",'ASST'!$H$7:$H$107,"verwiesen"),"")</f>
        <v/>
      </c>
      <c r="M6" s="19">
        <f>IF($C6="Ja",COUNTIFS('ASST'!$C$7:$C$107,"&lt;&gt;",'ASST'!$H$7:$H$107,"zu klären"),"")</f>
        <v/>
      </c>
      <c r="N6" s="19">
        <f>IF($C6="Ja",COUNTIFS('ASST'!$C$7:$C$107,"&lt;&gt;",'ASST'!$H$7:$H$107,"unbearbeitet"),"")</f>
        <v/>
      </c>
      <c r="O6" s="19">
        <f>IF($C6="Ja",SUMIFS('ASST'!$V$7:$V$107,'ASST'!$C$7:$C$107,"&lt;&gt;",'ASST'!$H$7:$H$107,"ja"),"")</f>
        <v/>
      </c>
      <c r="P6" s="19">
        <f>IF($C6="Ja",SUMIFS('ASST'!$W$7:$W$107,'ASST'!$C$7:$C$107,"&lt;&gt;",'ASST'!$H$7:$H$107,"ja"),"")</f>
        <v/>
      </c>
      <c r="Q6" s="19">
        <f>IF($C6="Ja",SUMIFS('ASST'!$X$7:$X$107,'ASST'!$C$7:$C$107,"&lt;&gt;",'ASST'!$H$7:$H$107,"ja"),"")</f>
        <v/>
      </c>
      <c r="R6" s="19">
        <f>IF($C6="Ja",SUMIFS('ASST'!$Y$7:$Y$107,'ASST'!$C$7:$C$107,"&lt;&gt;",'ASST'!$H$7:$H$107,"ja"),"")</f>
        <v/>
      </c>
      <c r="S6" s="17" t="n"/>
      <c r="T6" s="17" t="n"/>
    </row>
    <row r="7">
      <c r="A7" s="3" t="inlineStr">
        <is>
          <t>BER</t>
        </is>
      </c>
      <c r="B7" s="2" t="inlineStr">
        <is>
          <t>Berechtigung</t>
        </is>
      </c>
      <c r="C7" s="17" t="n"/>
      <c r="D7" s="17" t="n"/>
      <c r="E7" s="17" t="n"/>
      <c r="F7" s="18">
        <f>IF($C7="Ja",IFERROR((COUNTIFS('BER'!$C$7:$C$176,"&lt;&gt;",'BER'!$H$7:$H$176,"ja")+COUNTIFS('BER'!$C$7:$C$176,"&lt;&gt;",'BER'!$H$7:$H$176,"entbehrlich")+COUNTIFS('BER'!$C$7:$C$176,"&lt;&gt;",'BER'!$H$7:$H$176,"verwiesen"))/COUNTA('BER'!$C$7:$C$176),0),"")</f>
        <v/>
      </c>
      <c r="G7" s="18">
        <f>IF($C7="Ja",IFERROR((COUNTA('BER'!$C$7:$C$176)-COUNTIFS('BER'!$C$7:$C$176,"&lt;&gt;",'BER'!$H$7:$H$176,"unbearbeitet"))/COUNTA('BER'!$C$7:$C$176),0),"")</f>
        <v/>
      </c>
      <c r="H7" s="19">
        <f>IF($C7="Ja",COUNTIFS('BER'!$C$7:$C$176,"&lt;&gt;",'BER'!$H$7:$H$176,"ja"),"")</f>
        <v/>
      </c>
      <c r="I7" s="19">
        <f>IF($C7="Ja",COUNTIFS('BER'!$C$7:$C$176,"&lt;&gt;",'BER'!$H$7:$H$176,"nein"),"")</f>
        <v/>
      </c>
      <c r="J7" s="19">
        <f>IF($C7="Ja",COUNTIFS('BER'!$C$7:$C$176,"&lt;&gt;",'BER'!$H$7:$H$176,"teilweise"),"")</f>
        <v/>
      </c>
      <c r="K7" s="19">
        <f>IF($C7="Ja",COUNTIFS('BER'!$C$7:$C$176,"&lt;&gt;",'BER'!$H$7:$H$176,"entbehrlich"),"")</f>
        <v/>
      </c>
      <c r="L7" s="19">
        <f>IF($C7="Ja",COUNTIFS('BER'!$C$7:$C$176,"&lt;&gt;",'BER'!$H$7:$H$176,"verwiesen"),"")</f>
        <v/>
      </c>
      <c r="M7" s="19">
        <f>IF($C7="Ja",COUNTIFS('BER'!$C$7:$C$176,"&lt;&gt;",'BER'!$H$7:$H$176,"zu klären"),"")</f>
        <v/>
      </c>
      <c r="N7" s="19">
        <f>IF($C7="Ja",COUNTIFS('BER'!$C$7:$C$176,"&lt;&gt;",'BER'!$H$7:$H$176,"unbearbeitet"),"")</f>
        <v/>
      </c>
      <c r="O7" s="19">
        <f>IF($C7="Ja",SUMIFS('BER'!$V$7:$V$176,'BER'!$C$7:$C$176,"&lt;&gt;",'BER'!$H$7:$H$176,"ja"),"")</f>
        <v/>
      </c>
      <c r="P7" s="19">
        <f>IF($C7="Ja",SUMIFS('BER'!$W$7:$W$176,'BER'!$C$7:$C$176,"&lt;&gt;",'BER'!$H$7:$H$176,"ja"),"")</f>
        <v/>
      </c>
      <c r="Q7" s="19">
        <f>IF($C7="Ja",SUMIFS('BER'!$X$7:$X$176,'BER'!$C$7:$C$176,"&lt;&gt;",'BER'!$H$7:$H$176,"ja"),"")</f>
        <v/>
      </c>
      <c r="R7" s="19">
        <f>IF($C7="Ja",SUMIFS('BER'!$Y$7:$Y$176,'BER'!$C$7:$C$176,"&lt;&gt;",'BER'!$H$7:$H$176,"ja"),"")</f>
        <v/>
      </c>
      <c r="S7" s="17" t="n"/>
      <c r="T7" s="17" t="n"/>
    </row>
    <row r="8">
      <c r="A8" s="3" t="inlineStr">
        <is>
          <t>BES</t>
        </is>
      </c>
      <c r="B8" s="2" t="inlineStr">
        <is>
          <t>Beschaffungsmanagement</t>
        </is>
      </c>
      <c r="C8" s="17" t="n"/>
      <c r="D8" s="17" t="n"/>
      <c r="E8" s="17" t="n"/>
      <c r="F8" s="18">
        <f>IF($C8="Ja",IFERROR((COUNTIFS('BES'!$C$7:$C$168,"&lt;&gt;",'BES'!$H$7:$H$168,"ja")+COUNTIFS('BES'!$C$7:$C$168,"&lt;&gt;",'BES'!$H$7:$H$168,"entbehrlich")+COUNTIFS('BES'!$C$7:$C$168,"&lt;&gt;",'BES'!$H$7:$H$168,"verwiesen"))/COUNTA('BES'!$C$7:$C$168),0),"")</f>
        <v/>
      </c>
      <c r="G8" s="18">
        <f>IF($C8="Ja",IFERROR((COUNTA('BES'!$C$7:$C$168)-COUNTIFS('BES'!$C$7:$C$168,"&lt;&gt;",'BES'!$H$7:$H$168,"unbearbeitet"))/COUNTA('BES'!$C$7:$C$168),0),"")</f>
        <v/>
      </c>
      <c r="H8" s="19">
        <f>IF($C8="Ja",COUNTIFS('BES'!$C$7:$C$168,"&lt;&gt;",'BES'!$H$7:$H$168,"ja"),"")</f>
        <v/>
      </c>
      <c r="I8" s="19">
        <f>IF($C8="Ja",COUNTIFS('BES'!$C$7:$C$168,"&lt;&gt;",'BES'!$H$7:$H$168,"nein"),"")</f>
        <v/>
      </c>
      <c r="J8" s="19">
        <f>IF($C8="Ja",COUNTIFS('BES'!$C$7:$C$168,"&lt;&gt;",'BES'!$H$7:$H$168,"teilweise"),"")</f>
        <v/>
      </c>
      <c r="K8" s="19">
        <f>IF($C8="Ja",COUNTIFS('BES'!$C$7:$C$168,"&lt;&gt;",'BES'!$H$7:$H$168,"entbehrlich"),"")</f>
        <v/>
      </c>
      <c r="L8" s="19">
        <f>IF($C8="Ja",COUNTIFS('BES'!$C$7:$C$168,"&lt;&gt;",'BES'!$H$7:$H$168,"verwiesen"),"")</f>
        <v/>
      </c>
      <c r="M8" s="19">
        <f>IF($C8="Ja",COUNTIFS('BES'!$C$7:$C$168,"&lt;&gt;",'BES'!$H$7:$H$168,"zu klären"),"")</f>
        <v/>
      </c>
      <c r="N8" s="19">
        <f>IF($C8="Ja",COUNTIFS('BES'!$C$7:$C$168,"&lt;&gt;",'BES'!$H$7:$H$168,"unbearbeitet"),"")</f>
        <v/>
      </c>
      <c r="O8" s="19">
        <f>IF($C8="Ja",SUMIFS('BES'!$V$7:$V$168,'BES'!$C$7:$C$168,"&lt;&gt;",'BES'!$H$7:$H$168,"ja"),"")</f>
        <v/>
      </c>
      <c r="P8" s="19">
        <f>IF($C8="Ja",SUMIFS('BES'!$W$7:$W$168,'BES'!$C$7:$C$168,"&lt;&gt;",'BES'!$H$7:$H$168,"ja"),"")</f>
        <v/>
      </c>
      <c r="Q8" s="19">
        <f>IF($C8="Ja",SUMIFS('BES'!$X$7:$X$168,'BES'!$C$7:$C$168,"&lt;&gt;",'BES'!$H$7:$H$168,"ja"),"")</f>
        <v/>
      </c>
      <c r="R8" s="19">
        <f>IF($C8="Ja",SUMIFS('BES'!$Y$7:$Y$168,'BES'!$C$7:$C$168,"&lt;&gt;",'BES'!$H$7:$H$168,"ja"),"")</f>
        <v/>
      </c>
      <c r="S8" s="17" t="n"/>
      <c r="T8" s="17" t="n"/>
    </row>
    <row r="9">
      <c r="A9" s="3" t="inlineStr">
        <is>
          <t>DET</t>
        </is>
      </c>
      <c r="B9" s="2" t="inlineStr">
        <is>
          <t>Detektion</t>
        </is>
      </c>
      <c r="C9" s="17" t="n"/>
      <c r="D9" s="17" t="n"/>
      <c r="E9" s="17" t="n"/>
      <c r="F9" s="18">
        <f>IF($C9="Ja",IFERROR((COUNTIFS('DET'!$C$7:$C$129,"&lt;&gt;",'DET'!$H$7:$H$129,"ja")+COUNTIFS('DET'!$C$7:$C$129,"&lt;&gt;",'DET'!$H$7:$H$129,"entbehrlich")+COUNTIFS('DET'!$C$7:$C$129,"&lt;&gt;",'DET'!$H$7:$H$129,"verwiesen"))/COUNTA('DET'!$C$7:$C$129),0),"")</f>
        <v/>
      </c>
      <c r="G9" s="18">
        <f>IF($C9="Ja",IFERROR((COUNTA('DET'!$C$7:$C$129)-COUNTIFS('DET'!$C$7:$C$129,"&lt;&gt;",'DET'!$H$7:$H$129,"unbearbeitet"))/COUNTA('DET'!$C$7:$C$129),0),"")</f>
        <v/>
      </c>
      <c r="H9" s="19">
        <f>IF($C9="Ja",COUNTIFS('DET'!$C$7:$C$129,"&lt;&gt;",'DET'!$H$7:$H$129,"ja"),"")</f>
        <v/>
      </c>
      <c r="I9" s="19">
        <f>IF($C9="Ja",COUNTIFS('DET'!$C$7:$C$129,"&lt;&gt;",'DET'!$H$7:$H$129,"nein"),"")</f>
        <v/>
      </c>
      <c r="J9" s="19">
        <f>IF($C9="Ja",COUNTIFS('DET'!$C$7:$C$129,"&lt;&gt;",'DET'!$H$7:$H$129,"teilweise"),"")</f>
        <v/>
      </c>
      <c r="K9" s="19">
        <f>IF($C9="Ja",COUNTIFS('DET'!$C$7:$C$129,"&lt;&gt;",'DET'!$H$7:$H$129,"entbehrlich"),"")</f>
        <v/>
      </c>
      <c r="L9" s="19">
        <f>IF($C9="Ja",COUNTIFS('DET'!$C$7:$C$129,"&lt;&gt;",'DET'!$H$7:$H$129,"verwiesen"),"")</f>
        <v/>
      </c>
      <c r="M9" s="19">
        <f>IF($C9="Ja",COUNTIFS('DET'!$C$7:$C$129,"&lt;&gt;",'DET'!$H$7:$H$129,"zu klären"),"")</f>
        <v/>
      </c>
      <c r="N9" s="19">
        <f>IF($C9="Ja",COUNTIFS('DET'!$C$7:$C$129,"&lt;&gt;",'DET'!$H$7:$H$129,"unbearbeitet"),"")</f>
        <v/>
      </c>
      <c r="O9" s="19">
        <f>IF($C9="Ja",SUMIFS('DET'!$V$7:$V$129,'DET'!$C$7:$C$129,"&lt;&gt;",'DET'!$H$7:$H$129,"ja"),"")</f>
        <v/>
      </c>
      <c r="P9" s="19">
        <f>IF($C9="Ja",SUMIFS('DET'!$W$7:$W$129,'DET'!$C$7:$C$129,"&lt;&gt;",'DET'!$H$7:$H$129,"ja"),"")</f>
        <v/>
      </c>
      <c r="Q9" s="19">
        <f>IF($C9="Ja",SUMIFS('DET'!$X$7:$X$129,'DET'!$C$7:$C$129,"&lt;&gt;",'DET'!$H$7:$H$129,"ja"),"")</f>
        <v/>
      </c>
      <c r="R9" s="19">
        <f>IF($C9="Ja",SUMIFS('DET'!$Y$7:$Y$129,'DET'!$C$7:$C$129,"&lt;&gt;",'DET'!$H$7:$H$129,"ja"),"")</f>
        <v/>
      </c>
      <c r="S9" s="17" t="n"/>
      <c r="T9" s="17" t="n"/>
    </row>
    <row r="10">
      <c r="A10" s="3" t="inlineStr">
        <is>
          <t>DEV</t>
        </is>
      </c>
      <c r="B10" s="2" t="inlineStr">
        <is>
          <t>Entwicklung</t>
        </is>
      </c>
      <c r="C10" s="17" t="n"/>
      <c r="D10" s="17" t="n"/>
      <c r="E10" s="17" t="n"/>
      <c r="F10" s="18">
        <f>IF($C10="Ja",IFERROR((COUNTIFS('DEV'!$C$7:$C$68,"&lt;&gt;",'DEV'!$H$7:$H$68,"ja")+COUNTIFS('DEV'!$C$7:$C$68,"&lt;&gt;",'DEV'!$H$7:$H$68,"entbehrlich")+COUNTIFS('DEV'!$C$7:$C$68,"&lt;&gt;",'DEV'!$H$7:$H$68,"verwiesen"))/COUNTA('DEV'!$C$7:$C$68),0),"")</f>
        <v/>
      </c>
      <c r="G10" s="18">
        <f>IF($C10="Ja",IFERROR((COUNTA('DEV'!$C$7:$C$68)-COUNTIFS('DEV'!$C$7:$C$68,"&lt;&gt;",'DEV'!$H$7:$H$68,"unbearbeitet"))/COUNTA('DEV'!$C$7:$C$68),0),"")</f>
        <v/>
      </c>
      <c r="H10" s="19">
        <f>IF($C10="Ja",COUNTIFS('DEV'!$C$7:$C$68,"&lt;&gt;",'DEV'!$H$7:$H$68,"ja"),"")</f>
        <v/>
      </c>
      <c r="I10" s="19">
        <f>IF($C10="Ja",COUNTIFS('DEV'!$C$7:$C$68,"&lt;&gt;",'DEV'!$H$7:$H$68,"nein"),"")</f>
        <v/>
      </c>
      <c r="J10" s="19">
        <f>IF($C10="Ja",COUNTIFS('DEV'!$C$7:$C$68,"&lt;&gt;",'DEV'!$H$7:$H$68,"teilweise"),"")</f>
        <v/>
      </c>
      <c r="K10" s="19">
        <f>IF($C10="Ja",COUNTIFS('DEV'!$C$7:$C$68,"&lt;&gt;",'DEV'!$H$7:$H$68,"entbehrlich"),"")</f>
        <v/>
      </c>
      <c r="L10" s="19">
        <f>IF($C10="Ja",COUNTIFS('DEV'!$C$7:$C$68,"&lt;&gt;",'DEV'!$H$7:$H$68,"verwiesen"),"")</f>
        <v/>
      </c>
      <c r="M10" s="19">
        <f>IF($C10="Ja",COUNTIFS('DEV'!$C$7:$C$68,"&lt;&gt;",'DEV'!$H$7:$H$68,"zu klären"),"")</f>
        <v/>
      </c>
      <c r="N10" s="19">
        <f>IF($C10="Ja",COUNTIFS('DEV'!$C$7:$C$68,"&lt;&gt;",'DEV'!$H$7:$H$68,"unbearbeitet"),"")</f>
        <v/>
      </c>
      <c r="O10" s="19">
        <f>IF($C10="Ja",SUMIFS('DEV'!$V$7:$V$68,'DEV'!$C$7:$C$68,"&lt;&gt;",'DEV'!$H$7:$H$68,"ja"),"")</f>
        <v/>
      </c>
      <c r="P10" s="19">
        <f>IF($C10="Ja",SUMIFS('DEV'!$W$7:$W$68,'DEV'!$C$7:$C$68,"&lt;&gt;",'DEV'!$H$7:$H$68,"ja"),"")</f>
        <v/>
      </c>
      <c r="Q10" s="19">
        <f>IF($C10="Ja",SUMIFS('DEV'!$X$7:$X$68,'DEV'!$C$7:$C$68,"&lt;&gt;",'DEV'!$H$7:$H$68,"ja"),"")</f>
        <v/>
      </c>
      <c r="R10" s="19">
        <f>IF($C10="Ja",SUMIFS('DEV'!$Y$7:$Y$68,'DEV'!$C$7:$C$68,"&lt;&gt;",'DEV'!$H$7:$H$68,"ja"),"")</f>
        <v/>
      </c>
      <c r="S10" s="17" t="n"/>
      <c r="T10" s="17" t="n"/>
    </row>
    <row r="11">
      <c r="A11" s="3" t="inlineStr">
        <is>
          <t>DLS</t>
        </is>
      </c>
      <c r="B11" s="2" t="inlineStr">
        <is>
          <t>Dienstleistersteuerung</t>
        </is>
      </c>
      <c r="C11" s="17" t="n"/>
      <c r="D11" s="17" t="n"/>
      <c r="E11" s="17" t="n"/>
      <c r="F11" s="18">
        <f>IF($C11="Ja",IFERROR((COUNTIFS('DLS'!$C$7:$C$35,"&lt;&gt;",'DLS'!$H$7:$H$35,"ja")+COUNTIFS('DLS'!$C$7:$C$35,"&lt;&gt;",'DLS'!$H$7:$H$35,"entbehrlich")+COUNTIFS('DLS'!$C$7:$C$35,"&lt;&gt;",'DLS'!$H$7:$H$35,"verwiesen"))/COUNTA('DLS'!$C$7:$C$35),0),"")</f>
        <v/>
      </c>
      <c r="G11" s="18">
        <f>IF($C11="Ja",IFERROR((COUNTA('DLS'!$C$7:$C$35)-COUNTIFS('DLS'!$C$7:$C$35,"&lt;&gt;",'DLS'!$H$7:$H$35,"unbearbeitet"))/COUNTA('DLS'!$C$7:$C$35),0),"")</f>
        <v/>
      </c>
      <c r="H11" s="19">
        <f>IF($C11="Ja",COUNTIFS('DLS'!$C$7:$C$35,"&lt;&gt;",'DLS'!$H$7:$H$35,"ja"),"")</f>
        <v/>
      </c>
      <c r="I11" s="19">
        <f>IF($C11="Ja",COUNTIFS('DLS'!$C$7:$C$35,"&lt;&gt;",'DLS'!$H$7:$H$35,"nein"),"")</f>
        <v/>
      </c>
      <c r="J11" s="19">
        <f>IF($C11="Ja",COUNTIFS('DLS'!$C$7:$C$35,"&lt;&gt;",'DLS'!$H$7:$H$35,"teilweise"),"")</f>
        <v/>
      </c>
      <c r="K11" s="19">
        <f>IF($C11="Ja",COUNTIFS('DLS'!$C$7:$C$35,"&lt;&gt;",'DLS'!$H$7:$H$35,"entbehrlich"),"")</f>
        <v/>
      </c>
      <c r="L11" s="19">
        <f>IF($C11="Ja",COUNTIFS('DLS'!$C$7:$C$35,"&lt;&gt;",'DLS'!$H$7:$H$35,"verwiesen"),"")</f>
        <v/>
      </c>
      <c r="M11" s="19">
        <f>IF($C11="Ja",COUNTIFS('DLS'!$C$7:$C$35,"&lt;&gt;",'DLS'!$H$7:$H$35,"zu klären"),"")</f>
        <v/>
      </c>
      <c r="N11" s="19">
        <f>IF($C11="Ja",COUNTIFS('DLS'!$C$7:$C$35,"&lt;&gt;",'DLS'!$H$7:$H$35,"unbearbeitet"),"")</f>
        <v/>
      </c>
      <c r="O11" s="19">
        <f>IF($C11="Ja",SUMIFS('DLS'!$V$7:$V$35,'DLS'!$C$7:$C$35,"&lt;&gt;",'DLS'!$H$7:$H$35,"ja"),"")</f>
        <v/>
      </c>
      <c r="P11" s="19">
        <f>IF($C11="Ja",SUMIFS('DLS'!$W$7:$W$35,'DLS'!$C$7:$C$35,"&lt;&gt;",'DLS'!$H$7:$H$35,"ja"),"")</f>
        <v/>
      </c>
      <c r="Q11" s="19">
        <f>IF($C11="Ja",SUMIFS('DLS'!$X$7:$X$35,'DLS'!$C$7:$C$35,"&lt;&gt;",'DLS'!$H$7:$H$35,"ja"),"")</f>
        <v/>
      </c>
      <c r="R11" s="19">
        <f>IF($C11="Ja",SUMIFS('DLS'!$Y$7:$Y$35,'DLS'!$C$7:$C$35,"&lt;&gt;",'DLS'!$H$7:$H$35,"ja"),"")</f>
        <v/>
      </c>
      <c r="S11" s="17" t="n"/>
      <c r="T11" s="17" t="n"/>
    </row>
    <row r="12">
      <c r="A12" s="3" t="inlineStr">
        <is>
          <t>GC</t>
        </is>
      </c>
      <c r="B12" s="2" t="inlineStr">
        <is>
          <t>Governance und Compliance</t>
        </is>
      </c>
      <c r="C12" s="17" t="n"/>
      <c r="D12" s="17" t="n"/>
      <c r="E12" s="17" t="n"/>
      <c r="F12" s="18">
        <f>IF($C12="Ja",IFERROR((COUNTIFS('GC'!$C$7:$C$50,"&lt;&gt;",'GC'!$H$7:$H$50,"ja")+COUNTIFS('GC'!$C$7:$C$50,"&lt;&gt;",'GC'!$H$7:$H$50,"entbehrlich")+COUNTIFS('GC'!$C$7:$C$50,"&lt;&gt;",'GC'!$H$7:$H$50,"verwiesen"))/COUNTA('GC'!$C$7:$C$50),0),"")</f>
        <v/>
      </c>
      <c r="G12" s="18">
        <f>IF($C12="Ja",IFERROR((COUNTA('GC'!$C$7:$C$50)-COUNTIFS('GC'!$C$7:$C$50,"&lt;&gt;",'GC'!$H$7:$H$50,"unbearbeitet"))/COUNTA('GC'!$C$7:$C$50),0),"")</f>
        <v/>
      </c>
      <c r="H12" s="19">
        <f>IF($C12="Ja",COUNTIFS('GC'!$C$7:$C$50,"&lt;&gt;",'GC'!$H$7:$H$50,"ja"),"")</f>
        <v/>
      </c>
      <c r="I12" s="19">
        <f>IF($C12="Ja",COUNTIFS('GC'!$C$7:$C$50,"&lt;&gt;",'GC'!$H$7:$H$50,"nein"),"")</f>
        <v/>
      </c>
      <c r="J12" s="19">
        <f>IF($C12="Ja",COUNTIFS('GC'!$C$7:$C$50,"&lt;&gt;",'GC'!$H$7:$H$50,"teilweise"),"")</f>
        <v/>
      </c>
      <c r="K12" s="19">
        <f>IF($C12="Ja",COUNTIFS('GC'!$C$7:$C$50,"&lt;&gt;",'GC'!$H$7:$H$50,"entbehrlich"),"")</f>
        <v/>
      </c>
      <c r="L12" s="19">
        <f>IF($C12="Ja",COUNTIFS('GC'!$C$7:$C$50,"&lt;&gt;",'GC'!$H$7:$H$50,"verwiesen"),"")</f>
        <v/>
      </c>
      <c r="M12" s="19">
        <f>IF($C12="Ja",COUNTIFS('GC'!$C$7:$C$50,"&lt;&gt;",'GC'!$H$7:$H$50,"zu klären"),"")</f>
        <v/>
      </c>
      <c r="N12" s="19">
        <f>IF($C12="Ja",COUNTIFS('GC'!$C$7:$C$50,"&lt;&gt;",'GC'!$H$7:$H$50,"unbearbeitet"),"")</f>
        <v/>
      </c>
      <c r="O12" s="19">
        <f>IF($C12="Ja",SUMIFS('GC'!$V$7:$V$50,'GC'!$C$7:$C$50,"&lt;&gt;",'GC'!$H$7:$H$50,"ja"),"")</f>
        <v/>
      </c>
      <c r="P12" s="19">
        <f>IF($C12="Ja",SUMIFS('GC'!$W$7:$W$50,'GC'!$C$7:$C$50,"&lt;&gt;",'GC'!$H$7:$H$50,"ja"),"")</f>
        <v/>
      </c>
      <c r="Q12" s="19">
        <f>IF($C12="Ja",SUMIFS('GC'!$X$7:$X$50,'GC'!$C$7:$C$50,"&lt;&gt;",'GC'!$H$7:$H$50,"ja"),"")</f>
        <v/>
      </c>
      <c r="R12" s="19">
        <f>IF($C12="Ja",SUMIFS('GC'!$Y$7:$Y$50,'GC'!$C$7:$C$50,"&lt;&gt;",'GC'!$H$7:$H$50,"ja"),"")</f>
        <v/>
      </c>
      <c r="S12" s="17" t="n"/>
      <c r="T12" s="17" t="n"/>
    </row>
    <row r="13">
      <c r="A13" s="3" t="inlineStr">
        <is>
          <t>GEB</t>
        </is>
      </c>
      <c r="B13" s="2" t="inlineStr">
        <is>
          <t>Gebäudemanagement</t>
        </is>
      </c>
      <c r="C13" s="17" t="n"/>
      <c r="D13" s="17" t="n"/>
      <c r="E13" s="17" t="n"/>
      <c r="F13" s="18">
        <f>IF($C13="Ja",IFERROR((COUNTIFS('GEB'!$C$7:$C$126,"&lt;&gt;",'GEB'!$H$7:$H$126,"ja")+COUNTIFS('GEB'!$C$7:$C$126,"&lt;&gt;",'GEB'!$H$7:$H$126,"entbehrlich")+COUNTIFS('GEB'!$C$7:$C$126,"&lt;&gt;",'GEB'!$H$7:$H$126,"verwiesen"))/COUNTA('GEB'!$C$7:$C$126),0),"")</f>
        <v/>
      </c>
      <c r="G13" s="18">
        <f>IF($C13="Ja",IFERROR((COUNTA('GEB'!$C$7:$C$126)-COUNTIFS('GEB'!$C$7:$C$126,"&lt;&gt;",'GEB'!$H$7:$H$126,"unbearbeitet"))/COUNTA('GEB'!$C$7:$C$126),0),"")</f>
        <v/>
      </c>
      <c r="H13" s="19">
        <f>IF($C13="Ja",COUNTIFS('GEB'!$C$7:$C$126,"&lt;&gt;",'GEB'!$H$7:$H$126,"ja"),"")</f>
        <v/>
      </c>
      <c r="I13" s="19">
        <f>IF($C13="Ja",COUNTIFS('GEB'!$C$7:$C$126,"&lt;&gt;",'GEB'!$H$7:$H$126,"nein"),"")</f>
        <v/>
      </c>
      <c r="J13" s="19">
        <f>IF($C13="Ja",COUNTIFS('GEB'!$C$7:$C$126,"&lt;&gt;",'GEB'!$H$7:$H$126,"teilweise"),"")</f>
        <v/>
      </c>
      <c r="K13" s="19">
        <f>IF($C13="Ja",COUNTIFS('GEB'!$C$7:$C$126,"&lt;&gt;",'GEB'!$H$7:$H$126,"entbehrlich"),"")</f>
        <v/>
      </c>
      <c r="L13" s="19">
        <f>IF($C13="Ja",COUNTIFS('GEB'!$C$7:$C$126,"&lt;&gt;",'GEB'!$H$7:$H$126,"verwiesen"),"")</f>
        <v/>
      </c>
      <c r="M13" s="19">
        <f>IF($C13="Ja",COUNTIFS('GEB'!$C$7:$C$126,"&lt;&gt;",'GEB'!$H$7:$H$126,"zu klären"),"")</f>
        <v/>
      </c>
      <c r="N13" s="19">
        <f>IF($C13="Ja",COUNTIFS('GEB'!$C$7:$C$126,"&lt;&gt;",'GEB'!$H$7:$H$126,"unbearbeitet"),"")</f>
        <v/>
      </c>
      <c r="O13" s="19">
        <f>IF($C13="Ja",SUMIFS('GEB'!$V$7:$V$126,'GEB'!$C$7:$C$126,"&lt;&gt;",'GEB'!$H$7:$H$126,"ja"),"")</f>
        <v/>
      </c>
      <c r="P13" s="19">
        <f>IF($C13="Ja",SUMIFS('GEB'!$W$7:$W$126,'GEB'!$C$7:$C$126,"&lt;&gt;",'GEB'!$H$7:$H$126,"ja"),"")</f>
        <v/>
      </c>
      <c r="Q13" s="19">
        <f>IF($C13="Ja",SUMIFS('GEB'!$X$7:$X$126,'GEB'!$C$7:$C$126,"&lt;&gt;",'GEB'!$H$7:$H$126,"ja"),"")</f>
        <v/>
      </c>
      <c r="R13" s="19">
        <f>IF($C13="Ja",SUMIFS('GEB'!$Y$7:$Y$126,'GEB'!$C$7:$C$126,"&lt;&gt;",'GEB'!$H$7:$H$126,"ja"),"")</f>
        <v/>
      </c>
      <c r="S13" s="17" t="n"/>
      <c r="T13" s="17" t="n"/>
    </row>
    <row r="14">
      <c r="A14" s="3" t="inlineStr">
        <is>
          <t>KONF</t>
        </is>
      </c>
      <c r="B14" s="2" t="inlineStr">
        <is>
          <t>Konfiguration</t>
        </is>
      </c>
      <c r="C14" s="17" t="n"/>
      <c r="D14" s="17" t="n"/>
      <c r="E14" s="17" t="n"/>
      <c r="F14" s="18">
        <f>IF($C14="Ja",IFERROR((COUNTIFS('KONF'!$C$7:$C$275,"&lt;&gt;",'KONF'!$H$7:$H$275,"ja")+COUNTIFS('KONF'!$C$7:$C$275,"&lt;&gt;",'KONF'!$H$7:$H$275,"entbehrlich")+COUNTIFS('KONF'!$C$7:$C$275,"&lt;&gt;",'KONF'!$H$7:$H$275,"verwiesen"))/COUNTA('KONF'!$C$7:$C$275),0),"")</f>
        <v/>
      </c>
      <c r="G14" s="18">
        <f>IF($C14="Ja",IFERROR((COUNTA('KONF'!$C$7:$C$275)-COUNTIFS('KONF'!$C$7:$C$275,"&lt;&gt;",'KONF'!$H$7:$H$275,"unbearbeitet"))/COUNTA('KONF'!$C$7:$C$275),0),"")</f>
        <v/>
      </c>
      <c r="H14" s="19">
        <f>IF($C14="Ja",COUNTIFS('KONF'!$C$7:$C$275,"&lt;&gt;",'KONF'!$H$7:$H$275,"ja"),"")</f>
        <v/>
      </c>
      <c r="I14" s="19">
        <f>IF($C14="Ja",COUNTIFS('KONF'!$C$7:$C$275,"&lt;&gt;",'KONF'!$H$7:$H$275,"nein"),"")</f>
        <v/>
      </c>
      <c r="J14" s="19">
        <f>IF($C14="Ja",COUNTIFS('KONF'!$C$7:$C$275,"&lt;&gt;",'KONF'!$H$7:$H$275,"teilweise"),"")</f>
        <v/>
      </c>
      <c r="K14" s="19">
        <f>IF($C14="Ja",COUNTIFS('KONF'!$C$7:$C$275,"&lt;&gt;",'KONF'!$H$7:$H$275,"entbehrlich"),"")</f>
        <v/>
      </c>
      <c r="L14" s="19">
        <f>IF($C14="Ja",COUNTIFS('KONF'!$C$7:$C$275,"&lt;&gt;",'KONF'!$H$7:$H$275,"verwiesen"),"")</f>
        <v/>
      </c>
      <c r="M14" s="19">
        <f>IF($C14="Ja",COUNTIFS('KONF'!$C$7:$C$275,"&lt;&gt;",'KONF'!$H$7:$H$275,"zu klären"),"")</f>
        <v/>
      </c>
      <c r="N14" s="19">
        <f>IF($C14="Ja",COUNTIFS('KONF'!$C$7:$C$275,"&lt;&gt;",'KONF'!$H$7:$H$275,"unbearbeitet"),"")</f>
        <v/>
      </c>
      <c r="O14" s="19">
        <f>IF($C14="Ja",SUMIFS('KONF'!$V$7:$V$275,'KONF'!$C$7:$C$275,"&lt;&gt;",'KONF'!$H$7:$H$275,"ja"),"")</f>
        <v/>
      </c>
      <c r="P14" s="19">
        <f>IF($C14="Ja",SUMIFS('KONF'!$W$7:$W$275,'KONF'!$C$7:$C$275,"&lt;&gt;",'KONF'!$H$7:$H$275,"ja"),"")</f>
        <v/>
      </c>
      <c r="Q14" s="19">
        <f>IF($C14="Ja",SUMIFS('KONF'!$X$7:$X$275,'KONF'!$C$7:$C$275,"&lt;&gt;",'KONF'!$H$7:$H$275,"ja"),"")</f>
        <v/>
      </c>
      <c r="R14" s="19">
        <f>IF($C14="Ja",SUMIFS('KONF'!$Y$7:$Y$275,'KONF'!$C$7:$C$275,"&lt;&gt;",'KONF'!$H$7:$H$275,"ja"),"")</f>
        <v/>
      </c>
      <c r="S14" s="17" t="n"/>
      <c r="T14" s="17" t="n"/>
    </row>
    <row r="15">
      <c r="A15" s="3" t="inlineStr">
        <is>
          <t>NOT</t>
        </is>
      </c>
      <c r="B15" s="2" t="inlineStr">
        <is>
          <t>Notfallplanung</t>
        </is>
      </c>
      <c r="C15" s="17" t="n"/>
      <c r="D15" s="17" t="n"/>
      <c r="E15" s="17" t="n"/>
      <c r="F15" s="18">
        <f>IF($C15="Ja",IFERROR((COUNTIFS('NOT'!$C$7:$C$68,"&lt;&gt;",'NOT'!$H$7:$H$68,"ja")+COUNTIFS('NOT'!$C$7:$C$68,"&lt;&gt;",'NOT'!$H$7:$H$68,"entbehrlich")+COUNTIFS('NOT'!$C$7:$C$68,"&lt;&gt;",'NOT'!$H$7:$H$68,"verwiesen"))/COUNTA('NOT'!$C$7:$C$68),0),"")</f>
        <v/>
      </c>
      <c r="G15" s="18">
        <f>IF($C15="Ja",IFERROR((COUNTA('NOT'!$C$7:$C$68)-COUNTIFS('NOT'!$C$7:$C$68,"&lt;&gt;",'NOT'!$H$7:$H$68,"unbearbeitet"))/COUNTA('NOT'!$C$7:$C$68),0),"")</f>
        <v/>
      </c>
      <c r="H15" s="19">
        <f>IF($C15="Ja",COUNTIFS('NOT'!$C$7:$C$68,"&lt;&gt;",'NOT'!$H$7:$H$68,"ja"),"")</f>
        <v/>
      </c>
      <c r="I15" s="19">
        <f>IF($C15="Ja",COUNTIFS('NOT'!$C$7:$C$68,"&lt;&gt;",'NOT'!$H$7:$H$68,"nein"),"")</f>
        <v/>
      </c>
      <c r="J15" s="19">
        <f>IF($C15="Ja",COUNTIFS('NOT'!$C$7:$C$68,"&lt;&gt;",'NOT'!$H$7:$H$68,"teilweise"),"")</f>
        <v/>
      </c>
      <c r="K15" s="19">
        <f>IF($C15="Ja",COUNTIFS('NOT'!$C$7:$C$68,"&lt;&gt;",'NOT'!$H$7:$H$68,"entbehrlich"),"")</f>
        <v/>
      </c>
      <c r="L15" s="19">
        <f>IF($C15="Ja",COUNTIFS('NOT'!$C$7:$C$68,"&lt;&gt;",'NOT'!$H$7:$H$68,"verwiesen"),"")</f>
        <v/>
      </c>
      <c r="M15" s="19">
        <f>IF($C15="Ja",COUNTIFS('NOT'!$C$7:$C$68,"&lt;&gt;",'NOT'!$H$7:$H$68,"zu klären"),"")</f>
        <v/>
      </c>
      <c r="N15" s="19">
        <f>IF($C15="Ja",COUNTIFS('NOT'!$C$7:$C$68,"&lt;&gt;",'NOT'!$H$7:$H$68,"unbearbeitet"),"")</f>
        <v/>
      </c>
      <c r="O15" s="19">
        <f>IF($C15="Ja",SUMIFS('NOT'!$V$7:$V$68,'NOT'!$C$7:$C$68,"&lt;&gt;",'NOT'!$H$7:$H$68,"ja"),"")</f>
        <v/>
      </c>
      <c r="P15" s="19">
        <f>IF($C15="Ja",SUMIFS('NOT'!$W$7:$W$68,'NOT'!$C$7:$C$68,"&lt;&gt;",'NOT'!$H$7:$H$68,"ja"),"")</f>
        <v/>
      </c>
      <c r="Q15" s="19">
        <f>IF($C15="Ja",SUMIFS('NOT'!$X$7:$X$68,'NOT'!$C$7:$C$68,"&lt;&gt;",'NOT'!$H$7:$H$68,"ja"),"")</f>
        <v/>
      </c>
      <c r="R15" s="19">
        <f>IF($C15="Ja",SUMIFS('NOT'!$Y$7:$Y$68,'NOT'!$C$7:$C$68,"&lt;&gt;",'NOT'!$H$7:$H$68,"ja"),"")</f>
        <v/>
      </c>
      <c r="S15" s="17" t="n"/>
      <c r="T15" s="17" t="n"/>
    </row>
    <row r="16">
      <c r="A16" s="3" t="inlineStr">
        <is>
          <t>PERF</t>
        </is>
      </c>
      <c r="B16" s="2" t="inlineStr">
        <is>
          <t>Monitoring-Evaluation</t>
        </is>
      </c>
      <c r="C16" s="17" t="n"/>
      <c r="D16" s="17" t="n"/>
      <c r="E16" s="17" t="n"/>
      <c r="F16" s="18">
        <f>IF($C16="Ja",IFERROR((COUNTIFS('PERF'!$C$7:$C$36,"&lt;&gt;",'PERF'!$H$7:$H$36,"ja")+COUNTIFS('PERF'!$C$7:$C$36,"&lt;&gt;",'PERF'!$H$7:$H$36,"entbehrlich")+COUNTIFS('PERF'!$C$7:$C$36,"&lt;&gt;",'PERF'!$H$7:$H$36,"verwiesen"))/COUNTA('PERF'!$C$7:$C$36),0),"")</f>
        <v/>
      </c>
      <c r="G16" s="18">
        <f>IF($C16="Ja",IFERROR((COUNTA('PERF'!$C$7:$C$36)-COUNTIFS('PERF'!$C$7:$C$36,"&lt;&gt;",'PERF'!$H$7:$H$36,"unbearbeitet"))/COUNTA('PERF'!$C$7:$C$36),0),"")</f>
        <v/>
      </c>
      <c r="H16" s="19">
        <f>IF($C16="Ja",COUNTIFS('PERF'!$C$7:$C$36,"&lt;&gt;",'PERF'!$H$7:$H$36,"ja"),"")</f>
        <v/>
      </c>
      <c r="I16" s="19">
        <f>IF($C16="Ja",COUNTIFS('PERF'!$C$7:$C$36,"&lt;&gt;",'PERF'!$H$7:$H$36,"nein"),"")</f>
        <v/>
      </c>
      <c r="J16" s="19">
        <f>IF($C16="Ja",COUNTIFS('PERF'!$C$7:$C$36,"&lt;&gt;",'PERF'!$H$7:$H$36,"teilweise"),"")</f>
        <v/>
      </c>
      <c r="K16" s="19">
        <f>IF($C16="Ja",COUNTIFS('PERF'!$C$7:$C$36,"&lt;&gt;",'PERF'!$H$7:$H$36,"entbehrlich"),"")</f>
        <v/>
      </c>
      <c r="L16" s="19">
        <f>IF($C16="Ja",COUNTIFS('PERF'!$C$7:$C$36,"&lt;&gt;",'PERF'!$H$7:$H$36,"verwiesen"),"")</f>
        <v/>
      </c>
      <c r="M16" s="19">
        <f>IF($C16="Ja",COUNTIFS('PERF'!$C$7:$C$36,"&lt;&gt;",'PERF'!$H$7:$H$36,"zu klären"),"")</f>
        <v/>
      </c>
      <c r="N16" s="19">
        <f>IF($C16="Ja",COUNTIFS('PERF'!$C$7:$C$36,"&lt;&gt;",'PERF'!$H$7:$H$36,"unbearbeitet"),"")</f>
        <v/>
      </c>
      <c r="O16" s="19">
        <f>IF($C16="Ja",SUMIFS('PERF'!$V$7:$V$36,'PERF'!$C$7:$C$36,"&lt;&gt;",'PERF'!$H$7:$H$36,"ja"),"")</f>
        <v/>
      </c>
      <c r="P16" s="19">
        <f>IF($C16="Ja",SUMIFS('PERF'!$W$7:$W$36,'PERF'!$C$7:$C$36,"&lt;&gt;",'PERF'!$H$7:$H$36,"ja"),"")</f>
        <v/>
      </c>
      <c r="Q16" s="19">
        <f>IF($C16="Ja",SUMIFS('PERF'!$X$7:$X$36,'PERF'!$C$7:$C$36,"&lt;&gt;",'PERF'!$H$7:$H$36,"ja"),"")</f>
        <v/>
      </c>
      <c r="R16" s="19">
        <f>IF($C16="Ja",SUMIFS('PERF'!$Y$7:$Y$36,'PERF'!$C$7:$C$36,"&lt;&gt;",'PERF'!$H$7:$H$36,"ja"),"")</f>
        <v/>
      </c>
      <c r="S16" s="17" t="n"/>
      <c r="T16" s="17" t="n"/>
    </row>
    <row r="17">
      <c r="A17" s="3" t="inlineStr">
        <is>
          <t>PERS</t>
        </is>
      </c>
      <c r="B17" s="2" t="inlineStr">
        <is>
          <t>Personal</t>
        </is>
      </c>
      <c r="C17" s="17" t="n"/>
      <c r="D17" s="17" t="n"/>
      <c r="E17" s="17" t="n"/>
      <c r="F17" s="18">
        <f>IF($C17="Ja",IFERROR((COUNTIFS('PERS'!$C$7:$C$54,"&lt;&gt;",'PERS'!$H$7:$H$54,"ja")+COUNTIFS('PERS'!$C$7:$C$54,"&lt;&gt;",'PERS'!$H$7:$H$54,"entbehrlich")+COUNTIFS('PERS'!$C$7:$C$54,"&lt;&gt;",'PERS'!$H$7:$H$54,"verwiesen"))/COUNTA('PERS'!$C$7:$C$54),0),"")</f>
        <v/>
      </c>
      <c r="G17" s="18">
        <f>IF($C17="Ja",IFERROR((COUNTA('PERS'!$C$7:$C$54)-COUNTIFS('PERS'!$C$7:$C$54,"&lt;&gt;",'PERS'!$H$7:$H$54,"unbearbeitet"))/COUNTA('PERS'!$C$7:$C$54),0),"")</f>
        <v/>
      </c>
      <c r="H17" s="19">
        <f>IF($C17="Ja",COUNTIFS('PERS'!$C$7:$C$54,"&lt;&gt;",'PERS'!$H$7:$H$54,"ja"),"")</f>
        <v/>
      </c>
      <c r="I17" s="19">
        <f>IF($C17="Ja",COUNTIFS('PERS'!$C$7:$C$54,"&lt;&gt;",'PERS'!$H$7:$H$54,"nein"),"")</f>
        <v/>
      </c>
      <c r="J17" s="19">
        <f>IF($C17="Ja",COUNTIFS('PERS'!$C$7:$C$54,"&lt;&gt;",'PERS'!$H$7:$H$54,"teilweise"),"")</f>
        <v/>
      </c>
      <c r="K17" s="19">
        <f>IF($C17="Ja",COUNTIFS('PERS'!$C$7:$C$54,"&lt;&gt;",'PERS'!$H$7:$H$54,"entbehrlich"),"")</f>
        <v/>
      </c>
      <c r="L17" s="19">
        <f>IF($C17="Ja",COUNTIFS('PERS'!$C$7:$C$54,"&lt;&gt;",'PERS'!$H$7:$H$54,"verwiesen"),"")</f>
        <v/>
      </c>
      <c r="M17" s="19">
        <f>IF($C17="Ja",COUNTIFS('PERS'!$C$7:$C$54,"&lt;&gt;",'PERS'!$H$7:$H$54,"zu klären"),"")</f>
        <v/>
      </c>
      <c r="N17" s="19">
        <f>IF($C17="Ja",COUNTIFS('PERS'!$C$7:$C$54,"&lt;&gt;",'PERS'!$H$7:$H$54,"unbearbeitet"),"")</f>
        <v/>
      </c>
      <c r="O17" s="19">
        <f>IF($C17="Ja",SUMIFS('PERS'!$V$7:$V$54,'PERS'!$C$7:$C$54,"&lt;&gt;",'PERS'!$H$7:$H$54,"ja"),"")</f>
        <v/>
      </c>
      <c r="P17" s="19">
        <f>IF($C17="Ja",SUMIFS('PERS'!$W$7:$W$54,'PERS'!$C$7:$C$54,"&lt;&gt;",'PERS'!$H$7:$H$54,"ja"),"")</f>
        <v/>
      </c>
      <c r="Q17" s="19">
        <f>IF($C17="Ja",SUMIFS('PERS'!$X$7:$X$54,'PERS'!$C$7:$C$54,"&lt;&gt;",'PERS'!$H$7:$H$54,"ja"),"")</f>
        <v/>
      </c>
      <c r="R17" s="19">
        <f>IF($C17="Ja",SUMIFS('PERS'!$Y$7:$Y$54,'PERS'!$C$7:$C$54,"&lt;&gt;",'PERS'!$H$7:$H$54,"ja"),"")</f>
        <v/>
      </c>
      <c r="S17" s="17" t="n"/>
      <c r="T17" s="17" t="n"/>
    </row>
    <row r="18">
      <c r="A18" s="3" t="inlineStr">
        <is>
          <t>REA</t>
        </is>
      </c>
      <c r="B18" s="2" t="inlineStr">
        <is>
          <t>Sicherheitsvorfallsbehandlung</t>
        </is>
      </c>
      <c r="C18" s="17" t="n"/>
      <c r="D18" s="17" t="n"/>
      <c r="E18" s="17" t="n"/>
      <c r="F18" s="18">
        <f>IF($C18="Ja",IFERROR((COUNTIFS('REA'!$C$7:$C$38,"&lt;&gt;",'REA'!$H$7:$H$38,"ja")+COUNTIFS('REA'!$C$7:$C$38,"&lt;&gt;",'REA'!$H$7:$H$38,"entbehrlich")+COUNTIFS('REA'!$C$7:$C$38,"&lt;&gt;",'REA'!$H$7:$H$38,"verwiesen"))/COUNTA('REA'!$C$7:$C$38),0),"")</f>
        <v/>
      </c>
      <c r="G18" s="18">
        <f>IF($C18="Ja",IFERROR((COUNTA('REA'!$C$7:$C$38)-COUNTIFS('REA'!$C$7:$C$38,"&lt;&gt;",'REA'!$H$7:$H$38,"unbearbeitet"))/COUNTA('REA'!$C$7:$C$38),0),"")</f>
        <v/>
      </c>
      <c r="H18" s="19">
        <f>IF($C18="Ja",COUNTIFS('REA'!$C$7:$C$38,"&lt;&gt;",'REA'!$H$7:$H$38,"ja"),"")</f>
        <v/>
      </c>
      <c r="I18" s="19">
        <f>IF($C18="Ja",COUNTIFS('REA'!$C$7:$C$38,"&lt;&gt;",'REA'!$H$7:$H$38,"nein"),"")</f>
        <v/>
      </c>
      <c r="J18" s="19">
        <f>IF($C18="Ja",COUNTIFS('REA'!$C$7:$C$38,"&lt;&gt;",'REA'!$H$7:$H$38,"teilweise"),"")</f>
        <v/>
      </c>
      <c r="K18" s="19">
        <f>IF($C18="Ja",COUNTIFS('REA'!$C$7:$C$38,"&lt;&gt;",'REA'!$H$7:$H$38,"entbehrlich"),"")</f>
        <v/>
      </c>
      <c r="L18" s="19">
        <f>IF($C18="Ja",COUNTIFS('REA'!$C$7:$C$38,"&lt;&gt;",'REA'!$H$7:$H$38,"verwiesen"),"")</f>
        <v/>
      </c>
      <c r="M18" s="19">
        <f>IF($C18="Ja",COUNTIFS('REA'!$C$7:$C$38,"&lt;&gt;",'REA'!$H$7:$H$38,"zu klären"),"")</f>
        <v/>
      </c>
      <c r="N18" s="19">
        <f>IF($C18="Ja",COUNTIFS('REA'!$C$7:$C$38,"&lt;&gt;",'REA'!$H$7:$H$38,"unbearbeitet"),"")</f>
        <v/>
      </c>
      <c r="O18" s="19">
        <f>IF($C18="Ja",SUMIFS('REA'!$V$7:$V$38,'REA'!$C$7:$C$38,"&lt;&gt;",'REA'!$H$7:$H$38,"ja"),"")</f>
        <v/>
      </c>
      <c r="P18" s="19">
        <f>IF($C18="Ja",SUMIFS('REA'!$W$7:$W$38,'REA'!$C$7:$C$38,"&lt;&gt;",'REA'!$H$7:$H$38,"ja"),"")</f>
        <v/>
      </c>
      <c r="Q18" s="19">
        <f>IF($C18="Ja",SUMIFS('REA'!$X$7:$X$38,'REA'!$C$7:$C$38,"&lt;&gt;",'REA'!$H$7:$H$38,"ja"),"")</f>
        <v/>
      </c>
      <c r="R18" s="19">
        <f>IF($C18="Ja",SUMIFS('REA'!$Y$7:$Y$38,'REA'!$C$7:$C$38,"&lt;&gt;",'REA'!$H$7:$H$38,"ja"),"")</f>
        <v/>
      </c>
      <c r="S18" s="17" t="n"/>
      <c r="T18" s="17" t="n"/>
    </row>
    <row r="19">
      <c r="A19" s="3" t="inlineStr">
        <is>
          <t>RISK</t>
        </is>
      </c>
      <c r="B19" s="2" t="inlineStr">
        <is>
          <t>Risikomanagement</t>
        </is>
      </c>
      <c r="C19" s="17" t="n"/>
      <c r="D19" s="17" t="n"/>
      <c r="E19" s="17" t="n"/>
      <c r="F19" s="18">
        <f>IF($C19="Ja",IFERROR((COUNTIFS('RISK'!$C$7:$C$14,"&lt;&gt;",'RISK'!$H$7:$H$14,"ja")+COUNTIFS('RISK'!$C$7:$C$14,"&lt;&gt;",'RISK'!$H$7:$H$14,"entbehrlich")+COUNTIFS('RISK'!$C$7:$C$14,"&lt;&gt;",'RISK'!$H$7:$H$14,"verwiesen"))/COUNTA('RISK'!$C$7:$C$14),0),"")</f>
        <v/>
      </c>
      <c r="G19" s="18">
        <f>IF($C19="Ja",IFERROR((COUNTA('RISK'!$C$7:$C$14)-COUNTIFS('RISK'!$C$7:$C$14,"&lt;&gt;",'RISK'!$H$7:$H$14,"unbearbeitet"))/COUNTA('RISK'!$C$7:$C$14),0),"")</f>
        <v/>
      </c>
      <c r="H19" s="19">
        <f>IF($C19="Ja",COUNTIFS('RISK'!$C$7:$C$14,"&lt;&gt;",'RISK'!$H$7:$H$14,"ja"),"")</f>
        <v/>
      </c>
      <c r="I19" s="19">
        <f>IF($C19="Ja",COUNTIFS('RISK'!$C$7:$C$14,"&lt;&gt;",'RISK'!$H$7:$H$14,"nein"),"")</f>
        <v/>
      </c>
      <c r="J19" s="19">
        <f>IF($C19="Ja",COUNTIFS('RISK'!$C$7:$C$14,"&lt;&gt;",'RISK'!$H$7:$H$14,"teilweise"),"")</f>
        <v/>
      </c>
      <c r="K19" s="19">
        <f>IF($C19="Ja",COUNTIFS('RISK'!$C$7:$C$14,"&lt;&gt;",'RISK'!$H$7:$H$14,"entbehrlich"),"")</f>
        <v/>
      </c>
      <c r="L19" s="19">
        <f>IF($C19="Ja",COUNTIFS('RISK'!$C$7:$C$14,"&lt;&gt;",'RISK'!$H$7:$H$14,"verwiesen"),"")</f>
        <v/>
      </c>
      <c r="M19" s="19">
        <f>IF($C19="Ja",COUNTIFS('RISK'!$C$7:$C$14,"&lt;&gt;",'RISK'!$H$7:$H$14,"zu klären"),"")</f>
        <v/>
      </c>
      <c r="N19" s="19">
        <f>IF($C19="Ja",COUNTIFS('RISK'!$C$7:$C$14,"&lt;&gt;",'RISK'!$H$7:$H$14,"unbearbeitet"),"")</f>
        <v/>
      </c>
      <c r="O19" s="19">
        <f>IF($C19="Ja",SUMIFS('RISK'!$V$7:$V$14,'RISK'!$C$7:$C$14,"&lt;&gt;",'RISK'!$H$7:$H$14,"ja"),"")</f>
        <v/>
      </c>
      <c r="P19" s="19">
        <f>IF($C19="Ja",SUMIFS('RISK'!$W$7:$W$14,'RISK'!$C$7:$C$14,"&lt;&gt;",'RISK'!$H$7:$H$14,"ja"),"")</f>
        <v/>
      </c>
      <c r="Q19" s="19">
        <f>IF($C19="Ja",SUMIFS('RISK'!$X$7:$X$14,'RISK'!$C$7:$C$14,"&lt;&gt;",'RISK'!$H$7:$H$14,"ja"),"")</f>
        <v/>
      </c>
      <c r="R19" s="19">
        <f>IF($C19="Ja",SUMIFS('RISK'!$Y$7:$Y$14,'RISK'!$C$7:$C$14,"&lt;&gt;",'RISK'!$H$7:$H$14,"ja"),"")</f>
        <v/>
      </c>
      <c r="S19" s="17" t="n"/>
      <c r="T19" s="17" t="n"/>
    </row>
    <row r="20">
      <c r="A20" s="3" t="inlineStr">
        <is>
          <t>SENS</t>
        </is>
      </c>
      <c r="B20" s="2" t="inlineStr">
        <is>
          <t>Sensibilisierung</t>
        </is>
      </c>
      <c r="C20" s="17" t="n"/>
      <c r="D20" s="17" t="n"/>
      <c r="E20" s="17" t="n"/>
      <c r="F20" s="18">
        <f>IF($C20="Ja",IFERROR((COUNTIFS('SENS'!$C$7:$C$168,"&lt;&gt;",'SENS'!$H$7:$H$168,"ja")+COUNTIFS('SENS'!$C$7:$C$168,"&lt;&gt;",'SENS'!$H$7:$H$168,"entbehrlich")+COUNTIFS('SENS'!$C$7:$C$168,"&lt;&gt;",'SENS'!$H$7:$H$168,"verwiesen"))/COUNTA('SENS'!$C$7:$C$168),0),"")</f>
        <v/>
      </c>
      <c r="G20" s="18">
        <f>IF($C20="Ja",IFERROR((COUNTA('SENS'!$C$7:$C$168)-COUNTIFS('SENS'!$C$7:$C$168,"&lt;&gt;",'SENS'!$H$7:$H$168,"unbearbeitet"))/COUNTA('SENS'!$C$7:$C$168),0),"")</f>
        <v/>
      </c>
      <c r="H20" s="19">
        <f>IF($C20="Ja",COUNTIFS('SENS'!$C$7:$C$168,"&lt;&gt;",'SENS'!$H$7:$H$168,"ja"),"")</f>
        <v/>
      </c>
      <c r="I20" s="19">
        <f>IF($C20="Ja",COUNTIFS('SENS'!$C$7:$C$168,"&lt;&gt;",'SENS'!$H$7:$H$168,"nein"),"")</f>
        <v/>
      </c>
      <c r="J20" s="19">
        <f>IF($C20="Ja",COUNTIFS('SENS'!$C$7:$C$168,"&lt;&gt;",'SENS'!$H$7:$H$168,"teilweise"),"")</f>
        <v/>
      </c>
      <c r="K20" s="19">
        <f>IF($C20="Ja",COUNTIFS('SENS'!$C$7:$C$168,"&lt;&gt;",'SENS'!$H$7:$H$168,"entbehrlich"),"")</f>
        <v/>
      </c>
      <c r="L20" s="19">
        <f>IF($C20="Ja",COUNTIFS('SENS'!$C$7:$C$168,"&lt;&gt;",'SENS'!$H$7:$H$168,"verwiesen"),"")</f>
        <v/>
      </c>
      <c r="M20" s="19">
        <f>IF($C20="Ja",COUNTIFS('SENS'!$C$7:$C$168,"&lt;&gt;",'SENS'!$H$7:$H$168,"zu klären"),"")</f>
        <v/>
      </c>
      <c r="N20" s="19">
        <f>IF($C20="Ja",COUNTIFS('SENS'!$C$7:$C$168,"&lt;&gt;",'SENS'!$H$7:$H$168,"unbearbeitet"),"")</f>
        <v/>
      </c>
      <c r="O20" s="19">
        <f>IF($C20="Ja",SUMIFS('SENS'!$V$7:$V$168,'SENS'!$C$7:$C$168,"&lt;&gt;",'SENS'!$H$7:$H$168,"ja"),"")</f>
        <v/>
      </c>
      <c r="P20" s="19">
        <f>IF($C20="Ja",SUMIFS('SENS'!$W$7:$W$168,'SENS'!$C$7:$C$168,"&lt;&gt;",'SENS'!$H$7:$H$168,"ja"),"")</f>
        <v/>
      </c>
      <c r="Q20" s="19">
        <f>IF($C20="Ja",SUMIFS('SENS'!$X$7:$X$168,'SENS'!$C$7:$C$168,"&lt;&gt;",'SENS'!$H$7:$H$168,"ja"),"")</f>
        <v/>
      </c>
      <c r="R20" s="19">
        <f>IF($C20="Ja",SUMIFS('SENS'!$Y$7:$Y$168,'SENS'!$C$7:$C$168,"&lt;&gt;",'SENS'!$H$7:$H$168,"ja"),"")</f>
        <v/>
      </c>
      <c r="S20" s="17" t="n"/>
      <c r="T20" s="17" t="n"/>
    </row>
    <row r="21">
      <c r="A21" s="3" t="inlineStr">
        <is>
          <t>STM</t>
        </is>
      </c>
      <c r="B21" s="2" t="inlineStr">
        <is>
          <t>Strukturmodellierung</t>
        </is>
      </c>
      <c r="C21" s="17" t="n"/>
      <c r="D21" s="17" t="n"/>
      <c r="E21" s="17" t="n"/>
      <c r="F21" s="18">
        <f>IF($C21="Ja",IFERROR((COUNTIFS('STM'!$C$7:$C$25,"&lt;&gt;",'STM'!$H$7:$H$25,"ja")+COUNTIFS('STM'!$C$7:$C$25,"&lt;&gt;",'STM'!$H$7:$H$25,"entbehrlich")+COUNTIFS('STM'!$C$7:$C$25,"&lt;&gt;",'STM'!$H$7:$H$25,"verwiesen"))/COUNTA('STM'!$C$7:$C$25),0),"")</f>
        <v/>
      </c>
      <c r="G21" s="18">
        <f>IF($C21="Ja",IFERROR((COUNTA('STM'!$C$7:$C$25)-COUNTIFS('STM'!$C$7:$C$25,"&lt;&gt;",'STM'!$H$7:$H$25,"unbearbeitet"))/COUNTA('STM'!$C$7:$C$25),0),"")</f>
        <v/>
      </c>
      <c r="H21" s="19">
        <f>IF($C21="Ja",COUNTIFS('STM'!$C$7:$C$25,"&lt;&gt;",'STM'!$H$7:$H$25,"ja"),"")</f>
        <v/>
      </c>
      <c r="I21" s="19">
        <f>IF($C21="Ja",COUNTIFS('STM'!$C$7:$C$25,"&lt;&gt;",'STM'!$H$7:$H$25,"nein"),"")</f>
        <v/>
      </c>
      <c r="J21" s="19">
        <f>IF($C21="Ja",COUNTIFS('STM'!$C$7:$C$25,"&lt;&gt;",'STM'!$H$7:$H$25,"teilweise"),"")</f>
        <v/>
      </c>
      <c r="K21" s="19">
        <f>IF($C21="Ja",COUNTIFS('STM'!$C$7:$C$25,"&lt;&gt;",'STM'!$H$7:$H$25,"entbehrlich"),"")</f>
        <v/>
      </c>
      <c r="L21" s="19">
        <f>IF($C21="Ja",COUNTIFS('STM'!$C$7:$C$25,"&lt;&gt;",'STM'!$H$7:$H$25,"verwiesen"),"")</f>
        <v/>
      </c>
      <c r="M21" s="19">
        <f>IF($C21="Ja",COUNTIFS('STM'!$C$7:$C$25,"&lt;&gt;",'STM'!$H$7:$H$25,"zu klären"),"")</f>
        <v/>
      </c>
      <c r="N21" s="19">
        <f>IF($C21="Ja",COUNTIFS('STM'!$C$7:$C$25,"&lt;&gt;",'STM'!$H$7:$H$25,"unbearbeitet"),"")</f>
        <v/>
      </c>
      <c r="O21" s="19">
        <f>IF($C21="Ja",SUMIFS('STM'!$V$7:$V$25,'STM'!$C$7:$C$25,"&lt;&gt;",'STM'!$H$7:$H$25,"ja"),"")</f>
        <v/>
      </c>
      <c r="P21" s="19">
        <f>IF($C21="Ja",SUMIFS('STM'!$W$7:$W$25,'STM'!$C$7:$C$25,"&lt;&gt;",'STM'!$H$7:$H$25,"ja"),"")</f>
        <v/>
      </c>
      <c r="Q21" s="19">
        <f>IF($C21="Ja",SUMIFS('STM'!$X$7:$X$25,'STM'!$C$7:$C$25,"&lt;&gt;",'STM'!$H$7:$H$25,"ja"),"")</f>
        <v/>
      </c>
      <c r="R21" s="19">
        <f>IF($C21="Ja",SUMIFS('STM'!$Y$7:$Y$25,'STM'!$C$7:$C$25,"&lt;&gt;",'STM'!$H$7:$H$25,"ja"),"")</f>
        <v/>
      </c>
      <c r="S21" s="17" t="n"/>
      <c r="T21" s="17" t="n"/>
    </row>
    <row r="22">
      <c r="A22" s="3" t="inlineStr">
        <is>
          <t>TEST</t>
        </is>
      </c>
      <c r="B22" s="2" t="inlineStr">
        <is>
          <t>Änderungen und Tests</t>
        </is>
      </c>
      <c r="C22" s="17" t="n"/>
      <c r="D22" s="17" t="n"/>
      <c r="E22" s="17" t="n"/>
      <c r="F22" s="18">
        <f>IF($C22="Ja",IFERROR((COUNTIFS('TEST'!$C$7:$C$57,"&lt;&gt;",'TEST'!$H$7:$H$57,"ja")+COUNTIFS('TEST'!$C$7:$C$57,"&lt;&gt;",'TEST'!$H$7:$H$57,"entbehrlich")+COUNTIFS('TEST'!$C$7:$C$57,"&lt;&gt;",'TEST'!$H$7:$H$57,"verwiesen"))/COUNTA('TEST'!$C$7:$C$57),0),"")</f>
        <v/>
      </c>
      <c r="G22" s="18">
        <f>IF($C22="Ja",IFERROR((COUNTA('TEST'!$C$7:$C$57)-COUNTIFS('TEST'!$C$7:$C$57,"&lt;&gt;",'TEST'!$H$7:$H$57,"unbearbeitet"))/COUNTA('TEST'!$C$7:$C$57),0),"")</f>
        <v/>
      </c>
      <c r="H22" s="19">
        <f>IF($C22="Ja",COUNTIFS('TEST'!$C$7:$C$57,"&lt;&gt;",'TEST'!$H$7:$H$57,"ja"),"")</f>
        <v/>
      </c>
      <c r="I22" s="19">
        <f>IF($C22="Ja",COUNTIFS('TEST'!$C$7:$C$57,"&lt;&gt;",'TEST'!$H$7:$H$57,"nein"),"")</f>
        <v/>
      </c>
      <c r="J22" s="19">
        <f>IF($C22="Ja",COUNTIFS('TEST'!$C$7:$C$57,"&lt;&gt;",'TEST'!$H$7:$H$57,"teilweise"),"")</f>
        <v/>
      </c>
      <c r="K22" s="19">
        <f>IF($C22="Ja",COUNTIFS('TEST'!$C$7:$C$57,"&lt;&gt;",'TEST'!$H$7:$H$57,"entbehrlich"),"")</f>
        <v/>
      </c>
      <c r="L22" s="19">
        <f>IF($C22="Ja",COUNTIFS('TEST'!$C$7:$C$57,"&lt;&gt;",'TEST'!$H$7:$H$57,"verwiesen"),"")</f>
        <v/>
      </c>
      <c r="M22" s="19">
        <f>IF($C22="Ja",COUNTIFS('TEST'!$C$7:$C$57,"&lt;&gt;",'TEST'!$H$7:$H$57,"zu klären"),"")</f>
        <v/>
      </c>
      <c r="N22" s="19">
        <f>IF($C22="Ja",COUNTIFS('TEST'!$C$7:$C$57,"&lt;&gt;",'TEST'!$H$7:$H$57,"unbearbeitet"),"")</f>
        <v/>
      </c>
      <c r="O22" s="19">
        <f>IF($C22="Ja",SUMIFS('TEST'!$V$7:$V$57,'TEST'!$C$7:$C$57,"&lt;&gt;",'TEST'!$H$7:$H$57,"ja"),"")</f>
        <v/>
      </c>
      <c r="P22" s="19">
        <f>IF($C22="Ja",SUMIFS('TEST'!$W$7:$W$57,'TEST'!$C$7:$C$57,"&lt;&gt;",'TEST'!$H$7:$H$57,"ja"),"")</f>
        <v/>
      </c>
      <c r="Q22" s="19">
        <f>IF($C22="Ja",SUMIFS('TEST'!$X$7:$X$57,'TEST'!$C$7:$C$57,"&lt;&gt;",'TEST'!$H$7:$H$57,"ja"),"")</f>
        <v/>
      </c>
      <c r="R22" s="19">
        <f>IF($C22="Ja",SUMIFS('TEST'!$Y$7:$Y$57,'TEST'!$C$7:$C$57,"&lt;&gt;",'TEST'!$H$7:$H$57,"ja"),"")</f>
        <v/>
      </c>
      <c r="S22" s="17" t="n"/>
      <c r="T22" s="17" t="n"/>
    </row>
    <row r="23">
      <c r="A23" s="3" t="inlineStr">
        <is>
          <t>UMS</t>
        </is>
      </c>
      <c r="B23" s="2" t="inlineStr">
        <is>
          <t>Umsetzung</t>
        </is>
      </c>
      <c r="C23" s="17" t="n"/>
      <c r="D23" s="17" t="n"/>
      <c r="E23" s="17" t="n"/>
      <c r="F23" s="18">
        <f>IF($C23="Ja",IFERROR((COUNTIFS('UMS'!$C$7:$C$28,"&lt;&gt;",'UMS'!$H$7:$H$28,"ja")+COUNTIFS('UMS'!$C$7:$C$28,"&lt;&gt;",'UMS'!$H$7:$H$28,"entbehrlich")+COUNTIFS('UMS'!$C$7:$C$28,"&lt;&gt;",'UMS'!$H$7:$H$28,"verwiesen"))/COUNTA('UMS'!$C$7:$C$28),0),"")</f>
        <v/>
      </c>
      <c r="G23" s="18">
        <f>IF($C23="Ja",IFERROR((COUNTA('UMS'!$C$7:$C$28)-COUNTIFS('UMS'!$C$7:$C$28,"&lt;&gt;",'UMS'!$H$7:$H$28,"unbearbeitet"))/COUNTA('UMS'!$C$7:$C$28),0),"")</f>
        <v/>
      </c>
      <c r="H23" s="19">
        <f>IF($C23="Ja",COUNTIFS('UMS'!$C$7:$C$28,"&lt;&gt;",'UMS'!$H$7:$H$28,"ja"),"")</f>
        <v/>
      </c>
      <c r="I23" s="19">
        <f>IF($C23="Ja",COUNTIFS('UMS'!$C$7:$C$28,"&lt;&gt;",'UMS'!$H$7:$H$28,"nein"),"")</f>
        <v/>
      </c>
      <c r="J23" s="19">
        <f>IF($C23="Ja",COUNTIFS('UMS'!$C$7:$C$28,"&lt;&gt;",'UMS'!$H$7:$H$28,"teilweise"),"")</f>
        <v/>
      </c>
      <c r="K23" s="19">
        <f>IF($C23="Ja",COUNTIFS('UMS'!$C$7:$C$28,"&lt;&gt;",'UMS'!$H$7:$H$28,"entbehrlich"),"")</f>
        <v/>
      </c>
      <c r="L23" s="19">
        <f>IF($C23="Ja",COUNTIFS('UMS'!$C$7:$C$28,"&lt;&gt;",'UMS'!$H$7:$H$28,"verwiesen"),"")</f>
        <v/>
      </c>
      <c r="M23" s="19">
        <f>IF($C23="Ja",COUNTIFS('UMS'!$C$7:$C$28,"&lt;&gt;",'UMS'!$H$7:$H$28,"zu klären"),"")</f>
        <v/>
      </c>
      <c r="N23" s="19">
        <f>IF($C23="Ja",COUNTIFS('UMS'!$C$7:$C$28,"&lt;&gt;",'UMS'!$H$7:$H$28,"unbearbeitet"),"")</f>
        <v/>
      </c>
      <c r="O23" s="19">
        <f>IF($C23="Ja",SUMIFS('UMS'!$V$7:$V$28,'UMS'!$C$7:$C$28,"&lt;&gt;",'UMS'!$H$7:$H$28,"ja"),"")</f>
        <v/>
      </c>
      <c r="P23" s="19">
        <f>IF($C23="Ja",SUMIFS('UMS'!$W$7:$W$28,'UMS'!$C$7:$C$28,"&lt;&gt;",'UMS'!$H$7:$H$28,"ja"),"")</f>
        <v/>
      </c>
      <c r="Q23" s="19">
        <f>IF($C23="Ja",SUMIFS('UMS'!$X$7:$X$28,'UMS'!$C$7:$C$28,"&lt;&gt;",'UMS'!$H$7:$H$28,"ja"),"")</f>
        <v/>
      </c>
      <c r="R23" s="19">
        <f>IF($C23="Ja",SUMIFS('UMS'!$Y$7:$Y$28,'UMS'!$C$7:$C$28,"&lt;&gt;",'UMS'!$H$7:$H$28,"ja"),"")</f>
        <v/>
      </c>
      <c r="S23" s="17" t="n"/>
      <c r="T23" s="17" t="n"/>
    </row>
    <row r="24">
      <c r="A24" s="3" t="inlineStr">
        <is>
          <t>VRB</t>
        </is>
      </c>
      <c r="B24" s="2" t="inlineStr">
        <is>
          <t>Verbesserung</t>
        </is>
      </c>
      <c r="C24" s="17" t="n"/>
      <c r="D24" s="17" t="n"/>
      <c r="E24" s="17" t="n"/>
      <c r="F24" s="18">
        <f>IF($C24="Ja",IFERROR((COUNTIFS('VRB'!$C$7:$C$26,"&lt;&gt;",'VRB'!$H$7:$H$26,"ja")+COUNTIFS('VRB'!$C$7:$C$26,"&lt;&gt;",'VRB'!$H$7:$H$26,"entbehrlich")+COUNTIFS('VRB'!$C$7:$C$26,"&lt;&gt;",'VRB'!$H$7:$H$26,"verwiesen"))/COUNTA('VRB'!$C$7:$C$26),0),"")</f>
        <v/>
      </c>
      <c r="G24" s="18">
        <f>IF($C24="Ja",IFERROR((COUNTA('VRB'!$C$7:$C$26)-COUNTIFS('VRB'!$C$7:$C$26,"&lt;&gt;",'VRB'!$H$7:$H$26,"unbearbeitet"))/COUNTA('VRB'!$C$7:$C$26),0),"")</f>
        <v/>
      </c>
      <c r="H24" s="19">
        <f>IF($C24="Ja",COUNTIFS('VRB'!$C$7:$C$26,"&lt;&gt;",'VRB'!$H$7:$H$26,"ja"),"")</f>
        <v/>
      </c>
      <c r="I24" s="19">
        <f>IF($C24="Ja",COUNTIFS('VRB'!$C$7:$C$26,"&lt;&gt;",'VRB'!$H$7:$H$26,"nein"),"")</f>
        <v/>
      </c>
      <c r="J24" s="19">
        <f>IF($C24="Ja",COUNTIFS('VRB'!$C$7:$C$26,"&lt;&gt;",'VRB'!$H$7:$H$26,"teilweise"),"")</f>
        <v/>
      </c>
      <c r="K24" s="19">
        <f>IF($C24="Ja",COUNTIFS('VRB'!$C$7:$C$26,"&lt;&gt;",'VRB'!$H$7:$H$26,"entbehrlich"),"")</f>
        <v/>
      </c>
      <c r="L24" s="19">
        <f>IF($C24="Ja",COUNTIFS('VRB'!$C$7:$C$26,"&lt;&gt;",'VRB'!$H$7:$H$26,"verwiesen"),"")</f>
        <v/>
      </c>
      <c r="M24" s="19">
        <f>IF($C24="Ja",COUNTIFS('VRB'!$C$7:$C$26,"&lt;&gt;",'VRB'!$H$7:$H$26,"zu klären"),"")</f>
        <v/>
      </c>
      <c r="N24" s="19">
        <f>IF($C24="Ja",COUNTIFS('VRB'!$C$7:$C$26,"&lt;&gt;",'VRB'!$H$7:$H$26,"unbearbeitet"),"")</f>
        <v/>
      </c>
      <c r="O24" s="19">
        <f>IF($C24="Ja",SUMIFS('VRB'!$V$7:$V$26,'VRB'!$C$7:$C$26,"&lt;&gt;",'VRB'!$H$7:$H$26,"ja"),"")</f>
        <v/>
      </c>
      <c r="P24" s="19">
        <f>IF($C24="Ja",SUMIFS('VRB'!$W$7:$W$26,'VRB'!$C$7:$C$26,"&lt;&gt;",'VRB'!$H$7:$H$26,"ja"),"")</f>
        <v/>
      </c>
      <c r="Q24" s="19">
        <f>IF($C24="Ja",SUMIFS('VRB'!$X$7:$X$26,'VRB'!$C$7:$C$26,"&lt;&gt;",'VRB'!$H$7:$H$26,"ja"),"")</f>
        <v/>
      </c>
      <c r="R24" s="19">
        <f>IF($C24="Ja",SUMIFS('VRB'!$Y$7:$Y$26,'VRB'!$C$7:$C$26,"&lt;&gt;",'VRB'!$H$7:$H$26,"ja"),"")</f>
        <v/>
      </c>
      <c r="S24" s="17" t="n"/>
      <c r="T24" s="17" t="n"/>
    </row>
    <row r="27">
      <c r="B27" s="5" t="inlineStr">
        <is>
          <t>Nur Praktiken mit Relevanz = "Ja" werden im Dashboard gezählt. Die Zähler beziehen sich auf Teilanforderungen, nicht auf Sammelzeilen.</t>
        </is>
      </c>
    </row>
  </sheetData>
  <dataValidations count="1">
    <dataValidation sqref="C5 C6 C7 C8 C9 C10 C11 C12 C13 C14 C15 C16 C17 C18 C19 C20 C21 C22 C23 C24" showDropDown="0" showInputMessage="0" showErrorMessage="0" allowBlank="1" type="list">
      <formula1>"Ja,Nein,Nein, in anderem SiKo betrachtet"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07"/>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ASST</t>
        </is>
      </c>
      <c r="B3" s="6" t="inlineStr">
        <is>
          <t>Informationen und Assets</t>
        </is>
      </c>
    </row>
    <row r="4">
      <c r="A4" s="3" t="inlineStr">
        <is>
          <t>Zielobjekte</t>
        </is>
      </c>
      <c r="B4" s="7">
        <f>IF('Praktiken'!D6="","",'Praktiken'!D6)</f>
        <v/>
      </c>
    </row>
    <row r="5">
      <c r="A5" s="3" t="inlineStr">
        <is>
          <t>Zuständig</t>
        </is>
      </c>
      <c r="B5" s="7">
        <f>IF('Praktiken'!S6="","",'Praktiken'!S6)</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ASST.1.1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is>
          <t>Vertraulichkeit</t>
        </is>
      </c>
      <c r="N7" s="12" t="inlineStr"/>
      <c r="O7" s="11" t="inlineStr"/>
      <c r="P7" s="12" t="inlineStr">
        <is>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is>
      </c>
      <c r="Q7" s="11" t="inlineStr"/>
      <c r="R7" s="11" t="inlineStr">
        <is>
          <t>IT-Betriebskonzept</t>
        </is>
      </c>
      <c r="S7" s="12" t="inlineStr">
        <is>
          <t>Verfahren und Regelungen zum Management von Informationen und damit verbundener Assets</t>
        </is>
      </c>
      <c r="T7" s="12" t="inlineStr">
        <is>
          <t>G 0.18 – Fehlplanung oder fehlende Anpassung; G 0.19 – Offenlegung schützenswerter Informationen</t>
        </is>
      </c>
      <c r="U7" s="11" t="n">
        <v>0</v>
      </c>
      <c r="V7" s="11" t="n">
        <v>2</v>
      </c>
      <c r="W7" s="11" t="n">
        <v>1</v>
      </c>
      <c r="X7" s="11" t="n">
        <v>1</v>
      </c>
      <c r="Y7" s="11" t="n">
        <v>0</v>
      </c>
    </row>
    <row r="8">
      <c r="A8" s="11" t="inlineStr">
        <is>
          <t>ASST.1.1</t>
        </is>
      </c>
      <c r="B8" s="12" t="inlineStr">
        <is>
          <t>Verfahren und Regelungen</t>
        </is>
      </c>
      <c r="C8" s="11" t="inlineStr">
        <is>
          <t>ASST.1.1.1</t>
        </is>
      </c>
      <c r="D8" s="11" t="inlineStr">
        <is>
          <t>Basis-Anforderungen</t>
        </is>
      </c>
      <c r="E8" s="12" t="inlineStr">
        <is>
          <t>Informationen und Assets MUSS die Verfahren und Regelungen dokumentieren.</t>
        </is>
      </c>
      <c r="F8" s="14" t="n"/>
      <c r="G8" s="14" t="n"/>
      <c r="H8" s="14" t="inlineStr">
        <is>
          <t>unbearbeitet</t>
        </is>
      </c>
      <c r="I8" s="14" t="n"/>
      <c r="J8" s="14" t="n"/>
      <c r="K8" s="14" t="n"/>
      <c r="L8" s="15" t="n"/>
      <c r="M8" s="11" t="inlineStr">
        <is>
          <t>Vertraulichkeit, Integrität</t>
        </is>
      </c>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t>
        </is>
      </c>
      <c r="U8" s="11" t="n">
        <v>0</v>
      </c>
      <c r="V8" s="11" t="n">
        <v>2</v>
      </c>
      <c r="W8" s="11" t="n">
        <v>2</v>
      </c>
      <c r="X8" s="11" t="n">
        <v>1</v>
      </c>
      <c r="Y8" s="11" t="n">
        <v>1</v>
      </c>
    </row>
    <row r="9">
      <c r="A9" s="11" t="inlineStr">
        <is>
          <t>ASST.1.1</t>
        </is>
      </c>
      <c r="B9" s="12" t="inlineStr">
        <is>
          <t>Verfahren und Regelungen</t>
        </is>
      </c>
      <c r="C9" s="11" t="inlineStr">
        <is>
          <t>ASST.1.1.2</t>
        </is>
      </c>
      <c r="D9" s="11" t="inlineStr">
        <is>
          <t>Basis-Anforderungen</t>
        </is>
      </c>
      <c r="E9" s="12" t="inlineStr">
        <is>
          <t>Informationen und Assets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ASST.1.1</t>
        </is>
      </c>
      <c r="B10" s="12" t="inlineStr">
        <is>
          <t>Verfahren und Regelungen</t>
        </is>
      </c>
      <c r="C10" s="11" t="inlineStr">
        <is>
          <t>ASST.1.1.3</t>
        </is>
      </c>
      <c r="D10" s="11" t="inlineStr">
        <is>
          <t>Basis-Anforderungen</t>
        </is>
      </c>
      <c r="E10" s="12" t="inlineStr">
        <is>
          <t>Informationen und Assets MUSS die zuständigen Personen oder Rollen über die Verfahren und Regelungen informieren.</t>
        </is>
      </c>
      <c r="F10" s="14" t="n"/>
      <c r="G10" s="14" t="n"/>
      <c r="H10" s="14" t="inlineStr">
        <is>
          <t>unbearbeitet</t>
        </is>
      </c>
      <c r="I10" s="14" t="n"/>
      <c r="J10" s="14" t="n"/>
      <c r="K10" s="14" t="n"/>
      <c r="L10" s="15" t="n"/>
      <c r="M10" s="11" t="inlineStr"/>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1</v>
      </c>
      <c r="X10" s="11" t="n">
        <v>1</v>
      </c>
      <c r="Y10" s="11" t="n">
        <v>0</v>
      </c>
    </row>
    <row r="11">
      <c r="A11" s="9" t="inlineStr">
        <is>
          <t>ASST.1.2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ASST.1.2</t>
        </is>
      </c>
      <c r="B12" s="12" t="inlineStr">
        <is>
          <t>Regelmäßige Überprüfung</t>
        </is>
      </c>
      <c r="C12" s="11" t="inlineStr">
        <is>
          <t>ASST.1.2</t>
        </is>
      </c>
      <c r="D12" s="11" t="inlineStr">
        <is>
          <t>Basis-Anforderungen</t>
        </is>
      </c>
      <c r="E12" s="12" t="inlineStr">
        <is>
          <t>Informationen und Assets MUSS die Verfahren und Regelungen regelmäßig und anlassbezogen auf Aktualität überprüfen.</t>
        </is>
      </c>
      <c r="F12" s="14" t="n"/>
      <c r="G12" s="14" t="n"/>
      <c r="H12" s="14" t="inlineStr">
        <is>
          <t>unbearbeitet</t>
        </is>
      </c>
      <c r="I12" s="14" t="n"/>
      <c r="J12" s="14" t="n"/>
      <c r="K12" s="14" t="n"/>
      <c r="L12" s="15" t="n"/>
      <c r="M12" s="11" t="inlineStr"/>
      <c r="N12" s="12" t="inlineStr"/>
      <c r="O12" s="11" t="inlineStr"/>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ASST.2.1</t>
        </is>
      </c>
      <c r="B13" s="10" t="inlineStr">
        <is>
          <t>Inventar der Informationen</t>
        </is>
      </c>
      <c r="C13" s="11" t="n"/>
      <c r="D13" s="11" t="inlineStr">
        <is>
          <t>Standard-Anforderungen</t>
        </is>
      </c>
      <c r="E13" s="12" t="inlineStr">
        <is>
          <t>Gesamt:</t>
        </is>
      </c>
      <c r="F13" s="11" t="n"/>
      <c r="G13" s="11" t="n"/>
      <c r="H13" s="13">
        <f>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
      </c>
      <c r="I13" s="11" t="n"/>
      <c r="J13" s="11" t="n"/>
      <c r="K13" s="11" t="n"/>
      <c r="L13" s="11" t="n"/>
      <c r="M13" s="11" t="inlineStr"/>
      <c r="N13" s="12" t="inlineStr"/>
      <c r="O13" s="11" t="inlineStr"/>
      <c r="P13" s="12" t="inlineStr">
        <is>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is>
      </c>
      <c r="Q13" s="11" t="inlineStr"/>
      <c r="R13" s="11" t="inlineStr">
        <is>
          <t>Inventar Informationen</t>
        </is>
      </c>
      <c r="S13" s="12" t="inlineStr">
        <is>
          <t>ein Inventar der Informationen und damit verbundener Assets</t>
        </is>
      </c>
      <c r="T13" s="12" t="inlineStr">
        <is>
          <t>G 0.18 – Fehlplanung oder fehlende Anpassung; G 0.16 – Diebstahl von Geräten, Datenträgern oder Dokumenten; G 0.17 – Verlust von Geräten, Datenträgern oder Dokumenten; G 0.45 – Datenverlust</t>
        </is>
      </c>
      <c r="U13" s="11" t="n">
        <v>3</v>
      </c>
      <c r="V13" s="11" t="n">
        <v>1</v>
      </c>
      <c r="W13" s="11" t="n">
        <v>1</v>
      </c>
      <c r="X13" s="11" t="n">
        <v>1</v>
      </c>
      <c r="Y13" s="11" t="n">
        <v>0</v>
      </c>
    </row>
    <row r="14">
      <c r="A14" s="11" t="inlineStr">
        <is>
          <t>ASST.2.1</t>
        </is>
      </c>
      <c r="B14" s="12" t="inlineStr">
        <is>
          <t>Inventar der Informationen</t>
        </is>
      </c>
      <c r="C14" s="11" t="inlineStr">
        <is>
          <t>ASST.2.1</t>
        </is>
      </c>
      <c r="D14" s="11" t="inlineStr">
        <is>
          <t>Standard-Anforderungen</t>
        </is>
      </c>
      <c r="E14" s="12" t="inlineStr">
        <is>
          <t>Informationen und Assets SOLLTE ein Inventar der Informationen und damit verbundener Assets dokumentieren.</t>
        </is>
      </c>
      <c r="F14" s="14" t="n"/>
      <c r="G14" s="14" t="n"/>
      <c r="H14" s="14" t="inlineStr">
        <is>
          <t>unbearbeitet</t>
        </is>
      </c>
      <c r="I14" s="14" t="n"/>
      <c r="J14" s="14" t="n"/>
      <c r="K14" s="14" t="n"/>
      <c r="L14" s="15" t="n"/>
      <c r="M14" s="11" t="inlineStr"/>
      <c r="N14" s="12" t="inlineStr"/>
      <c r="O14" s="11" t="inlineStr"/>
      <c r="P14" s="12" t="inlineStr">
        <is>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is>
      </c>
      <c r="Q14" s="11" t="inlineStr"/>
      <c r="R14" s="11" t="inlineStr">
        <is>
          <t>Inventar Informationen</t>
        </is>
      </c>
      <c r="S14" s="12" t="inlineStr">
        <is>
          <t>ein Inventar der Informationen und damit verbundener Assets</t>
        </is>
      </c>
      <c r="T14" s="12" t="inlineStr">
        <is>
          <t>G 0.18 – Fehlplanung oder fehlende Anpassung; G 0.16 – Diebstahl von Geräten, Datenträgern oder Dokumenten; G 0.17 – Verlust von Geräten, Datenträgern oder Dokumenten; G 0.45 – Datenverlust</t>
        </is>
      </c>
      <c r="U14" s="11" t="n">
        <v>3</v>
      </c>
      <c r="V14" s="11" t="n">
        <v>1</v>
      </c>
      <c r="W14" s="11" t="n">
        <v>1</v>
      </c>
      <c r="X14" s="11" t="n">
        <v>1</v>
      </c>
      <c r="Y14" s="11" t="n">
        <v>0</v>
      </c>
    </row>
    <row r="15">
      <c r="A15" s="11" t="inlineStr">
        <is>
          <t>ASST.2.1</t>
        </is>
      </c>
      <c r="B15" s="12" t="inlineStr">
        <is>
          <t>Inventar der Informationen</t>
        </is>
      </c>
      <c r="C15" s="11" t="inlineStr">
        <is>
          <t>ASST.2.1.1</t>
        </is>
      </c>
      <c r="D15" s="11" t="inlineStr">
        <is>
          <t>Standard-Anforderungen</t>
        </is>
      </c>
      <c r="E15" s="12" t="inlineStr">
        <is>
          <t>Informationen und Assets für Daten SOLLTE die Zuständigkeit für deren Verarbeitung einer zuständigen Person oder Rolle zuweisen.</t>
        </is>
      </c>
      <c r="F15" s="14" t="n"/>
      <c r="G15" s="14" t="n"/>
      <c r="H15" s="14" t="inlineStr">
        <is>
          <t>unbearbeitet</t>
        </is>
      </c>
      <c r="I15" s="14" t="n"/>
      <c r="J15" s="14" t="n"/>
      <c r="K15" s="14" t="n"/>
      <c r="L15" s="15" t="n"/>
      <c r="M15" s="11" t="inlineStr">
        <is>
          <t>Verfügbarkeit</t>
        </is>
      </c>
      <c r="N15" s="12" t="inlineStr"/>
      <c r="O15" s="11" t="inlineStr"/>
      <c r="P15" s="12" t="inlineStr">
        <is>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is>
      </c>
      <c r="Q15" s="11" t="inlineStr">
        <is>
          <t>Daten</t>
        </is>
      </c>
      <c r="R15" s="11" t="inlineStr">
        <is>
          <t>Inventar Informationen</t>
        </is>
      </c>
      <c r="S15" s="12" t="inlineStr">
        <is>
          <t>die Zuständigkeit für deren Verarbeitung</t>
        </is>
      </c>
      <c r="T15" s="12" t="inlineStr">
        <is>
          <t>G 0.18 – Fehlplanung oder fehlende Anpassung; G 0.16 – Diebstahl von Geräten, Datenträgern oder Dokumenten; G 0.17 – Verlust von Geräten, Datenträgern oder Dokumenten; G 0.45 – Datenverlust</t>
        </is>
      </c>
      <c r="U15" s="11" t="n">
        <v>3</v>
      </c>
      <c r="V15" s="11" t="n">
        <v>1</v>
      </c>
      <c r="W15" s="11" t="n">
        <v>1</v>
      </c>
      <c r="X15" s="11" t="n">
        <v>2</v>
      </c>
      <c r="Y15" s="11" t="n">
        <v>0</v>
      </c>
    </row>
    <row r="16">
      <c r="A16" s="9" t="inlineStr">
        <is>
          <t>ASST.2.2</t>
        </is>
      </c>
      <c r="B16" s="10" t="inlineStr">
        <is>
          <t>Inventar der Systeme</t>
        </is>
      </c>
      <c r="C16" s="11" t="n"/>
      <c r="D16" s="11" t="inlineStr">
        <is>
          <t>Standard-Anforderungen</t>
        </is>
      </c>
      <c r="E16" s="12" t="inlineStr">
        <is>
          <t>Gesamt:</t>
        </is>
      </c>
      <c r="F16" s="11" t="n"/>
      <c r="G16" s="11" t="n"/>
      <c r="H16" s="13">
        <f>IF(OR(COUNTBLANK($H$17:$H$18)&gt;0,COUNTIF($H$17:$H$18,"unbearbeitet")=COUNTA($H$17:$H$18)),"Bitte Teilanforderungen ausfüllen",IF(COUNTIF($H$17:$H$18,"zu klären")&gt;0,"zu klären",IF(COUNTIF($H$17:$H$18,"entbehrlich")=COUNTA($H$17:$H$18),"entbehrlich",IF(COUNTIF($H$17:$H$18,"verwiesen")=COUNTA($H$17:$H$18),"verwiesen",IF(COUNTIF($H$17:$H$18,"nein")+COUNTIF($H$17:$H$18,"entbehrlich")=COUNTA($H$17:$H$18),"nein",IF(COUNTIF($H$17:$H$18,"ja")+COUNTIF($H$17:$H$18,"entbehrlich")+COUNTIF($H$17:$H$18,"verwiesen")=COUNTA($H$17:$H$18),"ja","teilweise"))))))</f>
        <v/>
      </c>
      <c r="I16" s="11" t="n"/>
      <c r="J16" s="11" t="n"/>
      <c r="K16" s="11" t="n"/>
      <c r="L16" s="11" t="n"/>
      <c r="M16" s="11" t="inlineStr">
        <is>
          <t>Verfügbarkeit</t>
        </is>
      </c>
      <c r="N16" s="12" t="inlineStr">
        <is>
          <t>IND.1.A4-UA.2</t>
        </is>
      </c>
      <c r="O16" s="11" t="inlineStr">
        <is>
          <t>intersects-with</t>
        </is>
      </c>
      <c r="P16" s="12" t="inlineStr">
        <is>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is>
      </c>
      <c r="Q16" s="11" t="inlineStr"/>
      <c r="R16" s="11" t="inlineStr">
        <is>
          <t>Inventar IT-Systeme</t>
        </is>
      </c>
      <c r="S16" s="12" t="inlineStr">
        <is>
          <t>ein Inventar der IT-Systeme</t>
        </is>
      </c>
      <c r="T16" s="12" t="inlineStr">
        <is>
          <t>G 0.16 – Diebstahl von Geräten, Datenträgern oder Dokumenten; G 0.18 – Fehlplanung oder fehlende Anpassung; G 0.17 – Verlust von Geräten, Datenträgern oder Dokumenten; G 0.45 – Datenverlust</t>
        </is>
      </c>
      <c r="U16" s="11" t="n">
        <v>2</v>
      </c>
      <c r="V16" s="11" t="n">
        <v>1</v>
      </c>
      <c r="W16" s="11" t="n">
        <v>1</v>
      </c>
      <c r="X16" s="11" t="n">
        <v>2</v>
      </c>
      <c r="Y16" s="11" t="n">
        <v>0</v>
      </c>
    </row>
    <row r="17">
      <c r="A17" s="11" t="inlineStr">
        <is>
          <t>ASST.2.2</t>
        </is>
      </c>
      <c r="B17" s="12" t="inlineStr">
        <is>
          <t>Inventar der Systeme</t>
        </is>
      </c>
      <c r="C17" s="11" t="inlineStr">
        <is>
          <t>ASST.2.2</t>
        </is>
      </c>
      <c r="D17" s="11" t="inlineStr">
        <is>
          <t>Standard-Anforderungen</t>
        </is>
      </c>
      <c r="E17" s="12" t="inlineStr">
        <is>
          <t>Informationen und Assets SOLLTE ein Inventar der IT-Systeme einschließlich Identifikationsbezeichnung und letztem bekannten Verbleib dokumentieren.</t>
        </is>
      </c>
      <c r="F17" s="14" t="n"/>
      <c r="G17" s="14" t="n"/>
      <c r="H17" s="14" t="inlineStr">
        <is>
          <t>unbearbeitet</t>
        </is>
      </c>
      <c r="I17" s="14" t="n"/>
      <c r="J17" s="14" t="n"/>
      <c r="K17" s="14" t="n"/>
      <c r="L17" s="15" t="n"/>
      <c r="M17" s="11" t="inlineStr">
        <is>
          <t>Verfügbarkeit</t>
        </is>
      </c>
      <c r="N17" s="12" t="inlineStr">
        <is>
          <t>IND.1.A4-UA.2</t>
        </is>
      </c>
      <c r="O17" s="11" t="inlineStr">
        <is>
          <t>intersects-with</t>
        </is>
      </c>
      <c r="P17" s="12" t="inlineStr">
        <is>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is>
      </c>
      <c r="Q17" s="11" t="inlineStr"/>
      <c r="R17" s="11" t="inlineStr">
        <is>
          <t>Inventar IT-Systeme</t>
        </is>
      </c>
      <c r="S17" s="12" t="inlineStr">
        <is>
          <t>ein Inventar der IT-Systeme</t>
        </is>
      </c>
      <c r="T17" s="12" t="inlineStr">
        <is>
          <t>G 0.16 – Diebstahl von Geräten, Datenträgern oder Dokumenten; G 0.18 – Fehlplanung oder fehlende Anpassung; G 0.17 – Verlust von Geräten, Datenträgern oder Dokumenten; G 0.45 – Datenverlust</t>
        </is>
      </c>
      <c r="U17" s="11" t="n">
        <v>2</v>
      </c>
      <c r="V17" s="11" t="n">
        <v>1</v>
      </c>
      <c r="W17" s="11" t="n">
        <v>1</v>
      </c>
      <c r="X17" s="11" t="n">
        <v>2</v>
      </c>
      <c r="Y17" s="11" t="n">
        <v>0</v>
      </c>
    </row>
    <row r="18">
      <c r="A18" s="11" t="inlineStr">
        <is>
          <t>ASST.2.2</t>
        </is>
      </c>
      <c r="B18" s="12" t="inlineStr">
        <is>
          <t>Inventar der Systeme</t>
        </is>
      </c>
      <c r="C18" s="11" t="inlineStr">
        <is>
          <t>ASST.2.2.1</t>
        </is>
      </c>
      <c r="D18" s="11" t="inlineStr">
        <is>
          <t>Standard-Anforderungen</t>
        </is>
      </c>
      <c r="E18" s="12" t="inlineStr">
        <is>
          <t>Informationen und Assets für Netze SOLLTE das Aufdecken unautorisierter IT-Systeme verankern.</t>
        </is>
      </c>
      <c r="F18" s="14" t="n"/>
      <c r="G18" s="14" t="n"/>
      <c r="H18" s="14" t="inlineStr">
        <is>
          <t>unbearbeitet</t>
        </is>
      </c>
      <c r="I18" s="14" t="n"/>
      <c r="J18" s="14" t="n"/>
      <c r="K18" s="14" t="n"/>
      <c r="L18" s="15" t="n"/>
      <c r="M18" s="11" t="inlineStr">
        <is>
          <t>Verfügbarkeit</t>
        </is>
      </c>
      <c r="N18" s="12" t="inlineStr"/>
      <c r="O18" s="11" t="inlineStr"/>
      <c r="P18" s="12" t="inlineStr">
        <is>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is>
      </c>
      <c r="Q18" s="11" t="inlineStr">
        <is>
          <t>Netze</t>
        </is>
      </c>
      <c r="R18" s="11" t="inlineStr">
        <is>
          <t>Konfigurationshistorie</t>
        </is>
      </c>
      <c r="S18" s="12" t="inlineStr">
        <is>
          <t>das Aufdecken unautorisierter IT-Systeme</t>
        </is>
      </c>
      <c r="T18" s="12" t="inlineStr">
        <is>
          <t>G 0.16 – Diebstahl von Geräten, Datenträgern oder Dokumenten; G 0.18 – Fehlplanung oder fehlende Anpassung; G 0.17 – Verlust von Geräten, Datenträgern oder Dokumenten; G 0.45 – Datenverlust</t>
        </is>
      </c>
      <c r="U18" s="11" t="n">
        <v>4</v>
      </c>
      <c r="V18" s="11" t="n">
        <v>1</v>
      </c>
      <c r="W18" s="11" t="n">
        <v>1</v>
      </c>
      <c r="X18" s="11" t="n">
        <v>2</v>
      </c>
      <c r="Y18" s="11" t="n">
        <v>0</v>
      </c>
    </row>
    <row r="19">
      <c r="A19" s="9" t="inlineStr">
        <is>
          <t>ASST.2.3</t>
        </is>
      </c>
      <c r="B19" s="10" t="inlineStr">
        <is>
          <t>Inventar der Anwendungen</t>
        </is>
      </c>
      <c r="C19" s="11" t="n"/>
      <c r="D19" s="11" t="inlineStr">
        <is>
          <t>Standard-Anforderungen</t>
        </is>
      </c>
      <c r="E19" s="12" t="inlineStr">
        <is>
          <t>Gesamt:</t>
        </is>
      </c>
      <c r="F19" s="11" t="n"/>
      <c r="G19" s="11" t="n"/>
      <c r="H19" s="13">
        <f>IF(OR(COUNTBLANK($H$20:$H$23)&gt;0,COUNTIF($H$20:$H$23,"unbearbeitet")=COUNTA($H$20:$H$23)),"Bitte Teilanforderungen ausfüllen",IF(COUNTIF($H$20:$H$23,"zu klären")&gt;0,"zu klären",IF(COUNTIF($H$20:$H$23,"entbehrlich")=COUNTA($H$20:$H$23),"entbehrlich",IF(COUNTIF($H$20:$H$23,"verwiesen")=COUNTA($H$20:$H$23),"verwiesen",IF(COUNTIF($H$20:$H$23,"nein")+COUNTIF($H$20:$H$23,"entbehrlich")=COUNTA($H$20:$H$23),"nein",IF(COUNTIF($H$20:$H$23,"ja")+COUNTIF($H$20:$H$23,"entbehrlich")+COUNTIF($H$20:$H$23,"verwiesen")=COUNTA($H$20:$H$23),"ja","teilweise"))))))</f>
        <v/>
      </c>
      <c r="I19" s="11" t="n"/>
      <c r="J19" s="11" t="n"/>
      <c r="K19" s="11" t="n"/>
      <c r="L19" s="11" t="n"/>
      <c r="M19" s="11" t="inlineStr">
        <is>
          <t>Verfügbarkeit</t>
        </is>
      </c>
      <c r="N19" s="12" t="inlineStr">
        <is>
          <t>IND.1.A4-UA.2; IND.1.A4-UA.3</t>
        </is>
      </c>
      <c r="O19" s="11" t="inlineStr">
        <is>
          <t>intersects-with; intersects-with</t>
        </is>
      </c>
      <c r="P19" s="12" t="inlineStr">
        <is>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is>
      </c>
      <c r="Q19" s="11" t="inlineStr"/>
      <c r="R19" s="11" t="inlineStr">
        <is>
          <t>Inventar Anwendungen</t>
        </is>
      </c>
      <c r="S19" s="12" t="inlineStr">
        <is>
          <t>ein Inventar der Anwendungen</t>
        </is>
      </c>
      <c r="T19" s="12" t="inlineStr">
        <is>
          <t>G 0.18 – Fehlplanung oder fehlende Anpassung; G 0.16 – Diebstahl von Geräten, Datenträgern oder Dokumenten; G 0.17 – Verlust von Geräten, Datenträgern oder Dokumenten; G 0.45 – Datenverlust</t>
        </is>
      </c>
      <c r="U19" s="11" t="n">
        <v>2</v>
      </c>
      <c r="V19" s="11" t="n">
        <v>1</v>
      </c>
      <c r="W19" s="11" t="n">
        <v>1</v>
      </c>
      <c r="X19" s="11" t="n">
        <v>2</v>
      </c>
      <c r="Y19" s="11" t="n">
        <v>0</v>
      </c>
    </row>
    <row r="20">
      <c r="A20" s="11" t="inlineStr">
        <is>
          <t>ASST.2.3</t>
        </is>
      </c>
      <c r="B20" s="12" t="inlineStr">
        <is>
          <t>Inventar der Anwendungen</t>
        </is>
      </c>
      <c r="C20" s="11" t="inlineStr">
        <is>
          <t>ASST.2.3</t>
        </is>
      </c>
      <c r="D20" s="11" t="inlineStr">
        <is>
          <t>Standard-Anforderungen</t>
        </is>
      </c>
      <c r="E20" s="12" t="inlineStr">
        <is>
          <t>Informationen und Assets SOLLTE ein Inventar der Anwendungen einschließlich Produktname, Versionsstand, Herkunft und Lizenzierung dokumentieren.</t>
        </is>
      </c>
      <c r="F20" s="14" t="n"/>
      <c r="G20" s="14" t="n"/>
      <c r="H20" s="14" t="inlineStr">
        <is>
          <t>unbearbeitet</t>
        </is>
      </c>
      <c r="I20" s="14" t="n"/>
      <c r="J20" s="14" t="n"/>
      <c r="K20" s="14" t="n"/>
      <c r="L20" s="15" t="n"/>
      <c r="M20" s="11" t="inlineStr">
        <is>
          <t>Verfügbarkeit</t>
        </is>
      </c>
      <c r="N20" s="12" t="inlineStr">
        <is>
          <t>IND.1.A4-UA.2; IND.1.A4-UA.3</t>
        </is>
      </c>
      <c r="O20" s="11" t="inlineStr">
        <is>
          <t>intersects-with; intersects-with</t>
        </is>
      </c>
      <c r="P20" s="12" t="inlineStr">
        <is>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is>
      </c>
      <c r="Q20" s="11" t="inlineStr"/>
      <c r="R20" s="11" t="inlineStr">
        <is>
          <t>Inventar Anwendungen</t>
        </is>
      </c>
      <c r="S20" s="12" t="inlineStr">
        <is>
          <t>ein Inventar der Anwendungen</t>
        </is>
      </c>
      <c r="T20" s="12" t="inlineStr">
        <is>
          <t>G 0.18 – Fehlplanung oder fehlende Anpassung; G 0.16 – Diebstahl von Geräten, Datenträgern oder Dokumenten; G 0.17 – Verlust von Geräten, Datenträgern oder Dokumenten; G 0.45 – Datenverlust</t>
        </is>
      </c>
      <c r="U20" s="11" t="n">
        <v>2</v>
      </c>
      <c r="V20" s="11" t="n">
        <v>1</v>
      </c>
      <c r="W20" s="11" t="n">
        <v>1</v>
      </c>
      <c r="X20" s="11" t="n">
        <v>2</v>
      </c>
      <c r="Y20" s="11" t="n">
        <v>0</v>
      </c>
    </row>
    <row r="21">
      <c r="A21" s="11" t="inlineStr">
        <is>
          <t>ASST.2.3</t>
        </is>
      </c>
      <c r="B21" s="12" t="inlineStr">
        <is>
          <t>Inventar der Anwendungen</t>
        </is>
      </c>
      <c r="C21" s="11" t="inlineStr">
        <is>
          <t>ASST.2.3.1</t>
        </is>
      </c>
      <c r="D21" s="11" t="inlineStr">
        <is>
          <t>Standard-Anforderungen</t>
        </is>
      </c>
      <c r="E21" s="12" t="inlineStr">
        <is>
          <t>Informationen und Assets für IT-Systeme SOLLTE die Nutzung von Anwendungen auf diesen durch eine zuständige Person oder Rolle autorisieren.</t>
        </is>
      </c>
      <c r="F21" s="14" t="n"/>
      <c r="G21" s="14" t="n"/>
      <c r="H21" s="14" t="inlineStr">
        <is>
          <t>unbearbeitet</t>
        </is>
      </c>
      <c r="I21" s="14" t="n"/>
      <c r="J21" s="14" t="n"/>
      <c r="K21" s="14" t="n"/>
      <c r="L21" s="15" t="n"/>
      <c r="M21" s="11" t="inlineStr">
        <is>
          <t>Verfügbarkeit</t>
        </is>
      </c>
      <c r="N21" s="12" t="inlineStr"/>
      <c r="O21" s="11" t="inlineStr"/>
      <c r="P21" s="12" t="inlineStr">
        <is>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is>
      </c>
      <c r="Q21" s="11" t="inlineStr">
        <is>
          <t>IT-Systeme</t>
        </is>
      </c>
      <c r="R21" s="11" t="inlineStr">
        <is>
          <t>Inventar Anwendungen</t>
        </is>
      </c>
      <c r="S21" s="12" t="inlineStr">
        <is>
          <t>die Nutzung von Anwendungen auf diesen</t>
        </is>
      </c>
      <c r="T21" s="12" t="inlineStr">
        <is>
          <t>G 0.18 – Fehlplanung oder fehlende Anpassung; G 0.16 – Diebstahl von Geräten, Datenträgern oder Dokumenten; G 0.17 – Verlust von Geräten, Datenträgern oder Dokumenten; G 0.45 – Datenverlust</t>
        </is>
      </c>
      <c r="U21" s="11" t="n">
        <v>3</v>
      </c>
      <c r="V21" s="11" t="n">
        <v>1</v>
      </c>
      <c r="W21" s="11" t="n">
        <v>1</v>
      </c>
      <c r="X21" s="11" t="n">
        <v>2</v>
      </c>
      <c r="Y21" s="11" t="n">
        <v>0</v>
      </c>
    </row>
    <row r="22">
      <c r="A22" s="11" t="inlineStr">
        <is>
          <t>ASST.2.3</t>
        </is>
      </c>
      <c r="B22" s="12" t="inlineStr">
        <is>
          <t>Inventar der Anwendungen</t>
        </is>
      </c>
      <c r="C22" s="11" t="inlineStr">
        <is>
          <t>ASST.2.3.2</t>
        </is>
      </c>
      <c r="D22" s="11" t="inlineStr">
        <is>
          <t>Standard-Anforderungen</t>
        </is>
      </c>
      <c r="E22" s="12" t="inlineStr">
        <is>
          <t>Informationen und Assets für Anwendungen SOLLTE die Software Bill of Materials (SBOM) dokumentieren.</t>
        </is>
      </c>
      <c r="F22" s="14" t="n"/>
      <c r="G22" s="14" t="n"/>
      <c r="H22" s="14" t="inlineStr">
        <is>
          <t>unbearbeitet</t>
        </is>
      </c>
      <c r="I22" s="14" t="n"/>
      <c r="J22" s="14" t="n"/>
      <c r="K22" s="14" t="n"/>
      <c r="L22" s="15" t="n"/>
      <c r="M22" s="11" t="inlineStr">
        <is>
          <t>Verfügbarkeit</t>
        </is>
      </c>
      <c r="N22" s="12" t="inlineStr"/>
      <c r="O22" s="11" t="inlineStr"/>
      <c r="P22" s="12" t="inlineStr">
        <is>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is>
      </c>
      <c r="Q22" s="11" t="inlineStr">
        <is>
          <t>Anwendungen</t>
        </is>
      </c>
      <c r="R22" s="11" t="inlineStr">
        <is>
          <t>Inventar Anwendungen</t>
        </is>
      </c>
      <c r="S22" s="12" t="inlineStr">
        <is>
          <t>die Software Bill of Materials (SBOM)</t>
        </is>
      </c>
      <c r="T22" s="12" t="inlineStr">
        <is>
          <t>G 0.18 – Fehlplanung oder fehlende Anpassung; G 0.16 – Diebstahl von Geräten, Datenträgern oder Dokumenten; G 0.17 – Verlust von Geräten, Datenträgern oder Dokumenten; G 0.45 – Datenverlust</t>
        </is>
      </c>
      <c r="U22" s="11" t="n">
        <v>4</v>
      </c>
      <c r="V22" s="11" t="n">
        <v>1</v>
      </c>
      <c r="W22" s="11" t="n">
        <v>1</v>
      </c>
      <c r="X22" s="11" t="n">
        <v>2</v>
      </c>
      <c r="Y22" s="11" t="n">
        <v>0</v>
      </c>
    </row>
    <row r="23">
      <c r="A23" s="11" t="inlineStr">
        <is>
          <t>ASST.2.3</t>
        </is>
      </c>
      <c r="B23" s="12" t="inlineStr">
        <is>
          <t>Inventar der Anwendungen</t>
        </is>
      </c>
      <c r="C23" s="11" t="inlineStr">
        <is>
          <t>ASST.2.3.2.1</t>
        </is>
      </c>
      <c r="D23" s="11" t="inlineStr">
        <is>
          <t>Anforderungen bei erhöhtem Schutzbedarf</t>
        </is>
      </c>
      <c r="E23" s="12" t="inlineStr">
        <is>
          <t>Informationen und Assets KANN die Aktualität des Inventars der Anwendungen durch ein automatisiertes Verfahren regelmäßig oder bei Änderungen überprüfen.</t>
        </is>
      </c>
      <c r="F23" s="14" t="n"/>
      <c r="G23" s="14" t="n"/>
      <c r="H23" s="14" t="inlineStr">
        <is>
          <t>unbearbeitet</t>
        </is>
      </c>
      <c r="I23" s="14" t="n"/>
      <c r="J23" s="14" t="n"/>
      <c r="K23" s="14" t="n"/>
      <c r="L23" s="15" t="n"/>
      <c r="M23" s="11" t="inlineStr">
        <is>
          <t>Verfügbarkeit</t>
        </is>
      </c>
      <c r="N23" s="12" t="inlineStr"/>
      <c r="O23" s="11" t="inlineStr"/>
      <c r="P23" s="12" t="inlineStr">
        <is>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is>
      </c>
      <c r="Q23" s="11" t="inlineStr"/>
      <c r="R23" s="11" t="inlineStr">
        <is>
          <t>IT-Betriebskonzept</t>
        </is>
      </c>
      <c r="S23" s="12" t="inlineStr">
        <is>
          <t>die Aktualität des Inventars der Anwendungen durch ein automatisiertes Verfahren</t>
        </is>
      </c>
      <c r="T23" s="12" t="inlineStr">
        <is>
          <t>G 0.18 – Fehlplanung oder fehlende Anpassung; G 0.16 – Diebstahl von Geräten, Datenträgern oder Dokumenten; G 0.17 – Verlust von Geräten, Datenträgern oder Dokumenten; G 0.45 – Datenverlust</t>
        </is>
      </c>
      <c r="U23" s="11" t="n">
        <v>5</v>
      </c>
      <c r="V23" s="11" t="n">
        <v>1</v>
      </c>
      <c r="W23" s="11" t="n">
        <v>1</v>
      </c>
      <c r="X23" s="11" t="n">
        <v>2</v>
      </c>
      <c r="Y23" s="11" t="n">
        <v>0</v>
      </c>
    </row>
    <row r="24">
      <c r="A24" s="9" t="inlineStr">
        <is>
          <t>ASST.2.4</t>
        </is>
      </c>
      <c r="B24" s="10" t="inlineStr">
        <is>
          <t>Klassifizierung</t>
        </is>
      </c>
      <c r="C24" s="11" t="n"/>
      <c r="D24" s="11" t="inlineStr">
        <is>
          <t>Standard-Anforderungen</t>
        </is>
      </c>
      <c r="E24" s="12" t="inlineStr">
        <is>
          <t>Gesamt:</t>
        </is>
      </c>
      <c r="F24" s="11" t="n"/>
      <c r="G24" s="11" t="n"/>
      <c r="H24" s="13">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
      </c>
      <c r="I24" s="11" t="n"/>
      <c r="J24" s="11" t="n"/>
      <c r="K24" s="11" t="n"/>
      <c r="L24" s="11" t="n"/>
      <c r="M24" s="11" t="inlineStr">
        <is>
          <t>Vertraulichkeit</t>
        </is>
      </c>
      <c r="N24" s="12" t="inlineStr"/>
      <c r="O24" s="11" t="inlineStr"/>
      <c r="P24" s="12" t="inlineStr">
        <is>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is>
      </c>
      <c r="Q24" s="11" t="inlineStr">
        <is>
          <t>Daten</t>
        </is>
      </c>
      <c r="R24" s="11" t="inlineStr">
        <is>
          <t>Inventar Informationen</t>
        </is>
      </c>
      <c r="S24" s="12" t="inlineStr">
        <is>
          <t>diese einer Schutzbedarfsklasse</t>
        </is>
      </c>
      <c r="T24" s="12" t="inlineStr">
        <is>
          <t>G 0.18 – Fehlplanung oder fehlende Anpassung; G 0.19 – Offenlegung schützenswerter Informationen; G 0.16 – Diebstahl von Geräten, Datenträgern oder Dokumenten; G 0.17 – Verlust von Geräten, Datenträgern oder Dokumenten</t>
        </is>
      </c>
      <c r="U24" s="11" t="n">
        <v>3</v>
      </c>
      <c r="V24" s="11" t="n">
        <v>2</v>
      </c>
      <c r="W24" s="11" t="n">
        <v>1</v>
      </c>
      <c r="X24" s="11" t="n">
        <v>1</v>
      </c>
      <c r="Y24" s="11" t="n">
        <v>0</v>
      </c>
    </row>
    <row r="25">
      <c r="A25" s="11" t="inlineStr">
        <is>
          <t>ASST.2.4</t>
        </is>
      </c>
      <c r="B25" s="12" t="inlineStr">
        <is>
          <t>Klassifizierung</t>
        </is>
      </c>
      <c r="C25" s="11" t="inlineStr">
        <is>
          <t>ASST.2.4</t>
        </is>
      </c>
      <c r="D25" s="11" t="inlineStr">
        <is>
          <t>Standard-Anforderungen</t>
        </is>
      </c>
      <c r="E25" s="12" t="inlineStr">
        <is>
          <t>Informationen und Assets für Daten SOLLTE diese einer Schutzbedarfsklasse zuweisen.</t>
        </is>
      </c>
      <c r="F25" s="14" t="n"/>
      <c r="G25" s="14" t="n"/>
      <c r="H25" s="14" t="inlineStr">
        <is>
          <t>unbearbeitet</t>
        </is>
      </c>
      <c r="I25" s="14" t="n"/>
      <c r="J25" s="14" t="n"/>
      <c r="K25" s="14" t="n"/>
      <c r="L25" s="15" t="n"/>
      <c r="M25" s="11" t="inlineStr">
        <is>
          <t>Vertraulichkeit</t>
        </is>
      </c>
      <c r="N25" s="12" t="inlineStr"/>
      <c r="O25" s="11" t="inlineStr"/>
      <c r="P25" s="12" t="inlineStr">
        <is>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is>
      </c>
      <c r="Q25" s="11" t="inlineStr">
        <is>
          <t>Daten</t>
        </is>
      </c>
      <c r="R25" s="11" t="inlineStr">
        <is>
          <t>Inventar Informationen</t>
        </is>
      </c>
      <c r="S25" s="12" t="inlineStr">
        <is>
          <t>diese einer Schutzbedarfsklasse</t>
        </is>
      </c>
      <c r="T25" s="12" t="inlineStr">
        <is>
          <t>G 0.18 – Fehlplanung oder fehlende Anpassung; G 0.19 – Offenlegung schützenswerter Informationen; G 0.16 – Diebstahl von Geräten, Datenträgern oder Dokumenten; G 0.17 – Verlust von Geräten, Datenträgern oder Dokumenten</t>
        </is>
      </c>
      <c r="U25" s="11" t="n">
        <v>3</v>
      </c>
      <c r="V25" s="11" t="n">
        <v>2</v>
      </c>
      <c r="W25" s="11" t="n">
        <v>1</v>
      </c>
      <c r="X25" s="11" t="n">
        <v>1</v>
      </c>
      <c r="Y25" s="11" t="n">
        <v>0</v>
      </c>
    </row>
    <row r="26">
      <c r="A26" s="9" t="inlineStr">
        <is>
          <t>ASST.3.1</t>
        </is>
      </c>
      <c r="B26" s="10" t="inlineStr">
        <is>
          <t>Nutzungsvereinbarungen</t>
        </is>
      </c>
      <c r="C26" s="11" t="n"/>
      <c r="D26" s="11" t="inlineStr">
        <is>
          <t>Standard-Anforderungen</t>
        </is>
      </c>
      <c r="E26" s="12" t="inlineStr">
        <is>
          <t>Gesamt:</t>
        </is>
      </c>
      <c r="F26" s="11" t="n"/>
      <c r="G26" s="11" t="n"/>
      <c r="H26" s="13">
        <f>IF(OR(COUNTBLANK($H$27:$H$28)&gt;0,COUNTIF($H$27:$H$28,"unbearbeitet")=COUNTA($H$27:$H$28)),"Bitte Teilanforderungen ausfüllen",IF(COUNTIF($H$27:$H$28,"zu klären")&gt;0,"zu klären",IF(COUNTIF($H$27:$H$28,"entbehrlich")=COUNTA($H$27:$H$28),"entbehrlich",IF(COUNTIF($H$27:$H$28,"verwiesen")=COUNTA($H$27:$H$28),"verwiesen",IF(COUNTIF($H$27:$H$28,"nein")+COUNTIF($H$27:$H$28,"entbehrlich")=COUNTA($H$27:$H$28),"nein",IF(COUNTIF($H$27:$H$28,"ja")+COUNTIF($H$27:$H$28,"entbehrlich")+COUNTIF($H$27:$H$28,"verwiesen")=COUNTA($H$27:$H$28),"ja","teilweise"))))))</f>
        <v/>
      </c>
      <c r="I26" s="11" t="n"/>
      <c r="J26" s="11" t="n"/>
      <c r="K26" s="11" t="n"/>
      <c r="L26" s="11" t="n"/>
      <c r="M26" s="11" t="inlineStr"/>
      <c r="N26" s="12" t="inlineStr"/>
      <c r="O26" s="11" t="inlineStr"/>
      <c r="P26" s="12" t="inlineStr">
        <is>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is>
      </c>
      <c r="Q26" s="11" t="inlineStr">
        <is>
          <t>Nutzende</t>
        </is>
      </c>
      <c r="R26" s="11" t="inlineStr">
        <is>
          <t>Arbeitsanweisung</t>
        </is>
      </c>
      <c r="S26" s="12" t="inlineStr">
        <is>
          <t>diese zu den Regelungen der Nutzung von Informationen und anderen Assets</t>
        </is>
      </c>
      <c r="T26" s="12" t="inlineStr">
        <is>
          <t>G 0.18 – Fehlplanung oder fehlende Anpassung</t>
        </is>
      </c>
      <c r="U26" s="11" t="n">
        <v>2</v>
      </c>
      <c r="V26" s="11" t="n">
        <v>1</v>
      </c>
      <c r="W26" s="11" t="n">
        <v>1</v>
      </c>
      <c r="X26" s="11" t="n">
        <v>1</v>
      </c>
      <c r="Y26" s="11" t="n">
        <v>0</v>
      </c>
    </row>
    <row r="27">
      <c r="A27" s="11" t="inlineStr">
        <is>
          <t>ASST.3.1</t>
        </is>
      </c>
      <c r="B27" s="12" t="inlineStr">
        <is>
          <t>Nutzungsvereinbarungen</t>
        </is>
      </c>
      <c r="C27" s="11" t="inlineStr">
        <is>
          <t>ASST.3.1</t>
        </is>
      </c>
      <c r="D27" s="11" t="inlineStr">
        <is>
          <t>Standard-Anforderungen</t>
        </is>
      </c>
      <c r="E27" s="12" t="inlineStr">
        <is>
          <t>Informationen und Assets für Nutzende SOLLTE diese zu den Regelungen der Nutzung von Informationen und anderen Assets anweisen.</t>
        </is>
      </c>
      <c r="F27" s="14" t="n"/>
      <c r="G27" s="14" t="n"/>
      <c r="H27" s="14" t="inlineStr">
        <is>
          <t>unbearbeitet</t>
        </is>
      </c>
      <c r="I27" s="14" t="n"/>
      <c r="J27" s="14" t="n"/>
      <c r="K27" s="14" t="n"/>
      <c r="L27" s="15" t="n"/>
      <c r="M27" s="11" t="inlineStr"/>
      <c r="N27" s="12" t="inlineStr"/>
      <c r="O27" s="11" t="inlineStr"/>
      <c r="P27" s="12" t="inlineStr">
        <is>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is>
      </c>
      <c r="Q27" s="11" t="inlineStr">
        <is>
          <t>Nutzende</t>
        </is>
      </c>
      <c r="R27" s="11" t="inlineStr">
        <is>
          <t>Arbeitsanweisung</t>
        </is>
      </c>
      <c r="S27" s="12" t="inlineStr">
        <is>
          <t>diese zu den Regelungen der Nutzung von Informationen und anderen Assets</t>
        </is>
      </c>
      <c r="T27" s="12" t="inlineStr">
        <is>
          <t>G 0.18 – Fehlplanung oder fehlende Anpassung</t>
        </is>
      </c>
      <c r="U27" s="11" t="n">
        <v>2</v>
      </c>
      <c r="V27" s="11" t="n">
        <v>1</v>
      </c>
      <c r="W27" s="11" t="n">
        <v>1</v>
      </c>
      <c r="X27" s="11" t="n">
        <v>1</v>
      </c>
      <c r="Y27" s="11" t="n">
        <v>0</v>
      </c>
    </row>
    <row r="28">
      <c r="A28" s="11" t="inlineStr">
        <is>
          <t>ASST.3.1</t>
        </is>
      </c>
      <c r="B28" s="12" t="inlineStr">
        <is>
          <t>Nutzungsvereinbarungen</t>
        </is>
      </c>
      <c r="C28" s="11" t="inlineStr">
        <is>
          <t>ASST.3.1.1</t>
        </is>
      </c>
      <c r="D28" s="11" t="inlineStr">
        <is>
          <t>Standard-Anforderungen</t>
        </is>
      </c>
      <c r="E28" s="12" t="inlineStr">
        <is>
          <t>Informationen und Assets für Nutzende SOLLTE zur Weitergabe von Informationen nur bei Erforderlichkeit anweisen.</t>
        </is>
      </c>
      <c r="F28" s="14" t="n"/>
      <c r="G28" s="14" t="n"/>
      <c r="H28" s="14" t="inlineStr">
        <is>
          <t>unbearbeitet</t>
        </is>
      </c>
      <c r="I28" s="14" t="n"/>
      <c r="J28" s="14" t="n"/>
      <c r="K28" s="14" t="n"/>
      <c r="L28" s="15" t="n"/>
      <c r="M28" s="11" t="inlineStr"/>
      <c r="N28" s="12" t="inlineStr"/>
      <c r="O28" s="11" t="inlineStr"/>
      <c r="P28" s="12" t="inlineStr">
        <is>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is>
      </c>
      <c r="Q28" s="11" t="inlineStr">
        <is>
          <t>Nutzende</t>
        </is>
      </c>
      <c r="R28" s="11" t="inlineStr">
        <is>
          <t>Arbeitsanweisung</t>
        </is>
      </c>
      <c r="S28" s="12" t="inlineStr">
        <is>
          <t>zur Weitergabe von Informationen nur bei Erforderlichkeit</t>
        </is>
      </c>
      <c r="T28" s="12" t="inlineStr">
        <is>
          <t>G 0.18 – Fehlplanung oder fehlende Anpassung; G 0.29 – Verstoß gegen Gesetze oder Regelungen</t>
        </is>
      </c>
      <c r="U28" s="11" t="n">
        <v>2</v>
      </c>
      <c r="V28" s="11" t="n">
        <v>1</v>
      </c>
      <c r="W28" s="11" t="n">
        <v>1</v>
      </c>
      <c r="X28" s="11" t="n">
        <v>1</v>
      </c>
      <c r="Y28" s="11" t="n">
        <v>0</v>
      </c>
    </row>
    <row r="29">
      <c r="A29" s="9" t="inlineStr">
        <is>
          <t>ASST.3.2</t>
        </is>
      </c>
      <c r="B29" s="10" t="inlineStr">
        <is>
          <t>Entfernung nicht erforderlicher Rest- oder Zusatzdaten</t>
        </is>
      </c>
      <c r="C29" s="11" t="n"/>
      <c r="D29" s="11" t="inlineStr">
        <is>
          <t>Standard-Anforderungen</t>
        </is>
      </c>
      <c r="E29" s="12" t="inlineStr">
        <is>
          <t>Gesamt:</t>
        </is>
      </c>
      <c r="F29" s="11" t="n"/>
      <c r="G29" s="11" t="n"/>
      <c r="H29" s="13">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
      </c>
      <c r="I29" s="11" t="n"/>
      <c r="J29" s="11" t="n"/>
      <c r="K29" s="11" t="n"/>
      <c r="L29" s="11" t="n"/>
      <c r="M29" s="11" t="inlineStr"/>
      <c r="N29" s="12" t="inlineStr"/>
      <c r="O29" s="11" t="inlineStr"/>
      <c r="P29" s="12" t="inlineStr">
        <is>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is>
      </c>
      <c r="Q29" s="11" t="inlineStr">
        <is>
          <t>Daten</t>
        </is>
      </c>
      <c r="R29" s="11" t="inlineStr">
        <is>
          <t>Arbeitsanweisung</t>
        </is>
      </c>
      <c r="S29" s="12" t="inlineStr">
        <is>
          <t>die Entfernung nicht erforderlicher Rest- oder Zusatzdaten</t>
        </is>
      </c>
      <c r="T29" s="12" t="inlineStr">
        <is>
          <t>G 0.18 – Fehlplanung oder fehlende Anpassung</t>
        </is>
      </c>
      <c r="U29" s="11" t="n">
        <v>4</v>
      </c>
      <c r="V29" s="11" t="n">
        <v>1</v>
      </c>
      <c r="W29" s="11" t="n">
        <v>1</v>
      </c>
      <c r="X29" s="11" t="n">
        <v>1</v>
      </c>
      <c r="Y29" s="11" t="n">
        <v>0</v>
      </c>
    </row>
    <row r="30">
      <c r="A30" s="11" t="inlineStr">
        <is>
          <t>ASST.3.2</t>
        </is>
      </c>
      <c r="B30" s="12" t="inlineStr">
        <is>
          <t>Entfernung nicht erforderlicher Rest- oder Zusatzdaten</t>
        </is>
      </c>
      <c r="C30" s="11" t="inlineStr">
        <is>
          <t>ASST.3.2</t>
        </is>
      </c>
      <c r="D30" s="11" t="inlineStr">
        <is>
          <t>Standard-Anforderungen</t>
        </is>
      </c>
      <c r="E30" s="12" t="inlineStr">
        <is>
          <t>Informationen und Assets für Daten SOLLTE die Entfernung nicht erforderlicher Rest- oder Zusatzdaten verankern.</t>
        </is>
      </c>
      <c r="F30" s="14" t="n"/>
      <c r="G30" s="14" t="n"/>
      <c r="H30" s="14" t="inlineStr">
        <is>
          <t>unbearbeitet</t>
        </is>
      </c>
      <c r="I30" s="14" t="n"/>
      <c r="J30" s="14" t="n"/>
      <c r="K30" s="14" t="n"/>
      <c r="L30" s="15" t="n"/>
      <c r="M30" s="11" t="inlineStr"/>
      <c r="N30" s="12" t="inlineStr"/>
      <c r="O30" s="11" t="inlineStr"/>
      <c r="P30" s="12" t="inlineStr">
        <is>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is>
      </c>
      <c r="Q30" s="11" t="inlineStr">
        <is>
          <t>Daten</t>
        </is>
      </c>
      <c r="R30" s="11" t="inlineStr">
        <is>
          <t>Arbeitsanweisung</t>
        </is>
      </c>
      <c r="S30" s="12" t="inlineStr">
        <is>
          <t>die Entfernung nicht erforderlicher Rest- oder Zusatzdaten</t>
        </is>
      </c>
      <c r="T30" s="12" t="inlineStr">
        <is>
          <t>G 0.18 – Fehlplanung oder fehlende Anpassung</t>
        </is>
      </c>
      <c r="U30" s="11" t="n">
        <v>4</v>
      </c>
      <c r="V30" s="11" t="n">
        <v>1</v>
      </c>
      <c r="W30" s="11" t="n">
        <v>1</v>
      </c>
      <c r="X30" s="11" t="n">
        <v>1</v>
      </c>
      <c r="Y30" s="11" t="n">
        <v>0</v>
      </c>
    </row>
    <row r="31">
      <c r="A31" s="9" t="inlineStr">
        <is>
          <t>ASST.3.3</t>
        </is>
      </c>
      <c r="B31" s="10" t="inlineStr">
        <is>
          <t>Kennzeichnung</t>
        </is>
      </c>
      <c r="C31" s="11" t="n"/>
      <c r="D31" s="11" t="inlineStr">
        <is>
          <t>Standard-Anforderungen</t>
        </is>
      </c>
      <c r="E31" s="12" t="inlineStr">
        <is>
          <t>Gesamt:</t>
        </is>
      </c>
      <c r="F31" s="11" t="n"/>
      <c r="G31" s="11" t="n"/>
      <c r="H31" s="13">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
      </c>
      <c r="I31" s="11" t="n"/>
      <c r="J31" s="11" t="n"/>
      <c r="K31" s="11" t="n"/>
      <c r="L31" s="11" t="n"/>
      <c r="M31" s="11" t="inlineStr"/>
      <c r="N31" s="12" t="inlineStr"/>
      <c r="O31" s="11" t="inlineStr"/>
      <c r="P31" s="12" t="inlineStr">
        <is>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is>
      </c>
      <c r="Q31" s="11" t="inlineStr"/>
      <c r="R31" s="11" t="inlineStr">
        <is>
          <t>Arbeitsanweisung</t>
        </is>
      </c>
      <c r="S31" s="12" t="inlineStr">
        <is>
          <t>die Kennzeichnung von Informationen</t>
        </is>
      </c>
      <c r="T31" s="12" t="inlineStr">
        <is>
          <t>G 0.19 – Offenlegung schützenswerter Informationen</t>
        </is>
      </c>
      <c r="U31" s="11" t="n">
        <v>3</v>
      </c>
      <c r="V31" s="11" t="n">
        <v>1</v>
      </c>
      <c r="W31" s="11" t="n">
        <v>0</v>
      </c>
      <c r="X31" s="11" t="n">
        <v>0</v>
      </c>
      <c r="Y31" s="11" t="n">
        <v>0</v>
      </c>
    </row>
    <row r="32">
      <c r="A32" s="11" t="inlineStr">
        <is>
          <t>ASST.3.3</t>
        </is>
      </c>
      <c r="B32" s="12" t="inlineStr">
        <is>
          <t>Kennzeichnung</t>
        </is>
      </c>
      <c r="C32" s="11" t="inlineStr">
        <is>
          <t>ASST.3.3</t>
        </is>
      </c>
      <c r="D32" s="11" t="inlineStr">
        <is>
          <t>Standard-Anforderungen</t>
        </is>
      </c>
      <c r="E32" s="12" t="inlineStr">
        <is>
          <t>Informationen und Assets SOLLTE die Kennzeichnung von Informationen verankern.</t>
        </is>
      </c>
      <c r="F32" s="14" t="n"/>
      <c r="G32" s="14" t="n"/>
      <c r="H32" s="14" t="inlineStr">
        <is>
          <t>unbearbeitet</t>
        </is>
      </c>
      <c r="I32" s="14" t="n"/>
      <c r="J32" s="14" t="n"/>
      <c r="K32" s="14" t="n"/>
      <c r="L32" s="15" t="n"/>
      <c r="M32" s="11" t="inlineStr"/>
      <c r="N32" s="12" t="inlineStr"/>
      <c r="O32" s="11" t="inlineStr"/>
      <c r="P32" s="12" t="inlineStr">
        <is>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is>
      </c>
      <c r="Q32" s="11" t="inlineStr"/>
      <c r="R32" s="11" t="inlineStr">
        <is>
          <t>Arbeitsanweisung</t>
        </is>
      </c>
      <c r="S32" s="12" t="inlineStr">
        <is>
          <t>die Kennzeichnung von Informationen</t>
        </is>
      </c>
      <c r="T32" s="12" t="inlineStr">
        <is>
          <t>G 0.19 – Offenlegung schützenswerter Informationen</t>
        </is>
      </c>
      <c r="U32" s="11" t="n">
        <v>3</v>
      </c>
      <c r="V32" s="11" t="n">
        <v>1</v>
      </c>
      <c r="W32" s="11" t="n">
        <v>0</v>
      </c>
      <c r="X32" s="11" t="n">
        <v>0</v>
      </c>
      <c r="Y32" s="11" t="n">
        <v>0</v>
      </c>
    </row>
    <row r="33">
      <c r="A33" s="9" t="inlineStr">
        <is>
          <t>ASST.3.4</t>
        </is>
      </c>
      <c r="B33" s="10" t="inlineStr">
        <is>
          <t>Kennzeichnung ohne vertrauliche Daten</t>
        </is>
      </c>
      <c r="C33" s="11" t="n"/>
      <c r="D33" s="11" t="inlineStr">
        <is>
          <t>Standard-Anforderungen</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is>
          <t>Vertraulichkeit</t>
        </is>
      </c>
      <c r="N33" s="12" t="inlineStr"/>
      <c r="O33" s="11" t="inlineStr"/>
      <c r="P33" s="12" t="inlineStr">
        <is>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is>
      </c>
      <c r="Q33" s="11" t="inlineStr">
        <is>
          <t>IT-Systeme</t>
        </is>
      </c>
      <c r="R33" s="11" t="inlineStr">
        <is>
          <t>Arbeitsanweisung</t>
        </is>
      </c>
      <c r="S33" s="12" t="inlineStr">
        <is>
          <t>Kennzeichnung ohne vertrauliche Daten</t>
        </is>
      </c>
      <c r="T33" s="12" t="inlineStr">
        <is>
          <t>G 0.18 – Fehlplanung oder fehlende Anpassung; G 0.19 – Offenlegung schützenswerter Informationen</t>
        </is>
      </c>
      <c r="U33" s="11" t="n">
        <v>3</v>
      </c>
      <c r="V33" s="11" t="n">
        <v>2</v>
      </c>
      <c r="W33" s="11" t="n">
        <v>1</v>
      </c>
      <c r="X33" s="11" t="n">
        <v>1</v>
      </c>
      <c r="Y33" s="11" t="n">
        <v>0</v>
      </c>
    </row>
    <row r="34">
      <c r="A34" s="11" t="inlineStr">
        <is>
          <t>ASST.3.4</t>
        </is>
      </c>
      <c r="B34" s="12" t="inlineStr">
        <is>
          <t>Kennzeichnung ohne vertrauliche Daten</t>
        </is>
      </c>
      <c r="C34" s="11" t="inlineStr">
        <is>
          <t>ASST.3.4</t>
        </is>
      </c>
      <c r="D34" s="11" t="inlineStr">
        <is>
          <t>Standard-Anforderungen</t>
        </is>
      </c>
      <c r="E34" s="12" t="inlineStr">
        <is>
          <t>Informationen und Assets für IT-Systeme SOLLTE Kennzeichnung ohne vertrauliche Daten verankern.</t>
        </is>
      </c>
      <c r="F34" s="14" t="n"/>
      <c r="G34" s="14" t="n"/>
      <c r="H34" s="14" t="inlineStr">
        <is>
          <t>unbearbeitet</t>
        </is>
      </c>
      <c r="I34" s="14" t="n"/>
      <c r="J34" s="14" t="n"/>
      <c r="K34" s="14" t="n"/>
      <c r="L34" s="15" t="n"/>
      <c r="M34" s="11" t="inlineStr">
        <is>
          <t>Vertraulichkeit</t>
        </is>
      </c>
      <c r="N34" s="12" t="inlineStr"/>
      <c r="O34" s="11" t="inlineStr"/>
      <c r="P34" s="12" t="inlineStr">
        <is>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is>
      </c>
      <c r="Q34" s="11" t="inlineStr">
        <is>
          <t>IT-Systeme</t>
        </is>
      </c>
      <c r="R34" s="11" t="inlineStr">
        <is>
          <t>Arbeitsanweisung</t>
        </is>
      </c>
      <c r="S34" s="12" t="inlineStr">
        <is>
          <t>Kennzeichnung ohne vertrauliche Daten</t>
        </is>
      </c>
      <c r="T34" s="12" t="inlineStr">
        <is>
          <t>G 0.18 – Fehlplanung oder fehlende Anpassung; G 0.19 – Offenlegung schützenswerter Informationen</t>
        </is>
      </c>
      <c r="U34" s="11" t="n">
        <v>3</v>
      </c>
      <c r="V34" s="11" t="n">
        <v>2</v>
      </c>
      <c r="W34" s="11" t="n">
        <v>1</v>
      </c>
      <c r="X34" s="11" t="n">
        <v>1</v>
      </c>
      <c r="Y34" s="11" t="n">
        <v>0</v>
      </c>
    </row>
    <row r="35">
      <c r="A35" s="9" t="inlineStr">
        <is>
          <t>ASST.3.5</t>
        </is>
      </c>
      <c r="B35" s="10" t="inlineStr">
        <is>
          <t>Tainting</t>
        </is>
      </c>
      <c r="C35" s="11" t="n"/>
      <c r="D35" s="11" t="inlineStr">
        <is>
          <t>Anforderungen bei erhöhtem Schutzbedarf</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c r="N35" s="12" t="inlineStr"/>
      <c r="O35" s="11" t="inlineStr"/>
      <c r="P35" s="12" t="inlineStr">
        <is>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is>
      </c>
      <c r="Q35" s="11" t="inlineStr">
        <is>
          <t>Daten</t>
        </is>
      </c>
      <c r="R35" s="11" t="inlineStr">
        <is>
          <t>Arbeitsanweisung</t>
        </is>
      </c>
      <c r="S35" s="12" t="inlineStr">
        <is>
          <t>eine Markierung durch eingebettete Daten oder Funktionen zur Wiedererkennung</t>
        </is>
      </c>
      <c r="T35" s="12" t="inlineStr">
        <is>
          <t>G 0.18 – Fehlplanung oder fehlende Anpassung</t>
        </is>
      </c>
      <c r="U35" s="11" t="n">
        <v>5</v>
      </c>
      <c r="V35" s="11" t="n">
        <v>1</v>
      </c>
      <c r="W35" s="11" t="n">
        <v>1</v>
      </c>
      <c r="X35" s="11" t="n">
        <v>1</v>
      </c>
      <c r="Y35" s="11" t="n">
        <v>0</v>
      </c>
    </row>
    <row r="36">
      <c r="A36" s="11" t="inlineStr">
        <is>
          <t>ASST.3.5</t>
        </is>
      </c>
      <c r="B36" s="12" t="inlineStr">
        <is>
          <t>Tainting</t>
        </is>
      </c>
      <c r="C36" s="11" t="inlineStr">
        <is>
          <t>ASST.3.5</t>
        </is>
      </c>
      <c r="D36" s="11" t="inlineStr">
        <is>
          <t>Anforderungen bei erhöhtem Schutzbedarf</t>
        </is>
      </c>
      <c r="E36" s="12" t="inlineStr">
        <is>
          <t>Informationen und Assets für Daten KANN eine Markierung durch eingebettete Daten oder Funktionen zur Wiedererkennung zuweisen.</t>
        </is>
      </c>
      <c r="F36" s="14" t="n"/>
      <c r="G36" s="14" t="n"/>
      <c r="H36" s="14" t="inlineStr">
        <is>
          <t>unbearbeitet</t>
        </is>
      </c>
      <c r="I36" s="14" t="n"/>
      <c r="J36" s="14" t="n"/>
      <c r="K36" s="14" t="n"/>
      <c r="L36" s="15" t="n"/>
      <c r="M36" s="11" t="inlineStr"/>
      <c r="N36" s="12" t="inlineStr"/>
      <c r="O36" s="11" t="inlineStr"/>
      <c r="P36" s="12" t="inlineStr">
        <is>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is>
      </c>
      <c r="Q36" s="11" t="inlineStr">
        <is>
          <t>Daten</t>
        </is>
      </c>
      <c r="R36" s="11" t="inlineStr">
        <is>
          <t>Arbeitsanweisung</t>
        </is>
      </c>
      <c r="S36" s="12" t="inlineStr">
        <is>
          <t>eine Markierung durch eingebettete Daten oder Funktionen zur Wiedererkennung</t>
        </is>
      </c>
      <c r="T36" s="12" t="inlineStr">
        <is>
          <t>G 0.18 – Fehlplanung oder fehlende Anpassung</t>
        </is>
      </c>
      <c r="U36" s="11" t="n">
        <v>5</v>
      </c>
      <c r="V36" s="11" t="n">
        <v>1</v>
      </c>
      <c r="W36" s="11" t="n">
        <v>1</v>
      </c>
      <c r="X36" s="11" t="n">
        <v>1</v>
      </c>
      <c r="Y36" s="11" t="n">
        <v>0</v>
      </c>
    </row>
    <row r="37">
      <c r="A37" s="9" t="inlineStr">
        <is>
          <t>ASST.3.6</t>
        </is>
      </c>
      <c r="B37" s="10" t="inlineStr">
        <is>
          <t>Verifikation</t>
        </is>
      </c>
      <c r="C37" s="11" t="n"/>
      <c r="D37" s="11" t="inlineStr">
        <is>
          <t>Anforderungen bei erhöhtem Schutzbedarf</t>
        </is>
      </c>
      <c r="E37" s="12" t="inlineStr">
        <is>
          <t>Gesamt:</t>
        </is>
      </c>
      <c r="F37" s="11" t="n"/>
      <c r="G37" s="11" t="n"/>
      <c r="H37" s="13">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
      </c>
      <c r="I37" s="11" t="n"/>
      <c r="J37" s="11" t="n"/>
      <c r="K37" s="11" t="n"/>
      <c r="L37" s="11" t="n"/>
      <c r="M37" s="11" t="inlineStr"/>
      <c r="N37" s="12" t="inlineStr"/>
      <c r="O37" s="11" t="inlineStr"/>
      <c r="P37" s="12" t="inlineStr">
        <is>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is>
      </c>
      <c r="Q37" s="11" t="inlineStr">
        <is>
          <t>Informationen</t>
        </is>
      </c>
      <c r="R37" s="11" t="inlineStr">
        <is>
          <t>Arbeitsanweisung</t>
        </is>
      </c>
      <c r="S37" s="12" t="inlineStr">
        <is>
          <t>die Korrektheit</t>
        </is>
      </c>
      <c r="T37" s="12" t="inlineStr">
        <is>
          <t>G 0.18 – Fehlplanung oder fehlende Anpassung</t>
        </is>
      </c>
      <c r="U37" s="11" t="n">
        <v>5</v>
      </c>
      <c r="V37" s="11" t="n">
        <v>1</v>
      </c>
      <c r="W37" s="11" t="n">
        <v>1</v>
      </c>
      <c r="X37" s="11" t="n">
        <v>1</v>
      </c>
      <c r="Y37" s="11" t="n">
        <v>0</v>
      </c>
    </row>
    <row r="38">
      <c r="A38" s="11" t="inlineStr">
        <is>
          <t>ASST.3.6</t>
        </is>
      </c>
      <c r="B38" s="12" t="inlineStr">
        <is>
          <t>Verifikation</t>
        </is>
      </c>
      <c r="C38" s="11" t="inlineStr">
        <is>
          <t>ASST.3.6</t>
        </is>
      </c>
      <c r="D38" s="11" t="inlineStr">
        <is>
          <t>Anforderungen bei erhöhtem Schutzbedarf</t>
        </is>
      </c>
      <c r="E38" s="12" t="inlineStr">
        <is>
          <t>Informationen und Assets für Informationen KANN die Korrektheit anhand anderer Informationsquellen testen.</t>
        </is>
      </c>
      <c r="F38" s="14" t="n"/>
      <c r="G38" s="14" t="n"/>
      <c r="H38" s="14" t="inlineStr">
        <is>
          <t>unbearbeitet</t>
        </is>
      </c>
      <c r="I38" s="14" t="n"/>
      <c r="J38" s="14" t="n"/>
      <c r="K38" s="14" t="n"/>
      <c r="L38" s="15" t="n"/>
      <c r="M38" s="11" t="inlineStr"/>
      <c r="N38" s="12" t="inlineStr"/>
      <c r="O38" s="11" t="inlineStr"/>
      <c r="P38" s="12" t="inlineStr">
        <is>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is>
      </c>
      <c r="Q38" s="11" t="inlineStr">
        <is>
          <t>Informationen</t>
        </is>
      </c>
      <c r="R38" s="11" t="inlineStr">
        <is>
          <t>Arbeitsanweisung</t>
        </is>
      </c>
      <c r="S38" s="12" t="inlineStr">
        <is>
          <t>die Korrektheit</t>
        </is>
      </c>
      <c r="T38" s="12" t="inlineStr">
        <is>
          <t>G 0.18 – Fehlplanung oder fehlende Anpassung</t>
        </is>
      </c>
      <c r="U38" s="11" t="n">
        <v>5</v>
      </c>
      <c r="V38" s="11" t="n">
        <v>1</v>
      </c>
      <c r="W38" s="11" t="n">
        <v>1</v>
      </c>
      <c r="X38" s="11" t="n">
        <v>1</v>
      </c>
      <c r="Y38" s="11" t="n">
        <v>0</v>
      </c>
    </row>
    <row r="39">
      <c r="A39" s="9" t="inlineStr">
        <is>
          <t>ASST.3.7</t>
        </is>
      </c>
      <c r="B39" s="10" t="inlineStr">
        <is>
          <t>Pseudonymisierung</t>
        </is>
      </c>
      <c r="C39" s="11" t="n"/>
      <c r="D39" s="11" t="inlineStr">
        <is>
          <t>Anforderungen bei erhöhtem Schutzbedarf</t>
        </is>
      </c>
      <c r="E39" s="12" t="inlineStr">
        <is>
          <t>Gesamt:</t>
        </is>
      </c>
      <c r="F39" s="11" t="n"/>
      <c r="G39" s="11" t="n"/>
      <c r="H39" s="13">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
      </c>
      <c r="I39" s="11" t="n"/>
      <c r="J39" s="11" t="n"/>
      <c r="K39" s="11" t="n"/>
      <c r="L39" s="11" t="n"/>
      <c r="M39" s="11" t="inlineStr"/>
      <c r="N39" s="12" t="inlineStr"/>
      <c r="O39" s="11" t="inlineStr"/>
      <c r="P39" s="12" t="inlineStr">
        <is>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is>
      </c>
      <c r="Q39" s="11" t="inlineStr">
        <is>
          <t>Informationen</t>
        </is>
      </c>
      <c r="R39" s="11" t="inlineStr">
        <is>
          <t>Arbeitsanweisung</t>
        </is>
      </c>
      <c r="S39" s="12" t="inlineStr">
        <is>
          <t>die Pseudonymisierung</t>
        </is>
      </c>
      <c r="T39" s="12" t="inlineStr">
        <is>
          <t>G 0.18 – Fehlplanung oder fehlende Anpassung</t>
        </is>
      </c>
      <c r="U39" s="11" t="n">
        <v>5</v>
      </c>
      <c r="V39" s="11" t="n">
        <v>1</v>
      </c>
      <c r="W39" s="11" t="n">
        <v>1</v>
      </c>
      <c r="X39" s="11" t="n">
        <v>1</v>
      </c>
      <c r="Y39" s="11" t="n">
        <v>0</v>
      </c>
    </row>
    <row r="40">
      <c r="A40" s="11" t="inlineStr">
        <is>
          <t>ASST.3.7</t>
        </is>
      </c>
      <c r="B40" s="12" t="inlineStr">
        <is>
          <t>Pseudonymisierung</t>
        </is>
      </c>
      <c r="C40" s="11" t="inlineStr">
        <is>
          <t>ASST.3.7</t>
        </is>
      </c>
      <c r="D40" s="11" t="inlineStr">
        <is>
          <t>Anforderungen bei erhöhtem Schutzbedarf</t>
        </is>
      </c>
      <c r="E40" s="12" t="inlineStr">
        <is>
          <t>Informationen und Assets für Informationen KANN die Pseudonymisierung vor der Weitergabe verankern.</t>
        </is>
      </c>
      <c r="F40" s="14" t="n"/>
      <c r="G40" s="14" t="n"/>
      <c r="H40" s="14" t="inlineStr">
        <is>
          <t>unbearbeitet</t>
        </is>
      </c>
      <c r="I40" s="14" t="n"/>
      <c r="J40" s="14" t="n"/>
      <c r="K40" s="14" t="n"/>
      <c r="L40" s="15" t="n"/>
      <c r="M40" s="11" t="inlineStr"/>
      <c r="N40" s="12" t="inlineStr"/>
      <c r="O40" s="11" t="inlineStr"/>
      <c r="P40" s="12" t="inlineStr">
        <is>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is>
      </c>
      <c r="Q40" s="11" t="inlineStr">
        <is>
          <t>Informationen</t>
        </is>
      </c>
      <c r="R40" s="11" t="inlineStr">
        <is>
          <t>Arbeitsanweisung</t>
        </is>
      </c>
      <c r="S40" s="12" t="inlineStr">
        <is>
          <t>die Pseudonymisierung</t>
        </is>
      </c>
      <c r="T40" s="12" t="inlineStr">
        <is>
          <t>G 0.18 – Fehlplanung oder fehlende Anpassung</t>
        </is>
      </c>
      <c r="U40" s="11" t="n">
        <v>5</v>
      </c>
      <c r="V40" s="11" t="n">
        <v>1</v>
      </c>
      <c r="W40" s="11" t="n">
        <v>1</v>
      </c>
      <c r="X40" s="11" t="n">
        <v>1</v>
      </c>
      <c r="Y40" s="11" t="n">
        <v>0</v>
      </c>
    </row>
    <row r="41">
      <c r="A41" s="9" t="inlineStr">
        <is>
          <t>ASST.3.8</t>
        </is>
      </c>
      <c r="B41" s="10" t="inlineStr">
        <is>
          <t>Anonymisierung</t>
        </is>
      </c>
      <c r="C41" s="11" t="n"/>
      <c r="D41" s="11" t="inlineStr">
        <is>
          <t>Anforderungen bei erhöhtem Schutzbedarf</t>
        </is>
      </c>
      <c r="E41" s="12" t="inlineStr">
        <is>
          <t>Gesamt:</t>
        </is>
      </c>
      <c r="F41" s="11" t="n"/>
      <c r="G41" s="11" t="n"/>
      <c r="H41" s="13">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
      </c>
      <c r="I41" s="11" t="n"/>
      <c r="J41" s="11" t="n"/>
      <c r="K41" s="11" t="n"/>
      <c r="L41" s="11" t="n"/>
      <c r="M41" s="11" t="inlineStr"/>
      <c r="N41" s="12" t="inlineStr"/>
      <c r="O41" s="11" t="inlineStr"/>
      <c r="P41" s="12" t="inlineStr">
        <is>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is>
      </c>
      <c r="Q41" s="11" t="inlineStr">
        <is>
          <t>Informationen</t>
        </is>
      </c>
      <c r="R41" s="11" t="inlineStr">
        <is>
          <t>Arbeitsanweisung</t>
        </is>
      </c>
      <c r="S41" s="12" t="inlineStr">
        <is>
          <t>die Anonymisierung</t>
        </is>
      </c>
      <c r="T41" s="12" t="inlineStr">
        <is>
          <t>G 0.18 – Fehlplanung oder fehlende Anpassung</t>
        </is>
      </c>
      <c r="U41" s="11" t="n">
        <v>5</v>
      </c>
      <c r="V41" s="11" t="n">
        <v>1</v>
      </c>
      <c r="W41" s="11" t="n">
        <v>1</v>
      </c>
      <c r="X41" s="11" t="n">
        <v>1</v>
      </c>
      <c r="Y41" s="11" t="n">
        <v>0</v>
      </c>
    </row>
    <row r="42">
      <c r="A42" s="11" t="inlineStr">
        <is>
          <t>ASST.3.8</t>
        </is>
      </c>
      <c r="B42" s="12" t="inlineStr">
        <is>
          <t>Anonymisierung</t>
        </is>
      </c>
      <c r="C42" s="11" t="inlineStr">
        <is>
          <t>ASST.3.8</t>
        </is>
      </c>
      <c r="D42" s="11" t="inlineStr">
        <is>
          <t>Anforderungen bei erhöhtem Schutzbedarf</t>
        </is>
      </c>
      <c r="E42" s="12" t="inlineStr">
        <is>
          <t>Informationen und Assets für Informationen KANN die Anonymisierung vor der Weitergabe verankern.</t>
        </is>
      </c>
      <c r="F42" s="14" t="n"/>
      <c r="G42" s="14" t="n"/>
      <c r="H42" s="14" t="inlineStr">
        <is>
          <t>unbearbeitet</t>
        </is>
      </c>
      <c r="I42" s="14" t="n"/>
      <c r="J42" s="14" t="n"/>
      <c r="K42" s="14" t="n"/>
      <c r="L42" s="15" t="n"/>
      <c r="M42" s="11" t="inlineStr"/>
      <c r="N42" s="12" t="inlineStr"/>
      <c r="O42" s="11" t="inlineStr"/>
      <c r="P42" s="12" t="inlineStr">
        <is>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is>
      </c>
      <c r="Q42" s="11" t="inlineStr">
        <is>
          <t>Informationen</t>
        </is>
      </c>
      <c r="R42" s="11" t="inlineStr">
        <is>
          <t>Arbeitsanweisung</t>
        </is>
      </c>
      <c r="S42" s="12" t="inlineStr">
        <is>
          <t>die Anonymisierung</t>
        </is>
      </c>
      <c r="T42" s="12" t="inlineStr">
        <is>
          <t>G 0.18 – Fehlplanung oder fehlende Anpassung</t>
        </is>
      </c>
      <c r="U42" s="11" t="n">
        <v>5</v>
      </c>
      <c r="V42" s="11" t="n">
        <v>1</v>
      </c>
      <c r="W42" s="11" t="n">
        <v>1</v>
      </c>
      <c r="X42" s="11" t="n">
        <v>1</v>
      </c>
      <c r="Y42" s="11" t="n">
        <v>0</v>
      </c>
    </row>
    <row r="43">
      <c r="A43" s="9" t="inlineStr">
        <is>
          <t>ASST.3.9</t>
        </is>
      </c>
      <c r="B43" s="10" t="inlineStr">
        <is>
          <t>Aktualisierung</t>
        </is>
      </c>
      <c r="C43" s="11" t="n"/>
      <c r="D43" s="11" t="inlineStr">
        <is>
          <t>Anforderungen bei erhöhtem Schutzbedarf</t>
        </is>
      </c>
      <c r="E43" s="12" t="inlineStr">
        <is>
          <t>Gesamt:</t>
        </is>
      </c>
      <c r="F43" s="11" t="n"/>
      <c r="G43" s="11" t="n"/>
      <c r="H43" s="13">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
      </c>
      <c r="I43" s="11" t="n"/>
      <c r="J43" s="11" t="n"/>
      <c r="K43" s="11" t="n"/>
      <c r="L43" s="11" t="n"/>
      <c r="M43" s="11" t="inlineStr"/>
      <c r="N43" s="12" t="inlineStr"/>
      <c r="O43" s="11" t="inlineStr"/>
      <c r="P43" s="12" t="inlineStr">
        <is>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is>
      </c>
      <c r="Q43" s="11" t="inlineStr">
        <is>
          <t>Daten</t>
        </is>
      </c>
      <c r="R43" s="11" t="inlineStr">
        <is>
          <t>Arbeitsanweisung</t>
        </is>
      </c>
      <c r="S43" s="12" t="inlineStr">
        <is>
          <t>deren Aktualisierung</t>
        </is>
      </c>
      <c r="T43" s="12" t="inlineStr">
        <is>
          <t>G 0.18 – Fehlplanung oder fehlende Anpassung</t>
        </is>
      </c>
      <c r="U43" s="11" t="n">
        <v>5</v>
      </c>
      <c r="V43" s="11" t="n">
        <v>1</v>
      </c>
      <c r="W43" s="11" t="n">
        <v>1</v>
      </c>
      <c r="X43" s="11" t="n">
        <v>1</v>
      </c>
      <c r="Y43" s="11" t="n">
        <v>0</v>
      </c>
    </row>
    <row r="44">
      <c r="A44" s="11" t="inlineStr">
        <is>
          <t>ASST.3.9</t>
        </is>
      </c>
      <c r="B44" s="12" t="inlineStr">
        <is>
          <t>Aktualisierung</t>
        </is>
      </c>
      <c r="C44" s="11" t="inlineStr">
        <is>
          <t>ASST.3.9</t>
        </is>
      </c>
      <c r="D44" s="11" t="inlineStr">
        <is>
          <t>Anforderungen bei erhöhtem Schutzbedarf</t>
        </is>
      </c>
      <c r="E44" s="12" t="inlineStr">
        <is>
          <t>Informationen und Assets für Daten KANN deren Aktualisierung verankern.</t>
        </is>
      </c>
      <c r="F44" s="14" t="n"/>
      <c r="G44" s="14" t="n"/>
      <c r="H44" s="14" t="inlineStr">
        <is>
          <t>unbearbeitet</t>
        </is>
      </c>
      <c r="I44" s="14" t="n"/>
      <c r="J44" s="14" t="n"/>
      <c r="K44" s="14" t="n"/>
      <c r="L44" s="15" t="n"/>
      <c r="M44" s="11" t="inlineStr"/>
      <c r="N44" s="12" t="inlineStr"/>
      <c r="O44" s="11" t="inlineStr"/>
      <c r="P44" s="12" t="inlineStr">
        <is>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is>
      </c>
      <c r="Q44" s="11" t="inlineStr">
        <is>
          <t>Daten</t>
        </is>
      </c>
      <c r="R44" s="11" t="inlineStr">
        <is>
          <t>Arbeitsanweisung</t>
        </is>
      </c>
      <c r="S44" s="12" t="inlineStr">
        <is>
          <t>deren Aktualisierung</t>
        </is>
      </c>
      <c r="T44" s="12" t="inlineStr">
        <is>
          <t>G 0.18 – Fehlplanung oder fehlende Anpassung</t>
        </is>
      </c>
      <c r="U44" s="11" t="n">
        <v>5</v>
      </c>
      <c r="V44" s="11" t="n">
        <v>1</v>
      </c>
      <c r="W44" s="11" t="n">
        <v>1</v>
      </c>
      <c r="X44" s="11" t="n">
        <v>1</v>
      </c>
      <c r="Y44" s="11" t="n">
        <v>0</v>
      </c>
    </row>
    <row r="45">
      <c r="A45" s="9" t="inlineStr">
        <is>
          <t>ASST.3.10</t>
        </is>
      </c>
      <c r="B45" s="10" t="inlineStr">
        <is>
          <t>Autorisierung von Datenlokationen</t>
        </is>
      </c>
      <c r="C45" s="11" t="n"/>
      <c r="D45" s="11" t="inlineStr">
        <is>
          <t>Standard-Anforderungen</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c r="N45" s="12" t="inlineStr"/>
      <c r="O45" s="11" t="inlineStr"/>
      <c r="P45" s="12" t="inlineStr">
        <is>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is>
      </c>
      <c r="Q45" s="11" t="inlineStr">
        <is>
          <t>Daten</t>
        </is>
      </c>
      <c r="R45" s="11" t="inlineStr">
        <is>
          <t>Arbeitsanweisung</t>
        </is>
      </c>
      <c r="S45" s="12" t="inlineStr">
        <is>
          <t>Datenlokationen</t>
        </is>
      </c>
      <c r="T45" s="12" t="inlineStr">
        <is>
          <t>G 0.18 – Fehlplanung oder fehlende Anpassung</t>
        </is>
      </c>
      <c r="U45" s="11" t="n">
        <v>3</v>
      </c>
      <c r="V45" s="11" t="n">
        <v>1</v>
      </c>
      <c r="W45" s="11" t="n">
        <v>1</v>
      </c>
      <c r="X45" s="11" t="n">
        <v>1</v>
      </c>
      <c r="Y45" s="11" t="n">
        <v>0</v>
      </c>
    </row>
    <row r="46">
      <c r="A46" s="11" t="inlineStr">
        <is>
          <t>ASST.3.10</t>
        </is>
      </c>
      <c r="B46" s="12" t="inlineStr">
        <is>
          <t>Autorisierung von Datenlokationen</t>
        </is>
      </c>
      <c r="C46" s="11" t="inlineStr">
        <is>
          <t>ASST.3.10</t>
        </is>
      </c>
      <c r="D46" s="11" t="inlineStr">
        <is>
          <t>Standard-Anforderungen</t>
        </is>
      </c>
      <c r="E46" s="12" t="inlineStr">
        <is>
          <t>Informationen und Assets für Daten SOLLTE Datenlokationen durch eine zuständige Person oder Rolle autorisieren.</t>
        </is>
      </c>
      <c r="F46" s="14" t="n"/>
      <c r="G46" s="14" t="n"/>
      <c r="H46" s="14" t="inlineStr">
        <is>
          <t>unbearbeitet</t>
        </is>
      </c>
      <c r="I46" s="14" t="n"/>
      <c r="J46" s="14" t="n"/>
      <c r="K46" s="14" t="n"/>
      <c r="L46" s="15" t="n"/>
      <c r="M46" s="11" t="inlineStr"/>
      <c r="N46" s="12" t="inlineStr"/>
      <c r="O46" s="11" t="inlineStr"/>
      <c r="P46" s="12" t="inlineStr">
        <is>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is>
      </c>
      <c r="Q46" s="11" t="inlineStr">
        <is>
          <t>Daten</t>
        </is>
      </c>
      <c r="R46" s="11" t="inlineStr">
        <is>
          <t>Arbeitsanweisung</t>
        </is>
      </c>
      <c r="S46" s="12" t="inlineStr">
        <is>
          <t>Datenlokationen</t>
        </is>
      </c>
      <c r="T46" s="12" t="inlineStr">
        <is>
          <t>G 0.18 – Fehlplanung oder fehlende Anpassung</t>
        </is>
      </c>
      <c r="U46" s="11" t="n">
        <v>3</v>
      </c>
      <c r="V46" s="11" t="n">
        <v>1</v>
      </c>
      <c r="W46" s="11" t="n">
        <v>1</v>
      </c>
      <c r="X46" s="11" t="n">
        <v>1</v>
      </c>
      <c r="Y46" s="11" t="n">
        <v>0</v>
      </c>
    </row>
    <row r="47">
      <c r="A47" s="9" t="inlineStr">
        <is>
          <t>ASST.3.11</t>
        </is>
      </c>
      <c r="B47" s="10" t="inlineStr">
        <is>
          <t>Autorisierung von Systemen</t>
        </is>
      </c>
      <c r="C47" s="11" t="n"/>
      <c r="D47" s="11" t="inlineStr">
        <is>
          <t>Standard-Anforderungen</t>
        </is>
      </c>
      <c r="E47" s="12" t="inlineStr">
        <is>
          <t>Gesamt:</t>
        </is>
      </c>
      <c r="F47" s="11" t="n"/>
      <c r="G47" s="11" t="n"/>
      <c r="H47" s="13">
        <f>IF(OR(COUNTBLANK($H$48:$H$49)&gt;0,COUNTIF($H$48:$H$49,"unbearbeitet")=COUNTA($H$48:$H$49)),"Bitte Teilanforderungen ausfüllen",IF(COUNTIF($H$48:$H$49,"zu klären")&gt;0,"zu klären",IF(COUNTIF($H$48:$H$49,"entbehrlich")=COUNTA($H$48:$H$49),"entbehrlich",IF(COUNTIF($H$48:$H$49,"verwiesen")=COUNTA($H$48:$H$49),"verwiesen",IF(COUNTIF($H$48:$H$49,"nein")+COUNTIF($H$48:$H$49,"entbehrlich")=COUNTA($H$48:$H$49),"nein",IF(COUNTIF($H$48:$H$49,"ja")+COUNTIF($H$48:$H$49,"entbehrlich")+COUNTIF($H$48:$H$49,"verwiesen")=COUNTA($H$48:$H$49),"ja","teilweise"))))))</f>
        <v/>
      </c>
      <c r="I47" s="11" t="n"/>
      <c r="J47" s="11" t="n"/>
      <c r="K47" s="11" t="n"/>
      <c r="L47" s="11" t="n"/>
      <c r="M47" s="11" t="inlineStr"/>
      <c r="N47" s="12" t="inlineStr"/>
      <c r="O47" s="11" t="inlineStr"/>
      <c r="P47" s="12" t="inlineStr">
        <is>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is>
      </c>
      <c r="Q47" s="11" t="inlineStr">
        <is>
          <t>Daten</t>
        </is>
      </c>
      <c r="R47" s="11" t="inlineStr">
        <is>
          <t>Arbeitsanweisung</t>
        </is>
      </c>
      <c r="S47" s="12" t="inlineStr">
        <is>
          <t>für die Informationsverarbeitung verwendete Systeme</t>
        </is>
      </c>
      <c r="T47" s="12" t="inlineStr">
        <is>
          <t>G 0.18 – Fehlplanung oder fehlende Anpassung; G 0.30 – Unberechtigte Nutzung oder Administration von Geräten und Systemen</t>
        </is>
      </c>
      <c r="U47" s="11" t="n">
        <v>3</v>
      </c>
      <c r="V47" s="11" t="n">
        <v>1</v>
      </c>
      <c r="W47" s="11" t="n">
        <v>1</v>
      </c>
      <c r="X47" s="11" t="n">
        <v>1</v>
      </c>
      <c r="Y47" s="11" t="n">
        <v>1</v>
      </c>
    </row>
    <row r="48">
      <c r="A48" s="11" t="inlineStr">
        <is>
          <t>ASST.3.11</t>
        </is>
      </c>
      <c r="B48" s="12" t="inlineStr">
        <is>
          <t>Autorisierung von Systemen</t>
        </is>
      </c>
      <c r="C48" s="11" t="inlineStr">
        <is>
          <t>ASST.3.11</t>
        </is>
      </c>
      <c r="D48" s="11" t="inlineStr">
        <is>
          <t>Standard-Anforderungen</t>
        </is>
      </c>
      <c r="E48" s="12" t="inlineStr">
        <is>
          <t>Informationen und Assets für Daten SOLLTE für die Informationsverarbeitung verwendete Systeme durch eine zuständige Person oder Rolle autorisieren.</t>
        </is>
      </c>
      <c r="F48" s="14" t="n"/>
      <c r="G48" s="14" t="n"/>
      <c r="H48" s="14" t="inlineStr">
        <is>
          <t>unbearbeitet</t>
        </is>
      </c>
      <c r="I48" s="14" t="n"/>
      <c r="J48" s="14" t="n"/>
      <c r="K48" s="14" t="n"/>
      <c r="L48" s="15" t="n"/>
      <c r="M48" s="11" t="inlineStr"/>
      <c r="N48" s="12" t="inlineStr"/>
      <c r="O48" s="11" t="inlineStr"/>
      <c r="P48" s="12" t="inlineStr">
        <is>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is>
      </c>
      <c r="Q48" s="11" t="inlineStr">
        <is>
          <t>Daten</t>
        </is>
      </c>
      <c r="R48" s="11" t="inlineStr">
        <is>
          <t>Arbeitsanweisung</t>
        </is>
      </c>
      <c r="S48" s="12" t="inlineStr">
        <is>
          <t>für die Informationsverarbeitung verwendete Systeme</t>
        </is>
      </c>
      <c r="T48" s="12" t="inlineStr">
        <is>
          <t>G 0.18 – Fehlplanung oder fehlende Anpassung; G 0.30 – Unberechtigte Nutzung oder Administration von Geräten und Systemen</t>
        </is>
      </c>
      <c r="U48" s="11" t="n">
        <v>3</v>
      </c>
      <c r="V48" s="11" t="n">
        <v>1</v>
      </c>
      <c r="W48" s="11" t="n">
        <v>1</v>
      </c>
      <c r="X48" s="11" t="n">
        <v>1</v>
      </c>
      <c r="Y48" s="11" t="n">
        <v>1</v>
      </c>
    </row>
    <row r="49">
      <c r="A49" s="11" t="inlineStr">
        <is>
          <t>ASST.3.11</t>
        </is>
      </c>
      <c r="B49" s="12" t="inlineStr">
        <is>
          <t>Autorisierung von Systemen</t>
        </is>
      </c>
      <c r="C49" s="11" t="inlineStr">
        <is>
          <t>ASST.3.11.1</t>
        </is>
      </c>
      <c r="D49" s="11" t="inlineStr">
        <is>
          <t>Standard-Anforderungen</t>
        </is>
      </c>
      <c r="E49" s="12" t="inlineStr">
        <is>
          <t>Informationen und Assets für Daten SOLLTE auch Peripheriegeräte autorisieren.</t>
        </is>
      </c>
      <c r="F49" s="14" t="n"/>
      <c r="G49" s="14" t="n"/>
      <c r="H49" s="14" t="inlineStr">
        <is>
          <t>unbearbeitet</t>
        </is>
      </c>
      <c r="I49" s="14" t="n"/>
      <c r="J49" s="14" t="n"/>
      <c r="K49" s="14" t="n"/>
      <c r="L49" s="15" t="n"/>
      <c r="M49" s="11" t="inlineStr"/>
      <c r="N49" s="12" t="inlineStr"/>
      <c r="O49" s="11" t="inlineStr"/>
      <c r="P49" s="12" t="inlineStr">
        <is>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is>
      </c>
      <c r="Q49" s="11" t="inlineStr">
        <is>
          <t>Daten</t>
        </is>
      </c>
      <c r="R49" s="11" t="inlineStr">
        <is>
          <t>Arbeitsanweisung</t>
        </is>
      </c>
      <c r="S49" s="12" t="inlineStr">
        <is>
          <t>auch Peripheriegeräte</t>
        </is>
      </c>
      <c r="T49" s="12" t="inlineStr">
        <is>
          <t>G 0.18 – Fehlplanung oder fehlende Anpassung; G 0.30 – Unberechtigte Nutzung oder Administration von Geräten und Systemen</t>
        </is>
      </c>
      <c r="U49" s="11" t="n">
        <v>4</v>
      </c>
      <c r="V49" s="11" t="n">
        <v>1</v>
      </c>
      <c r="W49" s="11" t="n">
        <v>1</v>
      </c>
      <c r="X49" s="11" t="n">
        <v>1</v>
      </c>
      <c r="Y49" s="11" t="n">
        <v>1</v>
      </c>
    </row>
    <row r="50">
      <c r="A50" s="9" t="inlineStr">
        <is>
          <t>ASST.3.12</t>
        </is>
      </c>
      <c r="B50" s="10" t="inlineStr">
        <is>
          <t>Autorisierung von Personen oder Institutionen</t>
        </is>
      </c>
      <c r="C50" s="11" t="n"/>
      <c r="D50" s="11" t="inlineStr">
        <is>
          <t>Standard-Anforderungen</t>
        </is>
      </c>
      <c r="E50" s="12" t="inlineStr">
        <is>
          <t>Gesamt:</t>
        </is>
      </c>
      <c r="F50" s="11" t="n"/>
      <c r="G50" s="11" t="n"/>
      <c r="H50" s="13">
        <f>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
      </c>
      <c r="I50" s="11" t="n"/>
      <c r="J50" s="11" t="n"/>
      <c r="K50" s="11" t="n"/>
      <c r="L50" s="11" t="n"/>
      <c r="M50" s="11" t="inlineStr"/>
      <c r="N50" s="12" t="inlineStr"/>
      <c r="O50" s="11" t="inlineStr"/>
      <c r="P50" s="12" t="inlineStr">
        <is>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is>
      </c>
      <c r="Q50" s="11" t="inlineStr">
        <is>
          <t>Daten</t>
        </is>
      </c>
      <c r="R50" s="11" t="inlineStr">
        <is>
          <t>Arbeitsanweisung</t>
        </is>
      </c>
      <c r="S50" s="12" t="inlineStr">
        <is>
          <t>den Zugriff von Personen oder Institutionen</t>
        </is>
      </c>
      <c r="T50" s="12" t="inlineStr">
        <is>
          <t>G 0.18 – Fehlplanung oder fehlende Anpassung; G 0.30 – Unberechtigte Nutzung oder Administration von Geräten und Systemen</t>
        </is>
      </c>
      <c r="U50" s="11" t="n">
        <v>3</v>
      </c>
      <c r="V50" s="11" t="n">
        <v>1</v>
      </c>
      <c r="W50" s="11" t="n">
        <v>1</v>
      </c>
      <c r="X50" s="11" t="n">
        <v>1</v>
      </c>
      <c r="Y50" s="11" t="n">
        <v>1</v>
      </c>
    </row>
    <row r="51">
      <c r="A51" s="11" t="inlineStr">
        <is>
          <t>ASST.3.12</t>
        </is>
      </c>
      <c r="B51" s="12" t="inlineStr">
        <is>
          <t>Autorisierung von Personen oder Institutionen</t>
        </is>
      </c>
      <c r="C51" s="11" t="inlineStr">
        <is>
          <t>ASST.3.12</t>
        </is>
      </c>
      <c r="D51" s="11" t="inlineStr">
        <is>
          <t>Standard-Anforderungen</t>
        </is>
      </c>
      <c r="E51" s="12" t="inlineStr">
        <is>
          <t>Informationen und Assets für Daten SOLLTE den Zugriff von Personen oder Institutionen im Einklang mit den zugehörigen Anforderungen zum Identitäts- und Berechtigungsmanagement autorisieren.</t>
        </is>
      </c>
      <c r="F51" s="14" t="n"/>
      <c r="G51" s="14" t="n"/>
      <c r="H51" s="14" t="inlineStr">
        <is>
          <t>unbearbeitet</t>
        </is>
      </c>
      <c r="I51" s="14" t="n"/>
      <c r="J51" s="14" t="n"/>
      <c r="K51" s="14" t="n"/>
      <c r="L51" s="15" t="n"/>
      <c r="M51" s="11" t="inlineStr"/>
      <c r="N51" s="12" t="inlineStr"/>
      <c r="O51" s="11" t="inlineStr"/>
      <c r="P51" s="12" t="inlineStr">
        <is>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is>
      </c>
      <c r="Q51" s="11" t="inlineStr">
        <is>
          <t>Daten</t>
        </is>
      </c>
      <c r="R51" s="11" t="inlineStr">
        <is>
          <t>Arbeitsanweisung</t>
        </is>
      </c>
      <c r="S51" s="12" t="inlineStr">
        <is>
          <t>den Zugriff von Personen oder Institutionen</t>
        </is>
      </c>
      <c r="T51" s="12" t="inlineStr">
        <is>
          <t>G 0.18 – Fehlplanung oder fehlende Anpassung; G 0.30 – Unberechtigte Nutzung oder Administration von Geräten und Systemen</t>
        </is>
      </c>
      <c r="U51" s="11" t="n">
        <v>3</v>
      </c>
      <c r="V51" s="11" t="n">
        <v>1</v>
      </c>
      <c r="W51" s="11" t="n">
        <v>1</v>
      </c>
      <c r="X51" s="11" t="n">
        <v>1</v>
      </c>
      <c r="Y51" s="11" t="n">
        <v>1</v>
      </c>
    </row>
    <row r="52">
      <c r="A52" s="9" t="inlineStr">
        <is>
          <t>ASST.3.13</t>
        </is>
      </c>
      <c r="B52" s="10" t="inlineStr">
        <is>
          <t>Lagerung physischer Assets</t>
        </is>
      </c>
      <c r="C52" s="11" t="n"/>
      <c r="D52" s="11" t="inlineStr">
        <is>
          <t>Standard-Anforderungen</t>
        </is>
      </c>
      <c r="E52" s="12" t="inlineStr">
        <is>
          <t>Gesamt:</t>
        </is>
      </c>
      <c r="F52" s="11" t="n"/>
      <c r="G52" s="11" t="n"/>
      <c r="H52" s="13">
        <f>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
      </c>
      <c r="I52" s="11" t="n"/>
      <c r="J52" s="11" t="n"/>
      <c r="K52" s="11" t="n"/>
      <c r="L52" s="11" t="n"/>
      <c r="M52" s="11" t="inlineStr"/>
      <c r="N52" s="12" t="inlineStr"/>
      <c r="O52" s="11" t="inlineStr"/>
      <c r="P52" s="12" t="inlineStr">
        <is>
          <t>Lagerung meint hier die Aufbewahrung nicht an Nutzende ausgegebener physischer Assets. Die Lagerung kann in verschlossenen Lagerräumen, Schränken oder bei Dienstleistern erfolgen.</t>
        </is>
      </c>
      <c r="Q52" s="11" t="inlineStr">
        <is>
          <t>Administrierende</t>
        </is>
      </c>
      <c r="R52" s="11" t="inlineStr">
        <is>
          <t>IT-Betriebskonzept</t>
        </is>
      </c>
      <c r="S52" s="12" t="inlineStr">
        <is>
          <t>zur Lagerung physischer Assets</t>
        </is>
      </c>
      <c r="T52" s="12" t="inlineStr">
        <is>
          <t>G 0.18 – Fehlplanung oder fehlende Anpassung</t>
        </is>
      </c>
      <c r="U52" s="11" t="n">
        <v>3</v>
      </c>
      <c r="V52" s="11" t="n">
        <v>1</v>
      </c>
      <c r="W52" s="11" t="n">
        <v>1</v>
      </c>
      <c r="X52" s="11" t="n">
        <v>1</v>
      </c>
      <c r="Y52" s="11" t="n">
        <v>0</v>
      </c>
    </row>
    <row r="53">
      <c r="A53" s="11" t="inlineStr">
        <is>
          <t>ASST.3.13</t>
        </is>
      </c>
      <c r="B53" s="12" t="inlineStr">
        <is>
          <t>Lagerung physischer Assets</t>
        </is>
      </c>
      <c r="C53" s="11" t="inlineStr">
        <is>
          <t>ASST.3.13</t>
        </is>
      </c>
      <c r="D53" s="11" t="inlineStr">
        <is>
          <t>Standard-Anforderungen</t>
        </is>
      </c>
      <c r="E53" s="12" t="inlineStr">
        <is>
          <t>Informationen und Assets für Administrierende SOLLTE zur Lagerung physischer Assets in einem dazu vorgesehenen Lager anweisen.</t>
        </is>
      </c>
      <c r="F53" s="14" t="n"/>
      <c r="G53" s="14" t="n"/>
      <c r="H53" s="14" t="inlineStr">
        <is>
          <t>unbearbeitet</t>
        </is>
      </c>
      <c r="I53" s="14" t="n"/>
      <c r="J53" s="14" t="n"/>
      <c r="K53" s="14" t="n"/>
      <c r="L53" s="15" t="n"/>
      <c r="M53" s="11" t="inlineStr"/>
      <c r="N53" s="12" t="inlineStr"/>
      <c r="O53" s="11" t="inlineStr"/>
      <c r="P53" s="12" t="inlineStr">
        <is>
          <t>Lagerung meint hier die Aufbewahrung nicht an Nutzende ausgegebener physischer Assets. Die Lagerung kann in verschlossenen Lagerräumen, Schränken oder bei Dienstleistern erfolgen.</t>
        </is>
      </c>
      <c r="Q53" s="11" t="inlineStr">
        <is>
          <t>Administrierende</t>
        </is>
      </c>
      <c r="R53" s="11" t="inlineStr">
        <is>
          <t>IT-Betriebskonzept</t>
        </is>
      </c>
      <c r="S53" s="12" t="inlineStr">
        <is>
          <t>zur Lagerung physischer Assets</t>
        </is>
      </c>
      <c r="T53" s="12" t="inlineStr">
        <is>
          <t>G 0.18 – Fehlplanung oder fehlende Anpassung</t>
        </is>
      </c>
      <c r="U53" s="11" t="n">
        <v>3</v>
      </c>
      <c r="V53" s="11" t="n">
        <v>1</v>
      </c>
      <c r="W53" s="11" t="n">
        <v>1</v>
      </c>
      <c r="X53" s="11" t="n">
        <v>1</v>
      </c>
      <c r="Y53" s="11" t="n">
        <v>0</v>
      </c>
    </row>
    <row r="54">
      <c r="A54" s="9" t="inlineStr">
        <is>
          <t>ASST.3.14</t>
        </is>
      </c>
      <c r="B54" s="10" t="inlineStr">
        <is>
          <t>Reserve physischer Assets</t>
        </is>
      </c>
      <c r="C54" s="11" t="n"/>
      <c r="D54" s="11" t="inlineStr">
        <is>
          <t>Standard-Anforderungen</t>
        </is>
      </c>
      <c r="E54" s="12" t="inlineStr">
        <is>
          <t>Gesamt:</t>
        </is>
      </c>
      <c r="F54" s="11" t="n"/>
      <c r="G54" s="11" t="n"/>
      <c r="H54" s="13">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
      </c>
      <c r="I54" s="11" t="n"/>
      <c r="J54" s="11" t="n"/>
      <c r="K54" s="11" t="n"/>
      <c r="L54" s="11" t="n"/>
      <c r="M54" s="11" t="inlineStr"/>
      <c r="N54" s="12" t="inlineStr"/>
      <c r="O54" s="11" t="inlineStr"/>
      <c r="P54" s="12" t="inlineStr">
        <is>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is>
      </c>
      <c r="Q54" s="11" t="inlineStr"/>
      <c r="R54" s="11" t="inlineStr">
        <is>
          <t>IT-Betriebskonzept</t>
        </is>
      </c>
      <c r="S54" s="12" t="inlineStr">
        <is>
          <t>eine Reserve physischer Assets</t>
        </is>
      </c>
      <c r="T54" s="12" t="inlineStr">
        <is>
          <t>G 0.18 – Fehlplanung oder fehlende Anpassung</t>
        </is>
      </c>
      <c r="U54" s="11" t="n">
        <v>4</v>
      </c>
      <c r="V54" s="11" t="n">
        <v>1</v>
      </c>
      <c r="W54" s="11" t="n">
        <v>1</v>
      </c>
      <c r="X54" s="11" t="n">
        <v>1</v>
      </c>
      <c r="Y54" s="11" t="n">
        <v>0</v>
      </c>
    </row>
    <row r="55">
      <c r="A55" s="11" t="inlineStr">
        <is>
          <t>ASST.3.14</t>
        </is>
      </c>
      <c r="B55" s="12" t="inlineStr">
        <is>
          <t>Reserve physischer Assets</t>
        </is>
      </c>
      <c r="C55" s="11" t="inlineStr">
        <is>
          <t>ASST.3.14</t>
        </is>
      </c>
      <c r="D55" s="11" t="inlineStr">
        <is>
          <t>Standard-Anforderungen</t>
        </is>
      </c>
      <c r="E55" s="12" t="inlineStr">
        <is>
          <t>Informationen und Assets SOLLTE eine Reserve physischer Assets verankern.</t>
        </is>
      </c>
      <c r="F55" s="14" t="n"/>
      <c r="G55" s="14" t="n"/>
      <c r="H55" s="14" t="inlineStr">
        <is>
          <t>unbearbeitet</t>
        </is>
      </c>
      <c r="I55" s="14" t="n"/>
      <c r="J55" s="14" t="n"/>
      <c r="K55" s="14" t="n"/>
      <c r="L55" s="15" t="n"/>
      <c r="M55" s="11" t="inlineStr"/>
      <c r="N55" s="12" t="inlineStr"/>
      <c r="O55" s="11" t="inlineStr"/>
      <c r="P55" s="12" t="inlineStr">
        <is>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is>
      </c>
      <c r="Q55" s="11" t="inlineStr"/>
      <c r="R55" s="11" t="inlineStr">
        <is>
          <t>IT-Betriebskonzept</t>
        </is>
      </c>
      <c r="S55" s="12" t="inlineStr">
        <is>
          <t>eine Reserve physischer Assets</t>
        </is>
      </c>
      <c r="T55" s="12" t="inlineStr">
        <is>
          <t>G 0.18 – Fehlplanung oder fehlende Anpassung</t>
        </is>
      </c>
      <c r="U55" s="11" t="n">
        <v>4</v>
      </c>
      <c r="V55" s="11" t="n">
        <v>1</v>
      </c>
      <c r="W55" s="11" t="n">
        <v>1</v>
      </c>
      <c r="X55" s="11" t="n">
        <v>1</v>
      </c>
      <c r="Y55" s="11" t="n">
        <v>0</v>
      </c>
    </row>
    <row r="56">
      <c r="A56" s="9" t="inlineStr">
        <is>
          <t>ASST.3.15</t>
        </is>
      </c>
      <c r="B56" s="10" t="inlineStr">
        <is>
          <t>Ausleihe physischer Assets</t>
        </is>
      </c>
      <c r="C56" s="11" t="n"/>
      <c r="D56" s="11" t="inlineStr">
        <is>
          <t>Anforderungen bei erhöhtem Schutzbedarf</t>
        </is>
      </c>
      <c r="E56" s="12" t="inlineStr">
        <is>
          <t>Gesamt:</t>
        </is>
      </c>
      <c r="F56" s="11" t="n"/>
      <c r="G56" s="11" t="n"/>
      <c r="H56" s="13">
        <f>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
      </c>
      <c r="I56" s="11" t="n"/>
      <c r="J56" s="11" t="n"/>
      <c r="K56" s="11" t="n"/>
      <c r="L56" s="11" t="n"/>
      <c r="M56" s="11" t="inlineStr"/>
      <c r="N56" s="12" t="inlineStr"/>
      <c r="O56" s="11" t="inlineStr"/>
      <c r="P56" s="12" t="inlineStr">
        <is>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is>
      </c>
      <c r="Q56" s="11" t="inlineStr"/>
      <c r="R56" s="11" t="inlineStr">
        <is>
          <t>IT-Betriebskonzept</t>
        </is>
      </c>
      <c r="S56" s="12" t="inlineStr">
        <is>
          <t>einen ausreichenden Ausleihbestand</t>
        </is>
      </c>
      <c r="T56" s="12" t="inlineStr">
        <is>
          <t>G 0.18 – Fehlplanung oder fehlende Anpassung</t>
        </is>
      </c>
      <c r="U56" s="11" t="n">
        <v>5</v>
      </c>
      <c r="V56" s="11" t="n">
        <v>1</v>
      </c>
      <c r="W56" s="11" t="n">
        <v>1</v>
      </c>
      <c r="X56" s="11" t="n">
        <v>1</v>
      </c>
      <c r="Y56" s="11" t="n">
        <v>0</v>
      </c>
    </row>
    <row r="57">
      <c r="A57" s="11" t="inlineStr">
        <is>
          <t>ASST.3.15</t>
        </is>
      </c>
      <c r="B57" s="12" t="inlineStr">
        <is>
          <t>Ausleihe physischer Assets</t>
        </is>
      </c>
      <c r="C57" s="11" t="inlineStr">
        <is>
          <t>ASST.3.15</t>
        </is>
      </c>
      <c r="D57" s="11" t="inlineStr">
        <is>
          <t>Anforderungen bei erhöhtem Schutzbedarf</t>
        </is>
      </c>
      <c r="E57" s="12" t="inlineStr">
        <is>
          <t>Informationen und Assets KANN einen ausreichenden Ausleihbestand verankern.</t>
        </is>
      </c>
      <c r="F57" s="14" t="n"/>
      <c r="G57" s="14" t="n"/>
      <c r="H57" s="14" t="inlineStr">
        <is>
          <t>unbearbeitet</t>
        </is>
      </c>
      <c r="I57" s="14" t="n"/>
      <c r="J57" s="14" t="n"/>
      <c r="K57" s="14" t="n"/>
      <c r="L57" s="15" t="n"/>
      <c r="M57" s="11" t="inlineStr"/>
      <c r="N57" s="12" t="inlineStr"/>
      <c r="O57" s="11" t="inlineStr"/>
      <c r="P57" s="12" t="inlineStr">
        <is>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is>
      </c>
      <c r="Q57" s="11" t="inlineStr"/>
      <c r="R57" s="11" t="inlineStr">
        <is>
          <t>IT-Betriebskonzept</t>
        </is>
      </c>
      <c r="S57" s="12" t="inlineStr">
        <is>
          <t>einen ausreichenden Ausleihbestand</t>
        </is>
      </c>
      <c r="T57" s="12" t="inlineStr">
        <is>
          <t>G 0.18 – Fehlplanung oder fehlende Anpassung</t>
        </is>
      </c>
      <c r="U57" s="11" t="n">
        <v>5</v>
      </c>
      <c r="V57" s="11" t="n">
        <v>1</v>
      </c>
      <c r="W57" s="11" t="n">
        <v>1</v>
      </c>
      <c r="X57" s="11" t="n">
        <v>1</v>
      </c>
      <c r="Y57" s="11" t="n">
        <v>0</v>
      </c>
    </row>
    <row r="58">
      <c r="A58" s="9" t="inlineStr">
        <is>
          <t>ASST.4.1</t>
        </is>
      </c>
      <c r="B58" s="10" t="inlineStr">
        <is>
          <t>Autorisierung von Schnittstellen</t>
        </is>
      </c>
      <c r="C58" s="11" t="n"/>
      <c r="D58" s="11" t="inlineStr">
        <is>
          <t>Anforderungen bei erhöhtem Schutzbedarf</t>
        </is>
      </c>
      <c r="E58" s="12" t="inlineStr">
        <is>
          <t>Gesamt:</t>
        </is>
      </c>
      <c r="F58" s="11" t="n"/>
      <c r="G58" s="11" t="n"/>
      <c r="H58" s="13">
        <f>IF(OR(COUNTBLANK($H$59:$H$59)&gt;0,COUNTIF($H$59:$H$59,"unbearbeitet")=COUNTA($H$59:$H$59)),"Bitte Teilanforderungen ausfüllen",IF(COUNTIF($H$59:$H$59,"zu klären")&gt;0,"zu klären",IF(COUNTIF($H$59:$H$59,"entbehrlich")=COUNTA($H$59:$H$59),"entbehrlich",IF(COUNTIF($H$59:$H$59,"verwiesen")=COUNTA($H$59:$H$59),"verwiesen",IF(COUNTIF($H$59:$H$59,"nein")+COUNTIF($H$59:$H$59,"entbehrlich")=COUNTA($H$59:$H$59),"nein",IF(COUNTIF($H$59:$H$59,"ja")+COUNTIF($H$59:$H$59,"entbehrlich")+COUNTIF($H$59:$H$59,"verwiesen")=COUNTA($H$59:$H$59),"ja","teilweise"))))))</f>
        <v/>
      </c>
      <c r="I58" s="11" t="n"/>
      <c r="J58" s="11" t="n"/>
      <c r="K58" s="11" t="n"/>
      <c r="L58" s="11" t="n"/>
      <c r="M58" s="11" t="inlineStr">
        <is>
          <t>Vertraulichkeit</t>
        </is>
      </c>
      <c r="N58" s="12" t="inlineStr"/>
      <c r="O58" s="11" t="inlineStr"/>
      <c r="P58" s="12" t="inlineStr">
        <is>
          <t>Schnittstellen können hier sowohl physikalisch (z.B. Briefversand, regelmäßige Meetings an einem geschützten Ort) als auch virtuell (API, verschlüsselter Cloudspeicher) sein.</t>
        </is>
      </c>
      <c r="Q58" s="11" t="inlineStr">
        <is>
          <t>Daten</t>
        </is>
      </c>
      <c r="R58" s="11" t="inlineStr">
        <is>
          <t>Arbeitsanweisung</t>
        </is>
      </c>
      <c r="S58" s="12" t="inlineStr">
        <is>
          <t>Schnittstellen, über die Informationen ausgetauscht werden,</t>
        </is>
      </c>
      <c r="T58" s="12" t="inlineStr">
        <is>
          <t>G 0.19 – Offenlegung schützenswerter Informationen; G 0.43 – Einspielen von Nachrichten; G 0.15 – Abhören</t>
        </is>
      </c>
      <c r="U58" s="11" t="n">
        <v>4</v>
      </c>
      <c r="V58" s="11" t="n">
        <v>2</v>
      </c>
      <c r="W58" s="11" t="n">
        <v>1</v>
      </c>
      <c r="X58" s="11" t="n">
        <v>0</v>
      </c>
      <c r="Y58" s="11" t="n">
        <v>1</v>
      </c>
    </row>
    <row r="59">
      <c r="A59" s="11" t="inlineStr">
        <is>
          <t>ASST.4.1</t>
        </is>
      </c>
      <c r="B59" s="12" t="inlineStr">
        <is>
          <t>Autorisierung von Schnittstellen</t>
        </is>
      </c>
      <c r="C59" s="11" t="inlineStr">
        <is>
          <t>ASST.4.1</t>
        </is>
      </c>
      <c r="D59" s="11" t="inlineStr">
        <is>
          <t>Anforderungen bei erhöhtem Schutzbedarf</t>
        </is>
      </c>
      <c r="E59" s="12" t="inlineStr">
        <is>
          <t>Informationen und Assets für Daten KANN Schnittstellen, über die Informationen ausgetauscht werden, durch eine zuständige Person oder Rolle autorisieren.</t>
        </is>
      </c>
      <c r="F59" s="14" t="n"/>
      <c r="G59" s="14" t="n"/>
      <c r="H59" s="14" t="inlineStr">
        <is>
          <t>unbearbeitet</t>
        </is>
      </c>
      <c r="I59" s="14" t="n"/>
      <c r="J59" s="14" t="n"/>
      <c r="K59" s="14" t="n"/>
      <c r="L59" s="15" t="n"/>
      <c r="M59" s="11" t="inlineStr">
        <is>
          <t>Vertraulichkeit</t>
        </is>
      </c>
      <c r="N59" s="12" t="inlineStr"/>
      <c r="O59" s="11" t="inlineStr"/>
      <c r="P59" s="12" t="inlineStr">
        <is>
          <t>Schnittstellen können hier sowohl physikalisch (z.B. Briefversand, regelmäßige Meetings an einem geschützten Ort) als auch virtuell (API, verschlüsselter Cloudspeicher) sein.</t>
        </is>
      </c>
      <c r="Q59" s="11" t="inlineStr">
        <is>
          <t>Daten</t>
        </is>
      </c>
      <c r="R59" s="11" t="inlineStr">
        <is>
          <t>Arbeitsanweisung</t>
        </is>
      </c>
      <c r="S59" s="12" t="inlineStr">
        <is>
          <t>Schnittstellen, über die Informationen ausgetauscht werden,</t>
        </is>
      </c>
      <c r="T59" s="12" t="inlineStr">
        <is>
          <t>G 0.19 – Offenlegung schützenswerter Informationen; G 0.43 – Einspielen von Nachrichten; G 0.15 – Abhören</t>
        </is>
      </c>
      <c r="U59" s="11" t="n">
        <v>4</v>
      </c>
      <c r="V59" s="11" t="n">
        <v>2</v>
      </c>
      <c r="W59" s="11" t="n">
        <v>1</v>
      </c>
      <c r="X59" s="11" t="n">
        <v>0</v>
      </c>
      <c r="Y59" s="11" t="n">
        <v>1</v>
      </c>
    </row>
    <row r="60">
      <c r="A60" s="9" t="inlineStr">
        <is>
          <t>ASST.4.2</t>
        </is>
      </c>
      <c r="B60" s="10" t="inlineStr">
        <is>
          <t>Vertraulichkeit und Integrität beim Transport</t>
        </is>
      </c>
      <c r="C60" s="11" t="n"/>
      <c r="D60" s="11" t="inlineStr">
        <is>
          <t>Standard-Anforderungen</t>
        </is>
      </c>
      <c r="E60" s="12" t="inlineStr">
        <is>
          <t>Gesamt:</t>
        </is>
      </c>
      <c r="F60" s="11" t="n"/>
      <c r="G60" s="11" t="n"/>
      <c r="H60" s="13">
        <f>IF(OR(COUNTBLANK($H$61:$H$61)&gt;0,COUNTIF($H$61:$H$61,"unbearbeitet")=COUNTA($H$61:$H$61)),"Bitte Teilanforderungen ausfüllen",IF(COUNTIF($H$61:$H$61,"zu klären")&gt;0,"zu klären",IF(COUNTIF($H$61:$H$61,"entbehrlich")=COUNTA($H$61:$H$61),"entbehrlich",IF(COUNTIF($H$61:$H$61,"verwiesen")=COUNTA($H$61:$H$61),"verwiesen",IF(COUNTIF($H$61:$H$61,"nein")+COUNTIF($H$61:$H$61,"entbehrlich")=COUNTA($H$61:$H$61),"nein",IF(COUNTIF($H$61:$H$61,"ja")+COUNTIF($H$61:$H$61,"entbehrlich")+COUNTIF($H$61:$H$61,"verwiesen")=COUNTA($H$61:$H$61),"ja","teilweise"))))))</f>
        <v/>
      </c>
      <c r="I60" s="11" t="n"/>
      <c r="J60" s="11" t="n"/>
      <c r="K60" s="11" t="n"/>
      <c r="L60" s="11" t="n"/>
      <c r="M60" s="11" t="inlineStr">
        <is>
          <t>Vertraulichkeit</t>
        </is>
      </c>
      <c r="N60" s="12" t="inlineStr">
        <is>
          <t>CON.10.A7-UA.1; IND.2.1.A2-UA.2</t>
        </is>
      </c>
      <c r="O60" s="11" t="inlineStr">
        <is>
          <t>intersects-with; equivalent-to</t>
        </is>
      </c>
      <c r="P60" s="12" t="inlineStr">
        <is>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is>
      </c>
      <c r="Q60" s="11" t="inlineStr">
        <is>
          <t>Daten</t>
        </is>
      </c>
      <c r="R60" s="11" t="inlineStr">
        <is>
          <t>Arbeitsanweisung</t>
        </is>
      </c>
      <c r="S60" s="12" t="inlineStr">
        <is>
          <t>Vertraulichkeit und Integrität beim Transport</t>
        </is>
      </c>
      <c r="T60" s="12" t="inlineStr">
        <is>
          <t>G 0.19 – Offenlegung schützenswerter Informationen; G 0.18 – Fehlplanung oder fehlende Anpassung; G 0.43 – Einspielen von Nachrichten; G 0.15 – Abhören</t>
        </is>
      </c>
      <c r="U60" s="11" t="n">
        <v>3</v>
      </c>
      <c r="V60" s="11" t="n">
        <v>2</v>
      </c>
      <c r="W60" s="11" t="n">
        <v>1</v>
      </c>
      <c r="X60" s="11" t="n">
        <v>1</v>
      </c>
      <c r="Y60" s="11" t="n">
        <v>1</v>
      </c>
    </row>
    <row r="61">
      <c r="A61" s="11" t="inlineStr">
        <is>
          <t>ASST.4.2</t>
        </is>
      </c>
      <c r="B61" s="12" t="inlineStr">
        <is>
          <t>Vertraulichkeit und Integrität beim Transport</t>
        </is>
      </c>
      <c r="C61" s="11" t="inlineStr">
        <is>
          <t>ASST.4.2</t>
        </is>
      </c>
      <c r="D61" s="11" t="inlineStr">
        <is>
          <t>Standard-Anforderungen</t>
        </is>
      </c>
      <c r="E61" s="12" t="inlineStr">
        <is>
          <t>Informationen und Assets für Daten SOLLTE Vertraulichkeit und Integrität beim Transport verankern.</t>
        </is>
      </c>
      <c r="F61" s="14" t="n"/>
      <c r="G61" s="14" t="n"/>
      <c r="H61" s="14" t="inlineStr">
        <is>
          <t>unbearbeitet</t>
        </is>
      </c>
      <c r="I61" s="14" t="n"/>
      <c r="J61" s="14" t="n"/>
      <c r="K61" s="14" t="n"/>
      <c r="L61" s="15" t="n"/>
      <c r="M61" s="11" t="inlineStr">
        <is>
          <t>Vertraulichkeit</t>
        </is>
      </c>
      <c r="N61" s="12" t="inlineStr">
        <is>
          <t>CON.10.A7-UA.1; IND.2.1.A2-UA.2</t>
        </is>
      </c>
      <c r="O61" s="11" t="inlineStr">
        <is>
          <t>intersects-with; equivalent-to</t>
        </is>
      </c>
      <c r="P61" s="12" t="inlineStr">
        <is>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is>
      </c>
      <c r="Q61" s="11" t="inlineStr">
        <is>
          <t>Daten</t>
        </is>
      </c>
      <c r="R61" s="11" t="inlineStr">
        <is>
          <t>Arbeitsanweisung</t>
        </is>
      </c>
      <c r="S61" s="12" t="inlineStr">
        <is>
          <t>Vertraulichkeit und Integrität beim Transport</t>
        </is>
      </c>
      <c r="T61" s="12" t="inlineStr">
        <is>
          <t>G 0.19 – Offenlegung schützenswerter Informationen; G 0.18 – Fehlplanung oder fehlende Anpassung; G 0.43 – Einspielen von Nachrichten; G 0.15 – Abhören</t>
        </is>
      </c>
      <c r="U61" s="11" t="n">
        <v>3</v>
      </c>
      <c r="V61" s="11" t="n">
        <v>2</v>
      </c>
      <c r="W61" s="11" t="n">
        <v>1</v>
      </c>
      <c r="X61" s="11" t="n">
        <v>1</v>
      </c>
      <c r="Y61" s="11" t="n">
        <v>1</v>
      </c>
    </row>
    <row r="62">
      <c r="A62" s="9" t="inlineStr">
        <is>
          <t>ASST.4.3</t>
        </is>
      </c>
      <c r="B62" s="10" t="inlineStr">
        <is>
          <t>Autorisierung von Veröffentlichungen</t>
        </is>
      </c>
      <c r="C62" s="11" t="n"/>
      <c r="D62" s="11" t="inlineStr">
        <is>
          <t>Standard-Anforderungen</t>
        </is>
      </c>
      <c r="E62" s="12" t="inlineStr">
        <is>
          <t>Gesamt:</t>
        </is>
      </c>
      <c r="F62" s="11" t="n"/>
      <c r="G62" s="11" t="n"/>
      <c r="H62" s="13">
        <f>IF(OR(COUNTBLANK($H$63:$H$63)&gt;0,COUNTIF($H$63:$H$63,"unbearbeitet")=COUNTA($H$63:$H$63)),"Bitte Teilanforderungen ausfüllen",IF(COUNTIF($H$63:$H$63,"zu klären")&gt;0,"zu klären",IF(COUNTIF($H$63:$H$63,"entbehrlich")=COUNTA($H$63:$H$63),"entbehrlich",IF(COUNTIF($H$63:$H$63,"verwiesen")=COUNTA($H$63:$H$63),"verwiesen",IF(COUNTIF($H$63:$H$63,"nein")+COUNTIF($H$63:$H$63,"entbehrlich")=COUNTA($H$63:$H$63),"nein",IF(COUNTIF($H$63:$H$63,"ja")+COUNTIF($H$63:$H$63,"entbehrlich")+COUNTIF($H$63:$H$63,"verwiesen")=COUNTA($H$63:$H$63),"ja","teilweise"))))))</f>
        <v/>
      </c>
      <c r="I62" s="11" t="n"/>
      <c r="J62" s="11" t="n"/>
      <c r="K62" s="11" t="n"/>
      <c r="L62" s="11" t="n"/>
      <c r="M62" s="11" t="inlineStr">
        <is>
          <t>Vertraulichkeit</t>
        </is>
      </c>
      <c r="N62" s="12" t="inlineStr"/>
      <c r="O62" s="11" t="inlineStr"/>
      <c r="P62" s="12" t="inlineStr">
        <is>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is>
      </c>
      <c r="Q62" s="11" t="inlineStr"/>
      <c r="R62" s="11" t="inlineStr">
        <is>
          <t>Arbeitsanweisung</t>
        </is>
      </c>
      <c r="S62" s="12" t="inlineStr">
        <is>
          <t>Veröffentlichungen</t>
        </is>
      </c>
      <c r="T62" s="12" t="inlineStr">
        <is>
          <t>G 0.19 – Offenlegung schützenswerter Informationen; G 0.43 – Einspielen von Nachrichten; G 0.15 – Abhören</t>
        </is>
      </c>
      <c r="U62" s="11" t="n">
        <v>3</v>
      </c>
      <c r="V62" s="11" t="n">
        <v>2</v>
      </c>
      <c r="W62" s="11" t="n">
        <v>1</v>
      </c>
      <c r="X62" s="11" t="n">
        <v>0</v>
      </c>
      <c r="Y62" s="11" t="n">
        <v>0</v>
      </c>
    </row>
    <row r="63">
      <c r="A63" s="11" t="inlineStr">
        <is>
          <t>ASST.4.3</t>
        </is>
      </c>
      <c r="B63" s="12" t="inlineStr">
        <is>
          <t>Autorisierung von Veröffentlichungen</t>
        </is>
      </c>
      <c r="C63" s="11" t="inlineStr">
        <is>
          <t>ASST.4.3</t>
        </is>
      </c>
      <c r="D63" s="11" t="inlineStr">
        <is>
          <t>Standard-Anforderungen</t>
        </is>
      </c>
      <c r="E63" s="12" t="inlineStr">
        <is>
          <t>Informationen und Assets SOLLTE Veröffentlichungen durch eine zuständige Person oder Rolle autorisieren.</t>
        </is>
      </c>
      <c r="F63" s="14" t="n"/>
      <c r="G63" s="14" t="n"/>
      <c r="H63" s="14" t="inlineStr">
        <is>
          <t>unbearbeitet</t>
        </is>
      </c>
      <c r="I63" s="14" t="n"/>
      <c r="J63" s="14" t="n"/>
      <c r="K63" s="14" t="n"/>
      <c r="L63" s="15" t="n"/>
      <c r="M63" s="11" t="inlineStr">
        <is>
          <t>Vertraulichkeit</t>
        </is>
      </c>
      <c r="N63" s="12" t="inlineStr"/>
      <c r="O63" s="11" t="inlineStr"/>
      <c r="P63" s="12" t="inlineStr">
        <is>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is>
      </c>
      <c r="Q63" s="11" t="inlineStr"/>
      <c r="R63" s="11" t="inlineStr">
        <is>
          <t>Arbeitsanweisung</t>
        </is>
      </c>
      <c r="S63" s="12" t="inlineStr">
        <is>
          <t>Veröffentlichungen</t>
        </is>
      </c>
      <c r="T63" s="12" t="inlineStr">
        <is>
          <t>G 0.19 – Offenlegung schützenswerter Informationen; G 0.43 – Einspielen von Nachrichten; G 0.15 – Abhören</t>
        </is>
      </c>
      <c r="U63" s="11" t="n">
        <v>3</v>
      </c>
      <c r="V63" s="11" t="n">
        <v>2</v>
      </c>
      <c r="W63" s="11" t="n">
        <v>1</v>
      </c>
      <c r="X63" s="11" t="n">
        <v>0</v>
      </c>
      <c r="Y63" s="11" t="n">
        <v>0</v>
      </c>
    </row>
    <row r="64">
      <c r="A64" s="9" t="inlineStr">
        <is>
          <t>ASST.4.4</t>
        </is>
      </c>
      <c r="B64" s="10" t="inlineStr">
        <is>
          <t>Nachweis des Zugangs</t>
        </is>
      </c>
      <c r="C64" s="11" t="n"/>
      <c r="D64" s="11" t="inlineStr">
        <is>
          <t>Anforderungen bei erhöhtem Schutzbedarf</t>
        </is>
      </c>
      <c r="E64" s="12" t="inlineStr">
        <is>
          <t>Gesamt:</t>
        </is>
      </c>
      <c r="F64" s="11" t="n"/>
      <c r="G64" s="11" t="n"/>
      <c r="H64" s="13">
        <f>IF(OR(COUNTBLANK($H$65:$H$65)&gt;0,COUNTIF($H$65:$H$65,"unbearbeitet")=COUNTA($H$65:$H$65)),"Bitte Teilanforderungen ausfüllen",IF(COUNTIF($H$65:$H$65,"zu klären")&gt;0,"zu klären",IF(COUNTIF($H$65:$H$65,"entbehrlich")=COUNTA($H$65:$H$65),"entbehrlich",IF(COUNTIF($H$65:$H$65,"verwiesen")=COUNTA($H$65:$H$65),"verwiesen",IF(COUNTIF($H$65:$H$65,"nein")+COUNTIF($H$65:$H$65,"entbehrlich")=COUNTA($H$65:$H$65),"nein",IF(COUNTIF($H$65:$H$65,"ja")+COUNTIF($H$65:$H$65,"entbehrlich")+COUNTIF($H$65:$H$65,"verwiesen")=COUNTA($H$65:$H$65),"ja","teilweise"))))))</f>
        <v/>
      </c>
      <c r="I64" s="11" t="n"/>
      <c r="J64" s="11" t="n"/>
      <c r="K64" s="11" t="n"/>
      <c r="L64" s="11" t="n"/>
      <c r="M64" s="11" t="inlineStr">
        <is>
          <t>Vertraulichkeit</t>
        </is>
      </c>
      <c r="N64" s="12" t="inlineStr"/>
      <c r="O64" s="11" t="inlineStr"/>
      <c r="P64" s="12" t="inlineStr">
        <is>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is>
      </c>
      <c r="Q64" s="11" t="inlineStr">
        <is>
          <t>Daten</t>
        </is>
      </c>
      <c r="R64" s="11" t="inlineStr">
        <is>
          <t>Audit Log</t>
        </is>
      </c>
      <c r="S64" s="12" t="inlineStr">
        <is>
          <t>einen Nachweis des Zugangs</t>
        </is>
      </c>
      <c r="T64" s="12" t="inlineStr">
        <is>
          <t>G 0.19 – Offenlegung schützenswerter Informationen; G 0.43 – Einspielen von Nachrichten; G 0.15 – Abhören</t>
        </is>
      </c>
      <c r="U64" s="11" t="n">
        <v>5</v>
      </c>
      <c r="V64" s="11" t="n">
        <v>2</v>
      </c>
      <c r="W64" s="11" t="n">
        <v>1</v>
      </c>
      <c r="X64" s="11" t="n">
        <v>0</v>
      </c>
      <c r="Y64" s="11" t="n">
        <v>0</v>
      </c>
    </row>
    <row r="65">
      <c r="A65" s="11" t="inlineStr">
        <is>
          <t>ASST.4.4</t>
        </is>
      </c>
      <c r="B65" s="12" t="inlineStr">
        <is>
          <t>Nachweis des Zugangs</t>
        </is>
      </c>
      <c r="C65" s="11" t="inlineStr">
        <is>
          <t>ASST.4.4</t>
        </is>
      </c>
      <c r="D65" s="11" t="inlineStr">
        <is>
          <t>Anforderungen bei erhöhtem Schutzbedarf</t>
        </is>
      </c>
      <c r="E65" s="12" t="inlineStr">
        <is>
          <t>Informationen und Assets für Daten KANN einen Nachweis des Zugangs protokollieren.</t>
        </is>
      </c>
      <c r="F65" s="14" t="n"/>
      <c r="G65" s="14" t="n"/>
      <c r="H65" s="14" t="inlineStr">
        <is>
          <t>unbearbeitet</t>
        </is>
      </c>
      <c r="I65" s="14" t="n"/>
      <c r="J65" s="14" t="n"/>
      <c r="K65" s="14" t="n"/>
      <c r="L65" s="15" t="n"/>
      <c r="M65" s="11" t="inlineStr">
        <is>
          <t>Vertraulichkeit</t>
        </is>
      </c>
      <c r="N65" s="12" t="inlineStr"/>
      <c r="O65" s="11" t="inlineStr"/>
      <c r="P65" s="12" t="inlineStr">
        <is>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is>
      </c>
      <c r="Q65" s="11" t="inlineStr">
        <is>
          <t>Daten</t>
        </is>
      </c>
      <c r="R65" s="11" t="inlineStr">
        <is>
          <t>Audit Log</t>
        </is>
      </c>
      <c r="S65" s="12" t="inlineStr">
        <is>
          <t>einen Nachweis des Zugangs</t>
        </is>
      </c>
      <c r="T65" s="12" t="inlineStr">
        <is>
          <t>G 0.19 – Offenlegung schützenswerter Informationen; G 0.43 – Einspielen von Nachrichten; G 0.15 – Abhören</t>
        </is>
      </c>
      <c r="U65" s="11" t="n">
        <v>5</v>
      </c>
      <c r="V65" s="11" t="n">
        <v>2</v>
      </c>
      <c r="W65" s="11" t="n">
        <v>1</v>
      </c>
      <c r="X65" s="11" t="n">
        <v>0</v>
      </c>
      <c r="Y65" s="11" t="n">
        <v>0</v>
      </c>
    </row>
    <row r="66">
      <c r="A66" s="9" t="inlineStr">
        <is>
          <t>ASST.4.5</t>
        </is>
      </c>
      <c r="B66" s="10" t="inlineStr">
        <is>
          <t>Vereinbarungen zum Austausch</t>
        </is>
      </c>
      <c r="C66" s="11" t="n"/>
      <c r="D66" s="11" t="inlineStr">
        <is>
          <t>Standard-Anforderungen</t>
        </is>
      </c>
      <c r="E66" s="12" t="inlineStr">
        <is>
          <t>Gesamt:</t>
        </is>
      </c>
      <c r="F66" s="11" t="n"/>
      <c r="G66" s="11" t="n"/>
      <c r="H66" s="13">
        <f>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
      </c>
      <c r="I66" s="11" t="n"/>
      <c r="J66" s="11" t="n"/>
      <c r="K66" s="11" t="n"/>
      <c r="L66" s="11" t="n"/>
      <c r="M66" s="11" t="inlineStr">
        <is>
          <t>Vertraulichkeit</t>
        </is>
      </c>
      <c r="N66" s="12" t="inlineStr"/>
      <c r="O66" s="11" t="inlineStr"/>
      <c r="P66" s="12" t="inlineStr">
        <is>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is>
      </c>
      <c r="Q66" s="11" t="inlineStr">
        <is>
          <t>Daten</t>
        </is>
      </c>
      <c r="R66" s="11" t="inlineStr">
        <is>
          <t>Verträge</t>
        </is>
      </c>
      <c r="S66" s="12" t="inlineStr">
        <is>
          <t>Regelungen zum Transfer</t>
        </is>
      </c>
      <c r="T66" s="12" t="inlineStr">
        <is>
          <t>G 0.19 – Offenlegung schützenswerter Informationen; G 0.43 – Einspielen von Nachrichten; G 0.15 – Abhören</t>
        </is>
      </c>
      <c r="U66" s="11" t="n">
        <v>4</v>
      </c>
      <c r="V66" s="11" t="n">
        <v>2</v>
      </c>
      <c r="W66" s="11" t="n">
        <v>1</v>
      </c>
      <c r="X66" s="11" t="n">
        <v>0</v>
      </c>
      <c r="Y66" s="11" t="n">
        <v>0</v>
      </c>
    </row>
    <row r="67">
      <c r="A67" s="11" t="inlineStr">
        <is>
          <t>ASST.4.5</t>
        </is>
      </c>
      <c r="B67" s="12" t="inlineStr">
        <is>
          <t>Vereinbarungen zum Austausch</t>
        </is>
      </c>
      <c r="C67" s="11" t="inlineStr">
        <is>
          <t>ASST.4.5</t>
        </is>
      </c>
      <c r="D67" s="11" t="inlineStr">
        <is>
          <t>Standard-Anforderungen</t>
        </is>
      </c>
      <c r="E67" s="12" t="inlineStr">
        <is>
          <t>Informationen und Assets für Daten SOLLTE Regelungen zum Transfer verankern.</t>
        </is>
      </c>
      <c r="F67" s="14" t="n"/>
      <c r="G67" s="14" t="n"/>
      <c r="H67" s="14" t="inlineStr">
        <is>
          <t>unbearbeitet</t>
        </is>
      </c>
      <c r="I67" s="14" t="n"/>
      <c r="J67" s="14" t="n"/>
      <c r="K67" s="14" t="n"/>
      <c r="L67" s="15" t="n"/>
      <c r="M67" s="11" t="inlineStr">
        <is>
          <t>Vertraulichkeit</t>
        </is>
      </c>
      <c r="N67" s="12" t="inlineStr"/>
      <c r="O67" s="11" t="inlineStr"/>
      <c r="P67" s="12" t="inlineStr">
        <is>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is>
      </c>
      <c r="Q67" s="11" t="inlineStr">
        <is>
          <t>Daten</t>
        </is>
      </c>
      <c r="R67" s="11" t="inlineStr">
        <is>
          <t>Verträge</t>
        </is>
      </c>
      <c r="S67" s="12" t="inlineStr">
        <is>
          <t>Regelungen zum Transfer</t>
        </is>
      </c>
      <c r="T67" s="12" t="inlineStr">
        <is>
          <t>G 0.19 – Offenlegung schützenswerter Informationen; G 0.43 – Einspielen von Nachrichten; G 0.15 – Abhören</t>
        </is>
      </c>
      <c r="U67" s="11" t="n">
        <v>4</v>
      </c>
      <c r="V67" s="11" t="n">
        <v>2</v>
      </c>
      <c r="W67" s="11" t="n">
        <v>1</v>
      </c>
      <c r="X67" s="11" t="n">
        <v>0</v>
      </c>
      <c r="Y67" s="11" t="n">
        <v>0</v>
      </c>
    </row>
    <row r="68">
      <c r="A68" s="9" t="inlineStr">
        <is>
          <t>ASST.5.1</t>
        </is>
      </c>
      <c r="B68" s="10" t="inlineStr">
        <is>
          <t>Wartungsbedarf dokumentieren</t>
        </is>
      </c>
      <c r="C68" s="11" t="n"/>
      <c r="D68" s="11" t="inlineStr">
        <is>
          <t>Standard-Anforderungen</t>
        </is>
      </c>
      <c r="E68" s="12" t="inlineStr">
        <is>
          <t>Gesamt:</t>
        </is>
      </c>
      <c r="F68" s="11" t="n"/>
      <c r="G68" s="11" t="n"/>
      <c r="H68" s="13">
        <f>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
      </c>
      <c r="I68" s="11" t="n"/>
      <c r="J68" s="11" t="n"/>
      <c r="K68" s="11" t="n"/>
      <c r="L68" s="11" t="n"/>
      <c r="M68" s="11" t="inlineStr">
        <is>
          <t>Verfügbarkeit</t>
        </is>
      </c>
      <c r="N68" s="12" t="inlineStr"/>
      <c r="O68" s="11" t="inlineStr"/>
      <c r="P68" s="12" t="inlineStr">
        <is>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is>
      </c>
      <c r="Q68" s="11" t="inlineStr">
        <is>
          <t>IT-Systeme</t>
        </is>
      </c>
      <c r="R68" s="11" t="inlineStr">
        <is>
          <t>Betriebshandbuch</t>
        </is>
      </c>
      <c r="S68" s="12" t="inlineStr">
        <is>
          <t>den Wartungsbedarf</t>
        </is>
      </c>
      <c r="T68" s="12" t="inlineStr">
        <is>
          <t>G 0.31 – Fehlerhafte Nutzung oder Administration von Geräten und Systemen; G 0.21 – Manipulation von Hard- oder Software; G 0.25 – Ausfall von Geräten oder Systemen; G 0.28 – Software-Schwachstellen oder -Fehler</t>
        </is>
      </c>
      <c r="U68" s="11" t="n">
        <v>3</v>
      </c>
      <c r="V68" s="11" t="n">
        <v>1</v>
      </c>
      <c r="W68" s="11" t="n">
        <v>1</v>
      </c>
      <c r="X68" s="11" t="n">
        <v>2</v>
      </c>
      <c r="Y68" s="11" t="n"/>
    </row>
    <row r="69">
      <c r="A69" s="11" t="inlineStr">
        <is>
          <t>ASST.5.1</t>
        </is>
      </c>
      <c r="B69" s="12" t="inlineStr">
        <is>
          <t>Wartungsbedarf dokumentieren</t>
        </is>
      </c>
      <c r="C69" s="11" t="inlineStr">
        <is>
          <t>ASST.5.1</t>
        </is>
      </c>
      <c r="D69" s="11" t="inlineStr">
        <is>
          <t>Standard-Anforderungen</t>
        </is>
      </c>
      <c r="E69" s="12" t="inlineStr">
        <is>
          <t>Informationen und Assets für IT-Systeme SOLLTE den Wartungsbedarf für Systemkomponenten und die zum Betrieb erforderliche Infrastruktur dokumentieren.</t>
        </is>
      </c>
      <c r="F69" s="14" t="n"/>
      <c r="G69" s="14" t="n"/>
      <c r="H69" s="14" t="inlineStr">
        <is>
          <t>unbearbeitet</t>
        </is>
      </c>
      <c r="I69" s="14" t="n"/>
      <c r="J69" s="14" t="n"/>
      <c r="K69" s="14" t="n"/>
      <c r="L69" s="15" t="n"/>
      <c r="M69" s="11" t="inlineStr">
        <is>
          <t>Verfügbarkeit</t>
        </is>
      </c>
      <c r="N69" s="12" t="inlineStr"/>
      <c r="O69" s="11" t="inlineStr"/>
      <c r="P69" s="12" t="inlineStr">
        <is>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is>
      </c>
      <c r="Q69" s="11" t="inlineStr">
        <is>
          <t>IT-Systeme</t>
        </is>
      </c>
      <c r="R69" s="11" t="inlineStr">
        <is>
          <t>Betriebshandbuch</t>
        </is>
      </c>
      <c r="S69" s="12" t="inlineStr">
        <is>
          <t>den Wartungsbedarf</t>
        </is>
      </c>
      <c r="T69" s="12" t="inlineStr">
        <is>
          <t>G 0.31 – Fehlerhafte Nutzung oder Administration von Geräten und Systemen; G 0.21 – Manipulation von Hard- oder Software; G 0.25 – Ausfall von Geräten oder Systemen; G 0.28 – Software-Schwachstellen oder -Fehler</t>
        </is>
      </c>
      <c r="U69" s="11" t="n">
        <v>3</v>
      </c>
      <c r="V69" s="11" t="n">
        <v>1</v>
      </c>
      <c r="W69" s="11" t="n">
        <v>1</v>
      </c>
      <c r="X69" s="11" t="n">
        <v>2</v>
      </c>
      <c r="Y69" s="11" t="n"/>
    </row>
    <row r="70">
      <c r="A70" s="9" t="inlineStr">
        <is>
          <t>ASST.5.2</t>
        </is>
      </c>
      <c r="B70" s="10" t="inlineStr">
        <is>
          <t>Geregelte Wartungen</t>
        </is>
      </c>
      <c r="C70" s="11" t="n"/>
      <c r="D70" s="11" t="inlineStr">
        <is>
          <t>Standard-Anforderungen</t>
        </is>
      </c>
      <c r="E70" s="12" t="inlineStr">
        <is>
          <t>Gesamt:</t>
        </is>
      </c>
      <c r="F70" s="11" t="n"/>
      <c r="G70" s="11" t="n"/>
      <c r="H70" s="13">
        <f>IF(OR(COUNTBLANK($H$71:$H$71)&gt;0,COUNTIF($H$71:$H$71,"unbearbeitet")=COUNTA($H$71:$H$71)),"Bitte Teilanforderungen ausfüllen",IF(COUNTIF($H$71:$H$71,"zu klären")&gt;0,"zu klären",IF(COUNTIF($H$71:$H$71,"entbehrlich")=COUNTA($H$71:$H$71),"entbehrlich",IF(COUNTIF($H$71:$H$71,"verwiesen")=COUNTA($H$71:$H$71),"verwiesen",IF(COUNTIF($H$71:$H$71,"nein")+COUNTIF($H$71:$H$71,"entbehrlich")=COUNTA($H$71:$H$71),"nein",IF(COUNTIF($H$71:$H$71,"ja")+COUNTIF($H$71:$H$71,"entbehrlich")+COUNTIF($H$71:$H$71,"verwiesen")=COUNTA($H$71:$H$71),"ja","teilweise"))))))</f>
        <v/>
      </c>
      <c r="I70" s="11" t="n"/>
      <c r="J70" s="11" t="n"/>
      <c r="K70" s="11" t="n"/>
      <c r="L70" s="11" t="n"/>
      <c r="M70" s="11" t="inlineStr">
        <is>
          <t>Verfügbarkeit</t>
        </is>
      </c>
      <c r="N70" s="12" t="inlineStr">
        <is>
          <t>OPS.1.1.1.A19-UA.1</t>
        </is>
      </c>
      <c r="O70" s="11" t="inlineStr">
        <is>
          <t>intersects-with</t>
        </is>
      </c>
      <c r="P70" s="12" t="inlineStr">
        <is>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is>
      </c>
      <c r="Q70" s="11" t="inlineStr">
        <is>
          <t>IT-Systeme</t>
        </is>
      </c>
      <c r="R70" s="11" t="inlineStr">
        <is>
          <t>Betriebshandbuch</t>
        </is>
      </c>
      <c r="S70" s="12" t="inlineStr">
        <is>
          <t>die Wartung</t>
        </is>
      </c>
      <c r="T70" s="12" t="inlineStr">
        <is>
          <t>G 0.31 – Fehlerhafte Nutzung oder Administration von Geräten und Systemen; G 0.25 – Ausfall von Geräten oder Systemen; G 0.28 – Software-Schwachstellen oder -Fehler; G 0.21 – Manipulation von Hard- oder Software</t>
        </is>
      </c>
      <c r="U70" s="11" t="n">
        <v>3</v>
      </c>
      <c r="V70" s="11" t="n">
        <v>1</v>
      </c>
      <c r="W70" s="11" t="n">
        <v>1</v>
      </c>
      <c r="X70" s="11" t="n">
        <v>2</v>
      </c>
      <c r="Y70" s="11" t="n">
        <v>0</v>
      </c>
    </row>
    <row r="71">
      <c r="A71" s="11" t="inlineStr">
        <is>
          <t>ASST.5.2</t>
        </is>
      </c>
      <c r="B71" s="12" t="inlineStr">
        <is>
          <t>Geregelte Wartungen</t>
        </is>
      </c>
      <c r="C71" s="11" t="inlineStr">
        <is>
          <t>ASST.5.2</t>
        </is>
      </c>
      <c r="D71" s="11" t="inlineStr">
        <is>
          <t>Standard-Anforderungen</t>
        </is>
      </c>
      <c r="E71" s="12" t="inlineStr">
        <is>
          <t>Informationen und Assets für IT-Systeme SOLLTE die Wartung regelmäßig oder prädiktiv ausführen.</t>
        </is>
      </c>
      <c r="F71" s="14" t="n"/>
      <c r="G71" s="14" t="n"/>
      <c r="H71" s="14" t="inlineStr">
        <is>
          <t>unbearbeitet</t>
        </is>
      </c>
      <c r="I71" s="14" t="n"/>
      <c r="J71" s="14" t="n"/>
      <c r="K71" s="14" t="n"/>
      <c r="L71" s="15" t="n"/>
      <c r="M71" s="11" t="inlineStr">
        <is>
          <t>Verfügbarkeit</t>
        </is>
      </c>
      <c r="N71" s="12" t="inlineStr">
        <is>
          <t>OPS.1.1.1.A19-UA.1</t>
        </is>
      </c>
      <c r="O71" s="11" t="inlineStr">
        <is>
          <t>intersects-with</t>
        </is>
      </c>
      <c r="P71" s="12" t="inlineStr">
        <is>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is>
      </c>
      <c r="Q71" s="11" t="inlineStr">
        <is>
          <t>IT-Systeme</t>
        </is>
      </c>
      <c r="R71" s="11" t="inlineStr">
        <is>
          <t>Betriebshandbuch</t>
        </is>
      </c>
      <c r="S71" s="12" t="inlineStr">
        <is>
          <t>die Wartung</t>
        </is>
      </c>
      <c r="T71" s="12" t="inlineStr">
        <is>
          <t>G 0.31 – Fehlerhafte Nutzung oder Administration von Geräten und Systemen; G 0.25 – Ausfall von Geräten oder Systemen; G 0.28 – Software-Schwachstellen oder -Fehler; G 0.21 – Manipulation von Hard- oder Software</t>
        </is>
      </c>
      <c r="U71" s="11" t="n">
        <v>3</v>
      </c>
      <c r="V71" s="11" t="n">
        <v>1</v>
      </c>
      <c r="W71" s="11" t="n">
        <v>1</v>
      </c>
      <c r="X71" s="11" t="n">
        <v>2</v>
      </c>
      <c r="Y71" s="11" t="n">
        <v>0</v>
      </c>
    </row>
    <row r="72">
      <c r="A72" s="9" t="inlineStr">
        <is>
          <t>ASST.5.3</t>
        </is>
      </c>
      <c r="B72" s="10" t="inlineStr">
        <is>
          <t>Autorisierung von Wartungen</t>
        </is>
      </c>
      <c r="C72" s="11" t="n"/>
      <c r="D72" s="11" t="inlineStr">
        <is>
          <t>Anforderungen bei erhöhtem Schutzbedarf</t>
        </is>
      </c>
      <c r="E72" s="12" t="inlineStr">
        <is>
          <t>Gesamt:</t>
        </is>
      </c>
      <c r="F72" s="11" t="n"/>
      <c r="G72" s="11" t="n"/>
      <c r="H72" s="13">
        <f>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
      </c>
      <c r="I72" s="11" t="n"/>
      <c r="J72" s="11" t="n"/>
      <c r="K72" s="11" t="n"/>
      <c r="L72" s="11" t="n"/>
      <c r="M72" s="11" t="inlineStr">
        <is>
          <t>Verfügbarkeit</t>
        </is>
      </c>
      <c r="N72" s="12" t="inlineStr"/>
      <c r="O72" s="11" t="inlineStr"/>
      <c r="P72" s="12" t="inlineStr">
        <is>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is>
      </c>
      <c r="Q72" s="11" t="inlineStr">
        <is>
          <t>IT-Systeme</t>
        </is>
      </c>
      <c r="R72" s="11" t="inlineStr">
        <is>
          <t>IT-Betriebskonzept</t>
        </is>
      </c>
      <c r="S72" s="12" t="inlineStr">
        <is>
          <t>Wartungen</t>
        </is>
      </c>
      <c r="T72" s="12" t="inlineStr">
        <is>
          <t>G 0.31 – Fehlerhafte Nutzung oder Administration von Geräten und Systemen; G 0.25 – Ausfall von Geräten oder Systemen; G 0.21 – Manipulation von Hard- oder Software; G 0.28 – Software-Schwachstellen oder -Fehler</t>
        </is>
      </c>
      <c r="U72" s="11" t="n">
        <v>4</v>
      </c>
      <c r="V72" s="11" t="n">
        <v>1</v>
      </c>
      <c r="W72" s="11" t="n">
        <v>1</v>
      </c>
      <c r="X72" s="11" t="n">
        <v>2</v>
      </c>
      <c r="Y72" s="11" t="n">
        <v>0</v>
      </c>
    </row>
    <row r="73">
      <c r="A73" s="11" t="inlineStr">
        <is>
          <t>ASST.5.3</t>
        </is>
      </c>
      <c r="B73" s="12" t="inlineStr">
        <is>
          <t>Autorisierung von Wartungen</t>
        </is>
      </c>
      <c r="C73" s="11" t="inlineStr">
        <is>
          <t>ASST.5.3</t>
        </is>
      </c>
      <c r="D73" s="11" t="inlineStr">
        <is>
          <t>Anforderungen bei erhöhtem Schutzbedarf</t>
        </is>
      </c>
      <c r="E73" s="12" t="inlineStr">
        <is>
          <t>Informationen und Assets für IT-Systeme KANN Wartungen durch eine zuständige Person oder Rolle autorisieren.</t>
        </is>
      </c>
      <c r="F73" s="14" t="n"/>
      <c r="G73" s="14" t="n"/>
      <c r="H73" s="14" t="inlineStr">
        <is>
          <t>unbearbeitet</t>
        </is>
      </c>
      <c r="I73" s="14" t="n"/>
      <c r="J73" s="14" t="n"/>
      <c r="K73" s="14" t="n"/>
      <c r="L73" s="15" t="n"/>
      <c r="M73" s="11" t="inlineStr">
        <is>
          <t>Verfügbarkeit</t>
        </is>
      </c>
      <c r="N73" s="12" t="inlineStr"/>
      <c r="O73" s="11" t="inlineStr"/>
      <c r="P73" s="12" t="inlineStr">
        <is>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is>
      </c>
      <c r="Q73" s="11" t="inlineStr">
        <is>
          <t>IT-Systeme</t>
        </is>
      </c>
      <c r="R73" s="11" t="inlineStr">
        <is>
          <t>IT-Betriebskonzept</t>
        </is>
      </c>
      <c r="S73" s="12" t="inlineStr">
        <is>
          <t>Wartungen</t>
        </is>
      </c>
      <c r="T73" s="12" t="inlineStr">
        <is>
          <t>G 0.31 – Fehlerhafte Nutzung oder Administration von Geräten und Systemen; G 0.25 – Ausfall von Geräten oder Systemen; G 0.21 – Manipulation von Hard- oder Software; G 0.28 – Software-Schwachstellen oder -Fehler</t>
        </is>
      </c>
      <c r="U73" s="11" t="n">
        <v>4</v>
      </c>
      <c r="V73" s="11" t="n">
        <v>1</v>
      </c>
      <c r="W73" s="11" t="n">
        <v>1</v>
      </c>
      <c r="X73" s="11" t="n">
        <v>2</v>
      </c>
      <c r="Y73" s="11" t="n">
        <v>0</v>
      </c>
    </row>
    <row r="74">
      <c r="A74" s="9" t="inlineStr">
        <is>
          <t>ASST.5.4</t>
        </is>
      </c>
      <c r="B74" s="10" t="inlineStr">
        <is>
          <t>Behandlung als Änderungen und Tests</t>
        </is>
      </c>
      <c r="C74" s="11" t="n"/>
      <c r="D74" s="11" t="inlineStr">
        <is>
          <t>Standard-Anforderungen</t>
        </is>
      </c>
      <c r="E74" s="12" t="inlineStr">
        <is>
          <t>Gesamt:</t>
        </is>
      </c>
      <c r="F74" s="11" t="n"/>
      <c r="G74" s="11" t="n"/>
      <c r="H74" s="13">
        <f>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
      </c>
      <c r="I74" s="11" t="n"/>
      <c r="J74" s="11" t="n"/>
      <c r="K74" s="11" t="n"/>
      <c r="L74" s="11" t="n"/>
      <c r="M74" s="11" t="inlineStr">
        <is>
          <t>Verfügbarkeit</t>
        </is>
      </c>
      <c r="N74" s="12" t="inlineStr"/>
      <c r="O74" s="11" t="inlineStr"/>
      <c r="P74" s="12" t="inlineStr">
        <is>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is>
      </c>
      <c r="Q74" s="11" t="inlineStr">
        <is>
          <t>IT-Systeme</t>
        </is>
      </c>
      <c r="R74" s="11" t="inlineStr">
        <is>
          <t>Betriebshandbuch</t>
        </is>
      </c>
      <c r="S74" s="12" t="inlineStr">
        <is>
          <t>zur Wartung erforderliche Änderungen</t>
        </is>
      </c>
      <c r="T74" s="12" t="inlineStr">
        <is>
          <t>G 0.28 – Software-Schwachstellen oder -Fehler; G 0.31 – Fehlerhafte Nutzung oder Administration von Geräten und Systemen; G 0.25 – Ausfall von Geräten oder Systemen; G 0.26 – Fehlfunktion von Geräten oder Systemen</t>
        </is>
      </c>
      <c r="U74" s="11" t="n">
        <v>3</v>
      </c>
      <c r="V74" s="11" t="n">
        <v>1</v>
      </c>
      <c r="W74" s="11" t="n">
        <v>1</v>
      </c>
      <c r="X74" s="11" t="n">
        <v>2</v>
      </c>
      <c r="Y74" s="11" t="n">
        <v>0</v>
      </c>
    </row>
    <row r="75">
      <c r="A75" s="11" t="inlineStr">
        <is>
          <t>ASST.5.4</t>
        </is>
      </c>
      <c r="B75" s="12" t="inlineStr">
        <is>
          <t>Behandlung als Änderungen und Tests</t>
        </is>
      </c>
      <c r="C75" s="11" t="inlineStr">
        <is>
          <t>ASST.5.4</t>
        </is>
      </c>
      <c r="D75" s="11" t="inlineStr">
        <is>
          <t>Standard-Anforderungen</t>
        </is>
      </c>
      <c r="E75" s="12" t="inlineStr">
        <is>
          <t>Informationen und Assets für IT-Systeme SOLLTE zur Wartung erforderliche Änderungen im Einklang mit den Verfahren und Regelungen zum Management von Änderungen verankern.</t>
        </is>
      </c>
      <c r="F75" s="14" t="n"/>
      <c r="G75" s="14" t="n"/>
      <c r="H75" s="14" t="inlineStr">
        <is>
          <t>unbearbeitet</t>
        </is>
      </c>
      <c r="I75" s="14" t="n"/>
      <c r="J75" s="14" t="n"/>
      <c r="K75" s="14" t="n"/>
      <c r="L75" s="15" t="n"/>
      <c r="M75" s="11" t="inlineStr">
        <is>
          <t>Verfügbarkeit</t>
        </is>
      </c>
      <c r="N75" s="12" t="inlineStr"/>
      <c r="O75" s="11" t="inlineStr"/>
      <c r="P75" s="12" t="inlineStr">
        <is>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is>
      </c>
      <c r="Q75" s="11" t="inlineStr">
        <is>
          <t>IT-Systeme</t>
        </is>
      </c>
      <c r="R75" s="11" t="inlineStr">
        <is>
          <t>Betriebshandbuch</t>
        </is>
      </c>
      <c r="S75" s="12" t="inlineStr">
        <is>
          <t>zur Wartung erforderliche Änderungen</t>
        </is>
      </c>
      <c r="T75" s="12" t="inlineStr">
        <is>
          <t>G 0.28 – Software-Schwachstellen oder -Fehler; G 0.31 – Fehlerhafte Nutzung oder Administration von Geräten und Systemen; G 0.25 – Ausfall von Geräten oder Systemen; G 0.26 – Fehlfunktion von Geräten oder Systemen</t>
        </is>
      </c>
      <c r="U75" s="11" t="n">
        <v>3</v>
      </c>
      <c r="V75" s="11" t="n">
        <v>1</v>
      </c>
      <c r="W75" s="11" t="n">
        <v>1</v>
      </c>
      <c r="X75" s="11" t="n">
        <v>2</v>
      </c>
      <c r="Y75" s="11" t="n">
        <v>0</v>
      </c>
    </row>
    <row r="76">
      <c r="A76" s="9" t="inlineStr">
        <is>
          <t>ASST.5.5</t>
        </is>
      </c>
      <c r="B76" s="10" t="inlineStr">
        <is>
          <t>Wartungsfenster</t>
        </is>
      </c>
      <c r="C76" s="11" t="n"/>
      <c r="D76" s="11" t="inlineStr">
        <is>
          <t>Standard-Anforderungen</t>
        </is>
      </c>
      <c r="E76" s="12" t="inlineStr">
        <is>
          <t>Gesamt:</t>
        </is>
      </c>
      <c r="F76" s="11" t="n"/>
      <c r="G76" s="11" t="n"/>
      <c r="H76" s="13">
        <f>IF(OR(COUNTBLANK($H$77:$H$77)&gt;0,COUNTIF($H$77:$H$77,"unbearbeitet")=COUNTA($H$77:$H$77)),"Bitte Teilanforderungen ausfüllen",IF(COUNTIF($H$77:$H$77,"zu klären")&gt;0,"zu klären",IF(COUNTIF($H$77:$H$77,"entbehrlich")=COUNTA($H$77:$H$77),"entbehrlich",IF(COUNTIF($H$77:$H$77,"verwiesen")=COUNTA($H$77:$H$77),"verwiesen",IF(COUNTIF($H$77:$H$77,"nein")+COUNTIF($H$77:$H$77,"entbehrlich")=COUNTA($H$77:$H$77),"nein",IF(COUNTIF($H$77:$H$77,"ja")+COUNTIF($H$77:$H$77,"entbehrlich")+COUNTIF($H$77:$H$77,"verwiesen")=COUNTA($H$77:$H$77),"ja","teilweise"))))))</f>
        <v/>
      </c>
      <c r="I76" s="11" t="n"/>
      <c r="J76" s="11" t="n"/>
      <c r="K76" s="11" t="n"/>
      <c r="L76" s="11" t="n"/>
      <c r="M76" s="11" t="inlineStr">
        <is>
          <t>Verfügbarkeit</t>
        </is>
      </c>
      <c r="N76" s="12" t="inlineStr"/>
      <c r="O76" s="11" t="inlineStr"/>
      <c r="P76" s="12" t="inlineStr">
        <is>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is>
      </c>
      <c r="Q76" s="11" t="inlineStr">
        <is>
          <t>IT-Systeme</t>
        </is>
      </c>
      <c r="R76" s="11" t="inlineStr">
        <is>
          <t>IT-Betriebskonzept</t>
        </is>
      </c>
      <c r="S76" s="12" t="inlineStr">
        <is>
          <t>bei voraussichtlichen Verfügbarkeiteinschränkungen durch bevorstehende Wartungen die Nutzenden</t>
        </is>
      </c>
      <c r="T76" s="12" t="inlineStr">
        <is>
          <t>G 0.31 – Fehlerhafte Nutzung oder Administration von Geräten und Systemen; G 0.25 – Ausfall von Geräten oder Systemen; G 0.28 – Software-Schwachstellen oder -Fehler; G 0.21 – Manipulation von Hard- oder Software</t>
        </is>
      </c>
      <c r="U76" s="11" t="n">
        <v>3</v>
      </c>
      <c r="V76" s="11" t="n">
        <v>1</v>
      </c>
      <c r="W76" s="11" t="n">
        <v>1</v>
      </c>
      <c r="X76" s="11" t="n">
        <v>2</v>
      </c>
      <c r="Y76" s="11" t="n">
        <v>0</v>
      </c>
    </row>
    <row r="77">
      <c r="A77" s="11" t="inlineStr">
        <is>
          <t>ASST.5.5</t>
        </is>
      </c>
      <c r="B77" s="12" t="inlineStr">
        <is>
          <t>Wartungsfenster</t>
        </is>
      </c>
      <c r="C77" s="11" t="inlineStr">
        <is>
          <t>ASST.5.5</t>
        </is>
      </c>
      <c r="D77" s="11" t="inlineStr">
        <is>
          <t>Standard-Anforderungen</t>
        </is>
      </c>
      <c r="E77" s="12" t="inlineStr">
        <is>
          <t>Informationen und Assets für IT-Systeme SOLLTE bei voraussichtlichen Verfügbarkeiteinschränkungen durch bevorstehende Wartungen die Nutzenden über Dauer und Umfang der Einschränkungen informieren.</t>
        </is>
      </c>
      <c r="F77" s="14" t="n"/>
      <c r="G77" s="14" t="n"/>
      <c r="H77" s="14" t="inlineStr">
        <is>
          <t>unbearbeitet</t>
        </is>
      </c>
      <c r="I77" s="14" t="n"/>
      <c r="J77" s="14" t="n"/>
      <c r="K77" s="14" t="n"/>
      <c r="L77" s="15" t="n"/>
      <c r="M77" s="11" t="inlineStr">
        <is>
          <t>Verfügbarkeit</t>
        </is>
      </c>
      <c r="N77" s="12" t="inlineStr"/>
      <c r="O77" s="11" t="inlineStr"/>
      <c r="P77" s="12" t="inlineStr">
        <is>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is>
      </c>
      <c r="Q77" s="11" t="inlineStr">
        <is>
          <t>IT-Systeme</t>
        </is>
      </c>
      <c r="R77" s="11" t="inlineStr">
        <is>
          <t>IT-Betriebskonzept</t>
        </is>
      </c>
      <c r="S77" s="12" t="inlineStr">
        <is>
          <t>bei voraussichtlichen Verfügbarkeiteinschränkungen durch bevorstehende Wartungen die Nutzenden</t>
        </is>
      </c>
      <c r="T77" s="12" t="inlineStr">
        <is>
          <t>G 0.31 – Fehlerhafte Nutzung oder Administration von Geräten und Systemen; G 0.25 – Ausfall von Geräten oder Systemen; G 0.28 – Software-Schwachstellen oder -Fehler; G 0.21 – Manipulation von Hard- oder Software</t>
        </is>
      </c>
      <c r="U77" s="11" t="n">
        <v>3</v>
      </c>
      <c r="V77" s="11" t="n">
        <v>1</v>
      </c>
      <c r="W77" s="11" t="n">
        <v>1</v>
      </c>
      <c r="X77" s="11" t="n">
        <v>2</v>
      </c>
      <c r="Y77" s="11" t="n">
        <v>0</v>
      </c>
    </row>
    <row r="78">
      <c r="A78" s="9" t="inlineStr">
        <is>
          <t>ASST.5.6</t>
        </is>
      </c>
      <c r="B78" s="10" t="inlineStr">
        <is>
          <t>Wartung durch Externe</t>
        </is>
      </c>
      <c r="C78" s="11" t="n"/>
      <c r="D78" s="11" t="inlineStr">
        <is>
          <t>Anforderungen bei erhöhtem Schutzbedarf</t>
        </is>
      </c>
      <c r="E78" s="12" t="inlineStr">
        <is>
          <t>Gesamt:</t>
        </is>
      </c>
      <c r="F78" s="11" t="n"/>
      <c r="G78" s="11" t="n"/>
      <c r="H78" s="13">
        <f>IF(OR(COUNTBLANK($H$79:$H$79)&gt;0,COUNTIF($H$79:$H$79,"unbearbeitet")=COUNTA($H$79:$H$79)),"Bitte Teilanforderungen ausfüllen",IF(COUNTIF($H$79:$H$79,"zu klären")&gt;0,"zu klären",IF(COUNTIF($H$79:$H$79,"entbehrlich")=COUNTA($H$79:$H$79),"entbehrlich",IF(COUNTIF($H$79:$H$79,"verwiesen")=COUNTA($H$79:$H$79),"verwiesen",IF(COUNTIF($H$79:$H$79,"nein")+COUNTIF($H$79:$H$79,"entbehrlich")=COUNTA($H$79:$H$79),"nein",IF(COUNTIF($H$79:$H$79,"ja")+COUNTIF($H$79:$H$79,"entbehrlich")+COUNTIF($H$79:$H$79,"verwiesen")=COUNTA($H$79:$H$79),"ja","teilweise"))))))</f>
        <v/>
      </c>
      <c r="I78" s="11" t="n"/>
      <c r="J78" s="11" t="n"/>
      <c r="K78" s="11" t="n"/>
      <c r="L78" s="11" t="n"/>
      <c r="M78" s="11" t="inlineStr">
        <is>
          <t>Verfügbarkeit</t>
        </is>
      </c>
      <c r="N78" s="12" t="inlineStr"/>
      <c r="O78" s="11" t="inlineStr"/>
      <c r="P78" s="12" t="inlineStr">
        <is>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is>
      </c>
      <c r="Q78" s="11" t="inlineStr">
        <is>
          <t>Mitarbeitende</t>
        </is>
      </c>
      <c r="R78" s="11" t="inlineStr">
        <is>
          <t>IT-Betriebskonzept</t>
        </is>
      </c>
      <c r="S78" s="12" t="inlineStr">
        <is>
          <t>bei Wartungen, die von Externen ohne Sicherheitsüberprüfung vorgenommen werden,</t>
        </is>
      </c>
      <c r="T78" s="12" t="inlineStr">
        <is>
          <t>G 0.31 – Fehlerhafte Nutzung oder Administration von Geräten und Systemen; G 0.25 – Ausfall von Geräten oder Systemen; G 0.28 – Software-Schwachstellen oder -Fehler; G 0.21 – Manipulation von Hard- oder Software</t>
        </is>
      </c>
      <c r="U78" s="11" t="n">
        <v>4</v>
      </c>
      <c r="V78" s="11" t="n">
        <v>1</v>
      </c>
      <c r="W78" s="11" t="n">
        <v>1</v>
      </c>
      <c r="X78" s="11" t="n">
        <v>2</v>
      </c>
      <c r="Y78" s="11" t="n">
        <v>0</v>
      </c>
    </row>
    <row r="79">
      <c r="A79" s="11" t="inlineStr">
        <is>
          <t>ASST.5.6</t>
        </is>
      </c>
      <c r="B79" s="12" t="inlineStr">
        <is>
          <t>Wartung durch Externe</t>
        </is>
      </c>
      <c r="C79" s="11" t="inlineStr">
        <is>
          <t>ASST.5.6</t>
        </is>
      </c>
      <c r="D79" s="11" t="inlineStr">
        <is>
          <t>Anforderungen bei erhöhtem Schutzbedarf</t>
        </is>
      </c>
      <c r="E79" s="12" t="inlineStr">
        <is>
          <t>Informationen und Assets für Mitarbeitende KANN bei Wartungen, die von Externen ohne Sicherheitsüberprüfung vorgenommen werden, zur Beaufsichtigung durch internes Personal anweisen.</t>
        </is>
      </c>
      <c r="F79" s="14" t="n"/>
      <c r="G79" s="14" t="n"/>
      <c r="H79" s="14" t="inlineStr">
        <is>
          <t>unbearbeitet</t>
        </is>
      </c>
      <c r="I79" s="14" t="n"/>
      <c r="J79" s="14" t="n"/>
      <c r="K79" s="14" t="n"/>
      <c r="L79" s="15" t="n"/>
      <c r="M79" s="11" t="inlineStr">
        <is>
          <t>Verfügbarkeit</t>
        </is>
      </c>
      <c r="N79" s="12" t="inlineStr"/>
      <c r="O79" s="11" t="inlineStr"/>
      <c r="P79" s="12" t="inlineStr">
        <is>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is>
      </c>
      <c r="Q79" s="11" t="inlineStr">
        <is>
          <t>Mitarbeitende</t>
        </is>
      </c>
      <c r="R79" s="11" t="inlineStr">
        <is>
          <t>IT-Betriebskonzept</t>
        </is>
      </c>
      <c r="S79" s="12" t="inlineStr">
        <is>
          <t>bei Wartungen, die von Externen ohne Sicherheitsüberprüfung vorgenommen werden,</t>
        </is>
      </c>
      <c r="T79" s="12" t="inlineStr">
        <is>
          <t>G 0.31 – Fehlerhafte Nutzung oder Administration von Geräten und Systemen; G 0.25 – Ausfall von Geräten oder Systemen; G 0.28 – Software-Schwachstellen oder -Fehler; G 0.21 – Manipulation von Hard- oder Software</t>
        </is>
      </c>
      <c r="U79" s="11" t="n">
        <v>4</v>
      </c>
      <c r="V79" s="11" t="n">
        <v>1</v>
      </c>
      <c r="W79" s="11" t="n">
        <v>1</v>
      </c>
      <c r="X79" s="11" t="n">
        <v>2</v>
      </c>
      <c r="Y79" s="11" t="n">
        <v>0</v>
      </c>
    </row>
    <row r="80">
      <c r="A80" s="9" t="inlineStr">
        <is>
          <t>ASST.5.7</t>
        </is>
      </c>
      <c r="B80" s="10" t="inlineStr">
        <is>
          <t>Dokumentation von Wartungen</t>
        </is>
      </c>
      <c r="C80" s="11" t="n"/>
      <c r="D80" s="11" t="inlineStr">
        <is>
          <t>Standard-Anforderungen</t>
        </is>
      </c>
      <c r="E80" s="12" t="inlineStr">
        <is>
          <t>Gesamt:</t>
        </is>
      </c>
      <c r="F80" s="11" t="n"/>
      <c r="G80" s="11" t="n"/>
      <c r="H80" s="13">
        <f>IF(OR(COUNTBLANK($H$81:$H$81)&gt;0,COUNTIF($H$81:$H$81,"unbearbeitet")=COUNTA($H$81:$H$81)),"Bitte Teilanforderungen ausfüllen",IF(COUNTIF($H$81:$H$81,"zu klären")&gt;0,"zu klären",IF(COUNTIF($H$81:$H$81,"entbehrlich")=COUNTA($H$81:$H$81),"entbehrlich",IF(COUNTIF($H$81:$H$81,"verwiesen")=COUNTA($H$81:$H$81),"verwiesen",IF(COUNTIF($H$81:$H$81,"nein")+COUNTIF($H$81:$H$81,"entbehrlich")=COUNTA($H$81:$H$81),"nein",IF(COUNTIF($H$81:$H$81,"ja")+COUNTIF($H$81:$H$81,"entbehrlich")+COUNTIF($H$81:$H$81,"verwiesen")=COUNTA($H$81:$H$81),"ja","teilweise"))))))</f>
        <v/>
      </c>
      <c r="I80" s="11" t="n"/>
      <c r="J80" s="11" t="n"/>
      <c r="K80" s="11" t="n"/>
      <c r="L80" s="11" t="n"/>
      <c r="M80" s="11" t="inlineStr">
        <is>
          <t>Verfügbarkeit</t>
        </is>
      </c>
      <c r="N80" s="12" t="inlineStr">
        <is>
          <t>OPS.1.1.1.A19-UA.4</t>
        </is>
      </c>
      <c r="O80" s="11" t="inlineStr">
        <is>
          <t>intersects-with</t>
        </is>
      </c>
      <c r="P80" s="12" t="inlineStr">
        <is>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is>
      </c>
      <c r="Q80" s="11" t="inlineStr">
        <is>
          <t>IT-Systeme</t>
        </is>
      </c>
      <c r="R80" s="11" t="inlineStr">
        <is>
          <t>IT-Betriebskonzept</t>
        </is>
      </c>
      <c r="S80" s="12" t="inlineStr">
        <is>
          <t>Wartungen</t>
        </is>
      </c>
      <c r="T80" s="12" t="inlineStr">
        <is>
          <t>G 0.31 – Fehlerhafte Nutzung oder Administration von Geräten und Systemen; G 0.37 – Abstreiten von Handlungen; G 0.18 – Fehlplanung oder fehlende Anpassung; G 0.25 – Ausfall von Geräten oder Systemen</t>
        </is>
      </c>
      <c r="U80" s="11" t="n">
        <v>3</v>
      </c>
      <c r="V80" s="11" t="n">
        <v>1</v>
      </c>
      <c r="W80" s="11" t="n">
        <v>1</v>
      </c>
      <c r="X80" s="11" t="n">
        <v>2</v>
      </c>
      <c r="Y80" s="11" t="n">
        <v>0</v>
      </c>
    </row>
    <row r="81">
      <c r="A81" s="11" t="inlineStr">
        <is>
          <t>ASST.5.7</t>
        </is>
      </c>
      <c r="B81" s="12" t="inlineStr">
        <is>
          <t>Dokumentation von Wartungen</t>
        </is>
      </c>
      <c r="C81" s="11" t="inlineStr">
        <is>
          <t>ASST.5.7</t>
        </is>
      </c>
      <c r="D81" s="11" t="inlineStr">
        <is>
          <t>Standard-Anforderungen</t>
        </is>
      </c>
      <c r="E81" s="12" t="inlineStr">
        <is>
          <t>Informationen und Assets für IT-Systeme SOLLTE Wartungen mit Asset, Anlass, Zeitpunkt, Beteiligten, durchgefürten Maßnahmen und Ergebnissen dokumentieren.</t>
        </is>
      </c>
      <c r="F81" s="14" t="n"/>
      <c r="G81" s="14" t="n"/>
      <c r="H81" s="14" t="inlineStr">
        <is>
          <t>unbearbeitet</t>
        </is>
      </c>
      <c r="I81" s="14" t="n"/>
      <c r="J81" s="14" t="n"/>
      <c r="K81" s="14" t="n"/>
      <c r="L81" s="15" t="n"/>
      <c r="M81" s="11" t="inlineStr">
        <is>
          <t>Verfügbarkeit</t>
        </is>
      </c>
      <c r="N81" s="12" t="inlineStr">
        <is>
          <t>OPS.1.1.1.A19-UA.4</t>
        </is>
      </c>
      <c r="O81" s="11" t="inlineStr">
        <is>
          <t>intersects-with</t>
        </is>
      </c>
      <c r="P81" s="12" t="inlineStr">
        <is>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is>
      </c>
      <c r="Q81" s="11" t="inlineStr">
        <is>
          <t>IT-Systeme</t>
        </is>
      </c>
      <c r="R81" s="11" t="inlineStr">
        <is>
          <t>IT-Betriebskonzept</t>
        </is>
      </c>
      <c r="S81" s="12" t="inlineStr">
        <is>
          <t>Wartungen</t>
        </is>
      </c>
      <c r="T81" s="12" t="inlineStr">
        <is>
          <t>G 0.31 – Fehlerhafte Nutzung oder Administration von Geräten und Systemen; G 0.37 – Abstreiten von Handlungen; G 0.18 – Fehlplanung oder fehlende Anpassung; G 0.25 – Ausfall von Geräten oder Systemen</t>
        </is>
      </c>
      <c r="U81" s="11" t="n">
        <v>3</v>
      </c>
      <c r="V81" s="11" t="n">
        <v>1</v>
      </c>
      <c r="W81" s="11" t="n">
        <v>1</v>
      </c>
      <c r="X81" s="11" t="n">
        <v>2</v>
      </c>
      <c r="Y81" s="11" t="n">
        <v>0</v>
      </c>
    </row>
    <row r="82">
      <c r="A82" s="9" t="inlineStr">
        <is>
          <t>ASST.6.1</t>
        </is>
      </c>
      <c r="B82" s="10" t="inlineStr">
        <is>
          <t>Abhandenkommen</t>
        </is>
      </c>
      <c r="C82" s="11" t="n"/>
      <c r="D82" s="11" t="inlineStr">
        <is>
          <t>Standard-Anforderungen</t>
        </is>
      </c>
      <c r="E82" s="12" t="inlineStr">
        <is>
          <t>Gesamt:</t>
        </is>
      </c>
      <c r="F82" s="11" t="n"/>
      <c r="G82" s="11" t="n"/>
      <c r="H82" s="13">
        <f>IF(OR(COUNTBLANK($H$83:$H$83)&gt;0,COUNTIF($H$83:$H$83,"unbearbeitet")=COUNTA($H$83:$H$83)),"Bitte Teilanforderungen ausfüllen",IF(COUNTIF($H$83:$H$83,"zu klären")&gt;0,"zu klären",IF(COUNTIF($H$83:$H$83,"entbehrlich")=COUNTA($H$83:$H$83),"entbehrlich",IF(COUNTIF($H$83:$H$83,"verwiesen")=COUNTA($H$83:$H$83),"verwiesen",IF(COUNTIF($H$83:$H$83,"nein")+COUNTIF($H$83:$H$83,"entbehrlich")=COUNTA($H$83:$H$83),"nein",IF(COUNTIF($H$83:$H$83,"ja")+COUNTIF($H$83:$H$83,"entbehrlich")+COUNTIF($H$83:$H$83,"verwiesen")=COUNTA($H$83:$H$83),"ja","teilweise"))))))</f>
        <v/>
      </c>
      <c r="I82" s="11" t="n"/>
      <c r="J82" s="11" t="n"/>
      <c r="K82" s="11" t="n"/>
      <c r="L82" s="11" t="n"/>
      <c r="M82" s="11" t="inlineStr"/>
      <c r="N82" s="12" t="inlineStr"/>
      <c r="O82" s="11" t="inlineStr"/>
      <c r="P82" s="12" t="inlineStr">
        <is>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is>
      </c>
      <c r="Q82" s="11" t="inlineStr"/>
      <c r="R82" s="11" t="inlineStr">
        <is>
          <t>Arbeitsanweisung</t>
        </is>
      </c>
      <c r="S82" s="12" t="inlineStr">
        <is>
          <t>eine Vorgehensweise beim Abhandenkommen von Assets</t>
        </is>
      </c>
      <c r="T82" s="12" t="inlineStr">
        <is>
          <t>G 0.18 – Fehlplanung oder fehlende Anpassung</t>
        </is>
      </c>
      <c r="U82" s="11" t="n">
        <v>4</v>
      </c>
      <c r="V82" s="11" t="n">
        <v>1</v>
      </c>
      <c r="W82" s="11" t="n">
        <v>1</v>
      </c>
      <c r="X82" s="11" t="n">
        <v>1</v>
      </c>
      <c r="Y82" s="11" t="n">
        <v>0</v>
      </c>
    </row>
    <row r="83">
      <c r="A83" s="11" t="inlineStr">
        <is>
          <t>ASST.6.1</t>
        </is>
      </c>
      <c r="B83" s="12" t="inlineStr">
        <is>
          <t>Abhandenkommen</t>
        </is>
      </c>
      <c r="C83" s="11" t="inlineStr">
        <is>
          <t>ASST.6.1</t>
        </is>
      </c>
      <c r="D83" s="11" t="inlineStr">
        <is>
          <t>Standard-Anforderungen</t>
        </is>
      </c>
      <c r="E83" s="12" t="inlineStr">
        <is>
          <t>Informationen und Assets SOLLTE eine Vorgehensweise beim Abhandenkommen von Assets verankern.</t>
        </is>
      </c>
      <c r="F83" s="14" t="n"/>
      <c r="G83" s="14" t="n"/>
      <c r="H83" s="14" t="inlineStr">
        <is>
          <t>unbearbeitet</t>
        </is>
      </c>
      <c r="I83" s="14" t="n"/>
      <c r="J83" s="14" t="n"/>
      <c r="K83" s="14" t="n"/>
      <c r="L83" s="15" t="n"/>
      <c r="M83" s="11" t="inlineStr"/>
      <c r="N83" s="12" t="inlineStr"/>
      <c r="O83" s="11" t="inlineStr"/>
      <c r="P83" s="12" t="inlineStr">
        <is>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is>
      </c>
      <c r="Q83" s="11" t="inlineStr"/>
      <c r="R83" s="11" t="inlineStr">
        <is>
          <t>Arbeitsanweisung</t>
        </is>
      </c>
      <c r="S83" s="12" t="inlineStr">
        <is>
          <t>eine Vorgehensweise beim Abhandenkommen von Assets</t>
        </is>
      </c>
      <c r="T83" s="12" t="inlineStr">
        <is>
          <t>G 0.18 – Fehlplanung oder fehlende Anpassung</t>
        </is>
      </c>
      <c r="U83" s="11" t="n">
        <v>4</v>
      </c>
      <c r="V83" s="11" t="n">
        <v>1</v>
      </c>
      <c r="W83" s="11" t="n">
        <v>1</v>
      </c>
      <c r="X83" s="11" t="n">
        <v>1</v>
      </c>
      <c r="Y83" s="11" t="n">
        <v>0</v>
      </c>
    </row>
    <row r="84">
      <c r="A84" s="9" t="inlineStr">
        <is>
          <t>ASST.6.2</t>
        </is>
      </c>
      <c r="B84" s="10" t="inlineStr">
        <is>
          <t>Rückkehr abhandengekommener Assets</t>
        </is>
      </c>
      <c r="C84" s="11" t="n"/>
      <c r="D84" s="11" t="inlineStr">
        <is>
          <t>Standard-Anforderungen</t>
        </is>
      </c>
      <c r="E84" s="12" t="inlineStr">
        <is>
          <t>Gesamt:</t>
        </is>
      </c>
      <c r="F84" s="11" t="n"/>
      <c r="G84" s="11" t="n"/>
      <c r="H84" s="13">
        <f>IF(OR(COUNTBLANK($H$85:$H$85)&gt;0,COUNTIF($H$85:$H$85,"unbearbeitet")=COUNTA($H$85:$H$85)),"Bitte Teilanforderungen ausfüllen",IF(COUNTIF($H$85:$H$85,"zu klären")&gt;0,"zu klären",IF(COUNTIF($H$85:$H$85,"entbehrlich")=COUNTA($H$85:$H$85),"entbehrlich",IF(COUNTIF($H$85:$H$85,"verwiesen")=COUNTA($H$85:$H$85),"verwiesen",IF(COUNTIF($H$85:$H$85,"nein")+COUNTIF($H$85:$H$85,"entbehrlich")=COUNTA($H$85:$H$85),"nein",IF(COUNTIF($H$85:$H$85,"ja")+COUNTIF($H$85:$H$85,"entbehrlich")+COUNTIF($H$85:$H$85,"verwiesen")=COUNTA($H$85:$H$85),"ja","teilweise"))))))</f>
        <v/>
      </c>
      <c r="I84" s="11" t="n"/>
      <c r="J84" s="11" t="n"/>
      <c r="K84" s="11" t="n"/>
      <c r="L84" s="11" t="n"/>
      <c r="M84" s="11" t="inlineStr"/>
      <c r="N84" s="12" t="inlineStr"/>
      <c r="O84" s="11" t="inlineStr"/>
      <c r="P84" s="12" t="inlineStr">
        <is>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is>
      </c>
      <c r="Q84" s="11" t="inlineStr"/>
      <c r="R84" s="11" t="inlineStr">
        <is>
          <t>Arbeitsanweisung</t>
        </is>
      </c>
      <c r="S84" s="12" t="inlineStr">
        <is>
          <t>eine Vorgehensweise bei Rückkehr von abhandengekommenen Assets</t>
        </is>
      </c>
      <c r="T84" s="12" t="inlineStr">
        <is>
          <t>G 0.18 – Fehlplanung oder fehlende Anpassung</t>
        </is>
      </c>
      <c r="U84" s="11" t="n">
        <v>4</v>
      </c>
      <c r="V84" s="11" t="n">
        <v>1</v>
      </c>
      <c r="W84" s="11" t="n">
        <v>1</v>
      </c>
      <c r="X84" s="11" t="n">
        <v>1</v>
      </c>
      <c r="Y84" s="11" t="n">
        <v>0</v>
      </c>
    </row>
    <row r="85">
      <c r="A85" s="11" t="inlineStr">
        <is>
          <t>ASST.6.2</t>
        </is>
      </c>
      <c r="B85" s="12" t="inlineStr">
        <is>
          <t>Rückkehr abhandengekommener Assets</t>
        </is>
      </c>
      <c r="C85" s="11" t="inlineStr">
        <is>
          <t>ASST.6.2</t>
        </is>
      </c>
      <c r="D85" s="11" t="inlineStr">
        <is>
          <t>Standard-Anforderungen</t>
        </is>
      </c>
      <c r="E85" s="12" t="inlineStr">
        <is>
          <t>Informationen und Assets SOLLTE eine Vorgehensweise bei Rückkehr von abhandengekommenen Assets verankern.</t>
        </is>
      </c>
      <c r="F85" s="14" t="n"/>
      <c r="G85" s="14" t="n"/>
      <c r="H85" s="14" t="inlineStr">
        <is>
          <t>unbearbeitet</t>
        </is>
      </c>
      <c r="I85" s="14" t="n"/>
      <c r="J85" s="14" t="n"/>
      <c r="K85" s="14" t="n"/>
      <c r="L85" s="15" t="n"/>
      <c r="M85" s="11" t="inlineStr"/>
      <c r="N85" s="12" t="inlineStr"/>
      <c r="O85" s="11" t="inlineStr"/>
      <c r="P85" s="12" t="inlineStr">
        <is>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is>
      </c>
      <c r="Q85" s="11" t="inlineStr"/>
      <c r="R85" s="11" t="inlineStr">
        <is>
          <t>Arbeitsanweisung</t>
        </is>
      </c>
      <c r="S85" s="12" t="inlineStr">
        <is>
          <t>eine Vorgehensweise bei Rückkehr von abhandengekommenen Assets</t>
        </is>
      </c>
      <c r="T85" s="12" t="inlineStr">
        <is>
          <t>G 0.18 – Fehlplanung oder fehlende Anpassung</t>
        </is>
      </c>
      <c r="U85" s="11" t="n">
        <v>4</v>
      </c>
      <c r="V85" s="11" t="n">
        <v>1</v>
      </c>
      <c r="W85" s="11" t="n">
        <v>1</v>
      </c>
      <c r="X85" s="11" t="n">
        <v>1</v>
      </c>
      <c r="Y85" s="11" t="n">
        <v>0</v>
      </c>
    </row>
    <row r="86">
      <c r="A86" s="9" t="inlineStr">
        <is>
          <t>ASST.6.3</t>
        </is>
      </c>
      <c r="B86" s="10" t="inlineStr">
        <is>
          <t>Konformitätsprüfung</t>
        </is>
      </c>
      <c r="C86" s="11" t="n"/>
      <c r="D86" s="11" t="inlineStr">
        <is>
          <t>Anforderungen bei erhöhtem Schutzbedarf</t>
        </is>
      </c>
      <c r="E86" s="12" t="inlineStr">
        <is>
          <t>Gesamt:</t>
        </is>
      </c>
      <c r="F86" s="11" t="n"/>
      <c r="G86" s="11" t="n"/>
      <c r="H86" s="13">
        <f>IF(OR(COUNTBLANK($H$87:$H$87)&gt;0,COUNTIF($H$87:$H$87,"unbearbeitet")=COUNTA($H$87:$H$87)),"Bitte Teilanforderungen ausfüllen",IF(COUNTIF($H$87:$H$87,"zu klären")&gt;0,"zu klären",IF(COUNTIF($H$87:$H$87,"entbehrlich")=COUNTA($H$87:$H$87),"entbehrlich",IF(COUNTIF($H$87:$H$87,"verwiesen")=COUNTA($H$87:$H$87),"verwiesen",IF(COUNTIF($H$87:$H$87,"nein")+COUNTIF($H$87:$H$87,"entbehrlich")=COUNTA($H$87:$H$87),"nein",IF(COUNTIF($H$87:$H$87,"ja")+COUNTIF($H$87:$H$87,"entbehrlich")+COUNTIF($H$87:$H$87,"verwiesen")=COUNTA($H$87:$H$87),"ja","teilweise"))))))</f>
        <v/>
      </c>
      <c r="I86" s="11" t="n"/>
      <c r="J86" s="11" t="n"/>
      <c r="K86" s="11" t="n"/>
      <c r="L86" s="11" t="n"/>
      <c r="M86" s="11" t="inlineStr"/>
      <c r="N86" s="12" t="inlineStr"/>
      <c r="O86" s="11" t="inlineStr"/>
      <c r="P86" s="12" t="inlineStr">
        <is>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is>
      </c>
      <c r="Q86" s="11" t="inlineStr">
        <is>
          <t>IT-Systeme</t>
        </is>
      </c>
      <c r="R86" s="11" t="inlineStr">
        <is>
          <t>Arbeitsanweisung</t>
        </is>
      </c>
      <c r="S86" s="12" t="inlineStr">
        <is>
          <t>bei Rücknahme die Konformität mit den einschlägigen Anforderungen</t>
        </is>
      </c>
      <c r="T86" s="12" t="inlineStr">
        <is>
          <t>G 0.18 – Fehlplanung oder fehlende Anpassung</t>
        </is>
      </c>
      <c r="U86" s="11" t="n">
        <v>5</v>
      </c>
      <c r="V86" s="11" t="n">
        <v>1</v>
      </c>
      <c r="W86" s="11" t="n">
        <v>1</v>
      </c>
      <c r="X86" s="11" t="n">
        <v>1</v>
      </c>
      <c r="Y86" s="11" t="n">
        <v>0</v>
      </c>
    </row>
    <row r="87">
      <c r="A87" s="11" t="inlineStr">
        <is>
          <t>ASST.6.3</t>
        </is>
      </c>
      <c r="B87" s="12" t="inlineStr">
        <is>
          <t>Konformitätsprüfung</t>
        </is>
      </c>
      <c r="C87" s="11" t="inlineStr">
        <is>
          <t>ASST.6.3</t>
        </is>
      </c>
      <c r="D87" s="11" t="inlineStr">
        <is>
          <t>Anforderungen bei erhöhtem Schutzbedarf</t>
        </is>
      </c>
      <c r="E87" s="12" t="inlineStr">
        <is>
          <t>Informationen und Assets für IT-Systeme KANN bei Rücknahme die Konformität mit den einschlägigen Anforderungen testen.</t>
        </is>
      </c>
      <c r="F87" s="14" t="n"/>
      <c r="G87" s="14" t="n"/>
      <c r="H87" s="14" t="inlineStr">
        <is>
          <t>unbearbeitet</t>
        </is>
      </c>
      <c r="I87" s="14" t="n"/>
      <c r="J87" s="14" t="n"/>
      <c r="K87" s="14" t="n"/>
      <c r="L87" s="15" t="n"/>
      <c r="M87" s="11" t="inlineStr"/>
      <c r="N87" s="12" t="inlineStr"/>
      <c r="O87" s="11" t="inlineStr"/>
      <c r="P87" s="12" t="inlineStr">
        <is>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is>
      </c>
      <c r="Q87" s="11" t="inlineStr">
        <is>
          <t>IT-Systeme</t>
        </is>
      </c>
      <c r="R87" s="11" t="inlineStr">
        <is>
          <t>Arbeitsanweisung</t>
        </is>
      </c>
      <c r="S87" s="12" t="inlineStr">
        <is>
          <t>bei Rücknahme die Konformität mit den einschlägigen Anforderungen</t>
        </is>
      </c>
      <c r="T87" s="12" t="inlineStr">
        <is>
          <t>G 0.18 – Fehlplanung oder fehlende Anpassung</t>
        </is>
      </c>
      <c r="U87" s="11" t="n">
        <v>5</v>
      </c>
      <c r="V87" s="11" t="n">
        <v>1</v>
      </c>
      <c r="W87" s="11" t="n">
        <v>1</v>
      </c>
      <c r="X87" s="11" t="n">
        <v>1</v>
      </c>
      <c r="Y87" s="11" t="n">
        <v>0</v>
      </c>
    </row>
    <row r="88">
      <c r="A88" s="9" t="inlineStr">
        <is>
          <t>ASST.6.4</t>
        </is>
      </c>
      <c r="B88" s="10" t="inlineStr">
        <is>
          <t>Zurücksetzen auf Ausgangszustand</t>
        </is>
      </c>
      <c r="C88" s="11" t="n"/>
      <c r="D88" s="11" t="inlineStr">
        <is>
          <t>Standard-Anforderungen</t>
        </is>
      </c>
      <c r="E88" s="12" t="inlineStr">
        <is>
          <t>Gesamt:</t>
        </is>
      </c>
      <c r="F88" s="11" t="n"/>
      <c r="G88" s="11" t="n"/>
      <c r="H88" s="13">
        <f>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
      </c>
      <c r="I88" s="11" t="n"/>
      <c r="J88" s="11" t="n"/>
      <c r="K88" s="11" t="n"/>
      <c r="L88" s="11" t="n"/>
      <c r="M88" s="11" t="inlineStr"/>
      <c r="N88" s="12" t="inlineStr">
        <is>
          <t>INF.10.A9-UA.1</t>
        </is>
      </c>
      <c r="O88" s="11" t="inlineStr">
        <is>
          <t>intersects-with</t>
        </is>
      </c>
      <c r="P88" s="12" t="inlineStr">
        <is>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is>
      </c>
      <c r="Q88" s="11" t="inlineStr">
        <is>
          <t>IT-Systeme</t>
        </is>
      </c>
      <c r="R88" s="11" t="inlineStr">
        <is>
          <t>IT-Betriebskonzept</t>
        </is>
      </c>
      <c r="S88" s="12" t="inlineStr">
        <is>
          <t>bei Rücknahme das Zurücksetzen in einen definierten Ausgangszustand</t>
        </is>
      </c>
      <c r="T88" s="12" t="inlineStr">
        <is>
          <t>G 0.18 – Fehlplanung oder fehlende Anpassung</t>
        </is>
      </c>
      <c r="U88" s="11" t="n">
        <v>3</v>
      </c>
      <c r="V88" s="11" t="n">
        <v>1</v>
      </c>
      <c r="W88" s="11" t="n">
        <v>1</v>
      </c>
      <c r="X88" s="11" t="n">
        <v>1</v>
      </c>
      <c r="Y88" s="11" t="n">
        <v>0</v>
      </c>
    </row>
    <row r="89">
      <c r="A89" s="11" t="inlineStr">
        <is>
          <t>ASST.6.4</t>
        </is>
      </c>
      <c r="B89" s="12" t="inlineStr">
        <is>
          <t>Zurücksetzen auf Ausgangszustand</t>
        </is>
      </c>
      <c r="C89" s="11" t="inlineStr">
        <is>
          <t>ASST.6.4</t>
        </is>
      </c>
      <c r="D89" s="11" t="inlineStr">
        <is>
          <t>Standard-Anforderungen</t>
        </is>
      </c>
      <c r="E89" s="12" t="inlineStr">
        <is>
          <t>Informationen und Assets für IT-Systeme SOLLTE bei Rücknahme das Zurücksetzen in einen definierten Ausgangszustand ausführen.</t>
        </is>
      </c>
      <c r="F89" s="14" t="n"/>
      <c r="G89" s="14" t="n"/>
      <c r="H89" s="14" t="inlineStr">
        <is>
          <t>unbearbeitet</t>
        </is>
      </c>
      <c r="I89" s="14" t="n"/>
      <c r="J89" s="14" t="n"/>
      <c r="K89" s="14" t="n"/>
      <c r="L89" s="15" t="n"/>
      <c r="M89" s="11" t="inlineStr"/>
      <c r="N89" s="12" t="inlineStr">
        <is>
          <t>INF.10.A9-UA.1</t>
        </is>
      </c>
      <c r="O89" s="11" t="inlineStr">
        <is>
          <t>intersects-with</t>
        </is>
      </c>
      <c r="P89" s="12" t="inlineStr">
        <is>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is>
      </c>
      <c r="Q89" s="11" t="inlineStr">
        <is>
          <t>IT-Systeme</t>
        </is>
      </c>
      <c r="R89" s="11" t="inlineStr">
        <is>
          <t>IT-Betriebskonzept</t>
        </is>
      </c>
      <c r="S89" s="12" t="inlineStr">
        <is>
          <t>bei Rücknahme das Zurücksetzen in einen definierten Ausgangszustand</t>
        </is>
      </c>
      <c r="T89" s="12" t="inlineStr">
        <is>
          <t>G 0.18 – Fehlplanung oder fehlende Anpassung</t>
        </is>
      </c>
      <c r="U89" s="11" t="n">
        <v>3</v>
      </c>
      <c r="V89" s="11" t="n">
        <v>1</v>
      </c>
      <c r="W89" s="11" t="n">
        <v>1</v>
      </c>
      <c r="X89" s="11" t="n">
        <v>1</v>
      </c>
      <c r="Y89" s="11" t="n">
        <v>0</v>
      </c>
    </row>
    <row r="90">
      <c r="A90" s="9" t="inlineStr">
        <is>
          <t>ASST.7.1</t>
        </is>
      </c>
      <c r="B90" s="10" t="inlineStr">
        <is>
          <t>Nicht mehr benötigte Anwendungen</t>
        </is>
      </c>
      <c r="C90" s="11" t="n"/>
      <c r="D90" s="11" t="inlineStr">
        <is>
          <t>Standard-Anforderungen</t>
        </is>
      </c>
      <c r="E90" s="12" t="inlineStr">
        <is>
          <t>Gesamt:</t>
        </is>
      </c>
      <c r="F90" s="11" t="n"/>
      <c r="G90" s="11" t="n"/>
      <c r="H90" s="13">
        <f>IF(OR(COUNTBLANK($H$91:$H$91)&gt;0,COUNTIF($H$91:$H$91,"unbearbeitet")=COUNTA($H$91:$H$91)),"Bitte Teilanforderungen ausfüllen",IF(COUNTIF($H$91:$H$91,"zu klären")&gt;0,"zu klären",IF(COUNTIF($H$91:$H$91,"entbehrlich")=COUNTA($H$91:$H$91),"entbehrlich",IF(COUNTIF($H$91:$H$91,"verwiesen")=COUNTA($H$91:$H$91),"verwiesen",IF(COUNTIF($H$91:$H$91,"nein")+COUNTIF($H$91:$H$91,"entbehrlich")=COUNTA($H$91:$H$91),"nein",IF(COUNTIF($H$91:$H$91,"ja")+COUNTIF($H$91:$H$91,"entbehrlich")+COUNTIF($H$91:$H$91,"verwiesen")=COUNTA($H$91:$H$91),"ja","teilweise"))))))</f>
        <v/>
      </c>
      <c r="I90" s="11" t="n"/>
      <c r="J90" s="11" t="n"/>
      <c r="K90" s="11" t="n"/>
      <c r="L90" s="11" t="n"/>
      <c r="M90" s="11" t="inlineStr">
        <is>
          <t>Vertraulichkeit, Verfügbarkeit</t>
        </is>
      </c>
      <c r="N90" s="12" t="inlineStr"/>
      <c r="O90" s="11" t="inlineStr"/>
      <c r="P90" s="12" t="inlineStr">
        <is>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is>
      </c>
      <c r="Q90" s="11" t="inlineStr">
        <is>
          <t>Anwendungen</t>
        </is>
      </c>
      <c r="R90" s="11" t="inlineStr">
        <is>
          <t>IT-Betriebskonzept</t>
        </is>
      </c>
      <c r="S90" s="12" t="inlineStr">
        <is>
          <t>eine Deinstallation nicht mehr benötigter Anwendungsinstanzen</t>
        </is>
      </c>
      <c r="T90" s="12" t="inlineStr">
        <is>
          <t>G 0.19 – Offenlegung schützenswerter Informationen; G 0.45 – Datenverlust; G 0.16 – Diebstahl von Geräten, Datenträgern oder Dokumenten; G 0.38 – Missbrauch personenbezogener Daten</t>
        </is>
      </c>
      <c r="U90" s="11" t="n">
        <v>3</v>
      </c>
      <c r="V90" s="11" t="n">
        <v>2</v>
      </c>
      <c r="W90" s="11" t="n">
        <v>0</v>
      </c>
      <c r="X90" s="11" t="n">
        <v>2</v>
      </c>
      <c r="Y90" s="11" t="n">
        <v>0</v>
      </c>
    </row>
    <row r="91">
      <c r="A91" s="11" t="inlineStr">
        <is>
          <t>ASST.7.1</t>
        </is>
      </c>
      <c r="B91" s="12" t="inlineStr">
        <is>
          <t>Nicht mehr benötigte Anwendungen</t>
        </is>
      </c>
      <c r="C91" s="11" t="inlineStr">
        <is>
          <t>ASST.7.1</t>
        </is>
      </c>
      <c r="D91" s="11" t="inlineStr">
        <is>
          <t>Standard-Anforderungen</t>
        </is>
      </c>
      <c r="E91" s="12" t="inlineStr">
        <is>
          <t>Informationen und Assets für Anwendungen SOLLTE eine Deinstallation nicht mehr benötigter Anwendungsinstanzen verankern.</t>
        </is>
      </c>
      <c r="F91" s="14" t="n"/>
      <c r="G91" s="14" t="n"/>
      <c r="H91" s="14" t="inlineStr">
        <is>
          <t>unbearbeitet</t>
        </is>
      </c>
      <c r="I91" s="14" t="n"/>
      <c r="J91" s="14" t="n"/>
      <c r="K91" s="14" t="n"/>
      <c r="L91" s="15" t="n"/>
      <c r="M91" s="11" t="inlineStr">
        <is>
          <t>Vertraulichkeit, Verfügbarkeit</t>
        </is>
      </c>
      <c r="N91" s="12" t="inlineStr"/>
      <c r="O91" s="11" t="inlineStr"/>
      <c r="P91" s="12" t="inlineStr">
        <is>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is>
      </c>
      <c r="Q91" s="11" t="inlineStr">
        <is>
          <t>Anwendungen</t>
        </is>
      </c>
      <c r="R91" s="11" t="inlineStr">
        <is>
          <t>IT-Betriebskonzept</t>
        </is>
      </c>
      <c r="S91" s="12" t="inlineStr">
        <is>
          <t>eine Deinstallation nicht mehr benötigter Anwendungsinstanzen</t>
        </is>
      </c>
      <c r="T91" s="12" t="inlineStr">
        <is>
          <t>G 0.19 – Offenlegung schützenswerter Informationen; G 0.45 – Datenverlust; G 0.16 – Diebstahl von Geräten, Datenträgern oder Dokumenten; G 0.38 – Missbrauch personenbezogener Daten</t>
        </is>
      </c>
      <c r="U91" s="11" t="n">
        <v>3</v>
      </c>
      <c r="V91" s="11" t="n">
        <v>2</v>
      </c>
      <c r="W91" s="11" t="n">
        <v>0</v>
      </c>
      <c r="X91" s="11" t="n">
        <v>2</v>
      </c>
      <c r="Y91" s="11" t="n">
        <v>0</v>
      </c>
    </row>
    <row r="92">
      <c r="A92" s="9" t="inlineStr">
        <is>
          <t>ASST.7.2</t>
        </is>
      </c>
      <c r="B92" s="10" t="inlineStr">
        <is>
          <t>Aufbewahrungs- und Löschfristen</t>
        </is>
      </c>
      <c r="C92" s="11" t="n"/>
      <c r="D92" s="11" t="inlineStr">
        <is>
          <t>Standard-Anforderungen</t>
        </is>
      </c>
      <c r="E92" s="12" t="inlineStr">
        <is>
          <t>Gesamt:</t>
        </is>
      </c>
      <c r="F92" s="11" t="n"/>
      <c r="G92" s="11" t="n"/>
      <c r="H92" s="13">
        <f>IF(OR(COUNTBLANK($H$93:$H$94)&gt;0,COUNTIF($H$93:$H$94,"unbearbeitet")=COUNTA($H$93:$H$94)),"Bitte Teilanforderungen ausfüllen",IF(COUNTIF($H$93:$H$94,"zu klären")&gt;0,"zu klären",IF(COUNTIF($H$93:$H$94,"entbehrlich")=COUNTA($H$93:$H$94),"entbehrlich",IF(COUNTIF($H$93:$H$94,"verwiesen")=COUNTA($H$93:$H$94),"verwiesen",IF(COUNTIF($H$93:$H$94,"nein")+COUNTIF($H$93:$H$94,"entbehrlich")=COUNTA($H$93:$H$94),"nein",IF(COUNTIF($H$93:$H$94,"ja")+COUNTIF($H$93:$H$94,"entbehrlich")+COUNTIF($H$93:$H$94,"verwiesen")=COUNTA($H$93:$H$94),"ja","teilweise"))))))</f>
        <v/>
      </c>
      <c r="I92" s="11" t="n"/>
      <c r="J92" s="11" t="n"/>
      <c r="K92" s="11" t="n"/>
      <c r="L92" s="11" t="n"/>
      <c r="M92" s="11" t="inlineStr">
        <is>
          <t>Vertraulichkeit</t>
        </is>
      </c>
      <c r="N92" s="12" t="inlineStr"/>
      <c r="O92" s="11" t="inlineStr"/>
      <c r="P92" s="12" t="inlineStr">
        <is>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is>
      </c>
      <c r="Q92" s="11" t="inlineStr">
        <is>
          <t>Daten</t>
        </is>
      </c>
      <c r="R92" s="11" t="inlineStr">
        <is>
          <t>Arbeitsanweisung</t>
        </is>
      </c>
      <c r="S92" s="12" t="inlineStr">
        <is>
          <t>die Aufbewahrung</t>
        </is>
      </c>
      <c r="T92" s="12" t="inlineStr">
        <is>
          <t>G 0.45 – Datenverlust; G 0.38 – Missbrauch personenbezogener Daten; G 0.19 – Offenlegung schützenswerter Informationen; G 0.18 – Fehlplanung oder fehlende Anpassung</t>
        </is>
      </c>
      <c r="U92" s="11" t="n">
        <v>2</v>
      </c>
      <c r="V92" s="11" t="n">
        <v>2</v>
      </c>
      <c r="W92" s="11" t="n">
        <v>1</v>
      </c>
      <c r="X92" s="11" t="n">
        <v>1</v>
      </c>
      <c r="Y92" s="11" t="n">
        <v>0</v>
      </c>
    </row>
    <row r="93">
      <c r="A93" s="11" t="inlineStr">
        <is>
          <t>ASST.7.2</t>
        </is>
      </c>
      <c r="B93" s="12" t="inlineStr">
        <is>
          <t>Aufbewahrungs- und Löschfristen</t>
        </is>
      </c>
      <c r="C93" s="11" t="inlineStr">
        <is>
          <t>ASST.7.2</t>
        </is>
      </c>
      <c r="D93" s="11" t="inlineStr">
        <is>
          <t>Standard-Anforderungen</t>
        </is>
      </c>
      <c r="E93" s="12" t="inlineStr">
        <is>
          <t>Informationen und Assets für Daten SOLLTE die Aufbewahrung für eine bestimmte Frist verankern.</t>
        </is>
      </c>
      <c r="F93" s="14" t="n"/>
      <c r="G93" s="14" t="n"/>
      <c r="H93" s="14" t="inlineStr">
        <is>
          <t>unbearbeitet</t>
        </is>
      </c>
      <c r="I93" s="14" t="n"/>
      <c r="J93" s="14" t="n"/>
      <c r="K93" s="14" t="n"/>
      <c r="L93" s="15" t="n"/>
      <c r="M93" s="11" t="inlineStr">
        <is>
          <t>Vertraulichkeit</t>
        </is>
      </c>
      <c r="N93" s="12" t="inlineStr"/>
      <c r="O93" s="11" t="inlineStr"/>
      <c r="P93" s="12" t="inlineStr">
        <is>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is>
      </c>
      <c r="Q93" s="11" t="inlineStr">
        <is>
          <t>Daten</t>
        </is>
      </c>
      <c r="R93" s="11" t="inlineStr">
        <is>
          <t>Arbeitsanweisung</t>
        </is>
      </c>
      <c r="S93" s="12" t="inlineStr">
        <is>
          <t>die Aufbewahrung</t>
        </is>
      </c>
      <c r="T93" s="12" t="inlineStr">
        <is>
          <t>G 0.45 – Datenverlust; G 0.38 – Missbrauch personenbezogener Daten; G 0.19 – Offenlegung schützenswerter Informationen; G 0.18 – Fehlplanung oder fehlende Anpassung</t>
        </is>
      </c>
      <c r="U93" s="11" t="n">
        <v>2</v>
      </c>
      <c r="V93" s="11" t="n">
        <v>2</v>
      </c>
      <c r="W93" s="11" t="n">
        <v>1</v>
      </c>
      <c r="X93" s="11" t="n">
        <v>1</v>
      </c>
      <c r="Y93" s="11" t="n">
        <v>0</v>
      </c>
    </row>
    <row r="94">
      <c r="A94" s="11" t="inlineStr">
        <is>
          <t>ASST.7.2</t>
        </is>
      </c>
      <c r="B94" s="12" t="inlineStr">
        <is>
          <t>Aufbewahrungs- und Löschfristen</t>
        </is>
      </c>
      <c r="C94" s="11" t="inlineStr">
        <is>
          <t>ASST.7.2.1</t>
        </is>
      </c>
      <c r="D94" s="11" t="inlineStr">
        <is>
          <t>Anforderungen bei erhöhtem Schutzbedarf</t>
        </is>
      </c>
      <c r="E94" s="12" t="inlineStr">
        <is>
          <t>Informationen und Assets für Daten KANN die langfristige Archivierung mindestens für eine bestimmte Frist verankern.</t>
        </is>
      </c>
      <c r="F94" s="14" t="n"/>
      <c r="G94" s="14" t="n"/>
      <c r="H94" s="14" t="inlineStr">
        <is>
          <t>unbearbeitet</t>
        </is>
      </c>
      <c r="I94" s="14" t="n"/>
      <c r="J94" s="14" t="n"/>
      <c r="K94" s="14" t="n"/>
      <c r="L94" s="15" t="n"/>
      <c r="M94" s="11" t="inlineStr">
        <is>
          <t>Vertraulichkeit</t>
        </is>
      </c>
      <c r="N94" s="12" t="inlineStr"/>
      <c r="O94" s="11" t="inlineStr"/>
      <c r="P94" s="12" t="inlineStr">
        <is>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is>
      </c>
      <c r="Q94" s="11" t="inlineStr">
        <is>
          <t>Daten</t>
        </is>
      </c>
      <c r="R94" s="11" t="inlineStr">
        <is>
          <t>Arbeitsanweisung</t>
        </is>
      </c>
      <c r="S94" s="12" t="inlineStr">
        <is>
          <t>die langfristige Archivierung</t>
        </is>
      </c>
      <c r="T94" s="12" t="inlineStr">
        <is>
          <t>G 0.45 – Datenverlust; G 0.19 – Offenlegung schützenswerter Informationen; G 0.16 – Diebstahl von Geräten, Datenträgern oder Dokumenten; G 0.38 – Missbrauch personenbezogener Daten</t>
        </is>
      </c>
      <c r="U94" s="11" t="n">
        <v>5</v>
      </c>
      <c r="V94" s="11" t="n">
        <v>2</v>
      </c>
      <c r="W94" s="11" t="n">
        <v>0</v>
      </c>
      <c r="X94" s="11" t="n">
        <v>1</v>
      </c>
      <c r="Y94" s="11" t="n">
        <v>0</v>
      </c>
    </row>
    <row r="95">
      <c r="A95" s="9" t="inlineStr">
        <is>
          <t>ASST.7.3</t>
        </is>
      </c>
      <c r="B95" s="10" t="inlineStr">
        <is>
          <t>Geregeltes Löschen oder Vernichten</t>
        </is>
      </c>
      <c r="C95" s="11" t="n"/>
      <c r="D95" s="11" t="inlineStr">
        <is>
          <t>Standard-Anforderungen</t>
        </is>
      </c>
      <c r="E95" s="12" t="inlineStr">
        <is>
          <t>Gesamt:</t>
        </is>
      </c>
      <c r="F95" s="11" t="n"/>
      <c r="G95" s="11" t="n"/>
      <c r="H95" s="13">
        <f>IF(OR(COUNTBLANK($H$96:$H$99)&gt;0,COUNTIF($H$96:$H$99,"unbearbeitet")=COUNTA($H$96:$H$99)),"Bitte Teilanforderungen ausfüllen",IF(COUNTIF($H$96:$H$99,"zu klären")&gt;0,"zu klären",IF(COUNTIF($H$96:$H$99,"entbehrlich")=COUNTA($H$96:$H$99),"entbehrlich",IF(COUNTIF($H$96:$H$99,"verwiesen")=COUNTA($H$96:$H$99),"verwiesen",IF(COUNTIF($H$96:$H$99,"nein")+COUNTIF($H$96:$H$99,"entbehrlich")=COUNTA($H$96:$H$99),"nein",IF(COUNTIF($H$96:$H$99,"ja")+COUNTIF($H$96:$H$99,"entbehrlich")+COUNTIF($H$96:$H$99,"verwiesen")=COUNTA($H$96:$H$99),"ja","teilweise"))))))</f>
        <v/>
      </c>
      <c r="I95" s="11" t="n"/>
      <c r="J95" s="11" t="n"/>
      <c r="K95" s="11" t="n"/>
      <c r="L95" s="11" t="n"/>
      <c r="M95" s="11" t="inlineStr">
        <is>
          <t>Vertraulichkeit</t>
        </is>
      </c>
      <c r="N95" s="12" t="inlineStr"/>
      <c r="O95" s="11" t="inlineStr"/>
      <c r="P95" s="12" t="inlineStr">
        <is>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is>
      </c>
      <c r="Q95" s="11" t="inlineStr">
        <is>
          <t>Daten</t>
        </is>
      </c>
      <c r="R95" s="11" t="inlineStr">
        <is>
          <t>Arbeitsanweisung</t>
        </is>
      </c>
      <c r="S95" s="12" t="inlineStr">
        <is>
          <t>diese bei Erreichen der Aufbewahrungs- und Löschfrist</t>
        </is>
      </c>
      <c r="T95" s="12" t="inlineStr">
        <is>
          <t>G 0.19 – Offenlegung schützenswerter Informationen; G 0.16 – Diebstahl von Geräten, Datenträgern oder Dokumenten; G 0.45 – Datenverlust; G 0.38 – Missbrauch personenbezogener Daten</t>
        </is>
      </c>
      <c r="U95" s="11" t="n">
        <v>2</v>
      </c>
      <c r="V95" s="11" t="n">
        <v>2</v>
      </c>
      <c r="W95" s="11" t="n">
        <v>0</v>
      </c>
      <c r="X95" s="11" t="n">
        <v>1</v>
      </c>
      <c r="Y95" s="11" t="n">
        <v>0</v>
      </c>
    </row>
    <row r="96">
      <c r="A96" s="11" t="inlineStr">
        <is>
          <t>ASST.7.3</t>
        </is>
      </c>
      <c r="B96" s="12" t="inlineStr">
        <is>
          <t>Geregeltes Löschen oder Vernichten</t>
        </is>
      </c>
      <c r="C96" s="11" t="inlineStr">
        <is>
          <t>ASST.7.3</t>
        </is>
      </c>
      <c r="D96" s="11" t="inlineStr">
        <is>
          <t>Standard-Anforderungen</t>
        </is>
      </c>
      <c r="E96" s="12" t="inlineStr">
        <is>
          <t>Informationen und Assets für Daten SOLLTE diese bei Erreichen der Aufbewahrungs- und Löschfrist durch kryptografisches löschen, überschreiben oder vernichten des Speichermediums löschen.</t>
        </is>
      </c>
      <c r="F96" s="14" t="n"/>
      <c r="G96" s="14" t="n"/>
      <c r="H96" s="14" t="inlineStr">
        <is>
          <t>unbearbeitet</t>
        </is>
      </c>
      <c r="I96" s="14" t="n"/>
      <c r="J96" s="14" t="n"/>
      <c r="K96" s="14" t="n"/>
      <c r="L96" s="15" t="n"/>
      <c r="M96" s="11" t="inlineStr">
        <is>
          <t>Vertraulichkeit</t>
        </is>
      </c>
      <c r="N96" s="12" t="inlineStr"/>
      <c r="O96" s="11" t="inlineStr"/>
      <c r="P96" s="12" t="inlineStr">
        <is>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is>
      </c>
      <c r="Q96" s="11" t="inlineStr">
        <is>
          <t>Daten</t>
        </is>
      </c>
      <c r="R96" s="11" t="inlineStr">
        <is>
          <t>Arbeitsanweisung</t>
        </is>
      </c>
      <c r="S96" s="12" t="inlineStr">
        <is>
          <t>diese bei Erreichen der Aufbewahrungs- und Löschfrist</t>
        </is>
      </c>
      <c r="T96" s="12" t="inlineStr">
        <is>
          <t>G 0.19 – Offenlegung schützenswerter Informationen; G 0.16 – Diebstahl von Geräten, Datenträgern oder Dokumenten; G 0.45 – Datenverlust; G 0.38 – Missbrauch personenbezogener Daten</t>
        </is>
      </c>
      <c r="U96" s="11" t="n">
        <v>2</v>
      </c>
      <c r="V96" s="11" t="n">
        <v>2</v>
      </c>
      <c r="W96" s="11" t="n">
        <v>0</v>
      </c>
      <c r="X96" s="11" t="n">
        <v>1</v>
      </c>
      <c r="Y96" s="11" t="n">
        <v>0</v>
      </c>
    </row>
    <row r="97">
      <c r="A97" s="11" t="inlineStr">
        <is>
          <t>ASST.7.3</t>
        </is>
      </c>
      <c r="B97" s="12" t="inlineStr">
        <is>
          <t>Geregeltes Löschen oder Vernichten</t>
        </is>
      </c>
      <c r="C97" s="11" t="inlineStr">
        <is>
          <t>ASST.7.3.1</t>
        </is>
      </c>
      <c r="D97" s="11" t="inlineStr">
        <is>
          <t>Standard-Anforderungen</t>
        </is>
      </c>
      <c r="E97" s="12" t="inlineStr">
        <is>
          <t>Informationen und Assets für Daten SOLLTE ein standardisiertes Verfahren zur Vernichtung bei Veräußerung nach einem anerkannten Standard gemäß einer Sicherheitsstufe verankern.</t>
        </is>
      </c>
      <c r="F97" s="14" t="n"/>
      <c r="G97" s="14" t="n"/>
      <c r="H97" s="14" t="inlineStr">
        <is>
          <t>unbearbeitet</t>
        </is>
      </c>
      <c r="I97" s="14" t="n"/>
      <c r="J97" s="14" t="n"/>
      <c r="K97" s="14" t="n"/>
      <c r="L97" s="15" t="n"/>
      <c r="M97" s="11" t="inlineStr">
        <is>
          <t>Vertraulichkeit</t>
        </is>
      </c>
      <c r="N97" s="12" t="inlineStr"/>
      <c r="O97" s="11" t="inlineStr"/>
      <c r="P97" s="12" t="inlineStr">
        <is>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is>
      </c>
      <c r="Q97" s="11" t="inlineStr">
        <is>
          <t>Daten</t>
        </is>
      </c>
      <c r="R97" s="11" t="inlineStr">
        <is>
          <t>IT-Betriebskonzept</t>
        </is>
      </c>
      <c r="S97" s="12" t="inlineStr">
        <is>
          <t>ein standardisiertes Verfahren zur Vernichtung bei Veräußerung</t>
        </is>
      </c>
      <c r="T97" s="12" t="inlineStr">
        <is>
          <t>G 0.19 – Offenlegung schützenswerter Informationen; G 0.45 – Datenverlust; G 0.16 – Diebstahl von Geräten, Datenträgern oder Dokumenten; G 0.38 – Missbrauch personenbezogener Daten</t>
        </is>
      </c>
      <c r="U97" s="11" t="n">
        <v>3</v>
      </c>
      <c r="V97" s="11" t="n">
        <v>2</v>
      </c>
      <c r="W97" s="11" t="n">
        <v>0</v>
      </c>
      <c r="X97" s="11" t="n">
        <v>1</v>
      </c>
      <c r="Y97" s="11" t="n">
        <v>0</v>
      </c>
    </row>
    <row r="98">
      <c r="A98" s="11" t="inlineStr">
        <is>
          <t>ASST.7.3</t>
        </is>
      </c>
      <c r="B98" s="12" t="inlineStr">
        <is>
          <t>Geregeltes Löschen oder Vernichten</t>
        </is>
      </c>
      <c r="C98" s="11" t="inlineStr">
        <is>
          <t>ASST.7.3.2</t>
        </is>
      </c>
      <c r="D98" s="11" t="inlineStr">
        <is>
          <t>Standard-Anforderungen</t>
        </is>
      </c>
      <c r="E98" s="12" t="inlineStr">
        <is>
          <t>Informationen und Assets für Daten SOLLTE ein Verfahren zur endgültigen Löschung verankern.</t>
        </is>
      </c>
      <c r="F98" s="14" t="n"/>
      <c r="G98" s="14" t="n"/>
      <c r="H98" s="14" t="inlineStr">
        <is>
          <t>unbearbeitet</t>
        </is>
      </c>
      <c r="I98" s="14" t="n"/>
      <c r="J98" s="14" t="n"/>
      <c r="K98" s="14" t="n"/>
      <c r="L98" s="15" t="n"/>
      <c r="M98" s="11" t="inlineStr">
        <is>
          <t>Vertraulichkeit</t>
        </is>
      </c>
      <c r="N98" s="12" t="inlineStr">
        <is>
          <t>APP.1.4.A12-UA.1</t>
        </is>
      </c>
      <c r="O98" s="11" t="inlineStr">
        <is>
          <t>intersects-with</t>
        </is>
      </c>
      <c r="P98" s="12" t="inlineStr">
        <is>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is>
      </c>
      <c r="Q98" s="11" t="inlineStr">
        <is>
          <t>Daten</t>
        </is>
      </c>
      <c r="R98" s="11" t="inlineStr">
        <is>
          <t>IT-Betriebskonzept</t>
        </is>
      </c>
      <c r="S98" s="12" t="inlineStr">
        <is>
          <t>ein Verfahren zur endgültigen Löschung</t>
        </is>
      </c>
      <c r="T98" s="12" t="inlineStr">
        <is>
          <t>G 0.45 – Datenverlust; G 0.19 – Offenlegung schützenswerter Informationen; G 0.16 – Diebstahl von Geräten, Datenträgern oder Dokumenten; G 0.38 – Missbrauch personenbezogener Daten</t>
        </is>
      </c>
      <c r="U98" s="11" t="n">
        <v>3</v>
      </c>
      <c r="V98" s="11" t="n">
        <v>2</v>
      </c>
      <c r="W98" s="11" t="n">
        <v>0</v>
      </c>
      <c r="X98" s="11" t="n">
        <v>1</v>
      </c>
      <c r="Y98" s="11" t="n">
        <v>0</v>
      </c>
    </row>
    <row r="99">
      <c r="A99" s="11" t="inlineStr">
        <is>
          <t>ASST.7.3</t>
        </is>
      </c>
      <c r="B99" s="12" t="inlineStr">
        <is>
          <t>Geregeltes Löschen oder Vernichten</t>
        </is>
      </c>
      <c r="C99" s="11" t="inlineStr">
        <is>
          <t>ASST.7.3.3</t>
        </is>
      </c>
      <c r="D99" s="11" t="inlineStr">
        <is>
          <t>Anforderungen bei erhöhtem Schutzbedarf</t>
        </is>
      </c>
      <c r="E99" s="12" t="inlineStr">
        <is>
          <t>Informationen und Assets für Daten KANN die Daten durch eine vom BSI zugelassene Löschanwendung löschen.</t>
        </is>
      </c>
      <c r="F99" s="14" t="n"/>
      <c r="G99" s="14" t="n"/>
      <c r="H99" s="14" t="inlineStr">
        <is>
          <t>unbearbeitet</t>
        </is>
      </c>
      <c r="I99" s="14" t="n"/>
      <c r="J99" s="14" t="n"/>
      <c r="K99" s="14" t="n"/>
      <c r="L99" s="15" t="n"/>
      <c r="M99" s="11" t="inlineStr"/>
      <c r="N99" s="12" t="inlineStr"/>
      <c r="O99" s="11" t="inlineStr"/>
      <c r="P99" s="12" t="inlineStr">
        <is>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is>
      </c>
      <c r="Q99" s="11" t="inlineStr">
        <is>
          <t>Daten</t>
        </is>
      </c>
      <c r="R99" s="11" t="inlineStr">
        <is>
          <t>IT-Betriebskonzept</t>
        </is>
      </c>
      <c r="S99" s="12" t="inlineStr">
        <is>
          <t>die Daten durch {{eine vom BSI zugelassene Löschanwendung}}</t>
        </is>
      </c>
      <c r="T99" s="12" t="inlineStr">
        <is>
          <t>G 0.19 – Offenlegung schützenswerter Informationen; G 0.45 – Datenverlust; G 0.16 – Diebstahl von Geräten, Datenträgern oder Dokumenten; G 0.38 – Missbrauch personenbezogener Daten</t>
        </is>
      </c>
      <c r="U99" s="11" t="n">
        <v>5</v>
      </c>
      <c r="V99" s="11" t="n">
        <v>1</v>
      </c>
      <c r="W99" s="11" t="n">
        <v>0</v>
      </c>
      <c r="X99" s="11" t="n">
        <v>1</v>
      </c>
      <c r="Y99" s="11" t="n">
        <v>0</v>
      </c>
    </row>
    <row r="100">
      <c r="A100" s="9" t="inlineStr">
        <is>
          <t>ASST.7.4</t>
        </is>
      </c>
      <c r="B100" s="10" t="inlineStr">
        <is>
          <t>Wiederherstelltest</t>
        </is>
      </c>
      <c r="C100" s="11" t="n"/>
      <c r="D100" s="11" t="inlineStr">
        <is>
          <t>Anforderungen bei erhöhtem Schutzbedarf</t>
        </is>
      </c>
      <c r="E100" s="12" t="inlineStr">
        <is>
          <t>Gesamt:</t>
        </is>
      </c>
      <c r="F100" s="11" t="n"/>
      <c r="G100" s="11" t="n"/>
      <c r="H100" s="13">
        <f>IF(OR(COUNTBLANK($H$101:$H$101)&gt;0,COUNTIF($H$101:$H$101,"unbearbeitet")=COUNTA($H$101:$H$101)),"Bitte Teilanforderungen ausfüllen",IF(COUNTIF($H$101:$H$101,"zu klären")&gt;0,"zu klären",IF(COUNTIF($H$101:$H$101,"entbehrlich")=COUNTA($H$101:$H$101),"entbehrlich",IF(COUNTIF($H$101:$H$101,"verwiesen")=COUNTA($H$101:$H$101),"verwiesen",IF(COUNTIF($H$101:$H$101,"nein")+COUNTIF($H$101:$H$101,"entbehrlich")=COUNTA($H$101:$H$101),"nein",IF(COUNTIF($H$101:$H$101,"ja")+COUNTIF($H$101:$H$101,"entbehrlich")+COUNTIF($H$101:$H$101,"verwiesen")=COUNTA($H$101:$H$101),"ja","teilweise"))))))</f>
        <v/>
      </c>
      <c r="I100" s="11" t="n"/>
      <c r="J100" s="11" t="n"/>
      <c r="K100" s="11" t="n"/>
      <c r="L100" s="11" t="n"/>
      <c r="M100" s="11" t="inlineStr"/>
      <c r="N100" s="12" t="inlineStr"/>
      <c r="O100" s="11" t="inlineStr"/>
      <c r="P100" s="12" t="inlineStr">
        <is>
          <t>Der Test kann mit Software oder Hardware, die vermeintlich gelöschte Daten von Speichermedien wiederherstellen kann, durchgeführt werden. Bei vernichteten Speichermedien ist der Test entbehrlich.</t>
        </is>
      </c>
      <c r="Q100" s="11" t="inlineStr">
        <is>
          <t>Daten</t>
        </is>
      </c>
      <c r="R100" s="11" t="inlineStr">
        <is>
          <t>IT-Betriebskonzept</t>
        </is>
      </c>
      <c r="S100" s="12" t="inlineStr">
        <is>
          <t>den Erfolg des Löschvorgangs</t>
        </is>
      </c>
      <c r="T100" s="12" t="inlineStr">
        <is>
          <t>G 0.19 – Offenlegung schützenswerter Informationen; G 0.45 – Datenverlust; G 0.16 – Diebstahl von Geräten, Datenträgern oder Dokumenten; G 0.38 – Missbrauch personenbezogener Daten</t>
        </is>
      </c>
      <c r="U100" s="11" t="n">
        <v>4</v>
      </c>
      <c r="V100" s="11" t="n">
        <v>1</v>
      </c>
      <c r="W100" s="11" t="n">
        <v>0</v>
      </c>
      <c r="X100" s="11" t="n">
        <v>1</v>
      </c>
      <c r="Y100" s="11" t="n">
        <v>0</v>
      </c>
    </row>
    <row r="101">
      <c r="A101" s="11" t="inlineStr">
        <is>
          <t>ASST.7.4</t>
        </is>
      </c>
      <c r="B101" s="12" t="inlineStr">
        <is>
          <t>Wiederherstelltest</t>
        </is>
      </c>
      <c r="C101" s="11" t="inlineStr">
        <is>
          <t>ASST.7.4</t>
        </is>
      </c>
      <c r="D101" s="11" t="inlineStr">
        <is>
          <t>Anforderungen bei erhöhtem Schutzbedarf</t>
        </is>
      </c>
      <c r="E101" s="12" t="inlineStr">
        <is>
          <t>Informationen und Assets für Daten KANN den Erfolg des Löschvorgangs testen.</t>
        </is>
      </c>
      <c r="F101" s="14" t="n"/>
      <c r="G101" s="14" t="n"/>
      <c r="H101" s="14" t="inlineStr">
        <is>
          <t>unbearbeitet</t>
        </is>
      </c>
      <c r="I101" s="14" t="n"/>
      <c r="J101" s="14" t="n"/>
      <c r="K101" s="14" t="n"/>
      <c r="L101" s="15" t="n"/>
      <c r="M101" s="11" t="inlineStr"/>
      <c r="N101" s="12" t="inlineStr"/>
      <c r="O101" s="11" t="inlineStr"/>
      <c r="P101" s="12" t="inlineStr">
        <is>
          <t>Der Test kann mit Software oder Hardware, die vermeintlich gelöschte Daten von Speichermedien wiederherstellen kann, durchgeführt werden. Bei vernichteten Speichermedien ist der Test entbehrlich.</t>
        </is>
      </c>
      <c r="Q101" s="11" t="inlineStr">
        <is>
          <t>Daten</t>
        </is>
      </c>
      <c r="R101" s="11" t="inlineStr">
        <is>
          <t>IT-Betriebskonzept</t>
        </is>
      </c>
      <c r="S101" s="12" t="inlineStr">
        <is>
          <t>den Erfolg des Löschvorgangs</t>
        </is>
      </c>
      <c r="T101" s="12" t="inlineStr">
        <is>
          <t>G 0.19 – Offenlegung schützenswerter Informationen; G 0.45 – Datenverlust; G 0.16 – Diebstahl von Geräten, Datenträgern oder Dokumenten; G 0.38 – Missbrauch personenbezogener Daten</t>
        </is>
      </c>
      <c r="U101" s="11" t="n">
        <v>4</v>
      </c>
      <c r="V101" s="11" t="n">
        <v>1</v>
      </c>
      <c r="W101" s="11" t="n">
        <v>0</v>
      </c>
      <c r="X101" s="11" t="n">
        <v>1</v>
      </c>
      <c r="Y101" s="11" t="n">
        <v>0</v>
      </c>
    </row>
    <row r="102">
      <c r="A102" s="9" t="inlineStr">
        <is>
          <t>ASST.7.5</t>
        </is>
      </c>
      <c r="B102" s="10" t="inlineStr">
        <is>
          <t>Vernichtungseinrichtungen</t>
        </is>
      </c>
      <c r="C102" s="11" t="n"/>
      <c r="D102" s="11" t="inlineStr">
        <is>
          <t>Anforderungen bei erhöhtem Schutzbedarf</t>
        </is>
      </c>
      <c r="E102" s="12" t="inlineStr">
        <is>
          <t>Gesamt:</t>
        </is>
      </c>
      <c r="F102" s="11" t="n"/>
      <c r="G102" s="11" t="n"/>
      <c r="H102" s="13">
        <f>IF(OR(COUNTBLANK($H$103:$H$103)&gt;0,COUNTIF($H$103:$H$103,"unbearbeitet")=COUNTA($H$103:$H$103)),"Bitte Teilanforderungen ausfüllen",IF(COUNTIF($H$103:$H$103,"zu klären")&gt;0,"zu klären",IF(COUNTIF($H$103:$H$103,"entbehrlich")=COUNTA($H$103:$H$103),"entbehrlich",IF(COUNTIF($H$103:$H$103,"verwiesen")=COUNTA($H$103:$H$103),"verwiesen",IF(COUNTIF($H$103:$H$103,"nein")+COUNTIF($H$103:$H$103,"entbehrlich")=COUNTA($H$103:$H$103),"nein",IF(COUNTIF($H$103:$H$103,"ja")+COUNTIF($H$103:$H$103,"entbehrlich")+COUNTIF($H$103:$H$103,"verwiesen")=COUNTA($H$103:$H$103),"ja","teilweise"))))))</f>
        <v/>
      </c>
      <c r="I102" s="11" t="n"/>
      <c r="J102" s="11" t="n"/>
      <c r="K102" s="11" t="n"/>
      <c r="L102" s="11" t="n"/>
      <c r="M102" s="11" t="inlineStr"/>
      <c r="N102" s="12" t="inlineStr"/>
      <c r="O102" s="11" t="inlineStr"/>
      <c r="P102" s="12" t="inlineStr">
        <is>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is>
      </c>
      <c r="Q102" s="11" t="inlineStr">
        <is>
          <t>Standorte</t>
        </is>
      </c>
      <c r="R102" s="11" t="inlineStr">
        <is>
          <t>IT-Betriebskonzept</t>
        </is>
      </c>
      <c r="S102" s="12" t="inlineStr">
        <is>
          <t>an allen Standorten, an denen körperliche Dokumente verarbeitet werden, Vernichtungseinrichtungen</t>
        </is>
      </c>
      <c r="T102" s="12" t="inlineStr">
        <is>
          <t>G 0.19 – Offenlegung schützenswerter Informationen; G 0.16 – Diebstahl von Geräten, Datenträgern oder Dokumenten; G 0.45 – Datenverlust; G 0.38 – Missbrauch personenbezogener Daten</t>
        </is>
      </c>
      <c r="U102" s="11" t="n">
        <v>4</v>
      </c>
      <c r="V102" s="11" t="n">
        <v>1</v>
      </c>
      <c r="W102" s="11" t="n">
        <v>0</v>
      </c>
      <c r="X102" s="11" t="n">
        <v>1</v>
      </c>
      <c r="Y102" s="11" t="n">
        <v>0</v>
      </c>
    </row>
    <row r="103">
      <c r="A103" s="11" t="inlineStr">
        <is>
          <t>ASST.7.5</t>
        </is>
      </c>
      <c r="B103" s="12" t="inlineStr">
        <is>
          <t>Vernichtungseinrichtungen</t>
        </is>
      </c>
      <c r="C103" s="11" t="inlineStr">
        <is>
          <t>ASST.7.5</t>
        </is>
      </c>
      <c r="D103" s="11" t="inlineStr">
        <is>
          <t>Anforderungen bei erhöhtem Schutzbedarf</t>
        </is>
      </c>
      <c r="E103" s="12" t="inlineStr">
        <is>
          <t>Informationen und Assets für Standorte KANN an allen Standorten, an denen körperliche Dokumente verarbeitet werden, Vernichtungseinrichtungen vor dem Zugriff unbefugter geschützt installieren.</t>
        </is>
      </c>
      <c r="F103" s="14" t="n"/>
      <c r="G103" s="14" t="n"/>
      <c r="H103" s="14" t="inlineStr">
        <is>
          <t>unbearbeitet</t>
        </is>
      </c>
      <c r="I103" s="14" t="n"/>
      <c r="J103" s="14" t="n"/>
      <c r="K103" s="14" t="n"/>
      <c r="L103" s="15" t="n"/>
      <c r="M103" s="11" t="inlineStr"/>
      <c r="N103" s="12" t="inlineStr"/>
      <c r="O103" s="11" t="inlineStr"/>
      <c r="P103" s="12" t="inlineStr">
        <is>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is>
      </c>
      <c r="Q103" s="11" t="inlineStr">
        <is>
          <t>Standorte</t>
        </is>
      </c>
      <c r="R103" s="11" t="inlineStr">
        <is>
          <t>IT-Betriebskonzept</t>
        </is>
      </c>
      <c r="S103" s="12" t="inlineStr">
        <is>
          <t>an allen Standorten, an denen körperliche Dokumente verarbeitet werden, Vernichtungseinrichtungen</t>
        </is>
      </c>
      <c r="T103" s="12" t="inlineStr">
        <is>
          <t>G 0.19 – Offenlegung schützenswerter Informationen; G 0.16 – Diebstahl von Geräten, Datenträgern oder Dokumenten; G 0.45 – Datenverlust; G 0.38 – Missbrauch personenbezogener Daten</t>
        </is>
      </c>
      <c r="U103" s="11" t="n">
        <v>4</v>
      </c>
      <c r="V103" s="11" t="n">
        <v>1</v>
      </c>
      <c r="W103" s="11" t="n">
        <v>0</v>
      </c>
      <c r="X103" s="11" t="n">
        <v>1</v>
      </c>
      <c r="Y103" s="11" t="n">
        <v>0</v>
      </c>
    </row>
    <row r="104">
      <c r="A104" s="9" t="inlineStr">
        <is>
          <t>ASST.7.6</t>
        </is>
      </c>
      <c r="B104" s="10" t="inlineStr">
        <is>
          <t>Autorisierung von Veräußerungen</t>
        </is>
      </c>
      <c r="C104" s="11" t="n"/>
      <c r="D104" s="11" t="inlineStr">
        <is>
          <t>Standard-Anforderungen</t>
        </is>
      </c>
      <c r="E104" s="12" t="inlineStr">
        <is>
          <t>Gesamt:</t>
        </is>
      </c>
      <c r="F104" s="11" t="n"/>
      <c r="G104" s="11" t="n"/>
      <c r="H104" s="13">
        <f>IF(OR(COUNTBLANK($H$105:$H$105)&gt;0,COUNTIF($H$105:$H$105,"unbearbeitet")=COUNTA($H$105:$H$105)),"Bitte Teilanforderungen ausfüllen",IF(COUNTIF($H$105:$H$105,"zu klären")&gt;0,"zu klären",IF(COUNTIF($H$105:$H$105,"entbehrlich")=COUNTA($H$105:$H$105),"entbehrlich",IF(COUNTIF($H$105:$H$105,"verwiesen")=COUNTA($H$105:$H$105),"verwiesen",IF(COUNTIF($H$105:$H$105,"nein")+COUNTIF($H$105:$H$105,"entbehrlich")=COUNTA($H$105:$H$105),"nein",IF(COUNTIF($H$105:$H$105,"ja")+COUNTIF($H$105:$H$105,"entbehrlich")+COUNTIF($H$105:$H$105,"verwiesen")=COUNTA($H$105:$H$105),"ja","teilweise"))))))</f>
        <v/>
      </c>
      <c r="I104" s="11" t="n"/>
      <c r="J104" s="11" t="n"/>
      <c r="K104" s="11" t="n"/>
      <c r="L104" s="11" t="n"/>
      <c r="M104" s="11" t="inlineStr"/>
      <c r="N104" s="12" t="inlineStr"/>
      <c r="O104" s="11" t="inlineStr"/>
      <c r="P104" s="12" t="inlineStr">
        <is>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is>
      </c>
      <c r="Q104" s="11" t="inlineStr"/>
      <c r="R104" s="11" t="inlineStr">
        <is>
          <t>IT-Betriebskonzept</t>
        </is>
      </c>
      <c r="S104" s="12" t="inlineStr">
        <is>
          <t>Veräußerungen von Assets</t>
        </is>
      </c>
      <c r="T104" s="12" t="inlineStr">
        <is>
          <t>G 0.19 – Offenlegung schützenswerter Informationen; G 0.45 – Datenverlust; G 0.16 – Diebstahl von Geräten, Datenträgern oder Dokumenten; G 0.38 – Missbrauch personenbezogener Daten</t>
        </is>
      </c>
      <c r="U104" s="11" t="n">
        <v>2</v>
      </c>
      <c r="V104" s="11" t="n">
        <v>1</v>
      </c>
      <c r="W104" s="11" t="n">
        <v>0</v>
      </c>
      <c r="X104" s="11" t="n">
        <v>1</v>
      </c>
      <c r="Y104" s="11" t="n">
        <v>0</v>
      </c>
    </row>
    <row r="105">
      <c r="A105" s="11" t="inlineStr">
        <is>
          <t>ASST.7.6</t>
        </is>
      </c>
      <c r="B105" s="12" t="inlineStr">
        <is>
          <t>Autorisierung von Veräußerungen</t>
        </is>
      </c>
      <c r="C105" s="11" t="inlineStr">
        <is>
          <t>ASST.7.6</t>
        </is>
      </c>
      <c r="D105" s="11" t="inlineStr">
        <is>
          <t>Standard-Anforderungen</t>
        </is>
      </c>
      <c r="E105" s="12" t="inlineStr">
        <is>
          <t>Informationen und Assets SOLLTE Veräußerungen von Assets durch eine zuständige Person oder Rolle autorisieren.</t>
        </is>
      </c>
      <c r="F105" s="14" t="n"/>
      <c r="G105" s="14" t="n"/>
      <c r="H105" s="14" t="inlineStr">
        <is>
          <t>unbearbeitet</t>
        </is>
      </c>
      <c r="I105" s="14" t="n"/>
      <c r="J105" s="14" t="n"/>
      <c r="K105" s="14" t="n"/>
      <c r="L105" s="15" t="n"/>
      <c r="M105" s="11" t="inlineStr"/>
      <c r="N105" s="12" t="inlineStr"/>
      <c r="O105" s="11" t="inlineStr"/>
      <c r="P105" s="12" t="inlineStr">
        <is>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is>
      </c>
      <c r="Q105" s="11" t="inlineStr"/>
      <c r="R105" s="11" t="inlineStr">
        <is>
          <t>IT-Betriebskonzept</t>
        </is>
      </c>
      <c r="S105" s="12" t="inlineStr">
        <is>
          <t>Veräußerungen von Assets</t>
        </is>
      </c>
      <c r="T105" s="12" t="inlineStr">
        <is>
          <t>G 0.19 – Offenlegung schützenswerter Informationen; G 0.45 – Datenverlust; G 0.16 – Diebstahl von Geräten, Datenträgern oder Dokumenten; G 0.38 – Missbrauch personenbezogener Daten</t>
        </is>
      </c>
      <c r="U105" s="11" t="n">
        <v>2</v>
      </c>
      <c r="V105" s="11" t="n">
        <v>1</v>
      </c>
      <c r="W105" s="11" t="n">
        <v>0</v>
      </c>
      <c r="X105" s="11" t="n">
        <v>1</v>
      </c>
      <c r="Y105" s="11" t="n">
        <v>0</v>
      </c>
    </row>
    <row r="106">
      <c r="A106" s="9" t="inlineStr">
        <is>
          <t>ASST.7.7</t>
        </is>
      </c>
      <c r="B106" s="10" t="inlineStr">
        <is>
          <t>Beschriftungen entfernen</t>
        </is>
      </c>
      <c r="C106" s="11" t="n"/>
      <c r="D106" s="11" t="inlineStr">
        <is>
          <t>Standard-Anforderungen</t>
        </is>
      </c>
      <c r="E106" s="12" t="inlineStr">
        <is>
          <t>Gesamt:</t>
        </is>
      </c>
      <c r="F106" s="11" t="n"/>
      <c r="G106" s="11" t="n"/>
      <c r="H106" s="13">
        <f>IF(OR(COUNTBLANK($H$107:$H$107)&gt;0,COUNTIF($H$107:$H$107,"unbearbeitet")=COUNTA($H$107:$H$107)),"Bitte Teilanforderungen ausfüllen",IF(COUNTIF($H$107:$H$107,"zu klären")&gt;0,"zu klären",IF(COUNTIF($H$107:$H$107,"entbehrlich")=COUNTA($H$107:$H$107),"entbehrlich",IF(COUNTIF($H$107:$H$107,"verwiesen")=COUNTA($H$107:$H$107),"verwiesen",IF(COUNTIF($H$107:$H$107,"nein")+COUNTIF($H$107:$H$107,"entbehrlich")=COUNTA($H$107:$H$107),"nein",IF(COUNTIF($H$107:$H$107,"ja")+COUNTIF($H$107:$H$107,"entbehrlich")+COUNTIF($H$107:$H$107,"verwiesen")=COUNTA($H$107:$H$107),"ja","teilweise"))))))</f>
        <v/>
      </c>
      <c r="I106" s="11" t="n"/>
      <c r="J106" s="11" t="n"/>
      <c r="K106" s="11" t="n"/>
      <c r="L106" s="11" t="n"/>
      <c r="M106" s="11" t="inlineStr"/>
      <c r="N106" s="12" t="inlineStr"/>
      <c r="O106" s="11" t="inlineStr"/>
      <c r="P106" s="12" t="inlineStr">
        <is>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is>
      </c>
      <c r="Q106" s="11" t="inlineStr"/>
      <c r="R106" s="11" t="inlineStr">
        <is>
          <t>IT-Betriebskonzept</t>
        </is>
      </c>
      <c r="S106" s="12" t="inlineStr">
        <is>
          <t>alle der Institution zuzuordnenden Beschriftungen</t>
        </is>
      </c>
      <c r="T106" s="12" t="inlineStr">
        <is>
          <t>G 0.19 – Offenlegung schützenswerter Informationen; G 0.45 – Datenverlust; G 0.16 – Diebstahl von Geräten, Datenträgern oder Dokumenten; G 0.38 – Missbrauch personenbezogener Daten</t>
        </is>
      </c>
      <c r="U106" s="11" t="n">
        <v>2</v>
      </c>
      <c r="V106" s="11" t="n">
        <v>1</v>
      </c>
      <c r="W106" s="11" t="n">
        <v>0</v>
      </c>
      <c r="X106" s="11" t="n">
        <v>1</v>
      </c>
      <c r="Y106" s="11" t="n">
        <v>0</v>
      </c>
    </row>
    <row r="107">
      <c r="A107" s="11" t="inlineStr">
        <is>
          <t>ASST.7.7</t>
        </is>
      </c>
      <c r="B107" s="12" t="inlineStr">
        <is>
          <t>Beschriftungen entfernen</t>
        </is>
      </c>
      <c r="C107" s="11" t="inlineStr">
        <is>
          <t>ASST.7.7</t>
        </is>
      </c>
      <c r="D107" s="11" t="inlineStr">
        <is>
          <t>Standard-Anforderungen</t>
        </is>
      </c>
      <c r="E107" s="12" t="inlineStr">
        <is>
          <t>Informationen und Assets SOLLTE alle der Institution zuzuordnenden Beschriftungen vor der Veräußerung von Assets löschen.</t>
        </is>
      </c>
      <c r="F107" s="14" t="n"/>
      <c r="G107" s="14" t="n"/>
      <c r="H107" s="14" t="inlineStr">
        <is>
          <t>unbearbeitet</t>
        </is>
      </c>
      <c r="I107" s="14" t="n"/>
      <c r="J107" s="14" t="n"/>
      <c r="K107" s="14" t="n"/>
      <c r="L107" s="15" t="n"/>
      <c r="M107" s="11" t="inlineStr"/>
      <c r="N107" s="12" t="inlineStr"/>
      <c r="O107" s="11" t="inlineStr"/>
      <c r="P107" s="12" t="inlineStr">
        <is>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is>
      </c>
      <c r="Q107" s="11" t="inlineStr"/>
      <c r="R107" s="11" t="inlineStr">
        <is>
          <t>IT-Betriebskonzept</t>
        </is>
      </c>
      <c r="S107" s="12" t="inlineStr">
        <is>
          <t>alle der Institution zuzuordnenden Beschriftungen</t>
        </is>
      </c>
      <c r="T107" s="12" t="inlineStr">
        <is>
          <t>G 0.19 – Offenlegung schützenswerter Informationen; G 0.45 – Datenverlust; G 0.16 – Diebstahl von Geräten, Datenträgern oder Dokumenten; G 0.38 – Missbrauch personenbezogener Daten</t>
        </is>
      </c>
      <c r="U107" s="11" t="n">
        <v>2</v>
      </c>
      <c r="V107" s="11" t="n">
        <v>1</v>
      </c>
      <c r="W107" s="11" t="n">
        <v>0</v>
      </c>
      <c r="X107" s="11" t="n">
        <v>1</v>
      </c>
      <c r="Y107" s="11" t="n">
        <v>0</v>
      </c>
    </row>
  </sheetData>
  <autoFilter ref="A6:Y6"/>
  <conditionalFormatting sqref="H7:H107">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5 H17 H18 H20 H21 H22 H23 H25 H27 H28 H30 H32 H34 H36 H38 H40 H42 H44 H46 H48 H49 H51 H53 H55 H57 H59 H61 H63 H65 H67 H69 H71 H73 H75 H77 H79 H81 H83 H85 H87 H89 H91 H93 H94 H96 H97 H98 H99 H101 H103 H105 H107"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176"/>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BER</t>
        </is>
      </c>
      <c r="B3" s="6" t="inlineStr">
        <is>
          <t>Berechtigung</t>
        </is>
      </c>
    </row>
    <row r="4">
      <c r="A4" s="3" t="inlineStr">
        <is>
          <t>Zielobjekte</t>
        </is>
      </c>
      <c r="B4" s="7">
        <f>IF('Praktiken'!D7="","",'Praktiken'!D7)</f>
        <v/>
      </c>
    </row>
    <row r="5">
      <c r="A5" s="3" t="inlineStr">
        <is>
          <t>Zuständig</t>
        </is>
      </c>
      <c r="B5" s="7">
        <f>IF('Praktiken'!S7="","",'Praktiken'!S7)</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BER.1.1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APP.2.2.A1-UA.2</t>
        </is>
      </c>
      <c r="O7" s="11" t="inlineStr">
        <is>
          <t>intersects-with</t>
        </is>
      </c>
      <c r="P7" s="12" t="inlineStr">
        <is>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is>
      </c>
      <c r="Q7" s="11" t="inlineStr"/>
      <c r="R7" s="11" t="inlineStr">
        <is>
          <t>Inventar Berechtigungen</t>
        </is>
      </c>
      <c r="S7" s="12" t="inlineStr">
        <is>
          <t>Verfahren und Regelungen zum Identitäts- und Berechtigungsmanagement</t>
        </is>
      </c>
      <c r="T7" s="12" t="inlineStr">
        <is>
          <t>G 0.18 – Fehlplanung oder fehlende Anpassung</t>
        </is>
      </c>
      <c r="U7" s="11" t="n">
        <v>0</v>
      </c>
      <c r="V7" s="11" t="n">
        <v>1</v>
      </c>
      <c r="W7" s="11" t="n">
        <v>1</v>
      </c>
      <c r="X7" s="11" t="n">
        <v>1</v>
      </c>
      <c r="Y7" s="11" t="n">
        <v>0</v>
      </c>
    </row>
    <row r="8">
      <c r="A8" s="11" t="inlineStr">
        <is>
          <t>BER.1.1</t>
        </is>
      </c>
      <c r="B8" s="12" t="inlineStr">
        <is>
          <t>Verfahren und Regelungen</t>
        </is>
      </c>
      <c r="C8" s="11" t="inlineStr">
        <is>
          <t>BER.1.1.1</t>
        </is>
      </c>
      <c r="D8" s="11" t="inlineStr">
        <is>
          <t>Basis-Anforderungen</t>
        </is>
      </c>
      <c r="E8" s="12" t="inlineStr">
        <is>
          <t>Berechtigung MUSS die Verfahren und Regelungen dokumentieren.</t>
        </is>
      </c>
      <c r="F8" s="14" t="n"/>
      <c r="G8" s="14" t="n"/>
      <c r="H8" s="14" t="inlineStr">
        <is>
          <t>unbearbeitet</t>
        </is>
      </c>
      <c r="I8" s="14" t="n"/>
      <c r="J8" s="14" t="n"/>
      <c r="K8" s="14" t="n"/>
      <c r="L8" s="15" t="n"/>
      <c r="M8" s="11" t="inlineStr"/>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Prozess Identitäts- und Berechtigungsmanagement</t>
        </is>
      </c>
      <c r="S8" s="12" t="inlineStr">
        <is>
          <t>die Verfahren und Regelungen</t>
        </is>
      </c>
      <c r="T8" s="12" t="inlineStr">
        <is>
          <t>G 0.18 – Fehlplanung oder fehlende Anpassung; G 0.37 – Abstreiten von Handlungen</t>
        </is>
      </c>
      <c r="U8" s="11" t="n">
        <v>0</v>
      </c>
      <c r="V8" s="11" t="n">
        <v>1</v>
      </c>
      <c r="W8" s="11" t="n">
        <v>1</v>
      </c>
      <c r="X8" s="11" t="n">
        <v>1</v>
      </c>
      <c r="Y8" s="11" t="n">
        <v>0</v>
      </c>
    </row>
    <row r="9">
      <c r="A9" s="11" t="inlineStr">
        <is>
          <t>BER.1.1</t>
        </is>
      </c>
      <c r="B9" s="12" t="inlineStr">
        <is>
          <t>Verfahren und Regelungen</t>
        </is>
      </c>
      <c r="C9" s="11" t="inlineStr">
        <is>
          <t>BER.1.1.2</t>
        </is>
      </c>
      <c r="D9" s="11" t="inlineStr">
        <is>
          <t>Basis-Anforderungen</t>
        </is>
      </c>
      <c r="E9" s="12" t="inlineStr">
        <is>
          <t>Berechtigung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BER.1.1</t>
        </is>
      </c>
      <c r="B10" s="12" t="inlineStr">
        <is>
          <t>Verfahren und Regelungen</t>
        </is>
      </c>
      <c r="C10" s="11" t="inlineStr">
        <is>
          <t>BER.1.1.3</t>
        </is>
      </c>
      <c r="D10" s="11" t="inlineStr">
        <is>
          <t>Basis-Anforderungen</t>
        </is>
      </c>
      <c r="E10" s="12" t="inlineStr">
        <is>
          <t>Berechtigung MUSS die zuständigen Personen oder Rollen über die Verfahren und Regelungen informieren.</t>
        </is>
      </c>
      <c r="F10" s="14" t="n"/>
      <c r="G10" s="14" t="n"/>
      <c r="H10" s="14" t="inlineStr">
        <is>
          <t>unbearbeitet</t>
        </is>
      </c>
      <c r="I10" s="14" t="n"/>
      <c r="J10" s="14" t="n"/>
      <c r="K10" s="14" t="n"/>
      <c r="L10" s="15" t="n"/>
      <c r="M10" s="11" t="inlineStr"/>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Prozess Identitäts- und Berechtigungsmanagement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1</v>
      </c>
      <c r="X10" s="11" t="n">
        <v>1</v>
      </c>
      <c r="Y10" s="11" t="n">
        <v>0</v>
      </c>
    </row>
    <row r="11">
      <c r="A11" s="9" t="inlineStr">
        <is>
          <t>BER.1.2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BER.1.2</t>
        </is>
      </c>
      <c r="B12" s="12" t="inlineStr">
        <is>
          <t>Regelmäßige Überprüfung</t>
        </is>
      </c>
      <c r="C12" s="11" t="inlineStr">
        <is>
          <t>BER.1.2</t>
        </is>
      </c>
      <c r="D12" s="11" t="inlineStr">
        <is>
          <t>Basis-Anforderungen</t>
        </is>
      </c>
      <c r="E12" s="12" t="inlineStr">
        <is>
          <t>Berechtigung MUSS die Verfahren und Regelungen regelmäßig und anlassbezogen auf Aktualität überprüfen.</t>
        </is>
      </c>
      <c r="F12" s="14" t="n"/>
      <c r="G12" s="14" t="n"/>
      <c r="H12" s="14" t="inlineStr">
        <is>
          <t>unbearbeitet</t>
        </is>
      </c>
      <c r="I12" s="14" t="n"/>
      <c r="J12" s="14" t="n"/>
      <c r="K12" s="14" t="n"/>
      <c r="L12" s="15" t="n"/>
      <c r="M12" s="11" t="inlineStr"/>
      <c r="N12" s="12" t="inlineStr"/>
      <c r="O12" s="11" t="inlineStr"/>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BER.1.3</t>
        </is>
      </c>
      <c r="B13" s="10" t="inlineStr">
        <is>
          <t>Inventar Authentifizierungs- und Autorisierungssysteme</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is>
      </c>
      <c r="Q13" s="11" t="inlineStr"/>
      <c r="R13" s="11" t="inlineStr">
        <is>
          <t>Inventar Berechtigungssysteme</t>
        </is>
      </c>
      <c r="S13" s="12" t="inlineStr">
        <is>
          <t>ein Inventar der Systeme zur Authentifizierung und Autorisierung</t>
        </is>
      </c>
      <c r="T13" s="12" t="inlineStr">
        <is>
          <t>G 0.18 – Fehlplanung oder fehlende Anpassung</t>
        </is>
      </c>
      <c r="U13" s="11" t="n">
        <v>3</v>
      </c>
      <c r="V13" s="11" t="n">
        <v>1</v>
      </c>
      <c r="W13" s="11" t="n">
        <v>1</v>
      </c>
      <c r="X13" s="11" t="n">
        <v>1</v>
      </c>
      <c r="Y13" s="11" t="n">
        <v>0</v>
      </c>
    </row>
    <row r="14">
      <c r="A14" s="11" t="inlineStr">
        <is>
          <t>BER.1.3</t>
        </is>
      </c>
      <c r="B14" s="12" t="inlineStr">
        <is>
          <t>Inventar Authentifizierungs- und Autorisierungssysteme</t>
        </is>
      </c>
      <c r="C14" s="11" t="inlineStr">
        <is>
          <t>BER.1.3</t>
        </is>
      </c>
      <c r="D14" s="11" t="inlineStr">
        <is>
          <t>Standard-Anforderungen</t>
        </is>
      </c>
      <c r="E14" s="12" t="inlineStr">
        <is>
          <t>Berechtigung SOLLTE ein Inventar der Systeme zur Authentifizierung und Autorisierung dokumentieren.</t>
        </is>
      </c>
      <c r="F14" s="14" t="n"/>
      <c r="G14" s="14" t="n"/>
      <c r="H14" s="14" t="inlineStr">
        <is>
          <t>unbearbeitet</t>
        </is>
      </c>
      <c r="I14" s="14" t="n"/>
      <c r="J14" s="14" t="n"/>
      <c r="K14" s="14" t="n"/>
      <c r="L14" s="15" t="n"/>
      <c r="M14" s="11" t="inlineStr"/>
      <c r="N14" s="12" t="inlineStr"/>
      <c r="O14" s="11" t="inlineStr"/>
      <c r="P14" s="12" t="inlineStr">
        <is>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is>
      </c>
      <c r="Q14" s="11" t="inlineStr"/>
      <c r="R14" s="11" t="inlineStr">
        <is>
          <t>Inventar Berechtigungssysteme</t>
        </is>
      </c>
      <c r="S14" s="12" t="inlineStr">
        <is>
          <t>ein Inventar der Systeme zur Authentifizierung und Autorisierung</t>
        </is>
      </c>
      <c r="T14" s="12" t="inlineStr">
        <is>
          <t>G 0.18 – Fehlplanung oder fehlende Anpassung</t>
        </is>
      </c>
      <c r="U14" s="11" t="n">
        <v>3</v>
      </c>
      <c r="V14" s="11" t="n">
        <v>1</v>
      </c>
      <c r="W14" s="11" t="n">
        <v>1</v>
      </c>
      <c r="X14" s="11" t="n">
        <v>1</v>
      </c>
      <c r="Y14" s="11" t="n">
        <v>0</v>
      </c>
    </row>
    <row r="15">
      <c r="A15" s="9" t="inlineStr">
        <is>
          <t>BER.1.4</t>
        </is>
      </c>
      <c r="B15" s="10" t="inlineStr">
        <is>
          <t>Inventar der Berechtigungen</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c r="O15" s="11" t="inlineStr"/>
      <c r="P15" s="12" t="inlineStr">
        <is>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is>
      </c>
      <c r="Q15" s="11" t="inlineStr"/>
      <c r="R15" s="11" t="inlineStr">
        <is>
          <t>Inventar Berechtigungen</t>
        </is>
      </c>
      <c r="S15" s="12" t="inlineStr">
        <is>
          <t>ein Inventar der Berechtigungen</t>
        </is>
      </c>
      <c r="T15" s="12" t="inlineStr">
        <is>
          <t>G 0.18 – Fehlplanung oder fehlende Anpassung</t>
        </is>
      </c>
      <c r="U15" s="11" t="n">
        <v>3</v>
      </c>
      <c r="V15" s="11" t="n">
        <v>1</v>
      </c>
      <c r="W15" s="11" t="n">
        <v>1</v>
      </c>
      <c r="X15" s="11" t="n">
        <v>1</v>
      </c>
      <c r="Y15" s="11" t="n">
        <v>0</v>
      </c>
    </row>
    <row r="16">
      <c r="A16" s="11" t="inlineStr">
        <is>
          <t>BER.1.4</t>
        </is>
      </c>
      <c r="B16" s="12" t="inlineStr">
        <is>
          <t>Inventar der Berechtigungen</t>
        </is>
      </c>
      <c r="C16" s="11" t="inlineStr">
        <is>
          <t>BER.1.4</t>
        </is>
      </c>
      <c r="D16" s="11" t="inlineStr">
        <is>
          <t>Standard-Anforderungen</t>
        </is>
      </c>
      <c r="E16" s="12" t="inlineStr">
        <is>
          <t>Berechtigung SOLLTE ein Inventar der Berechtigungen mit Personen, Identitäten, Zugangskonten, Berechtigungen und deren jeweiliger Zuordnung dokumentieren.</t>
        </is>
      </c>
      <c r="F16" s="14" t="n"/>
      <c r="G16" s="14" t="n"/>
      <c r="H16" s="14" t="inlineStr">
        <is>
          <t>unbearbeitet</t>
        </is>
      </c>
      <c r="I16" s="14" t="n"/>
      <c r="J16" s="14" t="n"/>
      <c r="K16" s="14" t="n"/>
      <c r="L16" s="15" t="n"/>
      <c r="M16" s="11" t="inlineStr"/>
      <c r="N16" s="12" t="inlineStr"/>
      <c r="O16" s="11" t="inlineStr"/>
      <c r="P16" s="12" t="inlineStr">
        <is>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is>
      </c>
      <c r="Q16" s="11" t="inlineStr"/>
      <c r="R16" s="11" t="inlineStr">
        <is>
          <t>Inventar Berechtigungen</t>
        </is>
      </c>
      <c r="S16" s="12" t="inlineStr">
        <is>
          <t>ein Inventar der Berechtigungen</t>
        </is>
      </c>
      <c r="T16" s="12" t="inlineStr">
        <is>
          <t>G 0.18 – Fehlplanung oder fehlende Anpassung</t>
        </is>
      </c>
      <c r="U16" s="11" t="n">
        <v>3</v>
      </c>
      <c r="V16" s="11" t="n">
        <v>1</v>
      </c>
      <c r="W16" s="11" t="n">
        <v>1</v>
      </c>
      <c r="X16" s="11" t="n">
        <v>1</v>
      </c>
      <c r="Y16" s="11" t="n">
        <v>0</v>
      </c>
    </row>
    <row r="17">
      <c r="A17" s="9" t="inlineStr">
        <is>
          <t>BER.2.1</t>
        </is>
      </c>
      <c r="B17" s="10" t="inlineStr">
        <is>
          <t>Person-Identität</t>
        </is>
      </c>
      <c r="C17" s="11" t="n"/>
      <c r="D17" s="11" t="inlineStr">
        <is>
          <t>Standard-Anforderungen</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is>
          <t>Authentizität</t>
        </is>
      </c>
      <c r="N17" s="12" t="inlineStr"/>
      <c r="O17" s="11" t="inlineStr"/>
      <c r="P17" s="12" t="inlineStr">
        <is>
          <t>Hier wird eine Identität ("muellera") genau einer natürlichen Person ("Andrea Müller") zugewiesen, oder einem IT-System ("pc02348" zu "pc02348.our.domain").</t>
        </is>
      </c>
      <c r="Q17" s="11" t="inlineStr"/>
      <c r="R17" s="11" t="inlineStr">
        <is>
          <t>Inventar Berechtigungen</t>
        </is>
      </c>
      <c r="S17" s="12" t="inlineStr">
        <is>
          <t>eine eindeutige Identität zu genau einer natürlichen Person oder einem IT-System</t>
        </is>
      </c>
      <c r="T17" s="12" t="inlineStr">
        <is>
          <t>G 0.36 – Identitätsdiebstahl; G 0.30 – Unberechtigte Nutzung oder Administration von Geräten und Systemen; G 0.32 – Missbrauch von Berechtigungen</t>
        </is>
      </c>
      <c r="U17" s="11" t="n">
        <v>3</v>
      </c>
      <c r="V17" s="11" t="n">
        <v>1</v>
      </c>
      <c r="W17" s="11" t="n">
        <v>1</v>
      </c>
      <c r="X17" s="11" t="n">
        <v>1</v>
      </c>
      <c r="Y17" s="11" t="n">
        <v>2</v>
      </c>
    </row>
    <row r="18">
      <c r="A18" s="11" t="inlineStr">
        <is>
          <t>BER.2.1</t>
        </is>
      </c>
      <c r="B18" s="12" t="inlineStr">
        <is>
          <t>Person-Identität</t>
        </is>
      </c>
      <c r="C18" s="11" t="inlineStr">
        <is>
          <t>BER.2.1</t>
        </is>
      </c>
      <c r="D18" s="11" t="inlineStr">
        <is>
          <t>Standard-Anforderungen</t>
        </is>
      </c>
      <c r="E18" s="12" t="inlineStr">
        <is>
          <t>Berechtigung SOLLTE eine eindeutige Identität zu genau einer natürlichen Person oder einem IT-System zuweisen.</t>
        </is>
      </c>
      <c r="F18" s="14" t="n"/>
      <c r="G18" s="14" t="n"/>
      <c r="H18" s="14" t="inlineStr">
        <is>
          <t>unbearbeitet</t>
        </is>
      </c>
      <c r="I18" s="14" t="n"/>
      <c r="J18" s="14" t="n"/>
      <c r="K18" s="14" t="n"/>
      <c r="L18" s="15" t="n"/>
      <c r="M18" s="11" t="inlineStr">
        <is>
          <t>Authentizität</t>
        </is>
      </c>
      <c r="N18" s="12" t="inlineStr"/>
      <c r="O18" s="11" t="inlineStr"/>
      <c r="P18" s="12" t="inlineStr">
        <is>
          <t>Hier wird eine Identität ("muellera") genau einer natürlichen Person ("Andrea Müller") zugewiesen, oder einem IT-System ("pc02348" zu "pc02348.our.domain").</t>
        </is>
      </c>
      <c r="Q18" s="11" t="inlineStr"/>
      <c r="R18" s="11" t="inlineStr">
        <is>
          <t>Inventar Berechtigungen</t>
        </is>
      </c>
      <c r="S18" s="12" t="inlineStr">
        <is>
          <t>eine eindeutige Identität zu genau einer natürlichen Person oder einem IT-System</t>
        </is>
      </c>
      <c r="T18" s="12" t="inlineStr">
        <is>
          <t>G 0.36 – Identitätsdiebstahl; G 0.30 – Unberechtigte Nutzung oder Administration von Geräten und Systemen; G 0.32 – Missbrauch von Berechtigungen</t>
        </is>
      </c>
      <c r="U18" s="11" t="n">
        <v>3</v>
      </c>
      <c r="V18" s="11" t="n">
        <v>1</v>
      </c>
      <c r="W18" s="11" t="n">
        <v>1</v>
      </c>
      <c r="X18" s="11" t="n">
        <v>1</v>
      </c>
      <c r="Y18" s="11" t="n">
        <v>2</v>
      </c>
    </row>
    <row r="19">
      <c r="A19" s="9" t="inlineStr">
        <is>
          <t>BER.2.2</t>
        </is>
      </c>
      <c r="B19" s="10" t="inlineStr">
        <is>
          <t>Einschränkung</t>
        </is>
      </c>
      <c r="C19" s="11" t="n"/>
      <c r="D19" s="11" t="inlineStr">
        <is>
          <t>Standard-Anforderungen</t>
        </is>
      </c>
      <c r="E19" s="12" t="inlineStr">
        <is>
          <t>Gesamt:</t>
        </is>
      </c>
      <c r="F19" s="11" t="n"/>
      <c r="G19" s="11" t="n"/>
      <c r="H19" s="13">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
      </c>
      <c r="I19" s="11" t="n"/>
      <c r="J19" s="11" t="n"/>
      <c r="K19" s="11" t="n"/>
      <c r="L19" s="11" t="n"/>
      <c r="M19" s="11" t="inlineStr">
        <is>
          <t>Authentizität</t>
        </is>
      </c>
      <c r="N19" s="12" t="inlineStr"/>
      <c r="O19" s="11" t="inlineStr"/>
      <c r="P19" s="12" t="inlineStr">
        <is>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is>
      </c>
      <c r="Q19" s="11" t="inlineStr"/>
      <c r="R19" s="11" t="inlineStr">
        <is>
          <t>Prozess Identitäts- und Berechtigungsmanagement</t>
        </is>
      </c>
      <c r="S19" s="12" t="inlineStr">
        <is>
          <t>die Einrichtung, Änderung oder Löschung einer Identität</t>
        </is>
      </c>
      <c r="T19" s="12" t="inlineStr">
        <is>
          <t>G 0.36 – Identitätsdiebstahl; G 0.30 – Unberechtigte Nutzung oder Administration von Geräten und Systemen; G 0.32 – Missbrauch von Berechtigungen</t>
        </is>
      </c>
      <c r="U19" s="11" t="n">
        <v>3</v>
      </c>
      <c r="V19" s="11" t="n">
        <v>1</v>
      </c>
      <c r="W19" s="11" t="n">
        <v>1</v>
      </c>
      <c r="X19" s="11" t="n">
        <v>1</v>
      </c>
      <c r="Y19" s="11" t="n">
        <v>2</v>
      </c>
    </row>
    <row r="20">
      <c r="A20" s="11" t="inlineStr">
        <is>
          <t>BER.2.2</t>
        </is>
      </c>
      <c r="B20" s="12" t="inlineStr">
        <is>
          <t>Einschränkung</t>
        </is>
      </c>
      <c r="C20" s="11" t="inlineStr">
        <is>
          <t>BER.2.2</t>
        </is>
      </c>
      <c r="D20" s="11" t="inlineStr">
        <is>
          <t>Standard-Anforderungen</t>
        </is>
      </c>
      <c r="E20" s="12" t="inlineStr">
        <is>
          <t>Berechtigung SOLLTE die Einrichtung, Änderung oder Löschung einer Identität einschränken.</t>
        </is>
      </c>
      <c r="F20" s="14" t="n"/>
      <c r="G20" s="14" t="n"/>
      <c r="H20" s="14" t="inlineStr">
        <is>
          <t>unbearbeitet</t>
        </is>
      </c>
      <c r="I20" s="14" t="n"/>
      <c r="J20" s="14" t="n"/>
      <c r="K20" s="14" t="n"/>
      <c r="L20" s="15" t="n"/>
      <c r="M20" s="11" t="inlineStr">
        <is>
          <t>Authentizität</t>
        </is>
      </c>
      <c r="N20" s="12" t="inlineStr"/>
      <c r="O20" s="11" t="inlineStr"/>
      <c r="P20" s="12" t="inlineStr">
        <is>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is>
      </c>
      <c r="Q20" s="11" t="inlineStr"/>
      <c r="R20" s="11" t="inlineStr">
        <is>
          <t>Prozess Identitäts- und Berechtigungsmanagement</t>
        </is>
      </c>
      <c r="S20" s="12" t="inlineStr">
        <is>
          <t>die Einrichtung, Änderung oder Löschung einer Identität</t>
        </is>
      </c>
      <c r="T20" s="12" t="inlineStr">
        <is>
          <t>G 0.36 – Identitätsdiebstahl; G 0.30 – Unberechtigte Nutzung oder Administration von Geräten und Systemen; G 0.32 – Missbrauch von Berechtigungen</t>
        </is>
      </c>
      <c r="U20" s="11" t="n">
        <v>3</v>
      </c>
      <c r="V20" s="11" t="n">
        <v>1</v>
      </c>
      <c r="W20" s="11" t="n">
        <v>1</v>
      </c>
      <c r="X20" s="11" t="n">
        <v>1</v>
      </c>
      <c r="Y20" s="11" t="n">
        <v>2</v>
      </c>
    </row>
    <row r="21">
      <c r="A21" s="9" t="inlineStr">
        <is>
          <t>BER.2.3</t>
        </is>
      </c>
      <c r="B21" s="10" t="inlineStr">
        <is>
          <t>Stammdatenprüfung</t>
        </is>
      </c>
      <c r="C21" s="11" t="n"/>
      <c r="D21" s="11" t="inlineStr">
        <is>
          <t>Standard-Anforderungen</t>
        </is>
      </c>
      <c r="E21" s="12" t="inlineStr">
        <is>
          <t>Gesamt:</t>
        </is>
      </c>
      <c r="F21" s="11" t="n"/>
      <c r="G21" s="11" t="n"/>
      <c r="H21" s="13">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
      </c>
      <c r="I21" s="11" t="n"/>
      <c r="J21" s="11" t="n"/>
      <c r="K21" s="11" t="n"/>
      <c r="L21" s="11" t="n"/>
      <c r="M21" s="11" t="inlineStr"/>
      <c r="N21" s="12" t="inlineStr"/>
      <c r="O21" s="11" t="inlineStr"/>
      <c r="P21" s="12" t="inlineStr">
        <is>
          <t>Allgemeine Stammdaten können z.B. sein: Unterlagen der Personalabteilung, Ergebnisse von Netzwerkscans für IT-Systeme, CMDB. Der Abgleich kann auch automatisiert vorgenommen werden.</t>
        </is>
      </c>
      <c r="Q21" s="11" t="inlineStr"/>
      <c r="R21" s="11" t="inlineStr">
        <is>
          <t>Inventar Berechtigungen</t>
        </is>
      </c>
      <c r="S21" s="12" t="inlineStr">
        <is>
          <t>Stammdaten einer Identität anhand allgemeiner Stammdaten</t>
        </is>
      </c>
      <c r="T21" s="12" t="inlineStr">
        <is>
          <t>G 0.36 – Identitätsdiebstahl; G 0.30 – Unberechtigte Nutzung oder Administration von Geräten und Systemen; G 0.32 – Missbrauch von Berechtigungen</t>
        </is>
      </c>
      <c r="U21" s="11" t="n">
        <v>3</v>
      </c>
      <c r="V21" s="11" t="n">
        <v>1</v>
      </c>
      <c r="W21" s="11" t="n">
        <v>1</v>
      </c>
      <c r="X21" s="11" t="n">
        <v>1</v>
      </c>
      <c r="Y21" s="11" t="n">
        <v>1</v>
      </c>
    </row>
    <row r="22">
      <c r="A22" s="11" t="inlineStr">
        <is>
          <t>BER.2.3</t>
        </is>
      </c>
      <c r="B22" s="12" t="inlineStr">
        <is>
          <t>Stammdatenprüfung</t>
        </is>
      </c>
      <c r="C22" s="11" t="inlineStr">
        <is>
          <t>BER.2.3</t>
        </is>
      </c>
      <c r="D22" s="11" t="inlineStr">
        <is>
          <t>Standard-Anforderungen</t>
        </is>
      </c>
      <c r="E22" s="12" t="inlineStr">
        <is>
          <t>Berechtigung SOLLTE Stammdaten einer Identität anhand allgemeiner Stammdaten regelmäßig überprüfen.</t>
        </is>
      </c>
      <c r="F22" s="14" t="n"/>
      <c r="G22" s="14" t="n"/>
      <c r="H22" s="14" t="inlineStr">
        <is>
          <t>unbearbeitet</t>
        </is>
      </c>
      <c r="I22" s="14" t="n"/>
      <c r="J22" s="14" t="n"/>
      <c r="K22" s="14" t="n"/>
      <c r="L22" s="15" t="n"/>
      <c r="M22" s="11" t="inlineStr"/>
      <c r="N22" s="12" t="inlineStr"/>
      <c r="O22" s="11" t="inlineStr"/>
      <c r="P22" s="12" t="inlineStr">
        <is>
          <t>Allgemeine Stammdaten können z.B. sein: Unterlagen der Personalabteilung, Ergebnisse von Netzwerkscans für IT-Systeme, CMDB. Der Abgleich kann auch automatisiert vorgenommen werden.</t>
        </is>
      </c>
      <c r="Q22" s="11" t="inlineStr"/>
      <c r="R22" s="11" t="inlineStr">
        <is>
          <t>Inventar Berechtigungen</t>
        </is>
      </c>
      <c r="S22" s="12" t="inlineStr">
        <is>
          <t>Stammdaten einer Identität anhand allgemeiner Stammdaten</t>
        </is>
      </c>
      <c r="T22" s="12" t="inlineStr">
        <is>
          <t>G 0.36 – Identitätsdiebstahl; G 0.30 – Unberechtigte Nutzung oder Administration von Geräten und Systemen; G 0.32 – Missbrauch von Berechtigungen</t>
        </is>
      </c>
      <c r="U22" s="11" t="n">
        <v>3</v>
      </c>
      <c r="V22" s="11" t="n">
        <v>1</v>
      </c>
      <c r="W22" s="11" t="n">
        <v>1</v>
      </c>
      <c r="X22" s="11" t="n">
        <v>1</v>
      </c>
      <c r="Y22" s="11" t="n">
        <v>1</v>
      </c>
    </row>
    <row r="23">
      <c r="A23" s="9" t="inlineStr">
        <is>
          <t>BER.2.4</t>
        </is>
      </c>
      <c r="B23" s="10" t="inlineStr">
        <is>
          <t>Protokollierung von Stammdatenänderungen</t>
        </is>
      </c>
      <c r="C23" s="11" t="n"/>
      <c r="D23" s="11" t="inlineStr">
        <is>
          <t>Standard-Anforderungen</t>
        </is>
      </c>
      <c r="E23" s="12" t="inlineStr">
        <is>
          <t>Gesamt:</t>
        </is>
      </c>
      <c r="F23" s="11" t="n"/>
      <c r="G23" s="11" t="n"/>
      <c r="H23" s="13">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
      </c>
      <c r="I23" s="11" t="n"/>
      <c r="J23" s="11" t="n"/>
      <c r="K23" s="11" t="n"/>
      <c r="L23" s="11" t="n"/>
      <c r="M23" s="11" t="inlineStr">
        <is>
          <t>Authentizität</t>
        </is>
      </c>
      <c r="N23" s="12" t="inlineStr"/>
      <c r="O23" s="11" t="inlineStr"/>
      <c r="P23" s="12" t="inlineStr">
        <is>
          <t>Zu einem Ereignisprotokoll gehört der Zeitpunkt, das Zugangskonto, sowie welche Änderungen vorgenommen wurden.</t>
        </is>
      </c>
      <c r="Q23" s="11" t="inlineStr"/>
      <c r="R23" s="11" t="inlineStr">
        <is>
          <t>Audit Log</t>
        </is>
      </c>
      <c r="S23" s="12" t="inlineStr">
        <is>
          <t>Änderungen von Identitäts-Stammdaten</t>
        </is>
      </c>
      <c r="T23" s="12" t="inlineStr">
        <is>
          <t>G 0.36 – Identitätsdiebstahl; G 0.30 – Unberechtigte Nutzung oder Administration von Geräten und Systemen; G 0.32 – Missbrauch von Berechtigungen; G 0.37 – Abstreiten von Handlungen</t>
        </is>
      </c>
      <c r="U23" s="11" t="n">
        <v>3</v>
      </c>
      <c r="V23" s="11" t="n">
        <v>1</v>
      </c>
      <c r="W23" s="11" t="n">
        <v>1</v>
      </c>
      <c r="X23" s="11" t="n">
        <v>1</v>
      </c>
      <c r="Y23" s="11" t="n">
        <v>2</v>
      </c>
    </row>
    <row r="24">
      <c r="A24" s="11" t="inlineStr">
        <is>
          <t>BER.2.4</t>
        </is>
      </c>
      <c r="B24" s="12" t="inlineStr">
        <is>
          <t>Protokollierung von Stammdatenänderungen</t>
        </is>
      </c>
      <c r="C24" s="11" t="inlineStr">
        <is>
          <t>BER.2.4</t>
        </is>
      </c>
      <c r="D24" s="11" t="inlineStr">
        <is>
          <t>Standard-Anforderungen</t>
        </is>
      </c>
      <c r="E24" s="12" t="inlineStr">
        <is>
          <t>Berechtigung SOLLTE Änderungen von Identitäts-Stammdaten protokollieren.</t>
        </is>
      </c>
      <c r="F24" s="14" t="n"/>
      <c r="G24" s="14" t="n"/>
      <c r="H24" s="14" t="inlineStr">
        <is>
          <t>unbearbeitet</t>
        </is>
      </c>
      <c r="I24" s="14" t="n"/>
      <c r="J24" s="14" t="n"/>
      <c r="K24" s="14" t="n"/>
      <c r="L24" s="15" t="n"/>
      <c r="M24" s="11" t="inlineStr">
        <is>
          <t>Authentizität</t>
        </is>
      </c>
      <c r="N24" s="12" t="inlineStr"/>
      <c r="O24" s="11" t="inlineStr"/>
      <c r="P24" s="12" t="inlineStr">
        <is>
          <t>Zu einem Ereignisprotokoll gehört der Zeitpunkt, das Zugangskonto, sowie welche Änderungen vorgenommen wurden.</t>
        </is>
      </c>
      <c r="Q24" s="11" t="inlineStr"/>
      <c r="R24" s="11" t="inlineStr">
        <is>
          <t>Audit Log</t>
        </is>
      </c>
      <c r="S24" s="12" t="inlineStr">
        <is>
          <t>Änderungen von Identitäts-Stammdaten</t>
        </is>
      </c>
      <c r="T24" s="12" t="inlineStr">
        <is>
          <t>G 0.36 – Identitätsdiebstahl; G 0.30 – Unberechtigte Nutzung oder Administration von Geräten und Systemen; G 0.32 – Missbrauch von Berechtigungen; G 0.37 – Abstreiten von Handlungen</t>
        </is>
      </c>
      <c r="U24" s="11" t="n">
        <v>3</v>
      </c>
      <c r="V24" s="11" t="n">
        <v>1</v>
      </c>
      <c r="W24" s="11" t="n">
        <v>1</v>
      </c>
      <c r="X24" s="11" t="n">
        <v>1</v>
      </c>
      <c r="Y24" s="11" t="n">
        <v>2</v>
      </c>
    </row>
    <row r="25">
      <c r="A25" s="9" t="inlineStr">
        <is>
          <t>BER.2.5</t>
        </is>
      </c>
      <c r="B25" s="10" t="inlineStr">
        <is>
          <t>Deaktivierung bei Weggang</t>
        </is>
      </c>
      <c r="C25" s="11" t="n"/>
      <c r="D25" s="11" t="inlineStr">
        <is>
          <t>Standard-Anforderungen</t>
        </is>
      </c>
      <c r="E25" s="12" t="inlineStr">
        <is>
          <t>Gesamt:</t>
        </is>
      </c>
      <c r="F25" s="11" t="n"/>
      <c r="G25" s="11" t="n"/>
      <c r="H25" s="13">
        <f>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
      </c>
      <c r="I25" s="11" t="n"/>
      <c r="J25" s="11" t="n"/>
      <c r="K25" s="11" t="n"/>
      <c r="L25" s="11" t="n"/>
      <c r="M25" s="11" t="inlineStr">
        <is>
          <t>Vertraulichkeit</t>
        </is>
      </c>
      <c r="N25" s="12" t="inlineStr">
        <is>
          <t>ORP.2.A2-UA.4</t>
        </is>
      </c>
      <c r="O25" s="11" t="inlineStr">
        <is>
          <t>intersects-with</t>
        </is>
      </c>
      <c r="P25" s="12" t="inlineStr">
        <is>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is>
      </c>
      <c r="Q25" s="11" t="inlineStr"/>
      <c r="R25" s="11" t="inlineStr">
        <is>
          <t>Inventar Berechtigungen</t>
        </is>
      </c>
      <c r="S25" s="12" t="inlineStr">
        <is>
          <t>die zugeordnete Identität</t>
        </is>
      </c>
      <c r="T25" s="12" t="inlineStr">
        <is>
          <t>G 0.36 – Identitätsdiebstahl; G 0.30 – Unberechtigte Nutzung oder Administration von Geräten und Systemen; G 0.32 – Missbrauch von Berechtigungen</t>
        </is>
      </c>
      <c r="U25" s="11" t="n">
        <v>3</v>
      </c>
      <c r="V25" s="11" t="n">
        <v>2</v>
      </c>
      <c r="W25" s="11" t="n">
        <v>1</v>
      </c>
      <c r="X25" s="11" t="n">
        <v>1</v>
      </c>
      <c r="Y25" s="11" t="n">
        <v>1</v>
      </c>
    </row>
    <row r="26">
      <c r="A26" s="11" t="inlineStr">
        <is>
          <t>BER.2.5</t>
        </is>
      </c>
      <c r="B26" s="12" t="inlineStr">
        <is>
          <t>Deaktivierung bei Weggang</t>
        </is>
      </c>
      <c r="C26" s="11" t="inlineStr">
        <is>
          <t>BER.2.5</t>
        </is>
      </c>
      <c r="D26" s="11" t="inlineStr">
        <is>
          <t>Standard-Anforderungen</t>
        </is>
      </c>
      <c r="E26" s="12" t="inlineStr">
        <is>
          <t>Berechtigung SOLLTE die zugeordnete Identität bei Weggang von Nutzenden deaktivieren.</t>
        </is>
      </c>
      <c r="F26" s="14" t="n"/>
      <c r="G26" s="14" t="n"/>
      <c r="H26" s="14" t="inlineStr">
        <is>
          <t>unbearbeitet</t>
        </is>
      </c>
      <c r="I26" s="14" t="n"/>
      <c r="J26" s="14" t="n"/>
      <c r="K26" s="14" t="n"/>
      <c r="L26" s="15" t="n"/>
      <c r="M26" s="11" t="inlineStr">
        <is>
          <t>Vertraulichkeit</t>
        </is>
      </c>
      <c r="N26" s="12" t="inlineStr">
        <is>
          <t>ORP.2.A2-UA.4</t>
        </is>
      </c>
      <c r="O26" s="11" t="inlineStr">
        <is>
          <t>intersects-with</t>
        </is>
      </c>
      <c r="P26" s="12" t="inlineStr">
        <is>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is>
      </c>
      <c r="Q26" s="11" t="inlineStr"/>
      <c r="R26" s="11" t="inlineStr">
        <is>
          <t>Inventar Berechtigungen</t>
        </is>
      </c>
      <c r="S26" s="12" t="inlineStr">
        <is>
          <t>die zugeordnete Identität</t>
        </is>
      </c>
      <c r="T26" s="12" t="inlineStr">
        <is>
          <t>G 0.36 – Identitätsdiebstahl; G 0.30 – Unberechtigte Nutzung oder Administration von Geräten und Systemen; G 0.32 – Missbrauch von Berechtigungen</t>
        </is>
      </c>
      <c r="U26" s="11" t="n">
        <v>3</v>
      </c>
      <c r="V26" s="11" t="n">
        <v>2</v>
      </c>
      <c r="W26" s="11" t="n">
        <v>1</v>
      </c>
      <c r="X26" s="11" t="n">
        <v>1</v>
      </c>
      <c r="Y26" s="11" t="n">
        <v>1</v>
      </c>
    </row>
    <row r="27">
      <c r="A27" s="9" t="inlineStr">
        <is>
          <t>BER.2.6</t>
        </is>
      </c>
      <c r="B27" s="10" t="inlineStr">
        <is>
          <t>Löschen nach Fristablauf</t>
        </is>
      </c>
      <c r="C27" s="11" t="n"/>
      <c r="D27" s="11" t="inlineStr">
        <is>
          <t>Standard-Anforderungen</t>
        </is>
      </c>
      <c r="E27" s="12" t="inlineStr">
        <is>
          <t>Gesamt:</t>
        </is>
      </c>
      <c r="F27" s="11" t="n"/>
      <c r="G27" s="11" t="n"/>
      <c r="H27" s="13">
        <f>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
      </c>
      <c r="I27" s="11" t="n"/>
      <c r="J27" s="11" t="n"/>
      <c r="K27" s="11" t="n"/>
      <c r="L27" s="11" t="n"/>
      <c r="M27" s="11" t="inlineStr">
        <is>
          <t>Vertraulichkeit</t>
        </is>
      </c>
      <c r="N27" s="12" t="inlineStr"/>
      <c r="O27" s="11" t="inlineStr"/>
      <c r="P27" s="12" t="inlineStr">
        <is>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is>
      </c>
      <c r="Q27" s="11" t="inlineStr"/>
      <c r="R27" s="11" t="inlineStr">
        <is>
          <t>IT-Betriebskonzept</t>
        </is>
      </c>
      <c r="S27" s="12" t="inlineStr">
        <is>
          <t>nicht mehr benötigte Identitäten</t>
        </is>
      </c>
      <c r="T27" s="12" t="inlineStr">
        <is>
          <t>G 0.36 – Identitätsdiebstahl; G 0.30 – Unberechtigte Nutzung oder Administration von Geräten und Systemen; G 0.32 – Missbrauch von Berechtigungen</t>
        </is>
      </c>
      <c r="U27" s="11" t="n">
        <v>4</v>
      </c>
      <c r="V27" s="11" t="n">
        <v>2</v>
      </c>
      <c r="W27" s="11" t="n">
        <v>1</v>
      </c>
      <c r="X27" s="11" t="n">
        <v>1</v>
      </c>
      <c r="Y27" s="11" t="n">
        <v>1</v>
      </c>
    </row>
    <row r="28">
      <c r="A28" s="11" t="inlineStr">
        <is>
          <t>BER.2.6</t>
        </is>
      </c>
      <c r="B28" s="12" t="inlineStr">
        <is>
          <t>Löschen nach Fristablauf</t>
        </is>
      </c>
      <c r="C28" s="11" t="inlineStr">
        <is>
          <t>BER.2.6</t>
        </is>
      </c>
      <c r="D28" s="11" t="inlineStr">
        <is>
          <t>Standard-Anforderungen</t>
        </is>
      </c>
      <c r="E28" s="12" t="inlineStr">
        <is>
          <t>Berechtigung SOLLTE nicht mehr benötigte Identitäten nach Ablauf der Löschfristen löschen.</t>
        </is>
      </c>
      <c r="F28" s="14" t="n"/>
      <c r="G28" s="14" t="n"/>
      <c r="H28" s="14" t="inlineStr">
        <is>
          <t>unbearbeitet</t>
        </is>
      </c>
      <c r="I28" s="14" t="n"/>
      <c r="J28" s="14" t="n"/>
      <c r="K28" s="14" t="n"/>
      <c r="L28" s="15" t="n"/>
      <c r="M28" s="11" t="inlineStr">
        <is>
          <t>Vertraulichkeit</t>
        </is>
      </c>
      <c r="N28" s="12" t="inlineStr"/>
      <c r="O28" s="11" t="inlineStr"/>
      <c r="P28" s="12" t="inlineStr">
        <is>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is>
      </c>
      <c r="Q28" s="11" t="inlineStr"/>
      <c r="R28" s="11" t="inlineStr">
        <is>
          <t>IT-Betriebskonzept</t>
        </is>
      </c>
      <c r="S28" s="12" t="inlineStr">
        <is>
          <t>nicht mehr benötigte Identitäten</t>
        </is>
      </c>
      <c r="T28" s="12" t="inlineStr">
        <is>
          <t>G 0.36 – Identitätsdiebstahl; G 0.30 – Unberechtigte Nutzung oder Administration von Geräten und Systemen; G 0.32 – Missbrauch von Berechtigungen</t>
        </is>
      </c>
      <c r="U28" s="11" t="n">
        <v>4</v>
      </c>
      <c r="V28" s="11" t="n">
        <v>2</v>
      </c>
      <c r="W28" s="11" t="n">
        <v>1</v>
      </c>
      <c r="X28" s="11" t="n">
        <v>1</v>
      </c>
      <c r="Y28" s="11" t="n">
        <v>1</v>
      </c>
    </row>
    <row r="29">
      <c r="A29" s="9" t="inlineStr">
        <is>
          <t>BER.3.1</t>
        </is>
      </c>
      <c r="B29" s="10" t="inlineStr">
        <is>
          <t>Zentrales Management</t>
        </is>
      </c>
      <c r="C29" s="11" t="n"/>
      <c r="D29" s="11" t="inlineStr">
        <is>
          <t>Standard-Anforderungen</t>
        </is>
      </c>
      <c r="E29" s="12" t="inlineStr">
        <is>
          <t>Gesamt:</t>
        </is>
      </c>
      <c r="F29" s="11" t="n"/>
      <c r="G29" s="11" t="n"/>
      <c r="H29" s="13">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
      </c>
      <c r="I29" s="11" t="n"/>
      <c r="J29" s="11" t="n"/>
      <c r="K29" s="11" t="n"/>
      <c r="L29" s="11" t="n"/>
      <c r="M29" s="11" t="inlineStr"/>
      <c r="N29" s="12" t="inlineStr"/>
      <c r="O29" s="11" t="inlineStr"/>
      <c r="P29" s="12" t="inlineStr">
        <is>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is>
      </c>
      <c r="Q29" s="11" t="inlineStr"/>
      <c r="R29" s="11" t="inlineStr">
        <is>
          <t>IT-Betriebskonzept</t>
        </is>
      </c>
      <c r="S29" s="12" t="inlineStr">
        <is>
          <t>ein zentrales Managementsystem für Zugangskonten</t>
        </is>
      </c>
      <c r="T29" s="12" t="inlineStr">
        <is>
          <t>G 0.36 – Identitätsdiebstahl; G 0.30 – Unberechtigte Nutzung oder Administration von Geräten und Systemen; G 0.32 – Missbrauch von Berechtigungen</t>
        </is>
      </c>
      <c r="U29" s="11" t="n">
        <v>3</v>
      </c>
      <c r="V29" s="11" t="n">
        <v>1</v>
      </c>
      <c r="W29" s="11" t="n">
        <v>1</v>
      </c>
      <c r="X29" s="11" t="n">
        <v>1</v>
      </c>
      <c r="Y29" s="11" t="n">
        <v>1</v>
      </c>
    </row>
    <row r="30">
      <c r="A30" s="11" t="inlineStr">
        <is>
          <t>BER.3.1</t>
        </is>
      </c>
      <c r="B30" s="12" t="inlineStr">
        <is>
          <t>Zentrales Management</t>
        </is>
      </c>
      <c r="C30" s="11" t="inlineStr">
        <is>
          <t>BER.3.1</t>
        </is>
      </c>
      <c r="D30" s="11" t="inlineStr">
        <is>
          <t>Standard-Anforderungen</t>
        </is>
      </c>
      <c r="E30" s="12" t="inlineStr">
        <is>
          <t>Berechtigung SOLLTE ein zentrales Managementsystem für Zugangskonten installieren.</t>
        </is>
      </c>
      <c r="F30" s="14" t="n"/>
      <c r="G30" s="14" t="n"/>
      <c r="H30" s="14" t="inlineStr">
        <is>
          <t>unbearbeitet</t>
        </is>
      </c>
      <c r="I30" s="14" t="n"/>
      <c r="J30" s="14" t="n"/>
      <c r="K30" s="14" t="n"/>
      <c r="L30" s="15" t="n"/>
      <c r="M30" s="11" t="inlineStr"/>
      <c r="N30" s="12" t="inlineStr"/>
      <c r="O30" s="11" t="inlineStr"/>
      <c r="P30" s="12" t="inlineStr">
        <is>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is>
      </c>
      <c r="Q30" s="11" t="inlineStr"/>
      <c r="R30" s="11" t="inlineStr">
        <is>
          <t>IT-Betriebskonzept</t>
        </is>
      </c>
      <c r="S30" s="12" t="inlineStr">
        <is>
          <t>ein zentrales Managementsystem für Zugangskonten</t>
        </is>
      </c>
      <c r="T30" s="12" t="inlineStr">
        <is>
          <t>G 0.36 – Identitätsdiebstahl; G 0.30 – Unberechtigte Nutzung oder Administration von Geräten und Systemen; G 0.32 – Missbrauch von Berechtigungen</t>
        </is>
      </c>
      <c r="U30" s="11" t="n">
        <v>3</v>
      </c>
      <c r="V30" s="11" t="n">
        <v>1</v>
      </c>
      <c r="W30" s="11" t="n">
        <v>1</v>
      </c>
      <c r="X30" s="11" t="n">
        <v>1</v>
      </c>
      <c r="Y30" s="11" t="n">
        <v>1</v>
      </c>
    </row>
    <row r="31">
      <c r="A31" s="9" t="inlineStr">
        <is>
          <t>BER.3.2</t>
        </is>
      </c>
      <c r="B31" s="10" t="inlineStr">
        <is>
          <t>Autorisierung neuer Zugangskonten</t>
        </is>
      </c>
      <c r="C31" s="11" t="n"/>
      <c r="D31" s="11" t="inlineStr">
        <is>
          <t>Standard-Anforderungen</t>
        </is>
      </c>
      <c r="E31" s="12" t="inlineStr">
        <is>
          <t>Gesamt:</t>
        </is>
      </c>
      <c r="F31" s="11" t="n"/>
      <c r="G31" s="11" t="n"/>
      <c r="H31" s="13">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
      </c>
      <c r="I31" s="11" t="n"/>
      <c r="J31" s="11" t="n"/>
      <c r="K31" s="11" t="n"/>
      <c r="L31" s="11" t="n"/>
      <c r="M31" s="11" t="inlineStr"/>
      <c r="N31" s="12" t="inlineStr"/>
      <c r="O31" s="11" t="inlineStr"/>
      <c r="P31" s="12" t="inlineStr">
        <is>
          <t>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is>
      </c>
      <c r="Q31" s="11" t="inlineStr"/>
      <c r="R31" s="11" t="inlineStr">
        <is>
          <t>IT-Betriebskonzept</t>
        </is>
      </c>
      <c r="S31" s="12" t="inlineStr">
        <is>
          <t>die Einrichtung von Zugangskonten</t>
        </is>
      </c>
      <c r="T31" s="12" t="inlineStr">
        <is>
          <t>G 0.36 – Identitätsdiebstahl; G 0.30 – Unberechtigte Nutzung oder Administration von Geräten und Systemen; G 0.32 – Missbrauch von Berechtigungen</t>
        </is>
      </c>
      <c r="U31" s="11" t="n">
        <v>3</v>
      </c>
      <c r="V31" s="11" t="n">
        <v>1</v>
      </c>
      <c r="W31" s="11" t="n">
        <v>1</v>
      </c>
      <c r="X31" s="11" t="n">
        <v>0</v>
      </c>
      <c r="Y31" s="11" t="n">
        <v>1</v>
      </c>
    </row>
    <row r="32">
      <c r="A32" s="11" t="inlineStr">
        <is>
          <t>BER.3.2</t>
        </is>
      </c>
      <c r="B32" s="12" t="inlineStr">
        <is>
          <t>Autorisierung neuer Zugangskonten</t>
        </is>
      </c>
      <c r="C32" s="11" t="inlineStr">
        <is>
          <t>BER.3.2</t>
        </is>
      </c>
      <c r="D32" s="11" t="inlineStr">
        <is>
          <t>Standard-Anforderungen</t>
        </is>
      </c>
      <c r="E32" s="12" t="inlineStr">
        <is>
          <t>Berechtigung SOLLTE die Einrichtung von Zugangskonten durch bestimmte Personen oder Rollen autorisieren.</t>
        </is>
      </c>
      <c r="F32" s="14" t="n"/>
      <c r="G32" s="14" t="n"/>
      <c r="H32" s="14" t="inlineStr">
        <is>
          <t>unbearbeitet</t>
        </is>
      </c>
      <c r="I32" s="14" t="n"/>
      <c r="J32" s="14" t="n"/>
      <c r="K32" s="14" t="n"/>
      <c r="L32" s="15" t="n"/>
      <c r="M32" s="11" t="inlineStr"/>
      <c r="N32" s="12" t="inlineStr"/>
      <c r="O32" s="11" t="inlineStr"/>
      <c r="P32" s="12" t="inlineStr">
        <is>
          <t>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is>
      </c>
      <c r="Q32" s="11" t="inlineStr"/>
      <c r="R32" s="11" t="inlineStr">
        <is>
          <t>IT-Betriebskonzept</t>
        </is>
      </c>
      <c r="S32" s="12" t="inlineStr">
        <is>
          <t>die Einrichtung von Zugangskonten</t>
        </is>
      </c>
      <c r="T32" s="12" t="inlineStr">
        <is>
          <t>G 0.36 – Identitätsdiebstahl; G 0.30 – Unberechtigte Nutzung oder Administration von Geräten und Systemen; G 0.32 – Missbrauch von Berechtigungen</t>
        </is>
      </c>
      <c r="U32" s="11" t="n">
        <v>3</v>
      </c>
      <c r="V32" s="11" t="n">
        <v>1</v>
      </c>
      <c r="W32" s="11" t="n">
        <v>1</v>
      </c>
      <c r="X32" s="11" t="n">
        <v>0</v>
      </c>
      <c r="Y32" s="11" t="n">
        <v>1</v>
      </c>
    </row>
    <row r="33">
      <c r="A33" s="9" t="inlineStr">
        <is>
          <t>BER.3.3</t>
        </is>
      </c>
      <c r="B33" s="10" t="inlineStr">
        <is>
          <t>Einschränkung des Managements</t>
        </is>
      </c>
      <c r="C33" s="11" t="n"/>
      <c r="D33" s="11" t="inlineStr">
        <is>
          <t>Standard-Anforderungen</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c r="N33" s="12" t="inlineStr"/>
      <c r="O33" s="11" t="inlineStr"/>
      <c r="P33" s="12" t="inlineStr">
        <is>
          <t>Management meint hier Aktionen wie z.B. das Erstellen oder Ändern von Metadaten oder Berechtigungen oder die Löschung des Zugangskontos.</t>
        </is>
      </c>
      <c r="Q33" s="11" t="inlineStr"/>
      <c r="R33" s="11" t="inlineStr">
        <is>
          <t>Konfigurationshistorie</t>
        </is>
      </c>
      <c r="S33" s="12" t="inlineStr">
        <is>
          <t>das Management von Zugangskonten</t>
        </is>
      </c>
      <c r="T33" s="12" t="inlineStr">
        <is>
          <t>G 0.36 – Identitätsdiebstahl; G 0.30 – Unberechtigte Nutzung oder Administration von Geräten und Systemen; G 0.32 – Missbrauch von Berechtigungen</t>
        </is>
      </c>
      <c r="U33" s="11" t="n">
        <v>2</v>
      </c>
      <c r="V33" s="11" t="n">
        <v>1</v>
      </c>
      <c r="W33" s="11" t="n">
        <v>1</v>
      </c>
      <c r="X33" s="11" t="n">
        <v>1</v>
      </c>
      <c r="Y33" s="11" t="n">
        <v>1</v>
      </c>
    </row>
    <row r="34">
      <c r="A34" s="11" t="inlineStr">
        <is>
          <t>BER.3.3</t>
        </is>
      </c>
      <c r="B34" s="12" t="inlineStr">
        <is>
          <t>Einschränkung des Managements</t>
        </is>
      </c>
      <c r="C34" s="11" t="inlineStr">
        <is>
          <t>BER.3.3</t>
        </is>
      </c>
      <c r="D34" s="11" t="inlineStr">
        <is>
          <t>Standard-Anforderungen</t>
        </is>
      </c>
      <c r="E34" s="12" t="inlineStr">
        <is>
          <t>Berechtigung SOLLTE das Management von Zugangskonten auf Administrierende einschränken.</t>
        </is>
      </c>
      <c r="F34" s="14" t="n"/>
      <c r="G34" s="14" t="n"/>
      <c r="H34" s="14" t="inlineStr">
        <is>
          <t>unbearbeitet</t>
        </is>
      </c>
      <c r="I34" s="14" t="n"/>
      <c r="J34" s="14" t="n"/>
      <c r="K34" s="14" t="n"/>
      <c r="L34" s="15" t="n"/>
      <c r="M34" s="11" t="inlineStr"/>
      <c r="N34" s="12" t="inlineStr"/>
      <c r="O34" s="11" t="inlineStr"/>
      <c r="P34" s="12" t="inlineStr">
        <is>
          <t>Management meint hier Aktionen wie z.B. das Erstellen oder Ändern von Metadaten oder Berechtigungen oder die Löschung des Zugangskontos.</t>
        </is>
      </c>
      <c r="Q34" s="11" t="inlineStr"/>
      <c r="R34" s="11" t="inlineStr">
        <is>
          <t>Konfigurationshistorie</t>
        </is>
      </c>
      <c r="S34" s="12" t="inlineStr">
        <is>
          <t>das Management von Zugangskonten</t>
        </is>
      </c>
      <c r="T34" s="12" t="inlineStr">
        <is>
          <t>G 0.36 – Identitätsdiebstahl; G 0.30 – Unberechtigte Nutzung oder Administration von Geräten und Systemen; G 0.32 – Missbrauch von Berechtigungen</t>
        </is>
      </c>
      <c r="U34" s="11" t="n">
        <v>2</v>
      </c>
      <c r="V34" s="11" t="n">
        <v>1</v>
      </c>
      <c r="W34" s="11" t="n">
        <v>1</v>
      </c>
      <c r="X34" s="11" t="n">
        <v>1</v>
      </c>
      <c r="Y34" s="11" t="n">
        <v>1</v>
      </c>
    </row>
    <row r="35">
      <c r="A35" s="9" t="inlineStr">
        <is>
          <t>BER.3.4</t>
        </is>
      </c>
      <c r="B35" s="10" t="inlineStr">
        <is>
          <t>Protokollierung von Änderungen</t>
        </is>
      </c>
      <c r="C35" s="11" t="n"/>
      <c r="D35" s="11" t="inlineStr">
        <is>
          <t>Standard-Anforderungen</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is>
          <t>Authentizität</t>
        </is>
      </c>
      <c r="N35" s="12" t="inlineStr"/>
      <c r="O35" s="11" t="inlineStr"/>
      <c r="P35" s="12" t="inlineStr">
        <is>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is>
      </c>
      <c r="Q35" s="11" t="inlineStr"/>
      <c r="R35" s="11" t="inlineStr">
        <is>
          <t>Audit Log</t>
        </is>
      </c>
      <c r="S35" s="12" t="inlineStr">
        <is>
          <t>Aktionen an Zugangskonten</t>
        </is>
      </c>
      <c r="T35" s="12" t="inlineStr">
        <is>
          <t>G 0.36 – Identitätsdiebstahl; G 0.30 – Unberechtigte Nutzung oder Administration von Geräten und Systemen; G 0.32 – Missbrauch von Berechtigungen; G 0.37 – Abstreiten von Handlungen</t>
        </is>
      </c>
      <c r="U35" s="11" t="n">
        <v>3</v>
      </c>
      <c r="V35" s="11" t="n">
        <v>1</v>
      </c>
      <c r="W35" s="11" t="n">
        <v>1</v>
      </c>
      <c r="X35" s="11" t="n">
        <v>1</v>
      </c>
      <c r="Y35" s="11" t="n">
        <v>2</v>
      </c>
    </row>
    <row r="36">
      <c r="A36" s="11" t="inlineStr">
        <is>
          <t>BER.3.4</t>
        </is>
      </c>
      <c r="B36" s="12" t="inlineStr">
        <is>
          <t>Protokollierung von Änderungen</t>
        </is>
      </c>
      <c r="C36" s="11" t="inlineStr">
        <is>
          <t>BER.3.4</t>
        </is>
      </c>
      <c r="D36" s="11" t="inlineStr">
        <is>
          <t>Standard-Anforderungen</t>
        </is>
      </c>
      <c r="E36" s="12" t="inlineStr">
        <is>
          <t>Berechtigung SOLLTE Aktionen an Zugangskonten revisionsfähig protokollieren.</t>
        </is>
      </c>
      <c r="F36" s="14" t="n"/>
      <c r="G36" s="14" t="n"/>
      <c r="H36" s="14" t="inlineStr">
        <is>
          <t>unbearbeitet</t>
        </is>
      </c>
      <c r="I36" s="14" t="n"/>
      <c r="J36" s="14" t="n"/>
      <c r="K36" s="14" t="n"/>
      <c r="L36" s="15" t="n"/>
      <c r="M36" s="11" t="inlineStr">
        <is>
          <t>Authentizität</t>
        </is>
      </c>
      <c r="N36" s="12" t="inlineStr"/>
      <c r="O36" s="11" t="inlineStr"/>
      <c r="P36" s="12" t="inlineStr">
        <is>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is>
      </c>
      <c r="Q36" s="11" t="inlineStr"/>
      <c r="R36" s="11" t="inlineStr">
        <is>
          <t>Audit Log</t>
        </is>
      </c>
      <c r="S36" s="12" t="inlineStr">
        <is>
          <t>Aktionen an Zugangskonten</t>
        </is>
      </c>
      <c r="T36" s="12" t="inlineStr">
        <is>
          <t>G 0.36 – Identitätsdiebstahl; G 0.30 – Unberechtigte Nutzung oder Administration von Geräten und Systemen; G 0.32 – Missbrauch von Berechtigungen; G 0.37 – Abstreiten von Handlungen</t>
        </is>
      </c>
      <c r="U36" s="11" t="n">
        <v>3</v>
      </c>
      <c r="V36" s="11" t="n">
        <v>1</v>
      </c>
      <c r="W36" s="11" t="n">
        <v>1</v>
      </c>
      <c r="X36" s="11" t="n">
        <v>1</v>
      </c>
      <c r="Y36" s="11" t="n">
        <v>2</v>
      </c>
    </row>
    <row r="37">
      <c r="A37" s="9" t="inlineStr">
        <is>
          <t>BER.3.5</t>
        </is>
      </c>
      <c r="B37" s="10" t="inlineStr">
        <is>
          <t>Identität-Zugangskonto</t>
        </is>
      </c>
      <c r="C37" s="11" t="n"/>
      <c r="D37" s="11" t="inlineStr">
        <is>
          <t>Standard-Anforderungen</t>
        </is>
      </c>
      <c r="E37" s="12" t="inlineStr">
        <is>
          <t>Gesamt:</t>
        </is>
      </c>
      <c r="F37" s="11" t="n"/>
      <c r="G37" s="11" t="n"/>
      <c r="H37" s="13">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
      </c>
      <c r="I37" s="11" t="n"/>
      <c r="J37" s="11" t="n"/>
      <c r="K37" s="11" t="n"/>
      <c r="L37" s="11" t="n"/>
      <c r="M37" s="11" t="inlineStr"/>
      <c r="N37" s="12" t="inlineStr">
        <is>
          <t>APP.2.2.A22-UA.1</t>
        </is>
      </c>
      <c r="O37" s="11" t="inlineStr">
        <is>
          <t>intersects-with</t>
        </is>
      </c>
      <c r="P37" s="12" t="inlineStr">
        <is>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is>
      </c>
      <c r="Q37" s="11" t="inlineStr"/>
      <c r="R37" s="11" t="inlineStr">
        <is>
          <t>IT-Betriebskonzept</t>
        </is>
      </c>
      <c r="S37" s="12" t="inlineStr">
        <is>
          <t>ein Zugangskonto zu genau einer Identität</t>
        </is>
      </c>
      <c r="T37" s="12" t="inlineStr">
        <is>
          <t>G 0.36 – Identitätsdiebstahl; G 0.30 – Unberechtigte Nutzung oder Administration von Geräten und Systemen; G 0.32 – Missbrauch von Berechtigungen</t>
        </is>
      </c>
      <c r="U37" s="11" t="n">
        <v>2</v>
      </c>
      <c r="V37" s="11" t="n">
        <v>1</v>
      </c>
      <c r="W37" s="11" t="n">
        <v>1</v>
      </c>
      <c r="X37" s="11" t="n">
        <v>1</v>
      </c>
      <c r="Y37" s="11" t="n">
        <v>1</v>
      </c>
    </row>
    <row r="38">
      <c r="A38" s="11" t="inlineStr">
        <is>
          <t>BER.3.5</t>
        </is>
      </c>
      <c r="B38" s="12" t="inlineStr">
        <is>
          <t>Identität-Zugangskonto</t>
        </is>
      </c>
      <c r="C38" s="11" t="inlineStr">
        <is>
          <t>BER.3.5</t>
        </is>
      </c>
      <c r="D38" s="11" t="inlineStr">
        <is>
          <t>Standard-Anforderungen</t>
        </is>
      </c>
      <c r="E38" s="12" t="inlineStr">
        <is>
          <t>Berechtigung SOLLTE ein Zugangskonto zu genau einer Identität zuweisen.</t>
        </is>
      </c>
      <c r="F38" s="14" t="n"/>
      <c r="G38" s="14" t="n"/>
      <c r="H38" s="14" t="inlineStr">
        <is>
          <t>unbearbeitet</t>
        </is>
      </c>
      <c r="I38" s="14" t="n"/>
      <c r="J38" s="14" t="n"/>
      <c r="K38" s="14" t="n"/>
      <c r="L38" s="15" t="n"/>
      <c r="M38" s="11" t="inlineStr"/>
      <c r="N38" s="12" t="inlineStr">
        <is>
          <t>APP.2.2.A22-UA.1</t>
        </is>
      </c>
      <c r="O38" s="11" t="inlineStr">
        <is>
          <t>intersects-with</t>
        </is>
      </c>
      <c r="P38" s="12" t="inlineStr">
        <is>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is>
      </c>
      <c r="Q38" s="11" t="inlineStr"/>
      <c r="R38" s="11" t="inlineStr">
        <is>
          <t>IT-Betriebskonzept</t>
        </is>
      </c>
      <c r="S38" s="12" t="inlineStr">
        <is>
          <t>ein Zugangskonto zu genau einer Identität</t>
        </is>
      </c>
      <c r="T38" s="12" t="inlineStr">
        <is>
          <t>G 0.36 – Identitätsdiebstahl; G 0.30 – Unberechtigte Nutzung oder Administration von Geräten und Systemen; G 0.32 – Missbrauch von Berechtigungen</t>
        </is>
      </c>
      <c r="U38" s="11" t="n">
        <v>2</v>
      </c>
      <c r="V38" s="11" t="n">
        <v>1</v>
      </c>
      <c r="W38" s="11" t="n">
        <v>1</v>
      </c>
      <c r="X38" s="11" t="n">
        <v>1</v>
      </c>
      <c r="Y38" s="11" t="n">
        <v>1</v>
      </c>
    </row>
    <row r="39">
      <c r="A39" s="9" t="inlineStr">
        <is>
          <t>BER.3.6</t>
        </is>
      </c>
      <c r="B39" s="10" t="inlineStr">
        <is>
          <t>Privilegierte Zugangskonten</t>
        </is>
      </c>
      <c r="C39" s="11" t="n"/>
      <c r="D39" s="11" t="inlineStr">
        <is>
          <t>Standard-Anforderungen</t>
        </is>
      </c>
      <c r="E39" s="12" t="inlineStr">
        <is>
          <t>Gesamt:</t>
        </is>
      </c>
      <c r="F39" s="11" t="n"/>
      <c r="G39" s="11" t="n"/>
      <c r="H39" s="13">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
      </c>
      <c r="I39" s="11" t="n"/>
      <c r="J39" s="11" t="n"/>
      <c r="K39" s="11" t="n"/>
      <c r="L39" s="11" t="n"/>
      <c r="M39" s="11" t="inlineStr"/>
      <c r="N39" s="12" t="inlineStr"/>
      <c r="O39" s="11" t="inlineStr"/>
      <c r="P39" s="12" t="inlineStr">
        <is>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is>
      </c>
      <c r="Q39" s="11" t="inlineStr">
        <is>
          <t>Administrierende</t>
        </is>
      </c>
      <c r="R39" s="11" t="inlineStr">
        <is>
          <t>Inventar Berechtigungen</t>
        </is>
      </c>
      <c r="S39" s="12" t="inlineStr">
        <is>
          <t>separate Zugangskonten für administrative Tätigkeiten (Administrationskonten)</t>
        </is>
      </c>
      <c r="T39" s="12" t="inlineStr">
        <is>
          <t>G 0.36 – Identitätsdiebstahl; G 0.30 – Unberechtigte Nutzung oder Administration von Geräten und Systemen; G 0.32 – Missbrauch von Berechtigungen</t>
        </is>
      </c>
      <c r="U39" s="11" t="n">
        <v>2</v>
      </c>
      <c r="V39" s="11" t="n">
        <v>1</v>
      </c>
      <c r="W39" s="11" t="n">
        <v>1</v>
      </c>
      <c r="X39" s="11" t="n">
        <v>1</v>
      </c>
      <c r="Y39" s="11" t="n">
        <v>1</v>
      </c>
    </row>
    <row r="40">
      <c r="A40" s="11" t="inlineStr">
        <is>
          <t>BER.3.6</t>
        </is>
      </c>
      <c r="B40" s="12" t="inlineStr">
        <is>
          <t>Privilegierte Zugangskonten</t>
        </is>
      </c>
      <c r="C40" s="11" t="inlineStr">
        <is>
          <t>BER.3.6</t>
        </is>
      </c>
      <c r="D40" s="11" t="inlineStr">
        <is>
          <t>Standard-Anforderungen</t>
        </is>
      </c>
      <c r="E40" s="12" t="inlineStr">
        <is>
          <t>Berechtigung für Administrierende SOLLTE separate Zugangskonten für administrative Tätigkeiten (Administrationskonten) verankern.</t>
        </is>
      </c>
      <c r="F40" s="14" t="n"/>
      <c r="G40" s="14" t="n"/>
      <c r="H40" s="14" t="inlineStr">
        <is>
          <t>unbearbeitet</t>
        </is>
      </c>
      <c r="I40" s="14" t="n"/>
      <c r="J40" s="14" t="n"/>
      <c r="K40" s="14" t="n"/>
      <c r="L40" s="15" t="n"/>
      <c r="M40" s="11" t="inlineStr"/>
      <c r="N40" s="12" t="inlineStr"/>
      <c r="O40" s="11" t="inlineStr"/>
      <c r="P40" s="12" t="inlineStr">
        <is>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is>
      </c>
      <c r="Q40" s="11" t="inlineStr">
        <is>
          <t>Administrierende</t>
        </is>
      </c>
      <c r="R40" s="11" t="inlineStr">
        <is>
          <t>Inventar Berechtigungen</t>
        </is>
      </c>
      <c r="S40" s="12" t="inlineStr">
        <is>
          <t>separate Zugangskonten für administrative Tätigkeiten (Administrationskonten)</t>
        </is>
      </c>
      <c r="T40" s="12" t="inlineStr">
        <is>
          <t>G 0.36 – Identitätsdiebstahl; G 0.30 – Unberechtigte Nutzung oder Administration von Geräten und Systemen; G 0.32 – Missbrauch von Berechtigungen</t>
        </is>
      </c>
      <c r="U40" s="11" t="n">
        <v>2</v>
      </c>
      <c r="V40" s="11" t="n">
        <v>1</v>
      </c>
      <c r="W40" s="11" t="n">
        <v>1</v>
      </c>
      <c r="X40" s="11" t="n">
        <v>1</v>
      </c>
      <c r="Y40" s="11" t="n">
        <v>1</v>
      </c>
    </row>
    <row r="41">
      <c r="A41" s="9" t="inlineStr">
        <is>
          <t>BER.3.7</t>
        </is>
      </c>
      <c r="B41" s="10" t="inlineStr">
        <is>
          <t>Single-Sign-On</t>
        </is>
      </c>
      <c r="C41" s="11" t="n"/>
      <c r="D41" s="11" t="inlineStr">
        <is>
          <t>Standard-Anforderungen</t>
        </is>
      </c>
      <c r="E41" s="12" t="inlineStr">
        <is>
          <t>Gesamt:</t>
        </is>
      </c>
      <c r="F41" s="11" t="n"/>
      <c r="G41" s="11" t="n"/>
      <c r="H41" s="13">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
      </c>
      <c r="I41" s="11" t="n"/>
      <c r="J41" s="11" t="n"/>
      <c r="K41" s="11" t="n"/>
      <c r="L41" s="11" t="n"/>
      <c r="M41" s="11" t="inlineStr"/>
      <c r="N41" s="12" t="inlineStr"/>
      <c r="O41" s="11" t="inlineStr"/>
      <c r="P41" s="12" t="inlineStr">
        <is>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is>
      </c>
      <c r="Q41" s="11" t="inlineStr">
        <is>
          <t>Anwendungen</t>
        </is>
      </c>
      <c r="R41" s="11" t="inlineStr">
        <is>
          <t>Konfigurationshistorie</t>
        </is>
      </c>
      <c r="S41" s="12" t="inlineStr">
        <is>
          <t>die Anmeldung über einen zentralen Identitätsprovider</t>
        </is>
      </c>
      <c r="T41" s="12" t="inlineStr">
        <is>
          <t>G 0.36 – Identitätsdiebstahl; G 0.30 – Unberechtigte Nutzung oder Administration von Geräten und Systemen; G 0.32 – Missbrauch von Berechtigungen</t>
        </is>
      </c>
      <c r="U41" s="11" t="n">
        <v>3</v>
      </c>
      <c r="V41" s="11" t="n">
        <v>1</v>
      </c>
      <c r="W41" s="11" t="n">
        <v>1</v>
      </c>
      <c r="X41" s="11" t="n">
        <v>1</v>
      </c>
      <c r="Y41" s="11" t="n">
        <v>1</v>
      </c>
    </row>
    <row r="42">
      <c r="A42" s="11" t="inlineStr">
        <is>
          <t>BER.3.7</t>
        </is>
      </c>
      <c r="B42" s="12" t="inlineStr">
        <is>
          <t>Single-Sign-On</t>
        </is>
      </c>
      <c r="C42" s="11" t="inlineStr">
        <is>
          <t>BER.3.7</t>
        </is>
      </c>
      <c r="D42" s="11" t="inlineStr">
        <is>
          <t>Standard-Anforderungen</t>
        </is>
      </c>
      <c r="E42" s="12" t="inlineStr">
        <is>
          <t>Berechtigung für Anwendungen SOLLTE die Anmeldung über einen zentralen Identitätsprovider aktivieren.</t>
        </is>
      </c>
      <c r="F42" s="14" t="n"/>
      <c r="G42" s="14" t="n"/>
      <c r="H42" s="14" t="inlineStr">
        <is>
          <t>unbearbeitet</t>
        </is>
      </c>
      <c r="I42" s="14" t="n"/>
      <c r="J42" s="14" t="n"/>
      <c r="K42" s="14" t="n"/>
      <c r="L42" s="15" t="n"/>
      <c r="M42" s="11" t="inlineStr"/>
      <c r="N42" s="12" t="inlineStr"/>
      <c r="O42" s="11" t="inlineStr"/>
      <c r="P42" s="12" t="inlineStr">
        <is>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is>
      </c>
      <c r="Q42" s="11" t="inlineStr">
        <is>
          <t>Anwendungen</t>
        </is>
      </c>
      <c r="R42" s="11" t="inlineStr">
        <is>
          <t>Konfigurationshistorie</t>
        </is>
      </c>
      <c r="S42" s="12" t="inlineStr">
        <is>
          <t>die Anmeldung über einen zentralen Identitätsprovider</t>
        </is>
      </c>
      <c r="T42" s="12" t="inlineStr">
        <is>
          <t>G 0.36 – Identitätsdiebstahl; G 0.30 – Unberechtigte Nutzung oder Administration von Geräten und Systemen; G 0.32 – Missbrauch von Berechtigungen</t>
        </is>
      </c>
      <c r="U42" s="11" t="n">
        <v>3</v>
      </c>
      <c r="V42" s="11" t="n">
        <v>1</v>
      </c>
      <c r="W42" s="11" t="n">
        <v>1</v>
      </c>
      <c r="X42" s="11" t="n">
        <v>1</v>
      </c>
      <c r="Y42" s="11" t="n">
        <v>1</v>
      </c>
    </row>
    <row r="43">
      <c r="A43" s="9" t="inlineStr">
        <is>
          <t>BER.3.8</t>
        </is>
      </c>
      <c r="B43" s="10" t="inlineStr">
        <is>
          <t>Hinweise bei Anmeldefehlern</t>
        </is>
      </c>
      <c r="C43" s="11" t="n"/>
      <c r="D43" s="11" t="inlineStr">
        <is>
          <t>Standard-Anforderungen</t>
        </is>
      </c>
      <c r="E43" s="12" t="inlineStr">
        <is>
          <t>Gesamt:</t>
        </is>
      </c>
      <c r="F43" s="11" t="n"/>
      <c r="G43" s="11" t="n"/>
      <c r="H43" s="13">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
      </c>
      <c r="I43" s="11" t="n"/>
      <c r="J43" s="11" t="n"/>
      <c r="K43" s="11" t="n"/>
      <c r="L43" s="11" t="n"/>
      <c r="M43" s="11" t="inlineStr">
        <is>
          <t>Vertraulichkeit</t>
        </is>
      </c>
      <c r="N43" s="12" t="inlineStr"/>
      <c r="O43" s="11" t="inlineStr"/>
      <c r="P43" s="12" t="inlineStr">
        <is>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is>
      </c>
      <c r="Q43" s="11" t="inlineStr">
        <is>
          <t>Anwendungen</t>
        </is>
      </c>
      <c r="R43" s="11" t="inlineStr">
        <is>
          <t>Konfigurationshistorie</t>
        </is>
      </c>
      <c r="S43" s="12" t="inlineStr">
        <is>
          <t>Hinweise darauf, ob ein Zugangskonto existiert</t>
        </is>
      </c>
      <c r="T43" s="12" t="inlineStr">
        <is>
          <t>G 0.36 – Identitätsdiebstahl; G 0.30 – Unberechtigte Nutzung oder Administration von Geräten und Systemen; G 0.32 – Missbrauch von Berechtigungen</t>
        </is>
      </c>
      <c r="U43" s="11" t="n">
        <v>3</v>
      </c>
      <c r="V43" s="11" t="n">
        <v>2</v>
      </c>
      <c r="W43" s="11" t="n">
        <v>1</v>
      </c>
      <c r="X43" s="11" t="n">
        <v>1</v>
      </c>
      <c r="Y43" s="11" t="n">
        <v>1</v>
      </c>
    </row>
    <row r="44">
      <c r="A44" s="11" t="inlineStr">
        <is>
          <t>BER.3.8</t>
        </is>
      </c>
      <c r="B44" s="12" t="inlineStr">
        <is>
          <t>Hinweise bei Anmeldefehlern</t>
        </is>
      </c>
      <c r="C44" s="11" t="inlineStr">
        <is>
          <t>BER.3.8</t>
        </is>
      </c>
      <c r="D44" s="11" t="inlineStr">
        <is>
          <t>Standard-Anforderungen</t>
        </is>
      </c>
      <c r="E44" s="12" t="inlineStr">
        <is>
          <t>Berechtigung für Anwendungen SOLLTE Hinweise darauf, ob ein Zugangskonto existiert bei erfolglosen Anmeldeversuchen deaktivieren.</t>
        </is>
      </c>
      <c r="F44" s="14" t="n"/>
      <c r="G44" s="14" t="n"/>
      <c r="H44" s="14" t="inlineStr">
        <is>
          <t>unbearbeitet</t>
        </is>
      </c>
      <c r="I44" s="14" t="n"/>
      <c r="J44" s="14" t="n"/>
      <c r="K44" s="14" t="n"/>
      <c r="L44" s="15" t="n"/>
      <c r="M44" s="11" t="inlineStr">
        <is>
          <t>Vertraulichkeit</t>
        </is>
      </c>
      <c r="N44" s="12" t="inlineStr"/>
      <c r="O44" s="11" t="inlineStr"/>
      <c r="P44" s="12" t="inlineStr">
        <is>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is>
      </c>
      <c r="Q44" s="11" t="inlineStr">
        <is>
          <t>Anwendungen</t>
        </is>
      </c>
      <c r="R44" s="11" t="inlineStr">
        <is>
          <t>Konfigurationshistorie</t>
        </is>
      </c>
      <c r="S44" s="12" t="inlineStr">
        <is>
          <t>Hinweise darauf, ob ein Zugangskonto existiert</t>
        </is>
      </c>
      <c r="T44" s="12" t="inlineStr">
        <is>
          <t>G 0.36 – Identitätsdiebstahl; G 0.30 – Unberechtigte Nutzung oder Administration von Geräten und Systemen; G 0.32 – Missbrauch von Berechtigungen</t>
        </is>
      </c>
      <c r="U44" s="11" t="n">
        <v>3</v>
      </c>
      <c r="V44" s="11" t="n">
        <v>2</v>
      </c>
      <c r="W44" s="11" t="n">
        <v>1</v>
      </c>
      <c r="X44" s="11" t="n">
        <v>1</v>
      </c>
      <c r="Y44" s="11" t="n">
        <v>1</v>
      </c>
    </row>
    <row r="45">
      <c r="A45" s="9" t="inlineStr">
        <is>
          <t>BER.3.9</t>
        </is>
      </c>
      <c r="B45" s="10" t="inlineStr">
        <is>
          <t>Ereignisgesteuerte Deaktivierung</t>
        </is>
      </c>
      <c r="C45" s="11" t="n"/>
      <c r="D45" s="11" t="inlineStr">
        <is>
          <t>Standard-Anforderungen</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is>
          <t>Vertraulichkeit</t>
        </is>
      </c>
      <c r="N45" s="12" t="inlineStr">
        <is>
          <t>APP.3.1.A1-UA.4</t>
        </is>
      </c>
      <c r="O45" s="11" t="inlineStr">
        <is>
          <t>intersects-with</t>
        </is>
      </c>
      <c r="P45" s="12" t="inlineStr">
        <is>
          <t>Ungenutzte Zugangskonten stellen ein unnötiges Risiko für unberechtigte Zugriffe dar. Werden sie z.B. bei längerer Inaktivität, bei Personalweggang oder bei Verletzung von Richtlinien unverzüglich deaktiviert, so vermindert sich das Risiko eines Missbrauchs erheblich.</t>
        </is>
      </c>
      <c r="Q45" s="11" t="inlineStr"/>
      <c r="R45" s="11" t="inlineStr">
        <is>
          <t>Ergebnisprotokoll</t>
        </is>
      </c>
      <c r="S45" s="12" t="inlineStr">
        <is>
          <t>Zugangskonten</t>
        </is>
      </c>
      <c r="T45" s="12" t="inlineStr">
        <is>
          <t>G 0.36 – Identitätsdiebstahl; G 0.30 – Unberechtigte Nutzung oder Administration von Geräten und Systemen; G 0.32 – Missbrauch von Berechtigungen</t>
        </is>
      </c>
      <c r="U45" s="11" t="n">
        <v>3</v>
      </c>
      <c r="V45" s="11" t="n">
        <v>2</v>
      </c>
      <c r="W45" s="11" t="n">
        <v>1</v>
      </c>
      <c r="X45" s="11" t="n">
        <v>1</v>
      </c>
      <c r="Y45" s="11" t="n">
        <v>1</v>
      </c>
    </row>
    <row r="46">
      <c r="A46" s="11" t="inlineStr">
        <is>
          <t>BER.3.9</t>
        </is>
      </c>
      <c r="B46" s="12" t="inlineStr">
        <is>
          <t>Ereignisgesteuerte Deaktivierung</t>
        </is>
      </c>
      <c r="C46" s="11" t="inlineStr">
        <is>
          <t>BER.3.9</t>
        </is>
      </c>
      <c r="D46" s="11" t="inlineStr">
        <is>
          <t>Standard-Anforderungen</t>
        </is>
      </c>
      <c r="E46" s="12" t="inlineStr">
        <is>
          <t>Berechtigung SOLLTE Zugangskonten ereignisgesteuert deaktivieren.</t>
        </is>
      </c>
      <c r="F46" s="14" t="n"/>
      <c r="G46" s="14" t="n"/>
      <c r="H46" s="14" t="inlineStr">
        <is>
          <t>unbearbeitet</t>
        </is>
      </c>
      <c r="I46" s="14" t="n"/>
      <c r="J46" s="14" t="n"/>
      <c r="K46" s="14" t="n"/>
      <c r="L46" s="15" t="n"/>
      <c r="M46" s="11" t="inlineStr">
        <is>
          <t>Vertraulichkeit</t>
        </is>
      </c>
      <c r="N46" s="12" t="inlineStr">
        <is>
          <t>APP.3.1.A1-UA.4</t>
        </is>
      </c>
      <c r="O46" s="11" t="inlineStr">
        <is>
          <t>intersects-with</t>
        </is>
      </c>
      <c r="P46" s="12" t="inlineStr">
        <is>
          <t>Ungenutzte Zugangskonten stellen ein unnötiges Risiko für unberechtigte Zugriffe dar. Werden sie z.B. bei längerer Inaktivität, bei Personalweggang oder bei Verletzung von Richtlinien unverzüglich deaktiviert, so vermindert sich das Risiko eines Missbrauchs erheblich.</t>
        </is>
      </c>
      <c r="Q46" s="11" t="inlineStr"/>
      <c r="R46" s="11" t="inlineStr">
        <is>
          <t>Ergebnisprotokoll</t>
        </is>
      </c>
      <c r="S46" s="12" t="inlineStr">
        <is>
          <t>Zugangskonten</t>
        </is>
      </c>
      <c r="T46" s="12" t="inlineStr">
        <is>
          <t>G 0.36 – Identitätsdiebstahl; G 0.30 – Unberechtigte Nutzung oder Administration von Geräten und Systemen; G 0.32 – Missbrauch von Berechtigungen</t>
        </is>
      </c>
      <c r="U46" s="11" t="n">
        <v>3</v>
      </c>
      <c r="V46" s="11" t="n">
        <v>2</v>
      </c>
      <c r="W46" s="11" t="n">
        <v>1</v>
      </c>
      <c r="X46" s="11" t="n">
        <v>1</v>
      </c>
      <c r="Y46" s="11" t="n">
        <v>1</v>
      </c>
    </row>
    <row r="47">
      <c r="A47" s="9" t="inlineStr">
        <is>
          <t>BER.3.10</t>
        </is>
      </c>
      <c r="B47" s="10" t="inlineStr">
        <is>
          <t>Anmeldeversuchsgrenze am System</t>
        </is>
      </c>
      <c r="C47" s="11" t="n"/>
      <c r="D47" s="11" t="inlineStr">
        <is>
          <t>Standard-Anforderungen</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c r="N47" s="12" t="inlineStr">
        <is>
          <t>APP.3.1.A1-UA.4</t>
        </is>
      </c>
      <c r="O47" s="11" t="inlineStr">
        <is>
          <t>intersects-with</t>
        </is>
      </c>
      <c r="P47" s="12" t="inlineStr">
        <is>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is>
      </c>
      <c r="Q47" s="11" t="inlineStr">
        <is>
          <t>IT-Systeme</t>
        </is>
      </c>
      <c r="R47" s="11" t="inlineStr">
        <is>
          <t>Konfigurationshistorie</t>
        </is>
      </c>
      <c r="S47" s="12" t="inlineStr">
        <is>
          <t>weitere Anmeldeversuche nach Erreichen von {{einem maximalen Schwellwert an}} fehlgeschlagenen Versuchen</t>
        </is>
      </c>
      <c r="T47" s="12" t="inlineStr">
        <is>
          <t>G 0.36 – Identitätsdiebstahl; G 0.30 – Unberechtigte Nutzung oder Administration von Geräten und Systemen; G 0.32 – Missbrauch von Berechtigungen</t>
        </is>
      </c>
      <c r="U47" s="11" t="n">
        <v>2</v>
      </c>
      <c r="V47" s="11" t="n">
        <v>1</v>
      </c>
      <c r="W47" s="11" t="n">
        <v>1</v>
      </c>
      <c r="X47" s="11" t="n">
        <v>1</v>
      </c>
      <c r="Y47" s="11" t="n">
        <v>1</v>
      </c>
    </row>
    <row r="48">
      <c r="A48" s="11" t="inlineStr">
        <is>
          <t>BER.3.10</t>
        </is>
      </c>
      <c r="B48" s="12" t="inlineStr">
        <is>
          <t>Anmeldeversuchsgrenze am System</t>
        </is>
      </c>
      <c r="C48" s="11" t="inlineStr">
        <is>
          <t>BER.3.10</t>
        </is>
      </c>
      <c r="D48" s="11" t="inlineStr">
        <is>
          <t>Standard-Anforderungen</t>
        </is>
      </c>
      <c r="E48" s="12" t="inlineStr">
        <is>
          <t>Berechtigung für IT-Systeme SOLLTE weitere Anmeldeversuche nach Erreichen von einem maximalen Schwellwert an fehlgeschlagenen Versuchen vorübergehend blockieren.</t>
        </is>
      </c>
      <c r="F48" s="14" t="n"/>
      <c r="G48" s="14" t="n"/>
      <c r="H48" s="14" t="inlineStr">
        <is>
          <t>unbearbeitet</t>
        </is>
      </c>
      <c r="I48" s="14" t="n"/>
      <c r="J48" s="14" t="n"/>
      <c r="K48" s="14" t="n"/>
      <c r="L48" s="15" t="n"/>
      <c r="M48" s="11" t="inlineStr"/>
      <c r="N48" s="12" t="inlineStr">
        <is>
          <t>APP.3.1.A1-UA.4</t>
        </is>
      </c>
      <c r="O48" s="11" t="inlineStr">
        <is>
          <t>intersects-with</t>
        </is>
      </c>
      <c r="P48" s="12" t="inlineStr">
        <is>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is>
      </c>
      <c r="Q48" s="11" t="inlineStr">
        <is>
          <t>IT-Systeme</t>
        </is>
      </c>
      <c r="R48" s="11" t="inlineStr">
        <is>
          <t>Konfigurationshistorie</t>
        </is>
      </c>
      <c r="S48" s="12" t="inlineStr">
        <is>
          <t>weitere Anmeldeversuche nach Erreichen von {{einem maximalen Schwellwert an}} fehlgeschlagenen Versuchen</t>
        </is>
      </c>
      <c r="T48" s="12" t="inlineStr">
        <is>
          <t>G 0.36 – Identitätsdiebstahl; G 0.30 – Unberechtigte Nutzung oder Administration von Geräten und Systemen; G 0.32 – Missbrauch von Berechtigungen</t>
        </is>
      </c>
      <c r="U48" s="11" t="n">
        <v>2</v>
      </c>
      <c r="V48" s="11" t="n">
        <v>1</v>
      </c>
      <c r="W48" s="11" t="n">
        <v>1</v>
      </c>
      <c r="X48" s="11" t="n">
        <v>1</v>
      </c>
      <c r="Y48" s="11" t="n">
        <v>1</v>
      </c>
    </row>
    <row r="49">
      <c r="A49" s="9" t="inlineStr">
        <is>
          <t>BER.3.11</t>
        </is>
      </c>
      <c r="B49" s="10" t="inlineStr">
        <is>
          <t>Anmeldeversuchsgrenze an der Anwendung</t>
        </is>
      </c>
      <c r="C49" s="11" t="n"/>
      <c r="D49" s="11" t="inlineStr">
        <is>
          <t>Standard-Anforderungen</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c r="N49" s="12" t="inlineStr">
        <is>
          <t>SYS.2.1.A1-UA.2; SYS.2.1.A1-UA.3</t>
        </is>
      </c>
      <c r="O49" s="11" t="inlineStr">
        <is>
          <t>intersects-with; intersects-with</t>
        </is>
      </c>
      <c r="P49" s="12" t="inlineStr">
        <is>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is>
      </c>
      <c r="Q49" s="11" t="inlineStr">
        <is>
          <t>Anwendungen</t>
        </is>
      </c>
      <c r="R49" s="11" t="inlineStr">
        <is>
          <t>Konfigurationshistorie</t>
        </is>
      </c>
      <c r="S49" s="12" t="inlineStr">
        <is>
          <t>weitere Anmeldeversuche nach Erreichen von {{einem maximalen Schwellwert an}} fehlgeschlagenen Versuchen</t>
        </is>
      </c>
      <c r="T49" s="12" t="inlineStr">
        <is>
          <t>G 0.36 – Identitätsdiebstahl; G 0.30 – Unberechtigte Nutzung oder Administration von Geräten und Systemen; G 0.32 – Missbrauch von Berechtigungen</t>
        </is>
      </c>
      <c r="U49" s="11" t="n">
        <v>2</v>
      </c>
      <c r="V49" s="11" t="n">
        <v>1</v>
      </c>
      <c r="W49" s="11" t="n">
        <v>1</v>
      </c>
      <c r="X49" s="11" t="n">
        <v>1</v>
      </c>
      <c r="Y49" s="11" t="n">
        <v>1</v>
      </c>
    </row>
    <row r="50">
      <c r="A50" s="11" t="inlineStr">
        <is>
          <t>BER.3.11</t>
        </is>
      </c>
      <c r="B50" s="12" t="inlineStr">
        <is>
          <t>Anmeldeversuchsgrenze an der Anwendung</t>
        </is>
      </c>
      <c r="C50" s="11" t="inlineStr">
        <is>
          <t>BER.3.11</t>
        </is>
      </c>
      <c r="D50" s="11" t="inlineStr">
        <is>
          <t>Standard-Anforderungen</t>
        </is>
      </c>
      <c r="E50" s="12" t="inlineStr">
        <is>
          <t>Berechtigung für Anwendungen SOLLTE weitere Anmeldeversuche nach Erreichen von einem maximalen Schwellwert an fehlgeschlagenen Versuchen vorübergehend blockieren.</t>
        </is>
      </c>
      <c r="F50" s="14" t="n"/>
      <c r="G50" s="14" t="n"/>
      <c r="H50" s="14" t="inlineStr">
        <is>
          <t>unbearbeitet</t>
        </is>
      </c>
      <c r="I50" s="14" t="n"/>
      <c r="J50" s="14" t="n"/>
      <c r="K50" s="14" t="n"/>
      <c r="L50" s="15" t="n"/>
      <c r="M50" s="11" t="inlineStr"/>
      <c r="N50" s="12" t="inlineStr">
        <is>
          <t>SYS.2.1.A1-UA.2; SYS.2.1.A1-UA.3</t>
        </is>
      </c>
      <c r="O50" s="11" t="inlineStr">
        <is>
          <t>intersects-with; intersects-with</t>
        </is>
      </c>
      <c r="P50" s="12" t="inlineStr">
        <is>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is>
      </c>
      <c r="Q50" s="11" t="inlineStr">
        <is>
          <t>Anwendungen</t>
        </is>
      </c>
      <c r="R50" s="11" t="inlineStr">
        <is>
          <t>Konfigurationshistorie</t>
        </is>
      </c>
      <c r="S50" s="12" t="inlineStr">
        <is>
          <t>weitere Anmeldeversuche nach Erreichen von {{einem maximalen Schwellwert an}} fehlgeschlagenen Versuchen</t>
        </is>
      </c>
      <c r="T50" s="12" t="inlineStr">
        <is>
          <t>G 0.36 – Identitätsdiebstahl; G 0.30 – Unberechtigte Nutzung oder Administration von Geräten und Systemen; G 0.32 – Missbrauch von Berechtigungen</t>
        </is>
      </c>
      <c r="U50" s="11" t="n">
        <v>2</v>
      </c>
      <c r="V50" s="11" t="n">
        <v>1</v>
      </c>
      <c r="W50" s="11" t="n">
        <v>1</v>
      </c>
      <c r="X50" s="11" t="n">
        <v>1</v>
      </c>
      <c r="Y50" s="11" t="n">
        <v>1</v>
      </c>
    </row>
    <row r="51">
      <c r="A51" s="9" t="inlineStr">
        <is>
          <t>BER.3.12</t>
        </is>
      </c>
      <c r="B51" s="10" t="inlineStr">
        <is>
          <t>Systemsperre bei Inaktivität</t>
        </is>
      </c>
      <c r="C51" s="11" t="n"/>
      <c r="D51" s="11" t="inlineStr">
        <is>
          <t>Standard-Anforderungen</t>
        </is>
      </c>
      <c r="E51" s="12" t="inlineStr">
        <is>
          <t>Gesamt:</t>
        </is>
      </c>
      <c r="F51" s="11" t="n"/>
      <c r="G51" s="11" t="n"/>
      <c r="H51" s="13">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
      </c>
      <c r="I51" s="11" t="n"/>
      <c r="J51" s="11" t="n"/>
      <c r="K51" s="11" t="n"/>
      <c r="L51" s="11" t="n"/>
      <c r="M51" s="11" t="inlineStr"/>
      <c r="N51" s="12" t="inlineStr"/>
      <c r="O51" s="11" t="inlineStr"/>
      <c r="P51" s="12" t="inlineStr">
        <is>
          <t>Kann durch eine Bildschirmsperre oder Abmeldung (Automatic Session Locking) umgesetzt werden. Eine längere Inaktivität kann z.B. 5-15 Minuten lang sein. Verwendet das System keine eigene Authentifizierung, so ist auch diese Anforderung entbehrlich.</t>
        </is>
      </c>
      <c r="Q51" s="11" t="inlineStr">
        <is>
          <t>IT-Systeme</t>
        </is>
      </c>
      <c r="R51" s="11" t="inlineStr">
        <is>
          <t>Konfigurationshistorie</t>
        </is>
      </c>
      <c r="S51" s="12" t="inlineStr">
        <is>
          <t>eine Sperre bei Inaktivität</t>
        </is>
      </c>
      <c r="T51" s="12" t="inlineStr">
        <is>
          <t>G 0.36 – Identitätsdiebstahl; G 0.30 – Unberechtigte Nutzung oder Administration von Geräten und Systemen; G 0.32 – Missbrauch von Berechtigungen</t>
        </is>
      </c>
      <c r="U51" s="11" t="n">
        <v>2</v>
      </c>
      <c r="V51" s="11" t="n">
        <v>1</v>
      </c>
      <c r="W51" s="11" t="n">
        <v>1</v>
      </c>
      <c r="X51" s="11" t="n">
        <v>1</v>
      </c>
      <c r="Y51" s="11" t="n">
        <v>1</v>
      </c>
    </row>
    <row r="52">
      <c r="A52" s="11" t="inlineStr">
        <is>
          <t>BER.3.12</t>
        </is>
      </c>
      <c r="B52" s="12" t="inlineStr">
        <is>
          <t>Systemsperre bei Inaktivität</t>
        </is>
      </c>
      <c r="C52" s="11" t="inlineStr">
        <is>
          <t>BER.3.12</t>
        </is>
      </c>
      <c r="D52" s="11" t="inlineStr">
        <is>
          <t>Standard-Anforderungen</t>
        </is>
      </c>
      <c r="E52" s="12" t="inlineStr">
        <is>
          <t>Berechtigung für IT-Systeme SOLLTE eine Sperre bei Inaktivität nach einer Frist aktivieren.</t>
        </is>
      </c>
      <c r="F52" s="14" t="n"/>
      <c r="G52" s="14" t="n"/>
      <c r="H52" s="14" t="inlineStr">
        <is>
          <t>unbearbeitet</t>
        </is>
      </c>
      <c r="I52" s="14" t="n"/>
      <c r="J52" s="14" t="n"/>
      <c r="K52" s="14" t="n"/>
      <c r="L52" s="15" t="n"/>
      <c r="M52" s="11" t="inlineStr"/>
      <c r="N52" s="12" t="inlineStr"/>
      <c r="O52" s="11" t="inlineStr"/>
      <c r="P52" s="12" t="inlineStr">
        <is>
          <t>Kann durch eine Bildschirmsperre oder Abmeldung (Automatic Session Locking) umgesetzt werden. Eine längere Inaktivität kann z.B. 5-15 Minuten lang sein. Verwendet das System keine eigene Authentifizierung, so ist auch diese Anforderung entbehrlich.</t>
        </is>
      </c>
      <c r="Q52" s="11" t="inlineStr">
        <is>
          <t>IT-Systeme</t>
        </is>
      </c>
      <c r="R52" s="11" t="inlineStr">
        <is>
          <t>Konfigurationshistorie</t>
        </is>
      </c>
      <c r="S52" s="12" t="inlineStr">
        <is>
          <t>eine Sperre bei Inaktivität</t>
        </is>
      </c>
      <c r="T52" s="12" t="inlineStr">
        <is>
          <t>G 0.36 – Identitätsdiebstahl; G 0.30 – Unberechtigte Nutzung oder Administration von Geräten und Systemen; G 0.32 – Missbrauch von Berechtigungen</t>
        </is>
      </c>
      <c r="U52" s="11" t="n">
        <v>2</v>
      </c>
      <c r="V52" s="11" t="n">
        <v>1</v>
      </c>
      <c r="W52" s="11" t="n">
        <v>1</v>
      </c>
      <c r="X52" s="11" t="n">
        <v>1</v>
      </c>
      <c r="Y52" s="11" t="n">
        <v>1</v>
      </c>
    </row>
    <row r="53">
      <c r="A53" s="9" t="inlineStr">
        <is>
          <t>BER.3.13</t>
        </is>
      </c>
      <c r="B53" s="10" t="inlineStr">
        <is>
          <t>Sperre der Anwendung bei Inaktivität</t>
        </is>
      </c>
      <c r="C53" s="11" t="n"/>
      <c r="D53" s="11" t="inlineStr">
        <is>
          <t>Standard-Anforderungen</t>
        </is>
      </c>
      <c r="E53" s="12" t="inlineStr">
        <is>
          <t>Gesamt:</t>
        </is>
      </c>
      <c r="F53" s="11" t="n"/>
      <c r="G53" s="11" t="n"/>
      <c r="H53" s="13">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
      </c>
      <c r="I53" s="11" t="n"/>
      <c r="J53" s="11" t="n"/>
      <c r="K53" s="11" t="n"/>
      <c r="L53" s="11" t="n"/>
      <c r="M53" s="11" t="inlineStr"/>
      <c r="N53" s="12" t="inlineStr"/>
      <c r="O53" s="11" t="inlineStr"/>
      <c r="P53" s="12" t="inlineStr">
        <is>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is>
      </c>
      <c r="Q53" s="11" t="inlineStr">
        <is>
          <t>Anwendungen</t>
        </is>
      </c>
      <c r="R53" s="11" t="inlineStr">
        <is>
          <t>Konfigurationshistorie</t>
        </is>
      </c>
      <c r="S53" s="12" t="inlineStr">
        <is>
          <t>eine Sperre bei Inaktivität</t>
        </is>
      </c>
      <c r="T53" s="12" t="inlineStr">
        <is>
          <t>G 0.36 – Identitätsdiebstahl; G 0.30 – Unberechtigte Nutzung oder Administration von Geräten und Systemen; G 0.32 – Missbrauch von Berechtigungen</t>
        </is>
      </c>
      <c r="U53" s="11" t="n">
        <v>2</v>
      </c>
      <c r="V53" s="11" t="n">
        <v>1</v>
      </c>
      <c r="W53" s="11" t="n">
        <v>1</v>
      </c>
      <c r="X53" s="11" t="n">
        <v>1</v>
      </c>
      <c r="Y53" s="11" t="n">
        <v>1</v>
      </c>
    </row>
    <row r="54">
      <c r="A54" s="11" t="inlineStr">
        <is>
          <t>BER.3.13</t>
        </is>
      </c>
      <c r="B54" s="12" t="inlineStr">
        <is>
          <t>Sperre der Anwendung bei Inaktivität</t>
        </is>
      </c>
      <c r="C54" s="11" t="inlineStr">
        <is>
          <t>BER.3.13</t>
        </is>
      </c>
      <c r="D54" s="11" t="inlineStr">
        <is>
          <t>Standard-Anforderungen</t>
        </is>
      </c>
      <c r="E54" s="12" t="inlineStr">
        <is>
          <t>Berechtigung für Anwendungen SOLLTE eine Sperre bei Inaktivität nach einer Frist aktivieren.</t>
        </is>
      </c>
      <c r="F54" s="14" t="n"/>
      <c r="G54" s="14" t="n"/>
      <c r="H54" s="14" t="inlineStr">
        <is>
          <t>unbearbeitet</t>
        </is>
      </c>
      <c r="I54" s="14" t="n"/>
      <c r="J54" s="14" t="n"/>
      <c r="K54" s="14" t="n"/>
      <c r="L54" s="15" t="n"/>
      <c r="M54" s="11" t="inlineStr"/>
      <c r="N54" s="12" t="inlineStr"/>
      <c r="O54" s="11" t="inlineStr"/>
      <c r="P54" s="12" t="inlineStr">
        <is>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is>
      </c>
      <c r="Q54" s="11" t="inlineStr">
        <is>
          <t>Anwendungen</t>
        </is>
      </c>
      <c r="R54" s="11" t="inlineStr">
        <is>
          <t>Konfigurationshistorie</t>
        </is>
      </c>
      <c r="S54" s="12" t="inlineStr">
        <is>
          <t>eine Sperre bei Inaktivität</t>
        </is>
      </c>
      <c r="T54" s="12" t="inlineStr">
        <is>
          <t>G 0.36 – Identitätsdiebstahl; G 0.30 – Unberechtigte Nutzung oder Administration von Geräten und Systemen; G 0.32 – Missbrauch von Berechtigungen</t>
        </is>
      </c>
      <c r="U54" s="11" t="n">
        <v>2</v>
      </c>
      <c r="V54" s="11" t="n">
        <v>1</v>
      </c>
      <c r="W54" s="11" t="n">
        <v>1</v>
      </c>
      <c r="X54" s="11" t="n">
        <v>1</v>
      </c>
      <c r="Y54" s="11" t="n">
        <v>1</v>
      </c>
    </row>
    <row r="55">
      <c r="A55" s="9" t="inlineStr">
        <is>
          <t>BER.3.14</t>
        </is>
      </c>
      <c r="B55" s="10" t="inlineStr">
        <is>
          <t>Kein Recycling von Zugängen</t>
        </is>
      </c>
      <c r="C55" s="11" t="n"/>
      <c r="D55" s="11" t="inlineStr">
        <is>
          <t>Standard-Anforderungen</t>
        </is>
      </c>
      <c r="E55" s="12" t="inlineStr">
        <is>
          <t>Gesamt:</t>
        </is>
      </c>
      <c r="F55" s="11" t="n"/>
      <c r="G55" s="11" t="n"/>
      <c r="H55" s="13">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
      </c>
      <c r="I55" s="11" t="n"/>
      <c r="J55" s="11" t="n"/>
      <c r="K55" s="11" t="n"/>
      <c r="L55" s="11" t="n"/>
      <c r="M55" s="11" t="inlineStr"/>
      <c r="N55" s="12" t="inlineStr"/>
      <c r="O55" s="11" t="inlineStr"/>
      <c r="P55" s="12" t="inlineStr">
        <is>
          <t>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is>
      </c>
      <c r="Q55" s="11" t="inlineStr"/>
      <c r="R55" s="11" t="inlineStr">
        <is>
          <t>IT-Betriebskonzept</t>
        </is>
      </c>
      <c r="S55" s="12" t="inlineStr">
        <is>
          <t>die Wiederverwendung von Zugangskonten</t>
        </is>
      </c>
      <c r="T55" s="12" t="inlineStr">
        <is>
          <t>G 0.30 – Unberechtigte Nutzung oder Administration von Geräten und Systemen; G 0.32 – Missbrauch von Berechtigungen; G 0.36 – Identitätsdiebstahl</t>
        </is>
      </c>
      <c r="U55" s="11" t="n">
        <v>3</v>
      </c>
      <c r="V55" s="11" t="n">
        <v>1</v>
      </c>
      <c r="W55" s="11" t="n">
        <v>1</v>
      </c>
      <c r="X55" s="11" t="n">
        <v>0</v>
      </c>
      <c r="Y55" s="11" t="n">
        <v>1</v>
      </c>
    </row>
    <row r="56">
      <c r="A56" s="11" t="inlineStr">
        <is>
          <t>BER.3.14</t>
        </is>
      </c>
      <c r="B56" s="12" t="inlineStr">
        <is>
          <t>Kein Recycling von Zugängen</t>
        </is>
      </c>
      <c r="C56" s="11" t="inlineStr">
        <is>
          <t>BER.3.14</t>
        </is>
      </c>
      <c r="D56" s="11" t="inlineStr">
        <is>
          <t>Standard-Anforderungen</t>
        </is>
      </c>
      <c r="E56" s="12" t="inlineStr">
        <is>
          <t>Berechtigung SOLLTE die Wiederverwendung von Zugangskonten für einen bestimmten Zeitraum blockieren.</t>
        </is>
      </c>
      <c r="F56" s="14" t="n"/>
      <c r="G56" s="14" t="n"/>
      <c r="H56" s="14" t="inlineStr">
        <is>
          <t>unbearbeitet</t>
        </is>
      </c>
      <c r="I56" s="14" t="n"/>
      <c r="J56" s="14" t="n"/>
      <c r="K56" s="14" t="n"/>
      <c r="L56" s="15" t="n"/>
      <c r="M56" s="11" t="inlineStr"/>
      <c r="N56" s="12" t="inlineStr"/>
      <c r="O56" s="11" t="inlineStr"/>
      <c r="P56" s="12" t="inlineStr">
        <is>
          <t>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is>
      </c>
      <c r="Q56" s="11" t="inlineStr"/>
      <c r="R56" s="11" t="inlineStr">
        <is>
          <t>IT-Betriebskonzept</t>
        </is>
      </c>
      <c r="S56" s="12" t="inlineStr">
        <is>
          <t>die Wiederverwendung von Zugangskonten</t>
        </is>
      </c>
      <c r="T56" s="12" t="inlineStr">
        <is>
          <t>G 0.30 – Unberechtigte Nutzung oder Administration von Geräten und Systemen; G 0.32 – Missbrauch von Berechtigungen; G 0.36 – Identitätsdiebstahl</t>
        </is>
      </c>
      <c r="U56" s="11" t="n">
        <v>3</v>
      </c>
      <c r="V56" s="11" t="n">
        <v>1</v>
      </c>
      <c r="W56" s="11" t="n">
        <v>1</v>
      </c>
      <c r="X56" s="11" t="n">
        <v>0</v>
      </c>
      <c r="Y56" s="11" t="n">
        <v>1</v>
      </c>
    </row>
    <row r="57">
      <c r="A57" s="9" t="inlineStr">
        <is>
          <t>BER.3.15</t>
        </is>
      </c>
      <c r="B57" s="10" t="inlineStr">
        <is>
          <t>Zugang löschen nach Fristablauf</t>
        </is>
      </c>
      <c r="C57" s="11" t="n"/>
      <c r="D57" s="11" t="inlineStr">
        <is>
          <t>Standard-Anforderungen</t>
        </is>
      </c>
      <c r="E57" s="12" t="inlineStr">
        <is>
          <t>Gesamt:</t>
        </is>
      </c>
      <c r="F57" s="11" t="n"/>
      <c r="G57" s="11" t="n"/>
      <c r="H57" s="13">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
      </c>
      <c r="I57" s="11" t="n"/>
      <c r="J57" s="11" t="n"/>
      <c r="K57" s="11" t="n"/>
      <c r="L57" s="11" t="n"/>
      <c r="M57" s="11" t="inlineStr"/>
      <c r="N57" s="12" t="inlineStr"/>
      <c r="O57" s="11" t="inlineStr"/>
      <c r="P57" s="12" t="inlineStr">
        <is>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is>
      </c>
      <c r="Q57" s="11" t="inlineStr"/>
      <c r="R57" s="11" t="inlineStr">
        <is>
          <t>IT-Betriebskonzept</t>
        </is>
      </c>
      <c r="S57" s="12" t="inlineStr">
        <is>
          <t>nicht mehr benötigte Zugangskonten</t>
        </is>
      </c>
      <c r="T57" s="12" t="inlineStr">
        <is>
          <t>G 0.36 – Identitätsdiebstahl; G 0.30 – Unberechtigte Nutzung oder Administration von Geräten und Systemen; G 0.32 – Missbrauch von Berechtigungen</t>
        </is>
      </c>
      <c r="U57" s="11" t="n">
        <v>1</v>
      </c>
      <c r="V57" s="11" t="n">
        <v>1</v>
      </c>
      <c r="W57" s="11" t="n">
        <v>1</v>
      </c>
      <c r="X57" s="11" t="n">
        <v>1</v>
      </c>
      <c r="Y57" s="11" t="n">
        <v>1</v>
      </c>
    </row>
    <row r="58">
      <c r="A58" s="11" t="inlineStr">
        <is>
          <t>BER.3.15</t>
        </is>
      </c>
      <c r="B58" s="12" t="inlineStr">
        <is>
          <t>Zugang löschen nach Fristablauf</t>
        </is>
      </c>
      <c r="C58" s="11" t="inlineStr">
        <is>
          <t>BER.3.15</t>
        </is>
      </c>
      <c r="D58" s="11" t="inlineStr">
        <is>
          <t>Standard-Anforderungen</t>
        </is>
      </c>
      <c r="E58" s="12" t="inlineStr">
        <is>
          <t>Berechtigung SOLLTE nicht mehr benötigte Zugangskonten nach Ablauf der Löschfristen löschen.</t>
        </is>
      </c>
      <c r="F58" s="14" t="n"/>
      <c r="G58" s="14" t="n"/>
      <c r="H58" s="14" t="inlineStr">
        <is>
          <t>unbearbeitet</t>
        </is>
      </c>
      <c r="I58" s="14" t="n"/>
      <c r="J58" s="14" t="n"/>
      <c r="K58" s="14" t="n"/>
      <c r="L58" s="15" t="n"/>
      <c r="M58" s="11" t="inlineStr"/>
      <c r="N58" s="12" t="inlineStr"/>
      <c r="O58" s="11" t="inlineStr"/>
      <c r="P58" s="12" t="inlineStr">
        <is>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is>
      </c>
      <c r="Q58" s="11" t="inlineStr"/>
      <c r="R58" s="11" t="inlineStr">
        <is>
          <t>IT-Betriebskonzept</t>
        </is>
      </c>
      <c r="S58" s="12" t="inlineStr">
        <is>
          <t>nicht mehr benötigte Zugangskonten</t>
        </is>
      </c>
      <c r="T58" s="12" t="inlineStr">
        <is>
          <t>G 0.36 – Identitätsdiebstahl; G 0.30 – Unberechtigte Nutzung oder Administration von Geräten und Systemen; G 0.32 – Missbrauch von Berechtigungen</t>
        </is>
      </c>
      <c r="U58" s="11" t="n">
        <v>1</v>
      </c>
      <c r="V58" s="11" t="n">
        <v>1</v>
      </c>
      <c r="W58" s="11" t="n">
        <v>1</v>
      </c>
      <c r="X58" s="11" t="n">
        <v>1</v>
      </c>
      <c r="Y58" s="11" t="n">
        <v>1</v>
      </c>
    </row>
    <row r="59">
      <c r="A59" s="9" t="inlineStr">
        <is>
          <t>BER.3.16</t>
        </is>
      </c>
      <c r="B59" s="10" t="inlineStr">
        <is>
          <t>Keine Gruppenkonten</t>
        </is>
      </c>
      <c r="C59" s="11" t="n"/>
      <c r="D59" s="11" t="inlineStr">
        <is>
          <t>Standard-Anforderungen</t>
        </is>
      </c>
      <c r="E59" s="12" t="inlineStr">
        <is>
          <t>Gesamt:</t>
        </is>
      </c>
      <c r="F59" s="11" t="n"/>
      <c r="G59" s="11" t="n"/>
      <c r="H59" s="13">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
      </c>
      <c r="I59" s="11" t="n"/>
      <c r="J59" s="11" t="n"/>
      <c r="K59" s="11" t="n"/>
      <c r="L59" s="11" t="n"/>
      <c r="M59" s="11" t="inlineStr">
        <is>
          <t>Authentizität</t>
        </is>
      </c>
      <c r="N59" s="12" t="inlineStr"/>
      <c r="O59" s="11" t="inlineStr"/>
      <c r="P59" s="12" t="inlineStr">
        <is>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is>
      </c>
      <c r="Q59" s="11" t="inlineStr"/>
      <c r="R59" s="11" t="inlineStr">
        <is>
          <t>IT-Betriebskonzept</t>
        </is>
      </c>
      <c r="S59" s="12" t="inlineStr">
        <is>
          <t>Gruppenkonten im Regelbetrieb</t>
        </is>
      </c>
      <c r="T59" s="12" t="inlineStr">
        <is>
          <t>G 0.36 – Identitätsdiebstahl; G 0.30 – Unberechtigte Nutzung oder Administration von Geräten und Systemen; G 0.32 – Missbrauch von Berechtigungen</t>
        </is>
      </c>
      <c r="U59" s="11" t="n">
        <v>2</v>
      </c>
      <c r="V59" s="11" t="n">
        <v>1</v>
      </c>
      <c r="W59" s="11" t="n">
        <v>1</v>
      </c>
      <c r="X59" s="11" t="n">
        <v>1</v>
      </c>
      <c r="Y59" s="11" t="n">
        <v>2</v>
      </c>
    </row>
    <row r="60">
      <c r="A60" s="11" t="inlineStr">
        <is>
          <t>BER.3.16</t>
        </is>
      </c>
      <c r="B60" s="12" t="inlineStr">
        <is>
          <t>Keine Gruppenkonten</t>
        </is>
      </c>
      <c r="C60" s="11" t="inlineStr">
        <is>
          <t>BER.3.16</t>
        </is>
      </c>
      <c r="D60" s="11" t="inlineStr">
        <is>
          <t>Standard-Anforderungen</t>
        </is>
      </c>
      <c r="E60" s="12" t="inlineStr">
        <is>
          <t>Berechtigung SOLLTE Gruppenkonten im Regelbetrieb untersagen.</t>
        </is>
      </c>
      <c r="F60" s="14" t="n"/>
      <c r="G60" s="14" t="n"/>
      <c r="H60" s="14" t="inlineStr">
        <is>
          <t>unbearbeitet</t>
        </is>
      </c>
      <c r="I60" s="14" t="n"/>
      <c r="J60" s="14" t="n"/>
      <c r="K60" s="14" t="n"/>
      <c r="L60" s="15" t="n"/>
      <c r="M60" s="11" t="inlineStr">
        <is>
          <t>Authentizität</t>
        </is>
      </c>
      <c r="N60" s="12" t="inlineStr"/>
      <c r="O60" s="11" t="inlineStr"/>
      <c r="P60" s="12" t="inlineStr">
        <is>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is>
      </c>
      <c r="Q60" s="11" t="inlineStr"/>
      <c r="R60" s="11" t="inlineStr">
        <is>
          <t>IT-Betriebskonzept</t>
        </is>
      </c>
      <c r="S60" s="12" t="inlineStr">
        <is>
          <t>Gruppenkonten im Regelbetrieb</t>
        </is>
      </c>
      <c r="T60" s="12" t="inlineStr">
        <is>
          <t>G 0.36 – Identitätsdiebstahl; G 0.30 – Unberechtigte Nutzung oder Administration von Geräten und Systemen; G 0.32 – Missbrauch von Berechtigungen</t>
        </is>
      </c>
      <c r="U60" s="11" t="n">
        <v>2</v>
      </c>
      <c r="V60" s="11" t="n">
        <v>1</v>
      </c>
      <c r="W60" s="11" t="n">
        <v>1</v>
      </c>
      <c r="X60" s="11" t="n">
        <v>1</v>
      </c>
      <c r="Y60" s="11" t="n">
        <v>2</v>
      </c>
    </row>
    <row r="61">
      <c r="A61" s="9" t="inlineStr">
        <is>
          <t>BER.3.17</t>
        </is>
      </c>
      <c r="B61" s="10" t="inlineStr">
        <is>
          <t>Gruppenkonten - MFA</t>
        </is>
      </c>
      <c r="C61" s="11" t="n"/>
      <c r="D61" s="11" t="inlineStr">
        <is>
          <t>Standard-Anforderungen</t>
        </is>
      </c>
      <c r="E61" s="12" t="inlineStr">
        <is>
          <t>Gesamt:</t>
        </is>
      </c>
      <c r="F61" s="11" t="n"/>
      <c r="G61" s="11" t="n"/>
      <c r="H61" s="13">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
      </c>
      <c r="I61" s="11" t="n"/>
      <c r="J61" s="11" t="n"/>
      <c r="K61" s="11" t="n"/>
      <c r="L61" s="11" t="n"/>
      <c r="M61" s="11" t="inlineStr">
        <is>
          <t>Vertraulichkeit</t>
        </is>
      </c>
      <c r="N61" s="12" t="inlineStr"/>
      <c r="O61" s="11" t="inlineStr"/>
      <c r="P61" s="12" t="inlineStr">
        <is>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is>
      </c>
      <c r="Q61" s="11" t="inlineStr"/>
      <c r="R61" s="11" t="inlineStr">
        <is>
          <t>IT-Betriebskonzept</t>
        </is>
      </c>
      <c r="S61" s="12" t="inlineStr">
        <is>
          <t>für Gruppenkonten die Mehr-Faktor-Authentisierung</t>
        </is>
      </c>
      <c r="T61" s="12" t="inlineStr">
        <is>
          <t>G 0.36 – Identitätsdiebstahl; G 0.30 – Unberechtigte Nutzung oder Administration von Geräten und Systemen; G 0.32 – Missbrauch von Berechtigungen</t>
        </is>
      </c>
      <c r="U61" s="11" t="n">
        <v>4</v>
      </c>
      <c r="V61" s="11" t="n">
        <v>2</v>
      </c>
      <c r="W61" s="11" t="n">
        <v>1</v>
      </c>
      <c r="X61" s="11" t="n">
        <v>1</v>
      </c>
      <c r="Y61" s="11" t="n">
        <v>1</v>
      </c>
    </row>
    <row r="62">
      <c r="A62" s="11" t="inlineStr">
        <is>
          <t>BER.3.17</t>
        </is>
      </c>
      <c r="B62" s="12" t="inlineStr">
        <is>
          <t>Gruppenkonten - MFA</t>
        </is>
      </c>
      <c r="C62" s="11" t="inlineStr">
        <is>
          <t>BER.3.17</t>
        </is>
      </c>
      <c r="D62" s="11" t="inlineStr">
        <is>
          <t>Standard-Anforderungen</t>
        </is>
      </c>
      <c r="E62" s="12" t="inlineStr">
        <is>
          <t>Berechtigung SOLLTE für Gruppenkonten die Mehr-Faktor-Authentisierung aktivieren.</t>
        </is>
      </c>
      <c r="F62" s="14" t="n"/>
      <c r="G62" s="14" t="n"/>
      <c r="H62" s="14" t="inlineStr">
        <is>
          <t>unbearbeitet</t>
        </is>
      </c>
      <c r="I62" s="14" t="n"/>
      <c r="J62" s="14" t="n"/>
      <c r="K62" s="14" t="n"/>
      <c r="L62" s="15" t="n"/>
      <c r="M62" s="11" t="inlineStr">
        <is>
          <t>Vertraulichkeit</t>
        </is>
      </c>
      <c r="N62" s="12" t="inlineStr"/>
      <c r="O62" s="11" t="inlineStr"/>
      <c r="P62" s="12" t="inlineStr">
        <is>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is>
      </c>
      <c r="Q62" s="11" t="inlineStr"/>
      <c r="R62" s="11" t="inlineStr">
        <is>
          <t>IT-Betriebskonzept</t>
        </is>
      </c>
      <c r="S62" s="12" t="inlineStr">
        <is>
          <t>für Gruppenkonten die Mehr-Faktor-Authentisierung</t>
        </is>
      </c>
      <c r="T62" s="12" t="inlineStr">
        <is>
          <t>G 0.36 – Identitätsdiebstahl; G 0.30 – Unberechtigte Nutzung oder Administration von Geräten und Systemen; G 0.32 – Missbrauch von Berechtigungen</t>
        </is>
      </c>
      <c r="U62" s="11" t="n">
        <v>4</v>
      </c>
      <c r="V62" s="11" t="n">
        <v>2</v>
      </c>
      <c r="W62" s="11" t="n">
        <v>1</v>
      </c>
      <c r="X62" s="11" t="n">
        <v>1</v>
      </c>
      <c r="Y62" s="11" t="n">
        <v>1</v>
      </c>
    </row>
    <row r="63">
      <c r="A63" s="9" t="inlineStr">
        <is>
          <t>BER.3.18</t>
        </is>
      </c>
      <c r="B63" s="10" t="inlineStr">
        <is>
          <t>Gruppenkonten - Wechsel dokumentieren</t>
        </is>
      </c>
      <c r="C63" s="11" t="n"/>
      <c r="D63" s="11" t="inlineStr">
        <is>
          <t>Standard-Anforderungen</t>
        </is>
      </c>
      <c r="E63" s="12" t="inlineStr">
        <is>
          <t>Gesamt:</t>
        </is>
      </c>
      <c r="F63" s="11" t="n"/>
      <c r="G63" s="11" t="n"/>
      <c r="H63" s="13">
        <f>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
      </c>
      <c r="I63" s="11" t="n"/>
      <c r="J63" s="11" t="n"/>
      <c r="K63" s="11" t="n"/>
      <c r="L63" s="11" t="n"/>
      <c r="M63" s="11" t="inlineStr">
        <is>
          <t>Authentizität</t>
        </is>
      </c>
      <c r="N63" s="12" t="inlineStr"/>
      <c r="O63" s="11" t="inlineStr"/>
      <c r="P63" s="12" t="inlineStr">
        <is>
          <t>Es kann z.B. anhand von Dienst- oder Anwesenheitsplänen nachvollzogen werden, wer wann theoretisch Zugriff gehabt haben könnte. Werden keine Gruppenkonten verwendet, so ist die Anforderung entbehrlich.</t>
        </is>
      </c>
      <c r="Q63" s="11" t="inlineStr"/>
      <c r="R63" s="11" t="inlineStr">
        <is>
          <t>Inventar Berechtigungen</t>
        </is>
      </c>
      <c r="S63" s="12" t="inlineStr">
        <is>
          <t>für Gruppenkonten die Identitäten, welche die Möglichkeit zum Zugriff haben,</t>
        </is>
      </c>
      <c r="T63" s="12" t="inlineStr">
        <is>
          <t>G 0.36 – Identitätsdiebstahl; G 0.30 – Unberechtigte Nutzung oder Administration von Geräten und Systemen; G 0.32 – Missbrauch von Berechtigungen</t>
        </is>
      </c>
      <c r="U63" s="11" t="n">
        <v>3</v>
      </c>
      <c r="V63" s="11" t="n">
        <v>1</v>
      </c>
      <c r="W63" s="11" t="n">
        <v>1</v>
      </c>
      <c r="X63" s="11" t="n">
        <v>1</v>
      </c>
      <c r="Y63" s="11" t="n">
        <v>2</v>
      </c>
    </row>
    <row r="64">
      <c r="A64" s="11" t="inlineStr">
        <is>
          <t>BER.3.18</t>
        </is>
      </c>
      <c r="B64" s="12" t="inlineStr">
        <is>
          <t>Gruppenkonten - Wechsel dokumentieren</t>
        </is>
      </c>
      <c r="C64" s="11" t="inlineStr">
        <is>
          <t>BER.3.18</t>
        </is>
      </c>
      <c r="D64" s="11" t="inlineStr">
        <is>
          <t>Standard-Anforderungen</t>
        </is>
      </c>
      <c r="E64" s="12" t="inlineStr">
        <is>
          <t>Berechtigung SOLLTE für Gruppenkonten die Identitäten, welche die Möglichkeit zum Zugriff haben, zum Wechselzeitpunkt dokumentieren.</t>
        </is>
      </c>
      <c r="F64" s="14" t="n"/>
      <c r="G64" s="14" t="n"/>
      <c r="H64" s="14" t="inlineStr">
        <is>
          <t>unbearbeitet</t>
        </is>
      </c>
      <c r="I64" s="14" t="n"/>
      <c r="J64" s="14" t="n"/>
      <c r="K64" s="14" t="n"/>
      <c r="L64" s="15" t="n"/>
      <c r="M64" s="11" t="inlineStr">
        <is>
          <t>Authentizität</t>
        </is>
      </c>
      <c r="N64" s="12" t="inlineStr"/>
      <c r="O64" s="11" t="inlineStr"/>
      <c r="P64" s="12" t="inlineStr">
        <is>
          <t>Es kann z.B. anhand von Dienst- oder Anwesenheitsplänen nachvollzogen werden, wer wann theoretisch Zugriff gehabt haben könnte. Werden keine Gruppenkonten verwendet, so ist die Anforderung entbehrlich.</t>
        </is>
      </c>
      <c r="Q64" s="11" t="inlineStr"/>
      <c r="R64" s="11" t="inlineStr">
        <is>
          <t>Inventar Berechtigungen</t>
        </is>
      </c>
      <c r="S64" s="12" t="inlineStr">
        <is>
          <t>für Gruppenkonten die Identitäten, welche die Möglichkeit zum Zugriff haben,</t>
        </is>
      </c>
      <c r="T64" s="12" t="inlineStr">
        <is>
          <t>G 0.36 – Identitätsdiebstahl; G 0.30 – Unberechtigte Nutzung oder Administration von Geräten und Systemen; G 0.32 – Missbrauch von Berechtigungen</t>
        </is>
      </c>
      <c r="U64" s="11" t="n">
        <v>3</v>
      </c>
      <c r="V64" s="11" t="n">
        <v>1</v>
      </c>
      <c r="W64" s="11" t="n">
        <v>1</v>
      </c>
      <c r="X64" s="11" t="n">
        <v>1</v>
      </c>
      <c r="Y64" s="11" t="n">
        <v>2</v>
      </c>
    </row>
    <row r="65">
      <c r="A65" s="9" t="inlineStr">
        <is>
          <t>BER.3.19</t>
        </is>
      </c>
      <c r="B65" s="10" t="inlineStr">
        <is>
          <t>Gruppenkonten - Passwortwechsel bei Weggang</t>
        </is>
      </c>
      <c r="C65" s="11" t="n"/>
      <c r="D65" s="11" t="inlineStr">
        <is>
          <t>Standard-Anforderungen</t>
        </is>
      </c>
      <c r="E65" s="12" t="inlineStr">
        <is>
          <t>Gesamt:</t>
        </is>
      </c>
      <c r="F65" s="11" t="n"/>
      <c r="G65" s="11" t="n"/>
      <c r="H65" s="13">
        <f>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
      </c>
      <c r="I65" s="11" t="n"/>
      <c r="J65" s="11" t="n"/>
      <c r="K65" s="11" t="n"/>
      <c r="L65" s="11" t="n"/>
      <c r="M65" s="11" t="inlineStr"/>
      <c r="N65" s="12" t="inlineStr"/>
      <c r="O65" s="11" t="inlineStr"/>
      <c r="P65" s="12" t="inlineStr">
        <is>
          <t>Gruppenkonten werden von mehreren Nutzenden (z.B. Schichtdienst) verwendet. Verlassen Nutzende die Institution oder Wechseln das Tätigkeitsfeld und das Passwort des Gruppenkontos wird nicht gewechselt, so besteht die Gefahr, dass das Gruppenkonto unberechtigt verwendet wird.</t>
        </is>
      </c>
      <c r="Q65" s="11" t="inlineStr"/>
      <c r="R65" s="11" t="inlineStr">
        <is>
          <t>IT-Betriebskonzept</t>
        </is>
      </c>
      <c r="S65" s="12" t="inlineStr">
        <is>
          <t>für Gruppenkonten die Änderung von Zugangsdaten</t>
        </is>
      </c>
      <c r="T65" s="12" t="inlineStr">
        <is>
          <t>G 0.36 – Identitätsdiebstahl; G 0.30 – Unberechtigte Nutzung oder Administration von Geräten und Systemen; G 0.32 – Missbrauch von Berechtigungen</t>
        </is>
      </c>
      <c r="U65" s="11" t="n">
        <v>2</v>
      </c>
      <c r="V65" s="11" t="n">
        <v>1</v>
      </c>
      <c r="W65" s="11" t="n">
        <v>1</v>
      </c>
      <c r="X65" s="11" t="n">
        <v>1</v>
      </c>
      <c r="Y65" s="11" t="n">
        <v>1</v>
      </c>
    </row>
    <row r="66">
      <c r="A66" s="11" t="inlineStr">
        <is>
          <t>BER.3.19</t>
        </is>
      </c>
      <c r="B66" s="12" t="inlineStr">
        <is>
          <t>Gruppenkonten - Passwortwechsel bei Weggang</t>
        </is>
      </c>
      <c r="C66" s="11" t="inlineStr">
        <is>
          <t>BER.3.19</t>
        </is>
      </c>
      <c r="D66" s="11" t="inlineStr">
        <is>
          <t>Standard-Anforderungen</t>
        </is>
      </c>
      <c r="E66" s="12" t="inlineStr">
        <is>
          <t>Berechtigung SOLLTE für Gruppenkonten die Änderung von Zugangsdaten bei Weggang von Nutzenden ausführen.</t>
        </is>
      </c>
      <c r="F66" s="14" t="n"/>
      <c r="G66" s="14" t="n"/>
      <c r="H66" s="14" t="inlineStr">
        <is>
          <t>unbearbeitet</t>
        </is>
      </c>
      <c r="I66" s="14" t="n"/>
      <c r="J66" s="14" t="n"/>
      <c r="K66" s="14" t="n"/>
      <c r="L66" s="15" t="n"/>
      <c r="M66" s="11" t="inlineStr"/>
      <c r="N66" s="12" t="inlineStr"/>
      <c r="O66" s="11" t="inlineStr"/>
      <c r="P66" s="12" t="inlineStr">
        <is>
          <t>Gruppenkonten werden von mehreren Nutzenden (z.B. Schichtdienst) verwendet. Verlassen Nutzende die Institution oder Wechseln das Tätigkeitsfeld und das Passwort des Gruppenkontos wird nicht gewechselt, so besteht die Gefahr, dass das Gruppenkonto unberechtigt verwendet wird.</t>
        </is>
      </c>
      <c r="Q66" s="11" t="inlineStr"/>
      <c r="R66" s="11" t="inlineStr">
        <is>
          <t>IT-Betriebskonzept</t>
        </is>
      </c>
      <c r="S66" s="12" t="inlineStr">
        <is>
          <t>für Gruppenkonten die Änderung von Zugangsdaten</t>
        </is>
      </c>
      <c r="T66" s="12" t="inlineStr">
        <is>
          <t>G 0.36 – Identitätsdiebstahl; G 0.30 – Unberechtigte Nutzung oder Administration von Geräten und Systemen; G 0.32 – Missbrauch von Berechtigungen</t>
        </is>
      </c>
      <c r="U66" s="11" t="n">
        <v>2</v>
      </c>
      <c r="V66" s="11" t="n">
        <v>1</v>
      </c>
      <c r="W66" s="11" t="n">
        <v>1</v>
      </c>
      <c r="X66" s="11" t="n">
        <v>1</v>
      </c>
      <c r="Y66" s="11" t="n">
        <v>1</v>
      </c>
    </row>
    <row r="67">
      <c r="A67" s="9" t="inlineStr">
        <is>
          <t>BER.3.20</t>
        </is>
      </c>
      <c r="B67" s="10" t="inlineStr">
        <is>
          <t>Zwischenspeicherung von Zugangsdaten</t>
        </is>
      </c>
      <c r="C67" s="11" t="n"/>
      <c r="D67" s="11" t="inlineStr">
        <is>
          <t>Standard-Anforderungen</t>
        </is>
      </c>
      <c r="E67" s="12" t="inlineStr">
        <is>
          <t>Gesamt:</t>
        </is>
      </c>
      <c r="F67" s="11" t="n"/>
      <c r="G67" s="11" t="n"/>
      <c r="H67" s="13">
        <f>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
      </c>
      <c r="I67" s="11" t="n"/>
      <c r="J67" s="11" t="n"/>
      <c r="K67" s="11" t="n"/>
      <c r="L67" s="11" t="n"/>
      <c r="M67" s="11" t="inlineStr">
        <is>
          <t>Vertraulichkeit</t>
        </is>
      </c>
      <c r="N67" s="12" t="inlineStr"/>
      <c r="O67" s="11" t="inlineStr"/>
      <c r="P67" s="12" t="inlineStr">
        <is>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is>
      </c>
      <c r="Q67" s="11" t="inlineStr">
        <is>
          <t>IT-Systeme</t>
        </is>
      </c>
      <c r="R67" s="11" t="inlineStr">
        <is>
          <t>Inventar Berechtigungen</t>
        </is>
      </c>
      <c r="S67" s="12" t="inlineStr">
        <is>
          <t>die Zwischenspeicherung der Zugangsdaten</t>
        </is>
      </c>
      <c r="T67" s="12" t="inlineStr">
        <is>
          <t>G 0.36 – Identitätsdiebstahl; G 0.30 – Unberechtigte Nutzung oder Administration von Geräten und Systemen; G 0.32 – Missbrauch von Berechtigungen</t>
        </is>
      </c>
      <c r="U67" s="11" t="n">
        <v>3</v>
      </c>
      <c r="V67" s="11" t="n">
        <v>2</v>
      </c>
      <c r="W67" s="11" t="n">
        <v>1</v>
      </c>
      <c r="X67" s="11" t="n">
        <v>1</v>
      </c>
      <c r="Y67" s="11" t="n">
        <v>1</v>
      </c>
    </row>
    <row r="68">
      <c r="A68" s="11" t="inlineStr">
        <is>
          <t>BER.3.20</t>
        </is>
      </c>
      <c r="B68" s="12" t="inlineStr">
        <is>
          <t>Zwischenspeicherung von Zugangsdaten</t>
        </is>
      </c>
      <c r="C68" s="11" t="inlineStr">
        <is>
          <t>BER.3.20</t>
        </is>
      </c>
      <c r="D68" s="11" t="inlineStr">
        <is>
          <t>Standard-Anforderungen</t>
        </is>
      </c>
      <c r="E68" s="12" t="inlineStr">
        <is>
          <t>Berechtigung für IT-Systeme SOLLTE die Zwischenspeicherung der Zugangsdaten von Nutzern deaktivieren.</t>
        </is>
      </c>
      <c r="F68" s="14" t="n"/>
      <c r="G68" s="14" t="n"/>
      <c r="H68" s="14" t="inlineStr">
        <is>
          <t>unbearbeitet</t>
        </is>
      </c>
      <c r="I68" s="14" t="n"/>
      <c r="J68" s="14" t="n"/>
      <c r="K68" s="14" t="n"/>
      <c r="L68" s="15" t="n"/>
      <c r="M68" s="11" t="inlineStr">
        <is>
          <t>Vertraulichkeit</t>
        </is>
      </c>
      <c r="N68" s="12" t="inlineStr"/>
      <c r="O68" s="11" t="inlineStr"/>
      <c r="P68" s="12" t="inlineStr">
        <is>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is>
      </c>
      <c r="Q68" s="11" t="inlineStr">
        <is>
          <t>IT-Systeme</t>
        </is>
      </c>
      <c r="R68" s="11" t="inlineStr">
        <is>
          <t>Inventar Berechtigungen</t>
        </is>
      </c>
      <c r="S68" s="12" t="inlineStr">
        <is>
          <t>die Zwischenspeicherung der Zugangsdaten</t>
        </is>
      </c>
      <c r="T68" s="12" t="inlineStr">
        <is>
          <t>G 0.36 – Identitätsdiebstahl; G 0.30 – Unberechtigte Nutzung oder Administration von Geräten und Systemen; G 0.32 – Missbrauch von Berechtigungen</t>
        </is>
      </c>
      <c r="U68" s="11" t="n">
        <v>3</v>
      </c>
      <c r="V68" s="11" t="n">
        <v>2</v>
      </c>
      <c r="W68" s="11" t="n">
        <v>1</v>
      </c>
      <c r="X68" s="11" t="n">
        <v>1</v>
      </c>
      <c r="Y68" s="11" t="n">
        <v>1</v>
      </c>
    </row>
    <row r="69">
      <c r="A69" s="9" t="inlineStr">
        <is>
          <t>BER.3.21</t>
        </is>
      </c>
      <c r="B69" s="10" t="inlineStr">
        <is>
          <t>Dienstekonten</t>
        </is>
      </c>
      <c r="C69" s="11" t="n"/>
      <c r="D69" s="11" t="inlineStr">
        <is>
          <t>Standard-Anforderungen</t>
        </is>
      </c>
      <c r="E69" s="12" t="inlineStr">
        <is>
          <t>Gesamt:</t>
        </is>
      </c>
      <c r="F69" s="11" t="n"/>
      <c r="G69" s="11" t="n"/>
      <c r="H69" s="13">
        <f>IF(OR(COUNTBLANK($H$70:$H$70)&gt;0,COUNTIF($H$70:$H$70,"unbearbeitet")=COUNTA($H$70:$H$70)),"Bitte Teilanforderungen ausfüllen",IF(COUNTIF($H$70:$H$70,"zu klären")&gt;0,"zu klären",IF(COUNTIF($H$70:$H$70,"entbehrlich")=COUNTA($H$70:$H$70),"entbehrlich",IF(COUNTIF($H$70:$H$70,"verwiesen")=COUNTA($H$70:$H$70),"verwiesen",IF(COUNTIF($H$70:$H$70,"nein")+COUNTIF($H$70:$H$70,"entbehrlich")=COUNTA($H$70:$H$70),"nein",IF(COUNTIF($H$70:$H$70,"ja")+COUNTIF($H$70:$H$70,"entbehrlich")+COUNTIF($H$70:$H$70,"verwiesen")=COUNTA($H$70:$H$70),"ja","teilweise"))))))</f>
        <v/>
      </c>
      <c r="I69" s="11" t="n"/>
      <c r="J69" s="11" t="n"/>
      <c r="K69" s="11" t="n"/>
      <c r="L69" s="11" t="n"/>
      <c r="M69" s="11" t="inlineStr"/>
      <c r="N69" s="12" t="inlineStr"/>
      <c r="O69" s="11" t="inlineStr"/>
      <c r="P69" s="12" t="inlineStr">
        <is>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is>
      </c>
      <c r="Q69" s="11" t="inlineStr">
        <is>
          <t>Hostsysteme</t>
        </is>
      </c>
      <c r="R69" s="11" t="inlineStr">
        <is>
          <t>Inventar Berechtigungen</t>
        </is>
      </c>
      <c r="S69" s="12" t="inlineStr">
        <is>
          <t>eine automatische Verwaltung der Zugangsdaten</t>
        </is>
      </c>
      <c r="T69" s="12" t="inlineStr">
        <is>
          <t>G 0.36 – Identitätsdiebstahl; G 0.30 – Unberechtigte Nutzung oder Administration von Geräten und Systemen; G 0.32 – Missbrauch von Berechtigungen</t>
        </is>
      </c>
      <c r="U69" s="11" t="n">
        <v>4</v>
      </c>
      <c r="V69" s="11" t="n">
        <v>1</v>
      </c>
      <c r="W69" s="11" t="n">
        <v>1</v>
      </c>
      <c r="X69" s="11" t="n">
        <v>1</v>
      </c>
      <c r="Y69" s="11" t="n">
        <v>1</v>
      </c>
    </row>
    <row r="70">
      <c r="A70" s="11" t="inlineStr">
        <is>
          <t>BER.3.21</t>
        </is>
      </c>
      <c r="B70" s="12" t="inlineStr">
        <is>
          <t>Dienstekonten</t>
        </is>
      </c>
      <c r="C70" s="11" t="inlineStr">
        <is>
          <t>BER.3.21</t>
        </is>
      </c>
      <c r="D70" s="11" t="inlineStr">
        <is>
          <t>Standard-Anforderungen</t>
        </is>
      </c>
      <c r="E70" s="12" t="inlineStr">
        <is>
          <t>Berechtigung für Hostsysteme SOLLTE eine automatische Verwaltung der Zugangsdaten von Dienste-Konten aktivieren.</t>
        </is>
      </c>
      <c r="F70" s="14" t="n"/>
      <c r="G70" s="14" t="n"/>
      <c r="H70" s="14" t="inlineStr">
        <is>
          <t>unbearbeitet</t>
        </is>
      </c>
      <c r="I70" s="14" t="n"/>
      <c r="J70" s="14" t="n"/>
      <c r="K70" s="14" t="n"/>
      <c r="L70" s="15" t="n"/>
      <c r="M70" s="11" t="inlineStr"/>
      <c r="N70" s="12" t="inlineStr"/>
      <c r="O70" s="11" t="inlineStr"/>
      <c r="P70" s="12" t="inlineStr">
        <is>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is>
      </c>
      <c r="Q70" s="11" t="inlineStr">
        <is>
          <t>Hostsysteme</t>
        </is>
      </c>
      <c r="R70" s="11" t="inlineStr">
        <is>
          <t>Inventar Berechtigungen</t>
        </is>
      </c>
      <c r="S70" s="12" t="inlineStr">
        <is>
          <t>eine automatische Verwaltung der Zugangsdaten</t>
        </is>
      </c>
      <c r="T70" s="12" t="inlineStr">
        <is>
          <t>G 0.36 – Identitätsdiebstahl; G 0.30 – Unberechtigte Nutzung oder Administration von Geräten und Systemen; G 0.32 – Missbrauch von Berechtigungen</t>
        </is>
      </c>
      <c r="U70" s="11" t="n">
        <v>4</v>
      </c>
      <c r="V70" s="11" t="n">
        <v>1</v>
      </c>
      <c r="W70" s="11" t="n">
        <v>1</v>
      </c>
      <c r="X70" s="11" t="n">
        <v>1</v>
      </c>
      <c r="Y70" s="11" t="n">
        <v>1</v>
      </c>
    </row>
    <row r="71">
      <c r="A71" s="9" t="inlineStr">
        <is>
          <t>BER.3.22</t>
        </is>
      </c>
      <c r="B71" s="10" t="inlineStr">
        <is>
          <t>Notfallzugang</t>
        </is>
      </c>
      <c r="C71" s="11" t="n"/>
      <c r="D71" s="11" t="inlineStr">
        <is>
          <t>Anforderungen bei erhöhtem Schutzbedarf</t>
        </is>
      </c>
      <c r="E71" s="12" t="inlineStr">
        <is>
          <t>Gesamt:</t>
        </is>
      </c>
      <c r="F71" s="11" t="n"/>
      <c r="G71" s="11" t="n"/>
      <c r="H71" s="13">
        <f>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
      </c>
      <c r="I71" s="11" t="n"/>
      <c r="J71" s="11" t="n"/>
      <c r="K71" s="11" t="n"/>
      <c r="L71" s="11" t="n"/>
      <c r="M71" s="11" t="inlineStr"/>
      <c r="N71" s="12" t="inlineStr"/>
      <c r="O71" s="11" t="inlineStr"/>
      <c r="P71" s="12" t="inlineStr">
        <is>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is>
      </c>
      <c r="Q71" s="11" t="inlineStr"/>
      <c r="R71" s="11" t="inlineStr">
        <is>
          <t>Inventar Berechtigungen</t>
        </is>
      </c>
      <c r="S71" s="12" t="inlineStr">
        <is>
          <t>Notfallzugangskonten</t>
        </is>
      </c>
      <c r="T71" s="12" t="inlineStr">
        <is>
          <t>G 0.36 – Identitätsdiebstahl; G 0.30 – Unberechtigte Nutzung oder Administration von Geräten und Systemen; G 0.32 – Missbrauch von Berechtigungen</t>
        </is>
      </c>
      <c r="U71" s="11" t="n">
        <v>1</v>
      </c>
      <c r="V71" s="11" t="n">
        <v>1</v>
      </c>
      <c r="W71" s="11" t="n">
        <v>1</v>
      </c>
      <c r="X71" s="11" t="n">
        <v>1</v>
      </c>
      <c r="Y71" s="11" t="n">
        <v>1</v>
      </c>
    </row>
    <row r="72">
      <c r="A72" s="11" t="inlineStr">
        <is>
          <t>BER.3.22</t>
        </is>
      </c>
      <c r="B72" s="12" t="inlineStr">
        <is>
          <t>Notfallzugang</t>
        </is>
      </c>
      <c r="C72" s="11" t="inlineStr">
        <is>
          <t>BER.3.22</t>
        </is>
      </c>
      <c r="D72" s="11" t="inlineStr">
        <is>
          <t>Anforderungen bei erhöhtem Schutzbedarf</t>
        </is>
      </c>
      <c r="E72" s="12" t="inlineStr">
        <is>
          <t>Berechtigung KANN Notfallzugangskonten installieren.</t>
        </is>
      </c>
      <c r="F72" s="14" t="n"/>
      <c r="G72" s="14" t="n"/>
      <c r="H72" s="14" t="inlineStr">
        <is>
          <t>unbearbeitet</t>
        </is>
      </c>
      <c r="I72" s="14" t="n"/>
      <c r="J72" s="14" t="n"/>
      <c r="K72" s="14" t="n"/>
      <c r="L72" s="15" t="n"/>
      <c r="M72" s="11" t="inlineStr"/>
      <c r="N72" s="12" t="inlineStr"/>
      <c r="O72" s="11" t="inlineStr"/>
      <c r="P72" s="12" t="inlineStr">
        <is>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is>
      </c>
      <c r="Q72" s="11" t="inlineStr"/>
      <c r="R72" s="11" t="inlineStr">
        <is>
          <t>Inventar Berechtigungen</t>
        </is>
      </c>
      <c r="S72" s="12" t="inlineStr">
        <is>
          <t>Notfallzugangskonten</t>
        </is>
      </c>
      <c r="T72" s="12" t="inlineStr">
        <is>
          <t>G 0.36 – Identitätsdiebstahl; G 0.30 – Unberechtigte Nutzung oder Administration von Geräten und Systemen; G 0.32 – Missbrauch von Berechtigungen</t>
        </is>
      </c>
      <c r="U72" s="11" t="n">
        <v>1</v>
      </c>
      <c r="V72" s="11" t="n">
        <v>1</v>
      </c>
      <c r="W72" s="11" t="n">
        <v>1</v>
      </c>
      <c r="X72" s="11" t="n">
        <v>1</v>
      </c>
      <c r="Y72" s="11" t="n">
        <v>1</v>
      </c>
    </row>
    <row r="73">
      <c r="A73" s="9" t="inlineStr">
        <is>
          <t>BER.3.23</t>
        </is>
      </c>
      <c r="B73" s="10" t="inlineStr">
        <is>
          <t>Notfallzugang Verzeichnisdienst</t>
        </is>
      </c>
      <c r="C73" s="11" t="n"/>
      <c r="D73" s="11" t="inlineStr">
        <is>
          <t>Standard-Anforderungen</t>
        </is>
      </c>
      <c r="E73" s="12" t="inlineStr">
        <is>
          <t>Gesamt:</t>
        </is>
      </c>
      <c r="F73" s="11" t="n"/>
      <c r="G73" s="11" t="n"/>
      <c r="H73" s="13">
        <f>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
      </c>
      <c r="I73" s="11" t="n"/>
      <c r="J73" s="11" t="n"/>
      <c r="K73" s="11" t="n"/>
      <c r="L73" s="11" t="n"/>
      <c r="M73" s="11" t="inlineStr"/>
      <c r="N73" s="12" t="inlineStr"/>
      <c r="O73" s="11" t="inlineStr"/>
      <c r="P73" s="12" t="inlineStr">
        <is>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is>
      </c>
      <c r="Q73" s="11" t="inlineStr">
        <is>
          <t>Verzeichnisdienste</t>
        </is>
      </c>
      <c r="R73" s="11" t="inlineStr">
        <is>
          <t>Inventar Berechtigungen</t>
        </is>
      </c>
      <c r="S73" s="12" t="inlineStr">
        <is>
          <t>ein Notfallzugangskonto</t>
        </is>
      </c>
      <c r="T73" s="12" t="inlineStr">
        <is>
          <t>G 0.36 – Identitätsdiebstahl; G 0.30 – Unberechtigte Nutzung oder Administration von Geräten und Systemen; G 0.32 – Missbrauch von Berechtigungen</t>
        </is>
      </c>
      <c r="U73" s="11" t="n">
        <v>5</v>
      </c>
      <c r="V73" s="11" t="n">
        <v>1</v>
      </c>
      <c r="W73" s="11" t="n">
        <v>1</v>
      </c>
      <c r="X73" s="11" t="n">
        <v>1</v>
      </c>
      <c r="Y73" s="11" t="n">
        <v>1</v>
      </c>
    </row>
    <row r="74">
      <c r="A74" s="11" t="inlineStr">
        <is>
          <t>BER.3.23</t>
        </is>
      </c>
      <c r="B74" s="12" t="inlineStr">
        <is>
          <t>Notfallzugang Verzeichnisdienst</t>
        </is>
      </c>
      <c r="C74" s="11" t="inlineStr">
        <is>
          <t>BER.3.23</t>
        </is>
      </c>
      <c r="D74" s="11" t="inlineStr">
        <is>
          <t>Standard-Anforderungen</t>
        </is>
      </c>
      <c r="E74" s="12" t="inlineStr">
        <is>
          <t>Berechtigung für Verzeichnisdienste SOLLTE ein Notfallzugangskonto installieren.</t>
        </is>
      </c>
      <c r="F74" s="14" t="n"/>
      <c r="G74" s="14" t="n"/>
      <c r="H74" s="14" t="inlineStr">
        <is>
          <t>unbearbeitet</t>
        </is>
      </c>
      <c r="I74" s="14" t="n"/>
      <c r="J74" s="14" t="n"/>
      <c r="K74" s="14" t="n"/>
      <c r="L74" s="15" t="n"/>
      <c r="M74" s="11" t="inlineStr"/>
      <c r="N74" s="12" t="inlineStr"/>
      <c r="O74" s="11" t="inlineStr"/>
      <c r="P74" s="12" t="inlineStr">
        <is>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is>
      </c>
      <c r="Q74" s="11" t="inlineStr">
        <is>
          <t>Verzeichnisdienste</t>
        </is>
      </c>
      <c r="R74" s="11" t="inlineStr">
        <is>
          <t>Inventar Berechtigungen</t>
        </is>
      </c>
      <c r="S74" s="12" t="inlineStr">
        <is>
          <t>ein Notfallzugangskonto</t>
        </is>
      </c>
      <c r="T74" s="12" t="inlineStr">
        <is>
          <t>G 0.36 – Identitätsdiebstahl; G 0.30 – Unberechtigte Nutzung oder Administration von Geräten und Systemen; G 0.32 – Missbrauch von Berechtigungen</t>
        </is>
      </c>
      <c r="U74" s="11" t="n">
        <v>5</v>
      </c>
      <c r="V74" s="11" t="n">
        <v>1</v>
      </c>
      <c r="W74" s="11" t="n">
        <v>1</v>
      </c>
      <c r="X74" s="11" t="n">
        <v>1</v>
      </c>
      <c r="Y74" s="11" t="n">
        <v>1</v>
      </c>
    </row>
    <row r="75">
      <c r="A75" s="9" t="inlineStr">
        <is>
          <t>BER.3.24</t>
        </is>
      </c>
      <c r="B75" s="10" t="inlineStr">
        <is>
          <t>Alternative Authentifizierung am IT-System</t>
        </is>
      </c>
      <c r="C75" s="11" t="n"/>
      <c r="D75" s="11" t="inlineStr">
        <is>
          <t>Anforderungen bei erhöhtem Schutzbedarf</t>
        </is>
      </c>
      <c r="E75" s="12" t="inlineStr">
        <is>
          <t>Gesamt:</t>
        </is>
      </c>
      <c r="F75" s="11" t="n"/>
      <c r="G75" s="11" t="n"/>
      <c r="H75" s="13">
        <f>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
      </c>
      <c r="I75" s="11" t="n"/>
      <c r="J75" s="11" t="n"/>
      <c r="K75" s="11" t="n"/>
      <c r="L75" s="11" t="n"/>
      <c r="M75" s="11" t="inlineStr"/>
      <c r="N75" s="12" t="inlineStr"/>
      <c r="O75" s="11" t="inlineStr"/>
      <c r="P75" s="12" t="inlineStr">
        <is>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die persönliche Vorstellung mit Ausweis, oder (2) die Verifikation über bestehende Sitzungen.oder PUK.</t>
        </is>
      </c>
      <c r="Q75" s="11" t="inlineStr">
        <is>
          <t>IT-Systeme</t>
        </is>
      </c>
      <c r="R75" s="11" t="inlineStr">
        <is>
          <t>Anwendungsdokumentation</t>
        </is>
      </c>
      <c r="S75" s="12" t="inlineStr">
        <is>
          <t>ein ebenso vertrauenswürdiges, alternatives Verfahren zur Authentifizierung</t>
        </is>
      </c>
      <c r="T75" s="12" t="inlineStr">
        <is>
          <t>G 0.36 – Identitätsdiebstahl; G 0.30 – Unberechtigte Nutzung oder Administration von Geräten und Systemen</t>
        </is>
      </c>
      <c r="U75" s="11" t="n">
        <v>5</v>
      </c>
      <c r="V75" s="11" t="n">
        <v>1</v>
      </c>
      <c r="W75" s="11" t="n">
        <v>1</v>
      </c>
      <c r="X75" s="11" t="n">
        <v>1</v>
      </c>
      <c r="Y75" s="11" t="n">
        <v>0</v>
      </c>
    </row>
    <row r="76">
      <c r="A76" s="11" t="inlineStr">
        <is>
          <t>BER.3.24</t>
        </is>
      </c>
      <c r="B76" s="12" t="inlineStr">
        <is>
          <t>Alternative Authentifizierung am IT-System</t>
        </is>
      </c>
      <c r="C76" s="11" t="inlineStr">
        <is>
          <t>BER.3.24</t>
        </is>
      </c>
      <c r="D76" s="11" t="inlineStr">
        <is>
          <t>Anforderungen bei erhöhtem Schutzbedarf</t>
        </is>
      </c>
      <c r="E76" s="12" t="inlineStr">
        <is>
          <t>Berechtigung für IT-Systeme KANN ein ebenso vertrauenswürdiges, alternatives Verfahren zur Authentifizierung verankern.</t>
        </is>
      </c>
      <c r="F76" s="14" t="n"/>
      <c r="G76" s="14" t="n"/>
      <c r="H76" s="14" t="inlineStr">
        <is>
          <t>unbearbeitet</t>
        </is>
      </c>
      <c r="I76" s="14" t="n"/>
      <c r="J76" s="14" t="n"/>
      <c r="K76" s="14" t="n"/>
      <c r="L76" s="15" t="n"/>
      <c r="M76" s="11" t="inlineStr"/>
      <c r="N76" s="12" t="inlineStr"/>
      <c r="O76" s="11" t="inlineStr"/>
      <c r="P76" s="12" t="inlineStr">
        <is>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die persönliche Vorstellung mit Ausweis, oder (2) die Verifikation über bestehende Sitzungen.oder PUK.</t>
        </is>
      </c>
      <c r="Q76" s="11" t="inlineStr">
        <is>
          <t>IT-Systeme</t>
        </is>
      </c>
      <c r="R76" s="11" t="inlineStr">
        <is>
          <t>Anwendungsdokumentation</t>
        </is>
      </c>
      <c r="S76" s="12" t="inlineStr">
        <is>
          <t>ein ebenso vertrauenswürdiges, alternatives Verfahren zur Authentifizierung</t>
        </is>
      </c>
      <c r="T76" s="12" t="inlineStr">
        <is>
          <t>G 0.36 – Identitätsdiebstahl; G 0.30 – Unberechtigte Nutzung oder Administration von Geräten und Systemen</t>
        </is>
      </c>
      <c r="U76" s="11" t="n">
        <v>5</v>
      </c>
      <c r="V76" s="11" t="n">
        <v>1</v>
      </c>
      <c r="W76" s="11" t="n">
        <v>1</v>
      </c>
      <c r="X76" s="11" t="n">
        <v>1</v>
      </c>
      <c r="Y76" s="11" t="n">
        <v>0</v>
      </c>
    </row>
    <row r="77">
      <c r="A77" s="9" t="inlineStr">
        <is>
          <t>BER.3.25</t>
        </is>
      </c>
      <c r="B77" s="10" t="inlineStr">
        <is>
          <t>Alternative Authentifizierung an der Anwendung</t>
        </is>
      </c>
      <c r="C77" s="11" t="n"/>
      <c r="D77" s="11" t="inlineStr">
        <is>
          <t>Anforderungen bei erhöhtem Schutzbedarf</t>
        </is>
      </c>
      <c r="E77" s="12" t="inlineStr">
        <is>
          <t>Gesamt:</t>
        </is>
      </c>
      <c r="F77" s="11" t="n"/>
      <c r="G77" s="11" t="n"/>
      <c r="H77" s="13">
        <f>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
      </c>
      <c r="I77" s="11" t="n"/>
      <c r="J77" s="11" t="n"/>
      <c r="K77" s="11" t="n"/>
      <c r="L77" s="11" t="n"/>
      <c r="M77" s="11" t="inlineStr"/>
      <c r="N77" s="12" t="inlineStr"/>
      <c r="O77" s="11" t="inlineStr"/>
      <c r="P77" s="12" t="inlineStr">
        <is>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is>
      </c>
      <c r="Q77" s="11" t="inlineStr">
        <is>
          <t>Anwendungen</t>
        </is>
      </c>
      <c r="R77" s="11" t="inlineStr">
        <is>
          <t>Anwendungsdokumentation</t>
        </is>
      </c>
      <c r="S77" s="12" t="inlineStr">
        <is>
          <t>ein ebenso vertrauenswürdiges, alternatives Verfahren zur Authentifizierung</t>
        </is>
      </c>
      <c r="T77" s="12" t="inlineStr">
        <is>
          <t>G 0.36 – Identitätsdiebstahl; G 0.30 – Unberechtigte Nutzung oder Administration von Geräten und Systemen</t>
        </is>
      </c>
      <c r="U77" s="11" t="n">
        <v>5</v>
      </c>
      <c r="V77" s="11" t="n">
        <v>1</v>
      </c>
      <c r="W77" s="11" t="n">
        <v>1</v>
      </c>
      <c r="X77" s="11" t="n">
        <v>1</v>
      </c>
      <c r="Y77" s="11" t="n">
        <v>0</v>
      </c>
    </row>
    <row r="78">
      <c r="A78" s="11" t="inlineStr">
        <is>
          <t>BER.3.25</t>
        </is>
      </c>
      <c r="B78" s="12" t="inlineStr">
        <is>
          <t>Alternative Authentifizierung an der Anwendung</t>
        </is>
      </c>
      <c r="C78" s="11" t="inlineStr">
        <is>
          <t>BER.3.25</t>
        </is>
      </c>
      <c r="D78" s="11" t="inlineStr">
        <is>
          <t>Anforderungen bei erhöhtem Schutzbedarf</t>
        </is>
      </c>
      <c r="E78" s="12" t="inlineStr">
        <is>
          <t>Berechtigung für Anwendungen KANN ein ebenso vertrauenswürdiges, alternatives Verfahren zur Authentifizierung verankern.</t>
        </is>
      </c>
      <c r="F78" s="14" t="n"/>
      <c r="G78" s="14" t="n"/>
      <c r="H78" s="14" t="inlineStr">
        <is>
          <t>unbearbeitet</t>
        </is>
      </c>
      <c r="I78" s="14" t="n"/>
      <c r="J78" s="14" t="n"/>
      <c r="K78" s="14" t="n"/>
      <c r="L78" s="15" t="n"/>
      <c r="M78" s="11" t="inlineStr"/>
      <c r="N78" s="12" t="inlineStr"/>
      <c r="O78" s="11" t="inlineStr"/>
      <c r="P78" s="12" t="inlineStr">
        <is>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is>
      </c>
      <c r="Q78" s="11" t="inlineStr">
        <is>
          <t>Anwendungen</t>
        </is>
      </c>
      <c r="R78" s="11" t="inlineStr">
        <is>
          <t>Anwendungsdokumentation</t>
        </is>
      </c>
      <c r="S78" s="12" t="inlineStr">
        <is>
          <t>ein ebenso vertrauenswürdiges, alternatives Verfahren zur Authentifizierung</t>
        </is>
      </c>
      <c r="T78" s="12" t="inlineStr">
        <is>
          <t>G 0.36 – Identitätsdiebstahl; G 0.30 – Unberechtigte Nutzung oder Administration von Geräten und Systemen</t>
        </is>
      </c>
      <c r="U78" s="11" t="n">
        <v>5</v>
      </c>
      <c r="V78" s="11" t="n">
        <v>1</v>
      </c>
      <c r="W78" s="11" t="n">
        <v>1</v>
      </c>
      <c r="X78" s="11" t="n">
        <v>1</v>
      </c>
      <c r="Y78" s="11" t="n">
        <v>0</v>
      </c>
    </row>
    <row r="79">
      <c r="A79" s="9" t="inlineStr">
        <is>
          <t>BER.4.1</t>
        </is>
      </c>
      <c r="B79" s="10" t="inlineStr">
        <is>
          <t>Prinzip der geringsten Berechtigungen</t>
        </is>
      </c>
      <c r="C79" s="11" t="n"/>
      <c r="D79" s="11" t="inlineStr">
        <is>
          <t>Standard-Anforderungen</t>
        </is>
      </c>
      <c r="E79" s="12" t="inlineStr">
        <is>
          <t>Gesamt:</t>
        </is>
      </c>
      <c r="F79" s="11" t="n"/>
      <c r="G79" s="11" t="n"/>
      <c r="H79" s="13">
        <f>IF(OR(COUNTBLANK($H$80:$H$82)&gt;0,COUNTIF($H$80:$H$82,"unbearbeitet")=COUNTA($H$80:$H$82)),"Bitte Teilanforderungen ausfüllen",IF(COUNTIF($H$80:$H$82,"zu klären")&gt;0,"zu klären",IF(COUNTIF($H$80:$H$82,"entbehrlich")=COUNTA($H$80:$H$82),"entbehrlich",IF(COUNTIF($H$80:$H$82,"verwiesen")=COUNTA($H$80:$H$82),"verwiesen",IF(COUNTIF($H$80:$H$82,"nein")+COUNTIF($H$80:$H$82,"entbehrlich")=COUNTA($H$80:$H$82),"nein",IF(COUNTIF($H$80:$H$82,"ja")+COUNTIF($H$80:$H$82,"entbehrlich")+COUNTIF($H$80:$H$82,"verwiesen")=COUNTA($H$80:$H$82),"ja","teilweise"))))))</f>
        <v/>
      </c>
      <c r="I79" s="11" t="n"/>
      <c r="J79" s="11" t="n"/>
      <c r="K79" s="11" t="n"/>
      <c r="L79" s="11" t="n"/>
      <c r="M79" s="11" t="inlineStr">
        <is>
          <t>Vertraulichkeit</t>
        </is>
      </c>
      <c r="N79" s="12" t="inlineStr"/>
      <c r="O79" s="11" t="inlineStr"/>
      <c r="P79" s="12" t="inlineStr">
        <is>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is>
      </c>
      <c r="Q79" s="11" t="inlineStr"/>
      <c r="R79" s="11" t="inlineStr">
        <is>
          <t>Inventar Berechtigungen</t>
        </is>
      </c>
      <c r="S79" s="12" t="inlineStr">
        <is>
          <t>die Vergabe von Berechtigungen nach dem Prinzip der geringsten Berechtigungen</t>
        </is>
      </c>
      <c r="T79" s="12" t="inlineStr">
        <is>
          <t>G 0.36 – Identitätsdiebstahl; G 0.30 – Unberechtigte Nutzung oder Administration von Geräten und Systemen; G 0.32 – Missbrauch von Berechtigungen; G 0.18 – Fehlplanung oder fehlende Anpassung</t>
        </is>
      </c>
      <c r="U79" s="11" t="n">
        <v>1</v>
      </c>
      <c r="V79" s="11" t="n">
        <v>2</v>
      </c>
      <c r="W79" s="11" t="n">
        <v>1</v>
      </c>
      <c r="X79" s="11" t="n">
        <v>1</v>
      </c>
      <c r="Y79" s="11" t="n">
        <v>1</v>
      </c>
    </row>
    <row r="80">
      <c r="A80" s="11" t="inlineStr">
        <is>
          <t>BER.4.1</t>
        </is>
      </c>
      <c r="B80" s="12" t="inlineStr">
        <is>
          <t>Prinzip der geringsten Berechtigungen</t>
        </is>
      </c>
      <c r="C80" s="11" t="inlineStr">
        <is>
          <t>BER.4.1</t>
        </is>
      </c>
      <c r="D80" s="11" t="inlineStr">
        <is>
          <t>Standard-Anforderungen</t>
        </is>
      </c>
      <c r="E80" s="12" t="inlineStr">
        <is>
          <t>Berechtigung SOLLTE die Vergabe von Berechtigungen nach dem Prinzip der geringsten Berechtigungen einschränken.</t>
        </is>
      </c>
      <c r="F80" s="14" t="n"/>
      <c r="G80" s="14" t="n"/>
      <c r="H80" s="14" t="inlineStr">
        <is>
          <t>unbearbeitet</t>
        </is>
      </c>
      <c r="I80" s="14" t="n"/>
      <c r="J80" s="14" t="n"/>
      <c r="K80" s="14" t="n"/>
      <c r="L80" s="15" t="n"/>
      <c r="M80" s="11" t="inlineStr">
        <is>
          <t>Vertraulichkeit</t>
        </is>
      </c>
      <c r="N80" s="12" t="inlineStr"/>
      <c r="O80" s="11" t="inlineStr"/>
      <c r="P80" s="12" t="inlineStr">
        <is>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is>
      </c>
      <c r="Q80" s="11" t="inlineStr"/>
      <c r="R80" s="11" t="inlineStr">
        <is>
          <t>Inventar Berechtigungen</t>
        </is>
      </c>
      <c r="S80" s="12" t="inlineStr">
        <is>
          <t>die Vergabe von Berechtigungen nach dem Prinzip der geringsten Berechtigungen</t>
        </is>
      </c>
      <c r="T80" s="12" t="inlineStr">
        <is>
          <t>G 0.36 – Identitätsdiebstahl; G 0.30 – Unberechtigte Nutzung oder Administration von Geräten und Systemen; G 0.32 – Missbrauch von Berechtigungen; G 0.18 – Fehlplanung oder fehlende Anpassung</t>
        </is>
      </c>
      <c r="U80" s="11" t="n">
        <v>1</v>
      </c>
      <c r="V80" s="11" t="n">
        <v>2</v>
      </c>
      <c r="W80" s="11" t="n">
        <v>1</v>
      </c>
      <c r="X80" s="11" t="n">
        <v>1</v>
      </c>
      <c r="Y80" s="11" t="n">
        <v>1</v>
      </c>
    </row>
    <row r="81">
      <c r="A81" s="11" t="inlineStr">
        <is>
          <t>BER.4.1</t>
        </is>
      </c>
      <c r="B81" s="12" t="inlineStr">
        <is>
          <t>Prinzip der geringsten Berechtigungen</t>
        </is>
      </c>
      <c r="C81" s="11" t="inlineStr">
        <is>
          <t>BER.4.1.1</t>
        </is>
      </c>
      <c r="D81" s="11" t="inlineStr">
        <is>
          <t>Standard-Anforderungen</t>
        </is>
      </c>
      <c r="E81" s="12" t="inlineStr">
        <is>
          <t>Berechtigung SOLLTE Berechtigungen rollenbasiert zuweisen.</t>
        </is>
      </c>
      <c r="F81" s="14" t="n"/>
      <c r="G81" s="14" t="n"/>
      <c r="H81" s="14" t="inlineStr">
        <is>
          <t>unbearbeitet</t>
        </is>
      </c>
      <c r="I81" s="14" t="n"/>
      <c r="J81" s="14" t="n"/>
      <c r="K81" s="14" t="n"/>
      <c r="L81" s="15" t="n"/>
      <c r="M81" s="11" t="inlineStr">
        <is>
          <t>Vertraulichkeit</t>
        </is>
      </c>
      <c r="N81" s="12" t="inlineStr"/>
      <c r="O81" s="11" t="inlineStr"/>
      <c r="P81" s="12" t="inlineStr">
        <is>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is>
      </c>
      <c r="Q81" s="11" t="inlineStr"/>
      <c r="R81" s="11" t="inlineStr">
        <is>
          <t>Inventar Berechtigungen</t>
        </is>
      </c>
      <c r="S81" s="12" t="inlineStr">
        <is>
          <t>Berechtigungen rollenbasiert</t>
        </is>
      </c>
      <c r="T81" s="12" t="inlineStr">
        <is>
          <t>G 0.36 – Identitätsdiebstahl; G 0.30 – Unberechtigte Nutzung oder Administration von Geräten und Systemen; G 0.32 – Missbrauch von Berechtigungen</t>
        </is>
      </c>
      <c r="U81" s="11" t="n">
        <v>3</v>
      </c>
      <c r="V81" s="11" t="n">
        <v>2</v>
      </c>
      <c r="W81" s="11" t="n">
        <v>1</v>
      </c>
      <c r="X81" s="11" t="n">
        <v>1</v>
      </c>
      <c r="Y81" s="11" t="n">
        <v>1</v>
      </c>
    </row>
    <row r="82">
      <c r="A82" s="11" t="inlineStr">
        <is>
          <t>BER.4.1</t>
        </is>
      </c>
      <c r="B82" s="12" t="inlineStr">
        <is>
          <t>Prinzip der geringsten Berechtigungen</t>
        </is>
      </c>
      <c r="C82" s="11" t="inlineStr">
        <is>
          <t>BER.4.1.2</t>
        </is>
      </c>
      <c r="D82" s="11" t="inlineStr">
        <is>
          <t>Anforderungen bei erhöhtem Schutzbedarf</t>
        </is>
      </c>
      <c r="E82" s="12" t="inlineStr">
        <is>
          <t>Berechtigung KANN die Berechtigung zum Zeitpunkt des Zugriffs für besonders kritische Ressourcen oder Zugänge aktivieren.</t>
        </is>
      </c>
      <c r="F82" s="14" t="n"/>
      <c r="G82" s="14" t="n"/>
      <c r="H82" s="14" t="inlineStr">
        <is>
          <t>unbearbeitet</t>
        </is>
      </c>
      <c r="I82" s="14" t="n"/>
      <c r="J82" s="14" t="n"/>
      <c r="K82" s="14" t="n"/>
      <c r="L82" s="15" t="n"/>
      <c r="M82" s="11" t="inlineStr">
        <is>
          <t>Vertraulichkeit</t>
        </is>
      </c>
      <c r="N82" s="12" t="inlineStr"/>
      <c r="O82" s="11" t="inlineStr"/>
      <c r="P82" s="12" t="inlineStr">
        <is>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is>
      </c>
      <c r="Q82" s="11" t="inlineStr"/>
      <c r="R82" s="11" t="inlineStr">
        <is>
          <t>Inventar Berechtigungen</t>
        </is>
      </c>
      <c r="S82" s="12" t="inlineStr">
        <is>
          <t>die Berechtigung zum Zeitpunkt des Zugriffs</t>
        </is>
      </c>
      <c r="T82" s="12" t="inlineStr">
        <is>
          <t>G 0.32 – Missbrauch von Berechtigungen; G 0.30 – Unberechtigte Nutzung oder Administration von Geräten und Systemen; G 0.36 – Identitätsdiebstahl</t>
        </is>
      </c>
      <c r="U82" s="11" t="n">
        <v>5</v>
      </c>
      <c r="V82" s="11" t="n">
        <v>2</v>
      </c>
      <c r="W82" s="11" t="n">
        <v>1</v>
      </c>
      <c r="X82" s="11" t="n">
        <v>1</v>
      </c>
      <c r="Y82" s="11" t="n">
        <v>1</v>
      </c>
    </row>
    <row r="83">
      <c r="A83" s="9" t="inlineStr">
        <is>
          <t>BER.4.2</t>
        </is>
      </c>
      <c r="B83" s="10" t="inlineStr">
        <is>
          <t>Autorisierung von Berechtigungen</t>
        </is>
      </c>
      <c r="C83" s="11" t="n"/>
      <c r="D83" s="11" t="inlineStr">
        <is>
          <t>Standard-Anforderungen</t>
        </is>
      </c>
      <c r="E83" s="12" t="inlineStr">
        <is>
          <t>Gesamt:</t>
        </is>
      </c>
      <c r="F83" s="11" t="n"/>
      <c r="G83" s="11" t="n"/>
      <c r="H83" s="13">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
      </c>
      <c r="I83" s="11" t="n"/>
      <c r="J83" s="11" t="n"/>
      <c r="K83" s="11" t="n"/>
      <c r="L83" s="11" t="n"/>
      <c r="M83" s="11" t="inlineStr">
        <is>
          <t>Authentizität</t>
        </is>
      </c>
      <c r="N83" s="12" t="inlineStr"/>
      <c r="O83" s="11" t="inlineStr"/>
      <c r="P83" s="12" t="inlineStr">
        <is>
          <t>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is>
      </c>
      <c r="Q83" s="11" t="inlineStr"/>
      <c r="R83" s="11" t="inlineStr">
        <is>
          <t>Inventar Berechtigungen</t>
        </is>
      </c>
      <c r="S83" s="12" t="inlineStr">
        <is>
          <t>die Zuweisung von Berechtigungen</t>
        </is>
      </c>
      <c r="T83" s="12" t="inlineStr">
        <is>
          <t>G 0.36 – Identitätsdiebstahl; G 0.30 – Unberechtigte Nutzung oder Administration von Geräten und Systemen; G 0.32 – Missbrauch von Berechtigungen</t>
        </is>
      </c>
      <c r="U83" s="11" t="n">
        <v>3</v>
      </c>
      <c r="V83" s="11" t="n">
        <v>1</v>
      </c>
      <c r="W83" s="11" t="n">
        <v>1</v>
      </c>
      <c r="X83" s="11" t="n">
        <v>0</v>
      </c>
      <c r="Y83" s="11" t="n">
        <v>2</v>
      </c>
    </row>
    <row r="84">
      <c r="A84" s="11" t="inlineStr">
        <is>
          <t>BER.4.2</t>
        </is>
      </c>
      <c r="B84" s="12" t="inlineStr">
        <is>
          <t>Autorisierung von Berechtigungen</t>
        </is>
      </c>
      <c r="C84" s="11" t="inlineStr">
        <is>
          <t>BER.4.2</t>
        </is>
      </c>
      <c r="D84" s="11" t="inlineStr">
        <is>
          <t>Standard-Anforderungen</t>
        </is>
      </c>
      <c r="E84" s="12" t="inlineStr">
        <is>
          <t>Berechtigung SOLLTE die Zuweisung von Berechtigungen durch bestimmte Personen oder Rollen autorisieren.</t>
        </is>
      </c>
      <c r="F84" s="14" t="n"/>
      <c r="G84" s="14" t="n"/>
      <c r="H84" s="14" t="inlineStr">
        <is>
          <t>unbearbeitet</t>
        </is>
      </c>
      <c r="I84" s="14" t="n"/>
      <c r="J84" s="14" t="n"/>
      <c r="K84" s="14" t="n"/>
      <c r="L84" s="15" t="n"/>
      <c r="M84" s="11" t="inlineStr">
        <is>
          <t>Authentizität</t>
        </is>
      </c>
      <c r="N84" s="12" t="inlineStr"/>
      <c r="O84" s="11" t="inlineStr"/>
      <c r="P84" s="12" t="inlineStr">
        <is>
          <t>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is>
      </c>
      <c r="Q84" s="11" t="inlineStr"/>
      <c r="R84" s="11" t="inlineStr">
        <is>
          <t>Inventar Berechtigungen</t>
        </is>
      </c>
      <c r="S84" s="12" t="inlineStr">
        <is>
          <t>die Zuweisung von Berechtigungen</t>
        </is>
      </c>
      <c r="T84" s="12" t="inlineStr">
        <is>
          <t>G 0.36 – Identitätsdiebstahl; G 0.30 – Unberechtigte Nutzung oder Administration von Geräten und Systemen; G 0.32 – Missbrauch von Berechtigungen</t>
        </is>
      </c>
      <c r="U84" s="11" t="n">
        <v>3</v>
      </c>
      <c r="V84" s="11" t="n">
        <v>1</v>
      </c>
      <c r="W84" s="11" t="n">
        <v>1</v>
      </c>
      <c r="X84" s="11" t="n">
        <v>0</v>
      </c>
      <c r="Y84" s="11" t="n">
        <v>2</v>
      </c>
    </row>
    <row r="85">
      <c r="A85" s="9" t="inlineStr">
        <is>
          <t>BER.4.3</t>
        </is>
      </c>
      <c r="B85" s="10" t="inlineStr">
        <is>
          <t>Begründung von Berechtigungen</t>
        </is>
      </c>
      <c r="C85" s="11" t="n"/>
      <c r="D85" s="11" t="inlineStr">
        <is>
          <t>Standard-Anforderungen</t>
        </is>
      </c>
      <c r="E85" s="12" t="inlineStr">
        <is>
          <t>Gesamt:</t>
        </is>
      </c>
      <c r="F85" s="11" t="n"/>
      <c r="G85" s="11" t="n"/>
      <c r="H85" s="13">
        <f>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
      </c>
      <c r="I85" s="11" t="n"/>
      <c r="J85" s="11" t="n"/>
      <c r="K85" s="11" t="n"/>
      <c r="L85" s="11" t="n"/>
      <c r="M85" s="11" t="inlineStr"/>
      <c r="N85" s="12" t="inlineStr"/>
      <c r="O85" s="11" t="inlineStr"/>
      <c r="P85" s="12" t="inlineStr">
        <is>
          <t>Zweck ist die Nachvollziehbarkeit der Vergabe von Berechtigungen. Die Dokumentation kann z.B. mit einem Identity-Access-Management oder Personalmanagementsystem automatisiert werden.</t>
        </is>
      </c>
      <c r="Q85" s="11" t="inlineStr"/>
      <c r="R85" s="11" t="inlineStr">
        <is>
          <t>Inventar Berechtigungen</t>
        </is>
      </c>
      <c r="S85" s="12" t="inlineStr">
        <is>
          <t>die Vergabe von Berechtigungen und Änderungen an Berechtigungen</t>
        </is>
      </c>
      <c r="T85" s="12" t="inlineStr">
        <is>
          <t>G 0.36 – Identitätsdiebstahl; G 0.30 – Unberechtigte Nutzung oder Administration von Geräten und Systemen; G 0.32 – Missbrauch von Berechtigungen</t>
        </is>
      </c>
      <c r="U85" s="11" t="n">
        <v>3</v>
      </c>
      <c r="V85" s="11" t="n">
        <v>1</v>
      </c>
      <c r="W85" s="11" t="n">
        <v>1</v>
      </c>
      <c r="X85" s="11" t="n">
        <v>1</v>
      </c>
      <c r="Y85" s="11" t="n">
        <v>1</v>
      </c>
    </row>
    <row r="86">
      <c r="A86" s="11" t="inlineStr">
        <is>
          <t>BER.4.3</t>
        </is>
      </c>
      <c r="B86" s="12" t="inlineStr">
        <is>
          <t>Begründung von Berechtigungen</t>
        </is>
      </c>
      <c r="C86" s="11" t="inlineStr">
        <is>
          <t>BER.4.3</t>
        </is>
      </c>
      <c r="D86" s="11" t="inlineStr">
        <is>
          <t>Standard-Anforderungen</t>
        </is>
      </c>
      <c r="E86" s="12" t="inlineStr">
        <is>
          <t>Berechtigung SOLLTE die Vergabe von Berechtigungen und Änderungen an Berechtigungen mit einer Begründung dokumentieren.</t>
        </is>
      </c>
      <c r="F86" s="14" t="n"/>
      <c r="G86" s="14" t="n"/>
      <c r="H86" s="14" t="inlineStr">
        <is>
          <t>unbearbeitet</t>
        </is>
      </c>
      <c r="I86" s="14" t="n"/>
      <c r="J86" s="14" t="n"/>
      <c r="K86" s="14" t="n"/>
      <c r="L86" s="15" t="n"/>
      <c r="M86" s="11" t="inlineStr"/>
      <c r="N86" s="12" t="inlineStr"/>
      <c r="O86" s="11" t="inlineStr"/>
      <c r="P86" s="12" t="inlineStr">
        <is>
          <t>Zweck ist die Nachvollziehbarkeit der Vergabe von Berechtigungen. Die Dokumentation kann z.B. mit einem Identity-Access-Management oder Personalmanagementsystem automatisiert werden.</t>
        </is>
      </c>
      <c r="Q86" s="11" t="inlineStr"/>
      <c r="R86" s="11" t="inlineStr">
        <is>
          <t>Inventar Berechtigungen</t>
        </is>
      </c>
      <c r="S86" s="12" t="inlineStr">
        <is>
          <t>die Vergabe von Berechtigungen und Änderungen an Berechtigungen</t>
        </is>
      </c>
      <c r="T86" s="12" t="inlineStr">
        <is>
          <t>G 0.36 – Identitätsdiebstahl; G 0.30 – Unberechtigte Nutzung oder Administration von Geräten und Systemen; G 0.32 – Missbrauch von Berechtigungen</t>
        </is>
      </c>
      <c r="U86" s="11" t="n">
        <v>3</v>
      </c>
      <c r="V86" s="11" t="n">
        <v>1</v>
      </c>
      <c r="W86" s="11" t="n">
        <v>1</v>
      </c>
      <c r="X86" s="11" t="n">
        <v>1</v>
      </c>
      <c r="Y86" s="11" t="n">
        <v>1</v>
      </c>
    </row>
    <row r="87">
      <c r="A87" s="9" t="inlineStr">
        <is>
          <t>BER.4.4</t>
        </is>
      </c>
      <c r="B87" s="10" t="inlineStr">
        <is>
          <t>Überprüfung von Berechtigungen</t>
        </is>
      </c>
      <c r="C87" s="11" t="n"/>
      <c r="D87" s="11" t="inlineStr">
        <is>
          <t>Standard-Anforderungen</t>
        </is>
      </c>
      <c r="E87" s="12" t="inlineStr">
        <is>
          <t>Gesamt:</t>
        </is>
      </c>
      <c r="F87" s="11" t="n"/>
      <c r="G87" s="11" t="n"/>
      <c r="H87" s="13">
        <f>IF(OR(COUNTBLANK($H$88:$H$89)&gt;0,COUNTIF($H$88:$H$89,"unbearbeitet")=COUNTA($H$88:$H$89)),"Bitte Teilanforderungen ausfüllen",IF(COUNTIF($H$88:$H$89,"zu klären")&gt;0,"zu klären",IF(COUNTIF($H$88:$H$89,"entbehrlich")=COUNTA($H$88:$H$89),"entbehrlich",IF(COUNTIF($H$88:$H$89,"verwiesen")=COUNTA($H$88:$H$89),"verwiesen",IF(COUNTIF($H$88:$H$89,"nein")+COUNTIF($H$88:$H$89,"entbehrlich")=COUNTA($H$88:$H$89),"nein",IF(COUNTIF($H$88:$H$89,"ja")+COUNTIF($H$88:$H$89,"entbehrlich")+COUNTIF($H$88:$H$89,"verwiesen")=COUNTA($H$88:$H$89),"ja","teilweise"))))))</f>
        <v/>
      </c>
      <c r="I87" s="11" t="n"/>
      <c r="J87" s="11" t="n"/>
      <c r="K87" s="11" t="n"/>
      <c r="L87" s="11" t="n"/>
      <c r="M87" s="11" t="inlineStr"/>
      <c r="N87" s="12" t="inlineStr"/>
      <c r="O87" s="11" t="inlineStr"/>
      <c r="P87" s="12" t="inlineStr">
        <is>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is>
      </c>
      <c r="Q87" s="11" t="inlineStr"/>
      <c r="R87" s="11" t="inlineStr">
        <is>
          <t>Prüfplan</t>
        </is>
      </c>
      <c r="S87" s="12" t="inlineStr">
        <is>
          <t>vergebene Berechtigungen</t>
        </is>
      </c>
      <c r="T87" s="12" t="inlineStr">
        <is>
          <t>G 0.36 – Identitätsdiebstahl; G 0.30 – Unberechtigte Nutzung oder Administration von Geräten und Systemen; G 0.32 – Missbrauch von Berechtigungen</t>
        </is>
      </c>
      <c r="U87" s="11" t="n">
        <v>3</v>
      </c>
      <c r="V87" s="11" t="n">
        <v>1</v>
      </c>
      <c r="W87" s="11" t="n">
        <v>1</v>
      </c>
      <c r="X87" s="11" t="n">
        <v>1</v>
      </c>
      <c r="Y87" s="11" t="n">
        <v>1</v>
      </c>
    </row>
    <row r="88">
      <c r="A88" s="11" t="inlineStr">
        <is>
          <t>BER.4.4</t>
        </is>
      </c>
      <c r="B88" s="12" t="inlineStr">
        <is>
          <t>Überprüfung von Berechtigungen</t>
        </is>
      </c>
      <c r="C88" s="11" t="inlineStr">
        <is>
          <t>BER.4.4</t>
        </is>
      </c>
      <c r="D88" s="11" t="inlineStr">
        <is>
          <t>Standard-Anforderungen</t>
        </is>
      </c>
      <c r="E88" s="12" t="inlineStr">
        <is>
          <t>Berechtigung SOLLTE vergebene Berechtigungen regelmäßig auf Erforderlichkeit überprüfen.</t>
        </is>
      </c>
      <c r="F88" s="14" t="n"/>
      <c r="G88" s="14" t="n"/>
      <c r="H88" s="14" t="inlineStr">
        <is>
          <t>unbearbeitet</t>
        </is>
      </c>
      <c r="I88" s="14" t="n"/>
      <c r="J88" s="14" t="n"/>
      <c r="K88" s="14" t="n"/>
      <c r="L88" s="15" t="n"/>
      <c r="M88" s="11" t="inlineStr"/>
      <c r="N88" s="12" t="inlineStr"/>
      <c r="O88" s="11" t="inlineStr"/>
      <c r="P88" s="12" t="inlineStr">
        <is>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is>
      </c>
      <c r="Q88" s="11" t="inlineStr"/>
      <c r="R88" s="11" t="inlineStr">
        <is>
          <t>Prüfplan</t>
        </is>
      </c>
      <c r="S88" s="12" t="inlineStr">
        <is>
          <t>vergebene Berechtigungen</t>
        </is>
      </c>
      <c r="T88" s="12" t="inlineStr">
        <is>
          <t>G 0.36 – Identitätsdiebstahl; G 0.30 – Unberechtigte Nutzung oder Administration von Geräten und Systemen; G 0.32 – Missbrauch von Berechtigungen</t>
        </is>
      </c>
      <c r="U88" s="11" t="n">
        <v>3</v>
      </c>
      <c r="V88" s="11" t="n">
        <v>1</v>
      </c>
      <c r="W88" s="11" t="n">
        <v>1</v>
      </c>
      <c r="X88" s="11" t="n">
        <v>1</v>
      </c>
      <c r="Y88" s="11" t="n">
        <v>1</v>
      </c>
    </row>
    <row r="89">
      <c r="A89" s="11" t="inlineStr">
        <is>
          <t>BER.4.4</t>
        </is>
      </c>
      <c r="B89" s="12" t="inlineStr">
        <is>
          <t>Überprüfung von Berechtigungen</t>
        </is>
      </c>
      <c r="C89" s="11" t="inlineStr">
        <is>
          <t>BER.4.4.1</t>
        </is>
      </c>
      <c r="D89" s="11" t="inlineStr">
        <is>
          <t>Standard-Anforderungen</t>
        </is>
      </c>
      <c r="E89" s="12" t="inlineStr">
        <is>
          <t>Berechtigung SOLLTE dokumentierte und tatsächlich vergebene Berechtigungen regelmäßig auf Übereinstimmung überprüfen.</t>
        </is>
      </c>
      <c r="F89" s="14" t="n"/>
      <c r="G89" s="14" t="n"/>
      <c r="H89" s="14" t="inlineStr">
        <is>
          <t>unbearbeitet</t>
        </is>
      </c>
      <c r="I89" s="14" t="n"/>
      <c r="J89" s="14" t="n"/>
      <c r="K89" s="14" t="n"/>
      <c r="L89" s="15" t="n"/>
      <c r="M89" s="11" t="inlineStr"/>
      <c r="N89" s="12" t="inlineStr"/>
      <c r="O89" s="11" t="inlineStr"/>
      <c r="P89" s="12" t="inlineStr">
        <is>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is>
      </c>
      <c r="Q89" s="11" t="inlineStr"/>
      <c r="R89" s="11" t="inlineStr">
        <is>
          <t>Inventar Berechtigungen</t>
        </is>
      </c>
      <c r="S89" s="12" t="inlineStr">
        <is>
          <t>dokumentierte und tatsächlich vergebene Berechtigungen</t>
        </is>
      </c>
      <c r="T89" s="12" t="inlineStr">
        <is>
          <t>G 0.36 – Identitätsdiebstahl; G 0.30 – Unberechtigte Nutzung oder Administration von Geräten und Systemen; G 0.32 – Missbrauch von Berechtigungen</t>
        </is>
      </c>
      <c r="U89" s="11" t="n">
        <v>4</v>
      </c>
      <c r="V89" s="11" t="n">
        <v>1</v>
      </c>
      <c r="W89" s="11" t="n">
        <v>1</v>
      </c>
      <c r="X89" s="11" t="n">
        <v>1</v>
      </c>
      <c r="Y89" s="11" t="n">
        <v>1</v>
      </c>
    </row>
    <row r="90">
      <c r="A90" s="9" t="inlineStr">
        <is>
          <t>BER.4.5</t>
        </is>
      </c>
      <c r="B90" s="10" t="inlineStr">
        <is>
          <t>Systemfunktionen ohne Authentifizierung</t>
        </is>
      </c>
      <c r="C90" s="11" t="n"/>
      <c r="D90" s="11" t="inlineStr">
        <is>
          <t>Standard-Anforderungen</t>
        </is>
      </c>
      <c r="E90" s="12" t="inlineStr">
        <is>
          <t>Gesamt:</t>
        </is>
      </c>
      <c r="F90" s="11" t="n"/>
      <c r="G90" s="11" t="n"/>
      <c r="H90" s="13">
        <f>IF(OR(COUNTBLANK($H$91:$H$91)&gt;0,COUNTIF($H$91:$H$91,"unbearbeitet")=COUNTA($H$91:$H$91)),"Bitte Teilanforderungen ausfüllen",IF(COUNTIF($H$91:$H$91,"zu klären")&gt;0,"zu klären",IF(COUNTIF($H$91:$H$91,"entbehrlich")=COUNTA($H$91:$H$91),"entbehrlich",IF(COUNTIF($H$91:$H$91,"verwiesen")=COUNTA($H$91:$H$91),"verwiesen",IF(COUNTIF($H$91:$H$91,"nein")+COUNTIF($H$91:$H$91,"entbehrlich")=COUNTA($H$91:$H$91),"nein",IF(COUNTIF($H$91:$H$91,"ja")+COUNTIF($H$91:$H$91,"entbehrlich")+COUNTIF($H$91:$H$91,"verwiesen")=COUNTA($H$91:$H$91),"ja","teilweise"))))))</f>
        <v/>
      </c>
      <c r="I90" s="11" t="n"/>
      <c r="J90" s="11" t="n"/>
      <c r="K90" s="11" t="n"/>
      <c r="L90" s="11" t="n"/>
      <c r="M90" s="11" t="inlineStr">
        <is>
          <t>Authentizität</t>
        </is>
      </c>
      <c r="N90" s="12" t="inlineStr"/>
      <c r="O90" s="11" t="inlineStr"/>
      <c r="P90" s="12" t="inlineStr">
        <is>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is>
      </c>
      <c r="Q90" s="11" t="inlineStr">
        <is>
          <t>IT-Systeme</t>
        </is>
      </c>
      <c r="R90" s="11" t="inlineStr">
        <is>
          <t>Systemdokumentation</t>
        </is>
      </c>
      <c r="S90" s="12" t="inlineStr">
        <is>
          <t>Funktionen, auf die ohne vorherige Authentifizierung zugegriffen werden kann,</t>
        </is>
      </c>
      <c r="T90" s="12" t="inlineStr">
        <is>
          <t>G 0.36 – Identitätsdiebstahl; G 0.30 – Unberechtigte Nutzung oder Administration von Geräten und Systemen; G 0.32 – Missbrauch von Berechtigungen</t>
        </is>
      </c>
      <c r="U90" s="11" t="n">
        <v>4</v>
      </c>
      <c r="V90" s="11" t="n">
        <v>1</v>
      </c>
      <c r="W90" s="11" t="n">
        <v>1</v>
      </c>
      <c r="X90" s="11" t="n">
        <v>1</v>
      </c>
      <c r="Y90" s="11" t="n">
        <v>2</v>
      </c>
    </row>
    <row r="91">
      <c r="A91" s="11" t="inlineStr">
        <is>
          <t>BER.4.5</t>
        </is>
      </c>
      <c r="B91" s="12" t="inlineStr">
        <is>
          <t>Systemfunktionen ohne Authentifizierung</t>
        </is>
      </c>
      <c r="C91" s="11" t="inlineStr">
        <is>
          <t>BER.4.5</t>
        </is>
      </c>
      <c r="D91" s="11" t="inlineStr">
        <is>
          <t>Standard-Anforderungen</t>
        </is>
      </c>
      <c r="E91" s="12" t="inlineStr">
        <is>
          <t>Berechtigung für IT-Systeme SOLLTE Funktionen, auf die ohne vorherige Authentifizierung zugegriffen werden kann, dokumentieren.</t>
        </is>
      </c>
      <c r="F91" s="14" t="n"/>
      <c r="G91" s="14" t="n"/>
      <c r="H91" s="14" t="inlineStr">
        <is>
          <t>unbearbeitet</t>
        </is>
      </c>
      <c r="I91" s="14" t="n"/>
      <c r="J91" s="14" t="n"/>
      <c r="K91" s="14" t="n"/>
      <c r="L91" s="15" t="n"/>
      <c r="M91" s="11" t="inlineStr">
        <is>
          <t>Authentizität</t>
        </is>
      </c>
      <c r="N91" s="12" t="inlineStr"/>
      <c r="O91" s="11" t="inlineStr"/>
      <c r="P91" s="12" t="inlineStr">
        <is>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is>
      </c>
      <c r="Q91" s="11" t="inlineStr">
        <is>
          <t>IT-Systeme</t>
        </is>
      </c>
      <c r="R91" s="11" t="inlineStr">
        <is>
          <t>Systemdokumentation</t>
        </is>
      </c>
      <c r="S91" s="12" t="inlineStr">
        <is>
          <t>Funktionen, auf die ohne vorherige Authentifizierung zugegriffen werden kann,</t>
        </is>
      </c>
      <c r="T91" s="12" t="inlineStr">
        <is>
          <t>G 0.36 – Identitätsdiebstahl; G 0.30 – Unberechtigte Nutzung oder Administration von Geräten und Systemen; G 0.32 – Missbrauch von Berechtigungen</t>
        </is>
      </c>
      <c r="U91" s="11" t="n">
        <v>4</v>
      </c>
      <c r="V91" s="11" t="n">
        <v>1</v>
      </c>
      <c r="W91" s="11" t="n">
        <v>1</v>
      </c>
      <c r="X91" s="11" t="n">
        <v>1</v>
      </c>
      <c r="Y91" s="11" t="n">
        <v>2</v>
      </c>
    </row>
    <row r="92">
      <c r="A92" s="9" t="inlineStr">
        <is>
          <t>BER.4.6</t>
        </is>
      </c>
      <c r="B92" s="10" t="inlineStr">
        <is>
          <t>Anwendungsfunktionen ohne Authentifizierung</t>
        </is>
      </c>
      <c r="C92" s="11" t="n"/>
      <c r="D92" s="11" t="inlineStr">
        <is>
          <t>Standard-Anforderungen</t>
        </is>
      </c>
      <c r="E92" s="12" t="inlineStr">
        <is>
          <t>Gesamt:</t>
        </is>
      </c>
      <c r="F92" s="11" t="n"/>
      <c r="G92" s="11" t="n"/>
      <c r="H92" s="13">
        <f>IF(OR(COUNTBLANK($H$93:$H$93)&gt;0,COUNTIF($H$93:$H$93,"unbearbeitet")=COUNTA($H$93:$H$93)),"Bitte Teilanforderungen ausfüllen",IF(COUNTIF($H$93:$H$93,"zu klären")&gt;0,"zu klären",IF(COUNTIF($H$93:$H$93,"entbehrlich")=COUNTA($H$93:$H$93),"entbehrlich",IF(COUNTIF($H$93:$H$93,"verwiesen")=COUNTA($H$93:$H$93),"verwiesen",IF(COUNTIF($H$93:$H$93,"nein")+COUNTIF($H$93:$H$93,"entbehrlich")=COUNTA($H$93:$H$93),"nein",IF(COUNTIF($H$93:$H$93,"ja")+COUNTIF($H$93:$H$93,"entbehrlich")+COUNTIF($H$93:$H$93,"verwiesen")=COUNTA($H$93:$H$93),"ja","teilweise"))))))</f>
        <v/>
      </c>
      <c r="I92" s="11" t="n"/>
      <c r="J92" s="11" t="n"/>
      <c r="K92" s="11" t="n"/>
      <c r="L92" s="11" t="n"/>
      <c r="M92" s="11" t="inlineStr">
        <is>
          <t>Authentizität</t>
        </is>
      </c>
      <c r="N92" s="12" t="inlineStr"/>
      <c r="O92" s="11" t="inlineStr"/>
      <c r="P92" s="12" t="inlineStr">
        <is>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is>
      </c>
      <c r="Q92" s="11" t="inlineStr">
        <is>
          <t>Anwendungen</t>
        </is>
      </c>
      <c r="R92" s="11" t="inlineStr">
        <is>
          <t>Anwendungsdokumentation</t>
        </is>
      </c>
      <c r="S92" s="12" t="inlineStr">
        <is>
          <t>Funktionen, auf die ohne vorherige Authentifizierung zugegriffen werden kann,</t>
        </is>
      </c>
      <c r="T92" s="12" t="inlineStr">
        <is>
          <t>G 0.36 – Identitätsdiebstahl; G 0.30 – Unberechtigte Nutzung oder Administration von Geräten und Systemen; G 0.32 – Missbrauch von Berechtigungen</t>
        </is>
      </c>
      <c r="U92" s="11" t="n">
        <v>4</v>
      </c>
      <c r="V92" s="11" t="n">
        <v>1</v>
      </c>
      <c r="W92" s="11" t="n">
        <v>1</v>
      </c>
      <c r="X92" s="11" t="n">
        <v>1</v>
      </c>
      <c r="Y92" s="11" t="n">
        <v>2</v>
      </c>
    </row>
    <row r="93">
      <c r="A93" s="11" t="inlineStr">
        <is>
          <t>BER.4.6</t>
        </is>
      </c>
      <c r="B93" s="12" t="inlineStr">
        <is>
          <t>Anwendungsfunktionen ohne Authentifizierung</t>
        </is>
      </c>
      <c r="C93" s="11" t="inlineStr">
        <is>
          <t>BER.4.6</t>
        </is>
      </c>
      <c r="D93" s="11" t="inlineStr">
        <is>
          <t>Standard-Anforderungen</t>
        </is>
      </c>
      <c r="E93" s="12" t="inlineStr">
        <is>
          <t>Berechtigung für Anwendungen SOLLTE Funktionen, auf die ohne vorherige Authentifizierung zugegriffen werden kann, dokumentieren.</t>
        </is>
      </c>
      <c r="F93" s="14" t="n"/>
      <c r="G93" s="14" t="n"/>
      <c r="H93" s="14" t="inlineStr">
        <is>
          <t>unbearbeitet</t>
        </is>
      </c>
      <c r="I93" s="14" t="n"/>
      <c r="J93" s="14" t="n"/>
      <c r="K93" s="14" t="n"/>
      <c r="L93" s="15" t="n"/>
      <c r="M93" s="11" t="inlineStr">
        <is>
          <t>Authentizität</t>
        </is>
      </c>
      <c r="N93" s="12" t="inlineStr"/>
      <c r="O93" s="11" t="inlineStr"/>
      <c r="P93" s="12" t="inlineStr">
        <is>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is>
      </c>
      <c r="Q93" s="11" t="inlineStr">
        <is>
          <t>Anwendungen</t>
        </is>
      </c>
      <c r="R93" s="11" t="inlineStr">
        <is>
          <t>Anwendungsdokumentation</t>
        </is>
      </c>
      <c r="S93" s="12" t="inlineStr">
        <is>
          <t>Funktionen, auf die ohne vorherige Authentifizierung zugegriffen werden kann,</t>
        </is>
      </c>
      <c r="T93" s="12" t="inlineStr">
        <is>
          <t>G 0.36 – Identitätsdiebstahl; G 0.30 – Unberechtigte Nutzung oder Administration von Geräten und Systemen; G 0.32 – Missbrauch von Berechtigungen</t>
        </is>
      </c>
      <c r="U93" s="11" t="n">
        <v>4</v>
      </c>
      <c r="V93" s="11" t="n">
        <v>1</v>
      </c>
      <c r="W93" s="11" t="n">
        <v>1</v>
      </c>
      <c r="X93" s="11" t="n">
        <v>1</v>
      </c>
      <c r="Y93" s="11" t="n">
        <v>2</v>
      </c>
    </row>
    <row r="94">
      <c r="A94" s="9" t="inlineStr">
        <is>
          <t>BER.4.7</t>
        </is>
      </c>
      <c r="B94" s="10" t="inlineStr">
        <is>
          <t>IT-System-Zugangskonto</t>
        </is>
      </c>
      <c r="C94" s="11" t="n"/>
      <c r="D94" s="11" t="inlineStr">
        <is>
          <t>Anforderungen bei erhöhtem Schutzbedarf</t>
        </is>
      </c>
      <c r="E94" s="12" t="inlineStr">
        <is>
          <t>Gesamt:</t>
        </is>
      </c>
      <c r="F94" s="11" t="n"/>
      <c r="G94" s="11" t="n"/>
      <c r="H94" s="13">
        <f>IF(OR(COUNTBLANK($H$95:$H$95)&gt;0,COUNTIF($H$95:$H$95,"unbearbeitet")=COUNTA($H$95:$H$95)),"Bitte Teilanforderungen ausfüllen",IF(COUNTIF($H$95:$H$95,"zu klären")&gt;0,"zu klären",IF(COUNTIF($H$95:$H$95,"entbehrlich")=COUNTA($H$95:$H$95),"entbehrlich",IF(COUNTIF($H$95:$H$95,"verwiesen")=COUNTA($H$95:$H$95),"verwiesen",IF(COUNTIF($H$95:$H$95,"nein")+COUNTIF($H$95:$H$95,"entbehrlich")=COUNTA($H$95:$H$95),"nein",IF(COUNTIF($H$95:$H$95,"ja")+COUNTIF($H$95:$H$95,"entbehrlich")+COUNTIF($H$95:$H$95,"verwiesen")=COUNTA($H$95:$H$95),"ja","teilweise"))))))</f>
        <v/>
      </c>
      <c r="I94" s="11" t="n"/>
      <c r="J94" s="11" t="n"/>
      <c r="K94" s="11" t="n"/>
      <c r="L94" s="11" t="n"/>
      <c r="M94" s="11" t="inlineStr">
        <is>
          <t>Authentizität</t>
        </is>
      </c>
      <c r="N94" s="12" t="inlineStr"/>
      <c r="O94" s="11" t="inlineStr"/>
      <c r="P94" s="12" t="inlineStr">
        <is>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is>
      </c>
      <c r="Q94" s="11" t="inlineStr">
        <is>
          <t>IT-Systeme</t>
        </is>
      </c>
      <c r="R94" s="11" t="inlineStr">
        <is>
          <t>Inventar Berechtigungen</t>
        </is>
      </c>
      <c r="S94" s="12" t="inlineStr">
        <is>
          <t>diese genau einem Zugangskonto</t>
        </is>
      </c>
      <c r="T94" s="12" t="inlineStr">
        <is>
          <t>G 0.36 – Identitätsdiebstahl; G 0.30 – Unberechtigte Nutzung oder Administration von Geräten und Systemen; G 0.32 – Missbrauch von Berechtigungen</t>
        </is>
      </c>
      <c r="U94" s="11" t="n">
        <v>5</v>
      </c>
      <c r="V94" s="11" t="n">
        <v>1</v>
      </c>
      <c r="W94" s="11" t="n">
        <v>1</v>
      </c>
      <c r="X94" s="11" t="n">
        <v>1</v>
      </c>
      <c r="Y94" s="11" t="n">
        <v>2</v>
      </c>
    </row>
    <row r="95">
      <c r="A95" s="11" t="inlineStr">
        <is>
          <t>BER.4.7</t>
        </is>
      </c>
      <c r="B95" s="12" t="inlineStr">
        <is>
          <t>IT-System-Zugangskonto</t>
        </is>
      </c>
      <c r="C95" s="11" t="inlineStr">
        <is>
          <t>BER.4.7</t>
        </is>
      </c>
      <c r="D95" s="11" t="inlineStr">
        <is>
          <t>Anforderungen bei erhöhtem Schutzbedarf</t>
        </is>
      </c>
      <c r="E95" s="12" t="inlineStr">
        <is>
          <t>Berechtigung für IT-Systeme KANN diese genau einem Zugangskonto zuweisen.</t>
        </is>
      </c>
      <c r="F95" s="14" t="n"/>
      <c r="G95" s="14" t="n"/>
      <c r="H95" s="14" t="inlineStr">
        <is>
          <t>unbearbeitet</t>
        </is>
      </c>
      <c r="I95" s="14" t="n"/>
      <c r="J95" s="14" t="n"/>
      <c r="K95" s="14" t="n"/>
      <c r="L95" s="15" t="n"/>
      <c r="M95" s="11" t="inlineStr">
        <is>
          <t>Authentizität</t>
        </is>
      </c>
      <c r="N95" s="12" t="inlineStr"/>
      <c r="O95" s="11" t="inlineStr"/>
      <c r="P95" s="12" t="inlineStr">
        <is>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is>
      </c>
      <c r="Q95" s="11" t="inlineStr">
        <is>
          <t>IT-Systeme</t>
        </is>
      </c>
      <c r="R95" s="11" t="inlineStr">
        <is>
          <t>Inventar Berechtigungen</t>
        </is>
      </c>
      <c r="S95" s="12" t="inlineStr">
        <is>
          <t>diese genau einem Zugangskonto</t>
        </is>
      </c>
      <c r="T95" s="12" t="inlineStr">
        <is>
          <t>G 0.36 – Identitätsdiebstahl; G 0.30 – Unberechtigte Nutzung oder Administration von Geräten und Systemen; G 0.32 – Missbrauch von Berechtigungen</t>
        </is>
      </c>
      <c r="U95" s="11" t="n">
        <v>5</v>
      </c>
      <c r="V95" s="11" t="n">
        <v>1</v>
      </c>
      <c r="W95" s="11" t="n">
        <v>1</v>
      </c>
      <c r="X95" s="11" t="n">
        <v>1</v>
      </c>
      <c r="Y95" s="11" t="n">
        <v>2</v>
      </c>
    </row>
    <row r="96">
      <c r="A96" s="9" t="inlineStr">
        <is>
          <t>BER.4.8</t>
        </is>
      </c>
      <c r="B96" s="10" t="inlineStr">
        <is>
          <t>Entzug von Berechtigungen</t>
        </is>
      </c>
      <c r="C96" s="11" t="n"/>
      <c r="D96" s="11" t="inlineStr">
        <is>
          <t>Standard-Anforderungen</t>
        </is>
      </c>
      <c r="E96" s="12" t="inlineStr">
        <is>
          <t>Gesamt:</t>
        </is>
      </c>
      <c r="F96" s="11" t="n"/>
      <c r="G96" s="11" t="n"/>
      <c r="H96" s="13">
        <f>IF(OR(COUNTBLANK($H$97:$H$97)&gt;0,COUNTIF($H$97:$H$97,"unbearbeitet")=COUNTA($H$97:$H$97)),"Bitte Teilanforderungen ausfüllen",IF(COUNTIF($H$97:$H$97,"zu klären")&gt;0,"zu klären",IF(COUNTIF($H$97:$H$97,"entbehrlich")=COUNTA($H$97:$H$97),"entbehrlich",IF(COUNTIF($H$97:$H$97,"verwiesen")=COUNTA($H$97:$H$97),"verwiesen",IF(COUNTIF($H$97:$H$97,"nein")+COUNTIF($H$97:$H$97,"entbehrlich")=COUNTA($H$97:$H$97),"nein",IF(COUNTIF($H$97:$H$97,"ja")+COUNTIF($H$97:$H$97,"entbehrlich")+COUNTIF($H$97:$H$97,"verwiesen")=COUNTA($H$97:$H$97),"ja","teilweise"))))))</f>
        <v/>
      </c>
      <c r="I96" s="11" t="n"/>
      <c r="J96" s="11" t="n"/>
      <c r="K96" s="11" t="n"/>
      <c r="L96" s="11" t="n"/>
      <c r="M96" s="11" t="inlineStr"/>
      <c r="N96" s="12" t="inlineStr"/>
      <c r="O96" s="11" t="inlineStr"/>
      <c r="P96" s="12" t="inlineStr">
        <is>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is>
      </c>
      <c r="Q96" s="11" t="inlineStr"/>
      <c r="R96" s="11" t="inlineStr">
        <is>
          <t>IT-Betriebskonzept</t>
        </is>
      </c>
      <c r="S96" s="12" t="inlineStr">
        <is>
          <t>eine Vorgehensweise zum Entzug von Berechtigungen</t>
        </is>
      </c>
      <c r="T96" s="12" t="inlineStr">
        <is>
          <t>G 0.36 – Identitätsdiebstahl; G 0.30 – Unberechtigte Nutzung oder Administration von Geräten und Systemen; G 0.32 – Missbrauch von Berechtigungen</t>
        </is>
      </c>
      <c r="U96" s="11" t="n">
        <v>3</v>
      </c>
      <c r="V96" s="11" t="n">
        <v>1</v>
      </c>
      <c r="W96" s="11" t="n">
        <v>1</v>
      </c>
      <c r="X96" s="11" t="n">
        <v>1</v>
      </c>
      <c r="Y96" s="11" t="n">
        <v>1</v>
      </c>
    </row>
    <row r="97">
      <c r="A97" s="11" t="inlineStr">
        <is>
          <t>BER.4.8</t>
        </is>
      </c>
      <c r="B97" s="12" t="inlineStr">
        <is>
          <t>Entzug von Berechtigungen</t>
        </is>
      </c>
      <c r="C97" s="11" t="inlineStr">
        <is>
          <t>BER.4.8</t>
        </is>
      </c>
      <c r="D97" s="11" t="inlineStr">
        <is>
          <t>Standard-Anforderungen</t>
        </is>
      </c>
      <c r="E97" s="12" t="inlineStr">
        <is>
          <t>Berechtigung SOLLTE eine Vorgehensweise zum Entzug von Berechtigungen verankern.</t>
        </is>
      </c>
      <c r="F97" s="14" t="n"/>
      <c r="G97" s="14" t="n"/>
      <c r="H97" s="14" t="inlineStr">
        <is>
          <t>unbearbeitet</t>
        </is>
      </c>
      <c r="I97" s="14" t="n"/>
      <c r="J97" s="14" t="n"/>
      <c r="K97" s="14" t="n"/>
      <c r="L97" s="15" t="n"/>
      <c r="M97" s="11" t="inlineStr"/>
      <c r="N97" s="12" t="inlineStr"/>
      <c r="O97" s="11" t="inlineStr"/>
      <c r="P97" s="12" t="inlineStr">
        <is>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is>
      </c>
      <c r="Q97" s="11" t="inlineStr"/>
      <c r="R97" s="11" t="inlineStr">
        <is>
          <t>IT-Betriebskonzept</t>
        </is>
      </c>
      <c r="S97" s="12" t="inlineStr">
        <is>
          <t>eine Vorgehensweise zum Entzug von Berechtigungen</t>
        </is>
      </c>
      <c r="T97" s="12" t="inlineStr">
        <is>
          <t>G 0.36 – Identitätsdiebstahl; G 0.30 – Unberechtigte Nutzung oder Administration von Geräten und Systemen; G 0.32 – Missbrauch von Berechtigungen</t>
        </is>
      </c>
      <c r="U97" s="11" t="n">
        <v>3</v>
      </c>
      <c r="V97" s="11" t="n">
        <v>1</v>
      </c>
      <c r="W97" s="11" t="n">
        <v>1</v>
      </c>
      <c r="X97" s="11" t="n">
        <v>1</v>
      </c>
      <c r="Y97" s="11" t="n">
        <v>1</v>
      </c>
    </row>
    <row r="98">
      <c r="A98" s="9" t="inlineStr">
        <is>
          <t>BER.5.1</t>
        </is>
      </c>
      <c r="B98" s="10" t="inlineStr">
        <is>
          <t>Vorgehensweise zur Ausgabe</t>
        </is>
      </c>
      <c r="C98" s="11" t="n"/>
      <c r="D98" s="11" t="inlineStr">
        <is>
          <t>Standard-Anforderungen</t>
        </is>
      </c>
      <c r="E98" s="12" t="inlineStr">
        <is>
          <t>Gesamt:</t>
        </is>
      </c>
      <c r="F98" s="11" t="n"/>
      <c r="G98" s="11" t="n"/>
      <c r="H98" s="13">
        <f>IF(OR(COUNTBLANK($H$99:$H$100)&gt;0,COUNTIF($H$99:$H$100,"unbearbeitet")=COUNTA($H$99:$H$100)),"Bitte Teilanforderungen ausfüllen",IF(COUNTIF($H$99:$H$100,"zu klären")&gt;0,"zu klären",IF(COUNTIF($H$99:$H$100,"entbehrlich")=COUNTA($H$99:$H$100),"entbehrlich",IF(COUNTIF($H$99:$H$100,"verwiesen")=COUNTA($H$99:$H$100),"verwiesen",IF(COUNTIF($H$99:$H$100,"nein")+COUNTIF($H$99:$H$100,"entbehrlich")=COUNTA($H$99:$H$100),"nein",IF(COUNTIF($H$99:$H$100,"ja")+COUNTIF($H$99:$H$100,"entbehrlich")+COUNTIF($H$99:$H$100,"verwiesen")=COUNTA($H$99:$H$100),"ja","teilweise"))))))</f>
        <v/>
      </c>
      <c r="I98" s="11" t="n"/>
      <c r="J98" s="11" t="n"/>
      <c r="K98" s="11" t="n"/>
      <c r="L98" s="11" t="n"/>
      <c r="M98" s="11" t="inlineStr">
        <is>
          <t>Authentizität</t>
        </is>
      </c>
      <c r="N98" s="12" t="inlineStr">
        <is>
          <t>APP.4.2.A14-UA.2</t>
        </is>
      </c>
      <c r="O98" s="11" t="inlineStr">
        <is>
          <t>subset-of</t>
        </is>
      </c>
      <c r="P98" s="12" t="inlineStr">
        <is>
          <t>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is>
      </c>
      <c r="Q98" s="11" t="inlineStr"/>
      <c r="R98" s="11" t="inlineStr">
        <is>
          <t>IT-Betriebskonzept</t>
        </is>
      </c>
      <c r="S98" s="12" t="inlineStr">
        <is>
          <t>eine Vorgehensweise zur initialen Ausgabe von Authentifizierungsmitteln</t>
        </is>
      </c>
      <c r="T98" s="12" t="inlineStr">
        <is>
          <t>G 0.36 – Identitätsdiebstahl</t>
        </is>
      </c>
      <c r="U98" s="11" t="n">
        <v>2</v>
      </c>
      <c r="V98" s="11" t="n">
        <v>1</v>
      </c>
      <c r="W98" s="11" t="n">
        <v>1</v>
      </c>
      <c r="X98" s="11" t="n">
        <v>0</v>
      </c>
      <c r="Y98" s="11" t="n">
        <v>2</v>
      </c>
    </row>
    <row r="99">
      <c r="A99" s="11" t="inlineStr">
        <is>
          <t>BER.5.1</t>
        </is>
      </c>
      <c r="B99" s="12" t="inlineStr">
        <is>
          <t>Vorgehensweise zur Ausgabe</t>
        </is>
      </c>
      <c r="C99" s="11" t="inlineStr">
        <is>
          <t>BER.5.1</t>
        </is>
      </c>
      <c r="D99" s="11" t="inlineStr">
        <is>
          <t>Standard-Anforderungen</t>
        </is>
      </c>
      <c r="E99" s="12" t="inlineStr">
        <is>
          <t>Berechtigung SOLLTE eine Vorgehensweise zur initialen Ausgabe von Authentifizierungsmitteln verankern.</t>
        </is>
      </c>
      <c r="F99" s="14" t="n"/>
      <c r="G99" s="14" t="n"/>
      <c r="H99" s="14" t="inlineStr">
        <is>
          <t>unbearbeitet</t>
        </is>
      </c>
      <c r="I99" s="14" t="n"/>
      <c r="J99" s="14" t="n"/>
      <c r="K99" s="14" t="n"/>
      <c r="L99" s="15" t="n"/>
      <c r="M99" s="11" t="inlineStr">
        <is>
          <t>Authentizität</t>
        </is>
      </c>
      <c r="N99" s="12" t="inlineStr">
        <is>
          <t>APP.4.2.A14-UA.2</t>
        </is>
      </c>
      <c r="O99" s="11" t="inlineStr">
        <is>
          <t>subset-of</t>
        </is>
      </c>
      <c r="P99" s="12" t="inlineStr">
        <is>
          <t>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is>
      </c>
      <c r="Q99" s="11" t="inlineStr"/>
      <c r="R99" s="11" t="inlineStr">
        <is>
          <t>IT-Betriebskonzept</t>
        </is>
      </c>
      <c r="S99" s="12" t="inlineStr">
        <is>
          <t>eine Vorgehensweise zur initialen Ausgabe von Authentifizierungsmitteln</t>
        </is>
      </c>
      <c r="T99" s="12" t="inlineStr">
        <is>
          <t>G 0.36 – Identitätsdiebstahl</t>
        </is>
      </c>
      <c r="U99" s="11" t="n">
        <v>2</v>
      </c>
      <c r="V99" s="11" t="n">
        <v>1</v>
      </c>
      <c r="W99" s="11" t="n">
        <v>1</v>
      </c>
      <c r="X99" s="11" t="n">
        <v>0</v>
      </c>
      <c r="Y99" s="11" t="n">
        <v>2</v>
      </c>
    </row>
    <row r="100">
      <c r="A100" s="11" t="inlineStr">
        <is>
          <t>BER.5.1</t>
        </is>
      </c>
      <c r="B100" s="12" t="inlineStr">
        <is>
          <t>Vorgehensweise zur Ausgabe</t>
        </is>
      </c>
      <c r="C100" s="11" t="inlineStr">
        <is>
          <t>BER.5.1.1</t>
        </is>
      </c>
      <c r="D100" s="11" t="inlineStr">
        <is>
          <t>Standard-Anforderungen</t>
        </is>
      </c>
      <c r="E100" s="12" t="inlineStr">
        <is>
          <t>Berechtigung SOLLTE vor der Verteilung von Authentifizierungsmitteln die Identität authentifizieren.</t>
        </is>
      </c>
      <c r="F100" s="14" t="n"/>
      <c r="G100" s="14" t="n"/>
      <c r="H100" s="14" t="inlineStr">
        <is>
          <t>unbearbeitet</t>
        </is>
      </c>
      <c r="I100" s="14" t="n"/>
      <c r="J100" s="14" t="n"/>
      <c r="K100" s="14" t="n"/>
      <c r="L100" s="15" t="n"/>
      <c r="M100" s="11" t="inlineStr">
        <is>
          <t>Authentizität</t>
        </is>
      </c>
      <c r="N100" s="12" t="inlineStr"/>
      <c r="O100" s="11" t="inlineStr"/>
      <c r="P100" s="12" t="inlineStr">
        <is>
          <t>Identität meint hier die natürliche Person, Gruppe, Rolle, Anwendung oder das IT-System, welches das Authentifizierungsmittel erhält. Verteilung meint hier die initiale Ausgabe, Weiterleitung oder Speicherung des Authentifizierungsfaktors, z.B. die Ausgabe eines initialen Passwortes an Nutzende oder die Speicherung eines X.509-Zertifikates zu einem neuen Hostsystem als vertrauenswürdig in einem Trust Store.</t>
        </is>
      </c>
      <c r="Q100" s="11" t="inlineStr"/>
      <c r="R100" s="11" t="inlineStr">
        <is>
          <t>IT-Betriebskonzept</t>
        </is>
      </c>
      <c r="S100" s="12" t="inlineStr">
        <is>
          <t>vor der Verteilung von Authentifizierungsmitteln die Identität</t>
        </is>
      </c>
      <c r="T100" s="12" t="inlineStr">
        <is>
          <t>G 0.36 – Identitätsdiebstahl</t>
        </is>
      </c>
      <c r="U100" s="11" t="n">
        <v>2</v>
      </c>
      <c r="V100" s="11" t="n">
        <v>1</v>
      </c>
      <c r="W100" s="11" t="n">
        <v>1</v>
      </c>
      <c r="X100" s="11" t="n">
        <v>0</v>
      </c>
      <c r="Y100" s="11" t="n">
        <v>2</v>
      </c>
    </row>
    <row r="101">
      <c r="A101" s="9" t="inlineStr">
        <is>
          <t>BER.5.2</t>
        </is>
      </c>
      <c r="B101" s="10" t="inlineStr">
        <is>
          <t>Vorgehensweise zur Zurücksetzung</t>
        </is>
      </c>
      <c r="C101" s="11" t="n"/>
      <c r="D101" s="11" t="inlineStr">
        <is>
          <t>Standard-Anforderungen</t>
        </is>
      </c>
      <c r="E101" s="12" t="inlineStr">
        <is>
          <t>Gesamt:</t>
        </is>
      </c>
      <c r="F101" s="11" t="n"/>
      <c r="G101" s="11" t="n"/>
      <c r="H101" s="13">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
      </c>
      <c r="I101" s="11" t="n"/>
      <c r="J101" s="11" t="n"/>
      <c r="K101" s="11" t="n"/>
      <c r="L101" s="11" t="n"/>
      <c r="M101" s="11" t="inlineStr">
        <is>
          <t>Authentizität</t>
        </is>
      </c>
      <c r="N101" s="12" t="inlineStr"/>
      <c r="O101" s="11" t="inlineStr"/>
      <c r="P101" s="12" t="inlineStr">
        <is>
          <t>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is>
      </c>
      <c r="Q101" s="11" t="inlineStr"/>
      <c r="R101" s="11" t="inlineStr">
        <is>
          <t>IT-Betriebskonzept</t>
        </is>
      </c>
      <c r="S101" s="12" t="inlineStr">
        <is>
          <t>eine Vorgehensweise zur Zurücksetzung von Authentifizierungsmitteln</t>
        </is>
      </c>
      <c r="T101" s="12" t="inlineStr">
        <is>
          <t>G 0.36 – Identitätsdiebstahl</t>
        </is>
      </c>
      <c r="U101" s="11" t="n">
        <v>3</v>
      </c>
      <c r="V101" s="11" t="n">
        <v>1</v>
      </c>
      <c r="W101" s="11" t="n">
        <v>1</v>
      </c>
      <c r="X101" s="11" t="n">
        <v>0</v>
      </c>
      <c r="Y101" s="11" t="n">
        <v>2</v>
      </c>
    </row>
    <row r="102">
      <c r="A102" s="11" t="inlineStr">
        <is>
          <t>BER.5.2</t>
        </is>
      </c>
      <c r="B102" s="12" t="inlineStr">
        <is>
          <t>Vorgehensweise zur Zurücksetzung</t>
        </is>
      </c>
      <c r="C102" s="11" t="inlineStr">
        <is>
          <t>BER.5.2</t>
        </is>
      </c>
      <c r="D102" s="11" t="inlineStr">
        <is>
          <t>Standard-Anforderungen</t>
        </is>
      </c>
      <c r="E102" s="12" t="inlineStr">
        <is>
          <t>Berechtigung SOLLTE eine Vorgehensweise zur Zurücksetzung von Authentifizierungsmitteln verankern.</t>
        </is>
      </c>
      <c r="F102" s="14" t="n"/>
      <c r="G102" s="14" t="n"/>
      <c r="H102" s="14" t="inlineStr">
        <is>
          <t>unbearbeitet</t>
        </is>
      </c>
      <c r="I102" s="14" t="n"/>
      <c r="J102" s="14" t="n"/>
      <c r="K102" s="14" t="n"/>
      <c r="L102" s="15" t="n"/>
      <c r="M102" s="11" t="inlineStr">
        <is>
          <t>Authentizität</t>
        </is>
      </c>
      <c r="N102" s="12" t="inlineStr"/>
      <c r="O102" s="11" t="inlineStr"/>
      <c r="P102" s="12" t="inlineStr">
        <is>
          <t>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is>
      </c>
      <c r="Q102" s="11" t="inlineStr"/>
      <c r="R102" s="11" t="inlineStr">
        <is>
          <t>IT-Betriebskonzept</t>
        </is>
      </c>
      <c r="S102" s="12" t="inlineStr">
        <is>
          <t>eine Vorgehensweise zur Zurücksetzung von Authentifizierungsmitteln</t>
        </is>
      </c>
      <c r="T102" s="12" t="inlineStr">
        <is>
          <t>G 0.36 – Identitätsdiebstahl</t>
        </is>
      </c>
      <c r="U102" s="11" t="n">
        <v>3</v>
      </c>
      <c r="V102" s="11" t="n">
        <v>1</v>
      </c>
      <c r="W102" s="11" t="n">
        <v>1</v>
      </c>
      <c r="X102" s="11" t="n">
        <v>0</v>
      </c>
      <c r="Y102" s="11" t="n">
        <v>2</v>
      </c>
    </row>
    <row r="103">
      <c r="A103" s="9" t="inlineStr">
        <is>
          <t>BER.5.3</t>
        </is>
      </c>
      <c r="B103" s="10" t="inlineStr">
        <is>
          <t>Vorgehensweise zum Widerruf</t>
        </is>
      </c>
      <c r="C103" s="11" t="n"/>
      <c r="D103" s="11" t="inlineStr">
        <is>
          <t>Standard-Anforderungen</t>
        </is>
      </c>
      <c r="E103" s="12" t="inlineStr">
        <is>
          <t>Gesamt:</t>
        </is>
      </c>
      <c r="F103" s="11" t="n"/>
      <c r="G103" s="11" t="n"/>
      <c r="H103" s="13">
        <f>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
      </c>
      <c r="I103" s="11" t="n"/>
      <c r="J103" s="11" t="n"/>
      <c r="K103" s="11" t="n"/>
      <c r="L103" s="11" t="n"/>
      <c r="M103" s="11" t="inlineStr">
        <is>
          <t>Authentizität</t>
        </is>
      </c>
      <c r="N103" s="12" t="inlineStr">
        <is>
          <t>APP.2.2.A23-UA.1; APP.4.2.A14-UA.1</t>
        </is>
      </c>
      <c r="O103" s="11" t="inlineStr">
        <is>
          <t>intersects-with; intersects-with</t>
        </is>
      </c>
      <c r="P103" s="12" t="inlineStr">
        <is>
          <t>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is>
      </c>
      <c r="Q103" s="11" t="inlineStr"/>
      <c r="R103" s="11" t="inlineStr">
        <is>
          <t>IT-Betriebskonzept</t>
        </is>
      </c>
      <c r="S103" s="12" t="inlineStr">
        <is>
          <t>eine Vorgehensweise zum Widerruf von Authentifizierungsmitteln</t>
        </is>
      </c>
      <c r="T103" s="12" t="inlineStr">
        <is>
          <t>G 0.36 – Identitätsdiebstahl</t>
        </is>
      </c>
      <c r="U103" s="11" t="n">
        <v>3</v>
      </c>
      <c r="V103" s="11" t="n">
        <v>1</v>
      </c>
      <c r="W103" s="11" t="n">
        <v>1</v>
      </c>
      <c r="X103" s="11" t="n">
        <v>0</v>
      </c>
      <c r="Y103" s="11" t="n">
        <v>2</v>
      </c>
    </row>
    <row r="104">
      <c r="A104" s="11" t="inlineStr">
        <is>
          <t>BER.5.3</t>
        </is>
      </c>
      <c r="B104" s="12" t="inlineStr">
        <is>
          <t>Vorgehensweise zum Widerruf</t>
        </is>
      </c>
      <c r="C104" s="11" t="inlineStr">
        <is>
          <t>BER.5.3</t>
        </is>
      </c>
      <c r="D104" s="11" t="inlineStr">
        <is>
          <t>Standard-Anforderungen</t>
        </is>
      </c>
      <c r="E104" s="12" t="inlineStr">
        <is>
          <t>Berechtigung SOLLTE eine Vorgehensweise zum Widerruf von Authentifizierungsmitteln verankern.</t>
        </is>
      </c>
      <c r="F104" s="14" t="n"/>
      <c r="G104" s="14" t="n"/>
      <c r="H104" s="14" t="inlineStr">
        <is>
          <t>unbearbeitet</t>
        </is>
      </c>
      <c r="I104" s="14" t="n"/>
      <c r="J104" s="14" t="n"/>
      <c r="K104" s="14" t="n"/>
      <c r="L104" s="15" t="n"/>
      <c r="M104" s="11" t="inlineStr">
        <is>
          <t>Authentizität</t>
        </is>
      </c>
      <c r="N104" s="12" t="inlineStr">
        <is>
          <t>APP.2.2.A23-UA.1; APP.4.2.A14-UA.1</t>
        </is>
      </c>
      <c r="O104" s="11" t="inlineStr">
        <is>
          <t>intersects-with; intersects-with</t>
        </is>
      </c>
      <c r="P104" s="12" t="inlineStr">
        <is>
          <t>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is>
      </c>
      <c r="Q104" s="11" t="inlineStr"/>
      <c r="R104" s="11" t="inlineStr">
        <is>
          <t>IT-Betriebskonzept</t>
        </is>
      </c>
      <c r="S104" s="12" t="inlineStr">
        <is>
          <t>eine Vorgehensweise zum Widerruf von Authentifizierungsmitteln</t>
        </is>
      </c>
      <c r="T104" s="12" t="inlineStr">
        <is>
          <t>G 0.36 – Identitätsdiebstahl</t>
        </is>
      </c>
      <c r="U104" s="11" t="n">
        <v>3</v>
      </c>
      <c r="V104" s="11" t="n">
        <v>1</v>
      </c>
      <c r="W104" s="11" t="n">
        <v>1</v>
      </c>
      <c r="X104" s="11" t="n">
        <v>0</v>
      </c>
      <c r="Y104" s="11" t="n">
        <v>2</v>
      </c>
    </row>
    <row r="105">
      <c r="A105" s="9" t="inlineStr">
        <is>
          <t>BER.5.4</t>
        </is>
      </c>
      <c r="B105" s="10" t="inlineStr">
        <is>
          <t>Nur etablierte Kryptographie</t>
        </is>
      </c>
      <c r="C105" s="11" t="n"/>
      <c r="D105" s="11" t="inlineStr">
        <is>
          <t>Standard-Anforderungen</t>
        </is>
      </c>
      <c r="E105" s="12" t="inlineStr">
        <is>
          <t>Gesamt:</t>
        </is>
      </c>
      <c r="F105" s="11" t="n"/>
      <c r="G105" s="11" t="n"/>
      <c r="H105" s="13">
        <f>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
      </c>
      <c r="I105" s="11" t="n"/>
      <c r="J105" s="11" t="n"/>
      <c r="K105" s="11" t="n"/>
      <c r="L105" s="11" t="n"/>
      <c r="M105" s="11" t="inlineStr">
        <is>
          <t>Vertraulichkeit</t>
        </is>
      </c>
      <c r="N105" s="12" t="inlineStr"/>
      <c r="O105" s="11" t="inlineStr"/>
      <c r="P105" s="12" t="inlineStr">
        <is>
          <t>Kryptografische Authentifizierungsmittel sind Authentisierungsnachweise, deren Sicherheit wesentlich auf kryptografischen Verfahren beruht, etwa Passwort-Hashing, Zertifikate, Schlüsselpaare, Smartcards, Hardware-Token, Passkeys/FIDO2-Authentifikatoren, signaturbasierte API-Zugänge oder SSH-Schlüssel (engl. cryptographic authenticators). Etablierte kryptografische Algorithmen sind mathematisch fundierte Verschlüsselungsverfahren und Protokolle, die in der aktuellen Praxis nicht mit vertretbarem Aufwand gebrochen werden können, beispielsweise für Signaturen, Message Authentication Codes, Hashfunktionen, Schlüsselableitung oder authentisierte Verschlüsselung.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is>
      </c>
      <c r="Q105" s="11" t="inlineStr"/>
      <c r="R105" s="11" t="inlineStr">
        <is>
          <t>IT-Betriebskonzept</t>
        </is>
      </c>
      <c r="S105" s="12" t="inlineStr">
        <is>
          <t>bei kryptografischen Authentifizierungsmitteln die ausschließliche Verwendung etablierter kryptografischer Algorithmen</t>
        </is>
      </c>
      <c r="T105" s="12" t="inlineStr">
        <is>
          <t>G 0.36 – Identitätsdiebstahl</t>
        </is>
      </c>
      <c r="U105" s="11" t="n">
        <v>3</v>
      </c>
      <c r="V105" s="11" t="n">
        <v>2</v>
      </c>
      <c r="W105" s="11" t="n">
        <v>1</v>
      </c>
      <c r="X105" s="11" t="n">
        <v>1</v>
      </c>
      <c r="Y105" s="11" t="n">
        <v>0</v>
      </c>
    </row>
    <row r="106">
      <c r="A106" s="11" t="inlineStr">
        <is>
          <t>BER.5.4</t>
        </is>
      </c>
      <c r="B106" s="12" t="inlineStr">
        <is>
          <t>Nur etablierte Kryptographie</t>
        </is>
      </c>
      <c r="C106" s="11" t="inlineStr">
        <is>
          <t>BER.5.4</t>
        </is>
      </c>
      <c r="D106" s="11" t="inlineStr">
        <is>
          <t>Standard-Anforderungen</t>
        </is>
      </c>
      <c r="E106" s="12" t="inlineStr">
        <is>
          <t>Berechtigung SOLLTE bei kryptografischen Authentifizierungsmitteln die ausschließliche Verwendung etablierter kryptografischer Algorithmen nach einem oder mehreren anerkannten Standards verankern.</t>
        </is>
      </c>
      <c r="F106" s="14" t="n"/>
      <c r="G106" s="14" t="n"/>
      <c r="H106" s="14" t="inlineStr">
        <is>
          <t>unbearbeitet</t>
        </is>
      </c>
      <c r="I106" s="14" t="n"/>
      <c r="J106" s="14" t="n"/>
      <c r="K106" s="14" t="n"/>
      <c r="L106" s="15" t="n"/>
      <c r="M106" s="11" t="inlineStr">
        <is>
          <t>Vertraulichkeit</t>
        </is>
      </c>
      <c r="N106" s="12" t="inlineStr"/>
      <c r="O106" s="11" t="inlineStr"/>
      <c r="P106" s="12" t="inlineStr">
        <is>
          <t>Kryptografische Authentifizierungsmittel sind Authentisierungsnachweise, deren Sicherheit wesentlich auf kryptografischen Verfahren beruht, etwa Passwort-Hashing, Zertifikate, Schlüsselpaare, Smartcards, Hardware-Token, Passkeys/FIDO2-Authentifikatoren, signaturbasierte API-Zugänge oder SSH-Schlüssel (engl. cryptographic authenticators). Etablierte kryptografische Algorithmen sind mathematisch fundierte Verschlüsselungsverfahren und Protokolle, die in der aktuellen Praxis nicht mit vertretbarem Aufwand gebrochen werden können, beispielsweise für Signaturen, Message Authentication Codes, Hashfunktionen, Schlüsselableitung oder authentisierte Verschlüsselung.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is>
      </c>
      <c r="Q106" s="11" t="inlineStr"/>
      <c r="R106" s="11" t="inlineStr">
        <is>
          <t>IT-Betriebskonzept</t>
        </is>
      </c>
      <c r="S106" s="12" t="inlineStr">
        <is>
          <t>bei kryptografischen Authentifizierungsmitteln die ausschließliche Verwendung etablierter kryptografischer Algorithmen</t>
        </is>
      </c>
      <c r="T106" s="12" t="inlineStr">
        <is>
          <t>G 0.36 – Identitätsdiebstahl</t>
        </is>
      </c>
      <c r="U106" s="11" t="n">
        <v>3</v>
      </c>
      <c r="V106" s="11" t="n">
        <v>2</v>
      </c>
      <c r="W106" s="11" t="n">
        <v>1</v>
      </c>
      <c r="X106" s="11" t="n">
        <v>1</v>
      </c>
      <c r="Y106" s="11" t="n">
        <v>0</v>
      </c>
    </row>
    <row r="107">
      <c r="A107" s="9" t="inlineStr">
        <is>
          <t>BER.5.5</t>
        </is>
      </c>
      <c r="B107" s="10" t="inlineStr">
        <is>
          <t>Deaktivierung einfacher Biometrie auf IT-Systemen</t>
        </is>
      </c>
      <c r="C107" s="11" t="n"/>
      <c r="D107" s="11" t="inlineStr">
        <is>
          <t>Standard-Anforderungen</t>
        </is>
      </c>
      <c r="E107" s="12" t="inlineStr">
        <is>
          <t>Gesamt:</t>
        </is>
      </c>
      <c r="F107" s="11" t="n"/>
      <c r="G107" s="11" t="n"/>
      <c r="H107" s="13">
        <f>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
      </c>
      <c r="I107" s="11" t="n"/>
      <c r="J107" s="11" t="n"/>
      <c r="K107" s="11" t="n"/>
      <c r="L107" s="11" t="n"/>
      <c r="M107" s="11" t="inlineStr"/>
      <c r="N107" s="12" t="inlineStr"/>
      <c r="O107" s="11" t="inlineStr"/>
      <c r="P107" s="12" t="inlineStr">
        <is>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is>
      </c>
      <c r="Q107" s="11" t="inlineStr">
        <is>
          <t>IT-Systeme</t>
        </is>
      </c>
      <c r="R107" s="11" t="inlineStr">
        <is>
          <t>IT-Betriebskonzept</t>
        </is>
      </c>
      <c r="S107" s="12" t="inlineStr">
        <is>
          <t>die Authentifizierung nur anhand von Biometrie</t>
        </is>
      </c>
      <c r="T107" s="12" t="inlineStr">
        <is>
          <t>G 0.36 – Identitätsdiebstahl; G 0.30 – Unberechtigte Nutzung oder Administration von Geräten und Systemen</t>
        </is>
      </c>
      <c r="U107" s="11" t="n">
        <v>3</v>
      </c>
      <c r="V107" s="11" t="n">
        <v>1</v>
      </c>
      <c r="W107" s="11" t="n">
        <v>1</v>
      </c>
      <c r="X107" s="11" t="n">
        <v>1</v>
      </c>
      <c r="Y107" s="11" t="n">
        <v>1</v>
      </c>
    </row>
    <row r="108">
      <c r="A108" s="11" t="inlineStr">
        <is>
          <t>BER.5.5</t>
        </is>
      </c>
      <c r="B108" s="12" t="inlineStr">
        <is>
          <t>Deaktivierung einfacher Biometrie auf IT-Systemen</t>
        </is>
      </c>
      <c r="C108" s="11" t="inlineStr">
        <is>
          <t>BER.5.5</t>
        </is>
      </c>
      <c r="D108" s="11" t="inlineStr">
        <is>
          <t>Standard-Anforderungen</t>
        </is>
      </c>
      <c r="E108" s="12" t="inlineStr">
        <is>
          <t>Berechtigung für IT-Systeme SOLLTE die Authentifizierung nur anhand von Biometrie deaktivieren.</t>
        </is>
      </c>
      <c r="F108" s="14" t="n"/>
      <c r="G108" s="14" t="n"/>
      <c r="H108" s="14" t="inlineStr">
        <is>
          <t>unbearbeitet</t>
        </is>
      </c>
      <c r="I108" s="14" t="n"/>
      <c r="J108" s="14" t="n"/>
      <c r="K108" s="14" t="n"/>
      <c r="L108" s="15" t="n"/>
      <c r="M108" s="11" t="inlineStr"/>
      <c r="N108" s="12" t="inlineStr"/>
      <c r="O108" s="11" t="inlineStr"/>
      <c r="P108" s="12" t="inlineStr">
        <is>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is>
      </c>
      <c r="Q108" s="11" t="inlineStr">
        <is>
          <t>IT-Systeme</t>
        </is>
      </c>
      <c r="R108" s="11" t="inlineStr">
        <is>
          <t>IT-Betriebskonzept</t>
        </is>
      </c>
      <c r="S108" s="12" t="inlineStr">
        <is>
          <t>die Authentifizierung nur anhand von Biometrie</t>
        </is>
      </c>
      <c r="T108" s="12" t="inlineStr">
        <is>
          <t>G 0.36 – Identitätsdiebstahl; G 0.30 – Unberechtigte Nutzung oder Administration von Geräten und Systemen</t>
        </is>
      </c>
      <c r="U108" s="11" t="n">
        <v>3</v>
      </c>
      <c r="V108" s="11" t="n">
        <v>1</v>
      </c>
      <c r="W108" s="11" t="n">
        <v>1</v>
      </c>
      <c r="X108" s="11" t="n">
        <v>1</v>
      </c>
      <c r="Y108" s="11" t="n">
        <v>1</v>
      </c>
    </row>
    <row r="109">
      <c r="A109" s="9" t="inlineStr">
        <is>
          <t>BER.5.6</t>
        </is>
      </c>
      <c r="B109" s="10" t="inlineStr">
        <is>
          <t>Vorkonfigurierte Authentisierungsmittel von IT-Systemen</t>
        </is>
      </c>
      <c r="C109" s="11" t="n"/>
      <c r="D109" s="11" t="inlineStr">
        <is>
          <t>Standard-Anforderungen</t>
        </is>
      </c>
      <c r="E109" s="12" t="inlineStr">
        <is>
          <t>Gesamt:</t>
        </is>
      </c>
      <c r="F109" s="11" t="n"/>
      <c r="G109" s="11" t="n"/>
      <c r="H109" s="13">
        <f>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
      </c>
      <c r="I109" s="11" t="n"/>
      <c r="J109" s="11" t="n"/>
      <c r="K109" s="11" t="n"/>
      <c r="L109" s="11" t="n"/>
      <c r="M109" s="11" t="inlineStr"/>
      <c r="N109" s="12" t="inlineStr"/>
      <c r="O109" s="11" t="inlineStr"/>
      <c r="P109" s="12" t="inlineStr">
        <is>
          <t>Herstellerseitige Standardkonten und Default-Passwörter stellen ein beliebtes Eingangstor für Angreifer dar. Achten Sie hierbei nicht nur auf Passwörter, sondern auch auf andere Zugangsmittel wie Hardware-Zugangstoken, Zertifikate oder physische Zugangskontrollsysteme.</t>
        </is>
      </c>
      <c r="Q109" s="11" t="inlineStr">
        <is>
          <t>IT-Systeme</t>
        </is>
      </c>
      <c r="R109" s="11" t="inlineStr">
        <is>
          <t>IT-Betriebskonzept</t>
        </is>
      </c>
      <c r="S109" s="12" t="inlineStr">
        <is>
          <t>vorkonfigurierte Authentisierungsmittel</t>
        </is>
      </c>
      <c r="T109" s="12" t="inlineStr">
        <is>
          <t>G 0.36 – Identitätsdiebstahl; G 0.30 – Unberechtigte Nutzung oder Administration von Geräten und Systemen</t>
        </is>
      </c>
      <c r="U109" s="11" t="n">
        <v>1</v>
      </c>
      <c r="V109" s="11" t="n">
        <v>1</v>
      </c>
      <c r="W109" s="11" t="n">
        <v>1</v>
      </c>
      <c r="X109" s="11" t="n">
        <v>1</v>
      </c>
      <c r="Y109" s="11" t="n">
        <v>1</v>
      </c>
    </row>
    <row r="110">
      <c r="A110" s="11" t="inlineStr">
        <is>
          <t>BER.5.6</t>
        </is>
      </c>
      <c r="B110" s="12" t="inlineStr">
        <is>
          <t>Vorkonfigurierte Authentisierungsmittel von IT-Systemen</t>
        </is>
      </c>
      <c r="C110" s="11" t="inlineStr">
        <is>
          <t>BER.5.6</t>
        </is>
      </c>
      <c r="D110" s="11" t="inlineStr">
        <is>
          <t>Standard-Anforderungen</t>
        </is>
      </c>
      <c r="E110" s="12" t="inlineStr">
        <is>
          <t>Berechtigung für IT-Systeme SOLLTE vorkonfigurierte Authentisierungsmittel deaktivieren.</t>
        </is>
      </c>
      <c r="F110" s="14" t="n"/>
      <c r="G110" s="14" t="n"/>
      <c r="H110" s="14" t="inlineStr">
        <is>
          <t>unbearbeitet</t>
        </is>
      </c>
      <c r="I110" s="14" t="n"/>
      <c r="J110" s="14" t="n"/>
      <c r="K110" s="14" t="n"/>
      <c r="L110" s="15" t="n"/>
      <c r="M110" s="11" t="inlineStr"/>
      <c r="N110" s="12" t="inlineStr"/>
      <c r="O110" s="11" t="inlineStr"/>
      <c r="P110" s="12" t="inlineStr">
        <is>
          <t>Herstellerseitige Standardkonten und Default-Passwörter stellen ein beliebtes Eingangstor für Angreifer dar. Achten Sie hierbei nicht nur auf Passwörter, sondern auch auf andere Zugangsmittel wie Hardware-Zugangstoken, Zertifikate oder physische Zugangskontrollsysteme.</t>
        </is>
      </c>
      <c r="Q110" s="11" t="inlineStr">
        <is>
          <t>IT-Systeme</t>
        </is>
      </c>
      <c r="R110" s="11" t="inlineStr">
        <is>
          <t>IT-Betriebskonzept</t>
        </is>
      </c>
      <c r="S110" s="12" t="inlineStr">
        <is>
          <t>vorkonfigurierte Authentisierungsmittel</t>
        </is>
      </c>
      <c r="T110" s="12" t="inlineStr">
        <is>
          <t>G 0.36 – Identitätsdiebstahl; G 0.30 – Unberechtigte Nutzung oder Administration von Geräten und Systemen</t>
        </is>
      </c>
      <c r="U110" s="11" t="n">
        <v>1</v>
      </c>
      <c r="V110" s="11" t="n">
        <v>1</v>
      </c>
      <c r="W110" s="11" t="n">
        <v>1</v>
      </c>
      <c r="X110" s="11" t="n">
        <v>1</v>
      </c>
      <c r="Y110" s="11" t="n">
        <v>1</v>
      </c>
    </row>
    <row r="111">
      <c r="A111" s="9" t="inlineStr">
        <is>
          <t>BER.5.7</t>
        </is>
      </c>
      <c r="B111" s="10" t="inlineStr">
        <is>
          <t>Vorkonfigurierte Authentisierungsmittel von Anwendungen</t>
        </is>
      </c>
      <c r="C111" s="11" t="n"/>
      <c r="D111" s="11" t="inlineStr">
        <is>
          <t>Standard-Anforderungen</t>
        </is>
      </c>
      <c r="E111" s="12" t="inlineStr">
        <is>
          <t>Gesamt:</t>
        </is>
      </c>
      <c r="F111" s="11" t="n"/>
      <c r="G111" s="11" t="n"/>
      <c r="H111" s="13">
        <f>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
      </c>
      <c r="I111" s="11" t="n"/>
      <c r="J111" s="11" t="n"/>
      <c r="K111" s="11" t="n"/>
      <c r="L111" s="11" t="n"/>
      <c r="M111" s="11" t="inlineStr"/>
      <c r="N111" s="12" t="inlineStr"/>
      <c r="O111" s="11" t="inlineStr"/>
      <c r="P111" s="12" t="inlineStr">
        <is>
          <t>Herstellerseitige Standardkonten und Default-Passwörter stellen ein beliebtes Eingangstor für Angreifer dar. Achten Sie hierbei nicht nur auf Passwörter, sondern auch auf andere Zugangsmittel wie Hardware-Zugangstoken, Zertifikate oder physische Zugangskontrollsysteme.</t>
        </is>
      </c>
      <c r="Q111" s="11" t="inlineStr">
        <is>
          <t>Anwendungen</t>
        </is>
      </c>
      <c r="R111" s="11" t="inlineStr">
        <is>
          <t>IT-Betriebskonzept</t>
        </is>
      </c>
      <c r="S111" s="12" t="inlineStr">
        <is>
          <t>vorkonfigurierte Authentisierungsmittel</t>
        </is>
      </c>
      <c r="T111" s="12" t="inlineStr">
        <is>
          <t>G 0.36 – Identitätsdiebstahl; G 0.30 – Unberechtigte Nutzung oder Administration von Geräten und Systemen</t>
        </is>
      </c>
      <c r="U111" s="11" t="n">
        <v>1</v>
      </c>
      <c r="V111" s="11" t="n">
        <v>1</v>
      </c>
      <c r="W111" s="11" t="n">
        <v>1</v>
      </c>
      <c r="X111" s="11" t="n">
        <v>1</v>
      </c>
      <c r="Y111" s="11" t="n">
        <v>1</v>
      </c>
    </row>
    <row r="112">
      <c r="A112" s="11" t="inlineStr">
        <is>
          <t>BER.5.7</t>
        </is>
      </c>
      <c r="B112" s="12" t="inlineStr">
        <is>
          <t>Vorkonfigurierte Authentisierungsmittel von Anwendungen</t>
        </is>
      </c>
      <c r="C112" s="11" t="inlineStr">
        <is>
          <t>BER.5.7</t>
        </is>
      </c>
      <c r="D112" s="11" t="inlineStr">
        <is>
          <t>Standard-Anforderungen</t>
        </is>
      </c>
      <c r="E112" s="12" t="inlineStr">
        <is>
          <t>Berechtigung für Anwendungen SOLLTE vorkonfigurierte Authentisierungsmittel deaktivieren.</t>
        </is>
      </c>
      <c r="F112" s="14" t="n"/>
      <c r="G112" s="14" t="n"/>
      <c r="H112" s="14" t="inlineStr">
        <is>
          <t>unbearbeitet</t>
        </is>
      </c>
      <c r="I112" s="14" t="n"/>
      <c r="J112" s="14" t="n"/>
      <c r="K112" s="14" t="n"/>
      <c r="L112" s="15" t="n"/>
      <c r="M112" s="11" t="inlineStr"/>
      <c r="N112" s="12" t="inlineStr"/>
      <c r="O112" s="11" t="inlineStr"/>
      <c r="P112" s="12" t="inlineStr">
        <is>
          <t>Herstellerseitige Standardkonten und Default-Passwörter stellen ein beliebtes Eingangstor für Angreifer dar. Achten Sie hierbei nicht nur auf Passwörter, sondern auch auf andere Zugangsmittel wie Hardware-Zugangstoken, Zertifikate oder physische Zugangskontrollsysteme.</t>
        </is>
      </c>
      <c r="Q112" s="11" t="inlineStr">
        <is>
          <t>Anwendungen</t>
        </is>
      </c>
      <c r="R112" s="11" t="inlineStr">
        <is>
          <t>IT-Betriebskonzept</t>
        </is>
      </c>
      <c r="S112" s="12" t="inlineStr">
        <is>
          <t>vorkonfigurierte Authentisierungsmittel</t>
        </is>
      </c>
      <c r="T112" s="12" t="inlineStr">
        <is>
          <t>G 0.36 – Identitätsdiebstahl; G 0.30 – Unberechtigte Nutzung oder Administration von Geräten und Systemen</t>
        </is>
      </c>
      <c r="U112" s="11" t="n">
        <v>1</v>
      </c>
      <c r="V112" s="11" t="n">
        <v>1</v>
      </c>
      <c r="W112" s="11" t="n">
        <v>1</v>
      </c>
      <c r="X112" s="11" t="n">
        <v>1</v>
      </c>
      <c r="Y112" s="11" t="n">
        <v>1</v>
      </c>
    </row>
    <row r="113">
      <c r="A113" s="9" t="inlineStr">
        <is>
          <t>BER.5.8</t>
        </is>
      </c>
      <c r="B113" s="10" t="inlineStr">
        <is>
          <t>Mehr-Faktor-Authentisierung am Perimeter</t>
        </is>
      </c>
      <c r="C113" s="11" t="n"/>
      <c r="D113" s="11" t="inlineStr">
        <is>
          <t>Standard-Anforderungen</t>
        </is>
      </c>
      <c r="E113" s="12" t="inlineStr">
        <is>
          <t>Gesamt:</t>
        </is>
      </c>
      <c r="F113" s="11" t="n"/>
      <c r="G113" s="11" t="n"/>
      <c r="H113" s="13">
        <f>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
      </c>
      <c r="I113" s="11" t="n"/>
      <c r="J113" s="11" t="n"/>
      <c r="K113" s="11" t="n"/>
      <c r="L113" s="11" t="n"/>
      <c r="M113" s="11" t="inlineStr">
        <is>
          <t>Vertraulichkeit</t>
        </is>
      </c>
      <c r="N113" s="12" t="inlineStr"/>
      <c r="O113" s="11" t="inlineStr"/>
      <c r="P113" s="12" t="inlineStr">
        <is>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is>
      </c>
      <c r="Q113" s="11" t="inlineStr">
        <is>
          <t>Anwendungen, Externe Netzanschlüsse</t>
        </is>
      </c>
      <c r="R113" s="11" t="inlineStr">
        <is>
          <t>IT-Betriebskonzept</t>
        </is>
      </c>
      <c r="S113" s="12" t="inlineStr">
        <is>
          <t>Phishing-resistente Mehr-Faktor-Authentisierung</t>
        </is>
      </c>
      <c r="T113" s="12" t="inlineStr">
        <is>
          <t>G 0.36 – Identitätsdiebstahl; G 0.30 – Unberechtigte Nutzung oder Administration von Geräten und Systemen; G 0.42 – Social Engineering</t>
        </is>
      </c>
      <c r="U113" s="11" t="n">
        <v>3</v>
      </c>
      <c r="V113" s="11" t="n">
        <v>2</v>
      </c>
      <c r="W113" s="11" t="n">
        <v>1</v>
      </c>
      <c r="X113" s="11" t="n">
        <v>1</v>
      </c>
      <c r="Y113" s="11" t="n">
        <v>1</v>
      </c>
    </row>
    <row r="114">
      <c r="A114" s="11" t="inlineStr">
        <is>
          <t>BER.5.8</t>
        </is>
      </c>
      <c r="B114" s="12" t="inlineStr">
        <is>
          <t>Mehr-Faktor-Authentisierung am Perimeter</t>
        </is>
      </c>
      <c r="C114" s="11" t="inlineStr">
        <is>
          <t>BER.5.8</t>
        </is>
      </c>
      <c r="D114" s="11" t="inlineStr">
        <is>
          <t>Standard-Anforderungen</t>
        </is>
      </c>
      <c r="E114" s="12" t="inlineStr">
        <is>
          <t>Berechtigung für Anwendungen von Externe Netzanschlüssen SOLLTE Phishing-resistente Mehr-Faktor-Authentisierung für alle Schnittstellen, auf die von Extern zugegriffen werden könnte, aktivieren.</t>
        </is>
      </c>
      <c r="F114" s="14" t="n"/>
      <c r="G114" s="14" t="n"/>
      <c r="H114" s="14" t="inlineStr">
        <is>
          <t>unbearbeitet</t>
        </is>
      </c>
      <c r="I114" s="14" t="n"/>
      <c r="J114" s="14" t="n"/>
      <c r="K114" s="14" t="n"/>
      <c r="L114" s="15" t="n"/>
      <c r="M114" s="11" t="inlineStr">
        <is>
          <t>Vertraulichkeit</t>
        </is>
      </c>
      <c r="N114" s="12" t="inlineStr"/>
      <c r="O114" s="11" t="inlineStr"/>
      <c r="P114" s="12" t="inlineStr">
        <is>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is>
      </c>
      <c r="Q114" s="11" t="inlineStr">
        <is>
          <t>Anwendungen, Externe Netzanschlüsse</t>
        </is>
      </c>
      <c r="R114" s="11" t="inlineStr">
        <is>
          <t>IT-Betriebskonzept</t>
        </is>
      </c>
      <c r="S114" s="12" t="inlineStr">
        <is>
          <t>Phishing-resistente Mehr-Faktor-Authentisierung</t>
        </is>
      </c>
      <c r="T114" s="12" t="inlineStr">
        <is>
          <t>G 0.36 – Identitätsdiebstahl; G 0.30 – Unberechtigte Nutzung oder Administration von Geräten und Systemen; G 0.42 – Social Engineering</t>
        </is>
      </c>
      <c r="U114" s="11" t="n">
        <v>3</v>
      </c>
      <c r="V114" s="11" t="n">
        <v>2</v>
      </c>
      <c r="W114" s="11" t="n">
        <v>1</v>
      </c>
      <c r="X114" s="11" t="n">
        <v>1</v>
      </c>
      <c r="Y114" s="11" t="n">
        <v>1</v>
      </c>
    </row>
    <row r="115">
      <c r="A115" s="9" t="inlineStr">
        <is>
          <t>BER.5.9</t>
        </is>
      </c>
      <c r="B115" s="10" t="inlineStr">
        <is>
          <t>Mehr-Faktor-Authentisierung für weitreichende Berechtigungen</t>
        </is>
      </c>
      <c r="C115" s="11" t="n"/>
      <c r="D115" s="11" t="inlineStr">
        <is>
          <t>Standard-Anforderungen</t>
        </is>
      </c>
      <c r="E115" s="12" t="inlineStr">
        <is>
          <t>Gesamt:</t>
        </is>
      </c>
      <c r="F115" s="11" t="n"/>
      <c r="G115" s="11" t="n"/>
      <c r="H115" s="13">
        <f>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
      </c>
      <c r="I115" s="11" t="n"/>
      <c r="J115" s="11" t="n"/>
      <c r="K115" s="11" t="n"/>
      <c r="L115" s="11" t="n"/>
      <c r="M115" s="11" t="inlineStr"/>
      <c r="N115" s="12" t="inlineStr"/>
      <c r="O115" s="11" t="inlineStr"/>
      <c r="P115" s="12" t="inlineStr">
        <is>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is>
      </c>
      <c r="Q115" s="11" t="inlineStr"/>
      <c r="R115" s="11" t="inlineStr">
        <is>
          <t>IT-Betriebskonzept</t>
        </is>
      </c>
      <c r="S115" s="12" t="inlineStr">
        <is>
          <t>Mehr-Faktor-Authentisierung</t>
        </is>
      </c>
      <c r="T115" s="12" t="inlineStr">
        <is>
          <t>G 0.36 – Identitätsdiebstahl; G 0.30 – Unberechtigte Nutzung oder Administration von Geräten und Systemen</t>
        </is>
      </c>
      <c r="U115" s="11" t="n">
        <v>2</v>
      </c>
      <c r="V115" s="11" t="n">
        <v>1</v>
      </c>
      <c r="W115" s="11" t="n">
        <v>1</v>
      </c>
      <c r="X115" s="11" t="n">
        <v>1</v>
      </c>
      <c r="Y115" s="11" t="n">
        <v>1</v>
      </c>
    </row>
    <row r="116">
      <c r="A116" s="11" t="inlineStr">
        <is>
          <t>BER.5.9</t>
        </is>
      </c>
      <c r="B116" s="12" t="inlineStr">
        <is>
          <t>Mehr-Faktor-Authentisierung für weitreichende Berechtigungen</t>
        </is>
      </c>
      <c r="C116" s="11" t="inlineStr">
        <is>
          <t>BER.5.9</t>
        </is>
      </c>
      <c r="D116" s="11" t="inlineStr">
        <is>
          <t>Standard-Anforderungen</t>
        </is>
      </c>
      <c r="E116" s="12" t="inlineStr">
        <is>
          <t>Berechtigung SOLLTE Mehr-Faktor-Authentisierung für weitreichende Berechtigungen aktivieren.</t>
        </is>
      </c>
      <c r="F116" s="14" t="n"/>
      <c r="G116" s="14" t="n"/>
      <c r="H116" s="14" t="inlineStr">
        <is>
          <t>unbearbeitet</t>
        </is>
      </c>
      <c r="I116" s="14" t="n"/>
      <c r="J116" s="14" t="n"/>
      <c r="K116" s="14" t="n"/>
      <c r="L116" s="15" t="n"/>
      <c r="M116" s="11" t="inlineStr"/>
      <c r="N116" s="12" t="inlineStr"/>
      <c r="O116" s="11" t="inlineStr"/>
      <c r="P116" s="12" t="inlineStr">
        <is>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is>
      </c>
      <c r="Q116" s="11" t="inlineStr"/>
      <c r="R116" s="11" t="inlineStr">
        <is>
          <t>IT-Betriebskonzept</t>
        </is>
      </c>
      <c r="S116" s="12" t="inlineStr">
        <is>
          <t>Mehr-Faktor-Authentisierung</t>
        </is>
      </c>
      <c r="T116" s="12" t="inlineStr">
        <is>
          <t>G 0.36 – Identitätsdiebstahl; G 0.30 – Unberechtigte Nutzung oder Administration von Geräten und Systemen</t>
        </is>
      </c>
      <c r="U116" s="11" t="n">
        <v>2</v>
      </c>
      <c r="V116" s="11" t="n">
        <v>1</v>
      </c>
      <c r="W116" s="11" t="n">
        <v>1</v>
      </c>
      <c r="X116" s="11" t="n">
        <v>1</v>
      </c>
      <c r="Y116" s="11" t="n">
        <v>1</v>
      </c>
    </row>
    <row r="117">
      <c r="A117" s="9" t="inlineStr">
        <is>
          <t>BER.5.10</t>
        </is>
      </c>
      <c r="B117" s="10" t="inlineStr">
        <is>
          <t>Zugriffsbeschränkung pro IT-System</t>
        </is>
      </c>
      <c r="C117" s="11" t="n"/>
      <c r="D117" s="11" t="inlineStr">
        <is>
          <t>Standard-Anforderungen</t>
        </is>
      </c>
      <c r="E117" s="12" t="inlineStr">
        <is>
          <t>Gesamt:</t>
        </is>
      </c>
      <c r="F117" s="11" t="n"/>
      <c r="G117" s="11" t="n"/>
      <c r="H117" s="13">
        <f>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
      </c>
      <c r="I117" s="11" t="n"/>
      <c r="J117" s="11" t="n"/>
      <c r="K117" s="11" t="n"/>
      <c r="L117" s="11" t="n"/>
      <c r="M117" s="11" t="inlineStr">
        <is>
          <t>Authentizität</t>
        </is>
      </c>
      <c r="N117" s="12" t="inlineStr"/>
      <c r="O117" s="11" t="inlineStr"/>
      <c r="P117" s="12" t="inlineStr">
        <is>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is>
      </c>
      <c r="Q117" s="11" t="inlineStr">
        <is>
          <t>IT-Systeme</t>
        </is>
      </c>
      <c r="R117" s="11" t="inlineStr">
        <is>
          <t>Konfigurationshistorie</t>
        </is>
      </c>
      <c r="S117" s="12" t="inlineStr">
        <is>
          <t>den lesenden und schreibenden Zugriff auf Authentifizierungsmittel</t>
        </is>
      </c>
      <c r="T117" s="12" t="inlineStr">
        <is>
          <t>G 0.36 – Identitätsdiebstahl</t>
        </is>
      </c>
      <c r="U117" s="11" t="n">
        <v>2</v>
      </c>
      <c r="V117" s="11" t="n">
        <v>1</v>
      </c>
      <c r="W117" s="11" t="n">
        <v>1</v>
      </c>
      <c r="X117" s="11" t="n">
        <v>0</v>
      </c>
      <c r="Y117" s="11" t="n">
        <v>2</v>
      </c>
    </row>
    <row r="118">
      <c r="A118" s="11" t="inlineStr">
        <is>
          <t>BER.5.10</t>
        </is>
      </c>
      <c r="B118" s="12" t="inlineStr">
        <is>
          <t>Zugriffsbeschränkung pro IT-System</t>
        </is>
      </c>
      <c r="C118" s="11" t="inlineStr">
        <is>
          <t>BER.5.10</t>
        </is>
      </c>
      <c r="D118" s="11" t="inlineStr">
        <is>
          <t>Standard-Anforderungen</t>
        </is>
      </c>
      <c r="E118" s="12" t="inlineStr">
        <is>
          <t>Berechtigung für IT-Systeme SOLLTE den lesenden und schreibenden Zugriff auf Authentifizierungsmittel einschränken.</t>
        </is>
      </c>
      <c r="F118" s="14" t="n"/>
      <c r="G118" s="14" t="n"/>
      <c r="H118" s="14" t="inlineStr">
        <is>
          <t>unbearbeitet</t>
        </is>
      </c>
      <c r="I118" s="14" t="n"/>
      <c r="J118" s="14" t="n"/>
      <c r="K118" s="14" t="n"/>
      <c r="L118" s="15" t="n"/>
      <c r="M118" s="11" t="inlineStr">
        <is>
          <t>Authentizität</t>
        </is>
      </c>
      <c r="N118" s="12" t="inlineStr"/>
      <c r="O118" s="11" t="inlineStr"/>
      <c r="P118" s="12" t="inlineStr">
        <is>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is>
      </c>
      <c r="Q118" s="11" t="inlineStr">
        <is>
          <t>IT-Systeme</t>
        </is>
      </c>
      <c r="R118" s="11" t="inlineStr">
        <is>
          <t>Konfigurationshistorie</t>
        </is>
      </c>
      <c r="S118" s="12" t="inlineStr">
        <is>
          <t>den lesenden und schreibenden Zugriff auf Authentifizierungsmittel</t>
        </is>
      </c>
      <c r="T118" s="12" t="inlineStr">
        <is>
          <t>G 0.36 – Identitätsdiebstahl</t>
        </is>
      </c>
      <c r="U118" s="11" t="n">
        <v>2</v>
      </c>
      <c r="V118" s="11" t="n">
        <v>1</v>
      </c>
      <c r="W118" s="11" t="n">
        <v>1</v>
      </c>
      <c r="X118" s="11" t="n">
        <v>0</v>
      </c>
      <c r="Y118" s="11" t="n">
        <v>2</v>
      </c>
    </row>
    <row r="119">
      <c r="A119" s="9" t="inlineStr">
        <is>
          <t>BER.5.11</t>
        </is>
      </c>
      <c r="B119" s="10" t="inlineStr">
        <is>
          <t>Zugriffsbeschränkung pro Anwendung</t>
        </is>
      </c>
      <c r="C119" s="11" t="n"/>
      <c r="D119" s="11" t="inlineStr">
        <is>
          <t>Standard-Anforderungen</t>
        </is>
      </c>
      <c r="E119" s="12" t="inlineStr">
        <is>
          <t>Gesamt:</t>
        </is>
      </c>
      <c r="F119" s="11" t="n"/>
      <c r="G119" s="11" t="n"/>
      <c r="H119" s="13">
        <f>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
      </c>
      <c r="I119" s="11" t="n"/>
      <c r="J119" s="11" t="n"/>
      <c r="K119" s="11" t="n"/>
      <c r="L119" s="11" t="n"/>
      <c r="M119" s="11" t="inlineStr">
        <is>
          <t>Integrität, Authentizität</t>
        </is>
      </c>
      <c r="N119" s="12" t="inlineStr"/>
      <c r="O119" s="11" t="inlineStr"/>
      <c r="P119" s="12" t="inlineStr">
        <is>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is>
      </c>
      <c r="Q119" s="11" t="inlineStr">
        <is>
          <t>Anwendungen</t>
        </is>
      </c>
      <c r="R119" s="11" t="inlineStr">
        <is>
          <t>Konfigurationshistorie</t>
        </is>
      </c>
      <c r="S119" s="12" t="inlineStr">
        <is>
          <t>den lesenden und schreibenden Zugriff auf Authentifizierungsmittel</t>
        </is>
      </c>
      <c r="T119" s="12" t="inlineStr">
        <is>
          <t>G 0.36 – Identitätsdiebstahl</t>
        </is>
      </c>
      <c r="U119" s="11" t="n">
        <v>2</v>
      </c>
      <c r="V119" s="11" t="n">
        <v>1</v>
      </c>
      <c r="W119" s="11" t="n">
        <v>2</v>
      </c>
      <c r="X119" s="11" t="n">
        <v>0</v>
      </c>
      <c r="Y119" s="11" t="n">
        <v>2</v>
      </c>
    </row>
    <row r="120">
      <c r="A120" s="11" t="inlineStr">
        <is>
          <t>BER.5.11</t>
        </is>
      </c>
      <c r="B120" s="12" t="inlineStr">
        <is>
          <t>Zugriffsbeschränkung pro Anwendung</t>
        </is>
      </c>
      <c r="C120" s="11" t="inlineStr">
        <is>
          <t>BER.5.11</t>
        </is>
      </c>
      <c r="D120" s="11" t="inlineStr">
        <is>
          <t>Standard-Anforderungen</t>
        </is>
      </c>
      <c r="E120" s="12" t="inlineStr">
        <is>
          <t>Berechtigung für Anwendungen SOLLTE den lesenden und schreibenden Zugriff auf Authentifizierungsmittel einschränken.</t>
        </is>
      </c>
      <c r="F120" s="14" t="n"/>
      <c r="G120" s="14" t="n"/>
      <c r="H120" s="14" t="inlineStr">
        <is>
          <t>unbearbeitet</t>
        </is>
      </c>
      <c r="I120" s="14" t="n"/>
      <c r="J120" s="14" t="n"/>
      <c r="K120" s="14" t="n"/>
      <c r="L120" s="15" t="n"/>
      <c r="M120" s="11" t="inlineStr">
        <is>
          <t>Integrität, Authentizität</t>
        </is>
      </c>
      <c r="N120" s="12" t="inlineStr"/>
      <c r="O120" s="11" t="inlineStr"/>
      <c r="P120" s="12" t="inlineStr">
        <is>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is>
      </c>
      <c r="Q120" s="11" t="inlineStr">
        <is>
          <t>Anwendungen</t>
        </is>
      </c>
      <c r="R120" s="11" t="inlineStr">
        <is>
          <t>Konfigurationshistorie</t>
        </is>
      </c>
      <c r="S120" s="12" t="inlineStr">
        <is>
          <t>den lesenden und schreibenden Zugriff auf Authentifizierungsmittel</t>
        </is>
      </c>
      <c r="T120" s="12" t="inlineStr">
        <is>
          <t>G 0.36 – Identitätsdiebstahl</t>
        </is>
      </c>
      <c r="U120" s="11" t="n">
        <v>2</v>
      </c>
      <c r="V120" s="11" t="n">
        <v>1</v>
      </c>
      <c r="W120" s="11" t="n">
        <v>2</v>
      </c>
      <c r="X120" s="11" t="n">
        <v>0</v>
      </c>
      <c r="Y120" s="11" t="n">
        <v>2</v>
      </c>
    </row>
    <row r="121">
      <c r="A121" s="9" t="inlineStr">
        <is>
          <t>BER.5.12</t>
        </is>
      </c>
      <c r="B121" s="10" t="inlineStr">
        <is>
          <t>Zugang nur durch zwei Personen</t>
        </is>
      </c>
      <c r="C121" s="11" t="n"/>
      <c r="D121" s="11" t="inlineStr">
        <is>
          <t>Anforderungen bei erhöhtem Schutzbedarf</t>
        </is>
      </c>
      <c r="E121" s="12" t="inlineStr">
        <is>
          <t>Gesamt:</t>
        </is>
      </c>
      <c r="F121" s="11" t="n"/>
      <c r="G121" s="11" t="n"/>
      <c r="H121" s="13">
        <f>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
      </c>
      <c r="I121" s="11" t="n"/>
      <c r="J121" s="11" t="n"/>
      <c r="K121" s="11" t="n"/>
      <c r="L121" s="11" t="n"/>
      <c r="M121" s="11" t="inlineStr">
        <is>
          <t>Vertraulichkeit</t>
        </is>
      </c>
      <c r="N121" s="12" t="inlineStr"/>
      <c r="O121" s="11" t="inlineStr"/>
      <c r="P121" s="12" t="inlineStr">
        <is>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is>
      </c>
      <c r="Q121" s="11" t="inlineStr"/>
      <c r="R121" s="11" t="inlineStr">
        <is>
          <t>IT-Betriebskonzept</t>
        </is>
      </c>
      <c r="S121" s="12" t="inlineStr">
        <is>
          <t>die Aufteilung von Authentisierungsmitteln auf mehrere Personen</t>
        </is>
      </c>
      <c r="T121" s="12" t="inlineStr">
        <is>
          <t>G 0.36 – Identitätsdiebstahl; G 0.30 – Unberechtigte Nutzung oder Administration von Geräten und Systemen; G 0.32 – Missbrauch von Berechtigungen</t>
        </is>
      </c>
      <c r="U121" s="11" t="n">
        <v>5</v>
      </c>
      <c r="V121" s="11" t="n">
        <v>2</v>
      </c>
      <c r="W121" s="11" t="n">
        <v>1</v>
      </c>
      <c r="X121" s="11" t="n">
        <v>1</v>
      </c>
      <c r="Y121" s="11" t="n">
        <v>0</v>
      </c>
    </row>
    <row r="122">
      <c r="A122" s="11" t="inlineStr">
        <is>
          <t>BER.5.12</t>
        </is>
      </c>
      <c r="B122" s="12" t="inlineStr">
        <is>
          <t>Zugang nur durch zwei Personen</t>
        </is>
      </c>
      <c r="C122" s="11" t="inlineStr">
        <is>
          <t>BER.5.12</t>
        </is>
      </c>
      <c r="D122" s="11" t="inlineStr">
        <is>
          <t>Anforderungen bei erhöhtem Schutzbedarf</t>
        </is>
      </c>
      <c r="E122" s="12" t="inlineStr">
        <is>
          <t>Berechtigung KANN die Aufteilung von Authentisierungsmitteln auf mehrere Personen verankern.</t>
        </is>
      </c>
      <c r="F122" s="14" t="n"/>
      <c r="G122" s="14" t="n"/>
      <c r="H122" s="14" t="inlineStr">
        <is>
          <t>unbearbeitet</t>
        </is>
      </c>
      <c r="I122" s="14" t="n"/>
      <c r="J122" s="14" t="n"/>
      <c r="K122" s="14" t="n"/>
      <c r="L122" s="15" t="n"/>
      <c r="M122" s="11" t="inlineStr">
        <is>
          <t>Vertraulichkeit</t>
        </is>
      </c>
      <c r="N122" s="12" t="inlineStr"/>
      <c r="O122" s="11" t="inlineStr"/>
      <c r="P122" s="12" t="inlineStr">
        <is>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is>
      </c>
      <c r="Q122" s="11" t="inlineStr"/>
      <c r="R122" s="11" t="inlineStr">
        <is>
          <t>IT-Betriebskonzept</t>
        </is>
      </c>
      <c r="S122" s="12" t="inlineStr">
        <is>
          <t>die Aufteilung von Authentisierungsmitteln auf mehrere Personen</t>
        </is>
      </c>
      <c r="T122" s="12" t="inlineStr">
        <is>
          <t>G 0.36 – Identitätsdiebstahl; G 0.30 – Unberechtigte Nutzung oder Administration von Geräten und Systemen; G 0.32 – Missbrauch von Berechtigungen</t>
        </is>
      </c>
      <c r="U122" s="11" t="n">
        <v>5</v>
      </c>
      <c r="V122" s="11" t="n">
        <v>2</v>
      </c>
      <c r="W122" s="11" t="n">
        <v>1</v>
      </c>
      <c r="X122" s="11" t="n">
        <v>1</v>
      </c>
      <c r="Y122" s="11" t="n">
        <v>0</v>
      </c>
    </row>
    <row r="123">
      <c r="A123" s="9" t="inlineStr">
        <is>
          <t>BER.5.13</t>
        </is>
      </c>
      <c r="B123" s="10" t="inlineStr">
        <is>
          <t>Identitätsüberprüfung</t>
        </is>
      </c>
      <c r="C123" s="11" t="n"/>
      <c r="D123" s="11" t="inlineStr">
        <is>
          <t>Standard-Anforderungen</t>
        </is>
      </c>
      <c r="E123" s="12" t="inlineStr">
        <is>
          <t>Gesamt:</t>
        </is>
      </c>
      <c r="F123" s="11" t="n"/>
      <c r="G123" s="11" t="n"/>
      <c r="H123" s="13">
        <f>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
      </c>
      <c r="I123" s="11" t="n"/>
      <c r="J123" s="11" t="n"/>
      <c r="K123" s="11" t="n"/>
      <c r="L123" s="11" t="n"/>
      <c r="M123" s="11" t="inlineStr">
        <is>
          <t>Authentizität</t>
        </is>
      </c>
      <c r="N123" s="12" t="inlineStr"/>
      <c r="O123" s="11" t="inlineStr"/>
      <c r="P123" s="12" t="inlineStr">
        <is>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is>
      </c>
      <c r="Q123" s="11" t="inlineStr"/>
      <c r="R123" s="11" t="inlineStr">
        <is>
          <t>IT-Betriebskonzept</t>
        </is>
      </c>
      <c r="S123" s="12" t="inlineStr">
        <is>
          <t>vor dem Zurücksetzen von Berechtigungsmitteln eine Identitätsüberprüfung</t>
        </is>
      </c>
      <c r="T123" s="12" t="inlineStr">
        <is>
          <t>G 0.18 – Fehlplanung oder fehlende Anpassung</t>
        </is>
      </c>
      <c r="U123" s="11" t="n">
        <v>3</v>
      </c>
      <c r="V123" s="11" t="n">
        <v>1</v>
      </c>
      <c r="W123" s="11" t="n">
        <v>1</v>
      </c>
      <c r="X123" s="11" t="n">
        <v>1</v>
      </c>
      <c r="Y123" s="11" t="n">
        <v>2</v>
      </c>
    </row>
    <row r="124">
      <c r="A124" s="11" t="inlineStr">
        <is>
          <t>BER.5.13</t>
        </is>
      </c>
      <c r="B124" s="12" t="inlineStr">
        <is>
          <t>Identitätsüberprüfung</t>
        </is>
      </c>
      <c r="C124" s="11" t="inlineStr">
        <is>
          <t>BER.5.13</t>
        </is>
      </c>
      <c r="D124" s="11" t="inlineStr">
        <is>
          <t>Standard-Anforderungen</t>
        </is>
      </c>
      <c r="E124" s="12" t="inlineStr">
        <is>
          <t>Berechtigung SOLLTE vor dem Zurücksetzen von Berechtigungsmitteln eine Identitätsüberprüfung verankern.</t>
        </is>
      </c>
      <c r="F124" s="14" t="n"/>
      <c r="G124" s="14" t="n"/>
      <c r="H124" s="14" t="inlineStr">
        <is>
          <t>unbearbeitet</t>
        </is>
      </c>
      <c r="I124" s="14" t="n"/>
      <c r="J124" s="14" t="n"/>
      <c r="K124" s="14" t="n"/>
      <c r="L124" s="15" t="n"/>
      <c r="M124" s="11" t="inlineStr">
        <is>
          <t>Authentizität</t>
        </is>
      </c>
      <c r="N124" s="12" t="inlineStr"/>
      <c r="O124" s="11" t="inlineStr"/>
      <c r="P124" s="12" t="inlineStr">
        <is>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is>
      </c>
      <c r="Q124" s="11" t="inlineStr"/>
      <c r="R124" s="11" t="inlineStr">
        <is>
          <t>IT-Betriebskonzept</t>
        </is>
      </c>
      <c r="S124" s="12" t="inlineStr">
        <is>
          <t>vor dem Zurücksetzen von Berechtigungsmitteln eine Identitätsüberprüfung</t>
        </is>
      </c>
      <c r="T124" s="12" t="inlineStr">
        <is>
          <t>G 0.18 – Fehlplanung oder fehlende Anpassung</t>
        </is>
      </c>
      <c r="U124" s="11" t="n">
        <v>3</v>
      </c>
      <c r="V124" s="11" t="n">
        <v>1</v>
      </c>
      <c r="W124" s="11" t="n">
        <v>1</v>
      </c>
      <c r="X124" s="11" t="n">
        <v>1</v>
      </c>
      <c r="Y124" s="11" t="n">
        <v>2</v>
      </c>
    </row>
    <row r="125">
      <c r="A125" s="9" t="inlineStr">
        <is>
          <t>BER.5.14</t>
        </is>
      </c>
      <c r="B125" s="10" t="inlineStr">
        <is>
          <t>Kompromittierte Authentifizierungsmittel</t>
        </is>
      </c>
      <c r="C125" s="11" t="n"/>
      <c r="D125" s="11" t="inlineStr">
        <is>
          <t>Standard-Anforderungen</t>
        </is>
      </c>
      <c r="E125" s="12" t="inlineStr">
        <is>
          <t>Gesamt:</t>
        </is>
      </c>
      <c r="F125" s="11" t="n"/>
      <c r="G125" s="11" t="n"/>
      <c r="H125" s="13">
        <f>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
      </c>
      <c r="I125" s="11" t="n"/>
      <c r="J125" s="11" t="n"/>
      <c r="K125" s="11" t="n"/>
      <c r="L125" s="11" t="n"/>
      <c r="M125" s="11" t="inlineStr">
        <is>
          <t>Vertraulichkeit</t>
        </is>
      </c>
      <c r="N125" s="12" t="inlineStr"/>
      <c r="O125" s="11" t="inlineStr"/>
      <c r="P125" s="12" t="inlineStr">
        <is>
          <t>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is>
      </c>
      <c r="Q125" s="11" t="inlineStr"/>
      <c r="R125" s="11" t="inlineStr">
        <is>
          <t>IT-Betriebskonzept</t>
        </is>
      </c>
      <c r="S125" s="12" t="inlineStr">
        <is>
          <t>die Sperrung kompromittierter Authentifizierungsmittel</t>
        </is>
      </c>
      <c r="T125" s="12" t="inlineStr">
        <is>
          <t>G 0.36 – Identitätsdiebstahl; G 0.30 – Unberechtigte Nutzung oder Administration von Geräten und Systemen; G 0.32 – Missbrauch von Berechtigungen</t>
        </is>
      </c>
      <c r="U125" s="11" t="n">
        <v>1</v>
      </c>
      <c r="V125" s="11" t="n">
        <v>2</v>
      </c>
      <c r="W125" s="11" t="n">
        <v>1</v>
      </c>
      <c r="X125" s="11" t="n">
        <v>1</v>
      </c>
      <c r="Y125" s="11" t="n">
        <v>1</v>
      </c>
    </row>
    <row r="126">
      <c r="A126" s="11" t="inlineStr">
        <is>
          <t>BER.5.14</t>
        </is>
      </c>
      <c r="B126" s="12" t="inlineStr">
        <is>
          <t>Kompromittierte Authentifizierungsmittel</t>
        </is>
      </c>
      <c r="C126" s="11" t="inlineStr">
        <is>
          <t>BER.5.14</t>
        </is>
      </c>
      <c r="D126" s="11" t="inlineStr">
        <is>
          <t>Standard-Anforderungen</t>
        </is>
      </c>
      <c r="E126" s="12" t="inlineStr">
        <is>
          <t>Berechtigung SOLLTE die Sperrung kompromittierter Authentifizierungsmittel verankern.</t>
        </is>
      </c>
      <c r="F126" s="14" t="n"/>
      <c r="G126" s="14" t="n"/>
      <c r="H126" s="14" t="inlineStr">
        <is>
          <t>unbearbeitet</t>
        </is>
      </c>
      <c r="I126" s="14" t="n"/>
      <c r="J126" s="14" t="n"/>
      <c r="K126" s="14" t="n"/>
      <c r="L126" s="15" t="n"/>
      <c r="M126" s="11" t="inlineStr">
        <is>
          <t>Vertraulichkeit</t>
        </is>
      </c>
      <c r="N126" s="12" t="inlineStr"/>
      <c r="O126" s="11" t="inlineStr"/>
      <c r="P126" s="12" t="inlineStr">
        <is>
          <t>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is>
      </c>
      <c r="Q126" s="11" t="inlineStr"/>
      <c r="R126" s="11" t="inlineStr">
        <is>
          <t>IT-Betriebskonzept</t>
        </is>
      </c>
      <c r="S126" s="12" t="inlineStr">
        <is>
          <t>die Sperrung kompromittierter Authentifizierungsmittel</t>
        </is>
      </c>
      <c r="T126" s="12" t="inlineStr">
        <is>
          <t>G 0.36 – Identitätsdiebstahl; G 0.30 – Unberechtigte Nutzung oder Administration von Geräten und Systemen; G 0.32 – Missbrauch von Berechtigungen</t>
        </is>
      </c>
      <c r="U126" s="11" t="n">
        <v>1</v>
      </c>
      <c r="V126" s="11" t="n">
        <v>2</v>
      </c>
      <c r="W126" s="11" t="n">
        <v>1</v>
      </c>
      <c r="X126" s="11" t="n">
        <v>1</v>
      </c>
      <c r="Y126" s="11" t="n">
        <v>1</v>
      </c>
    </row>
    <row r="127">
      <c r="A127" s="9" t="inlineStr">
        <is>
          <t>BER.6.1</t>
        </is>
      </c>
      <c r="B127" s="10" t="inlineStr">
        <is>
          <t>Passwortmanager</t>
        </is>
      </c>
      <c r="C127" s="11" t="n"/>
      <c r="D127" s="11" t="inlineStr">
        <is>
          <t>Standard-Anforderungen</t>
        </is>
      </c>
      <c r="E127" s="12" t="inlineStr">
        <is>
          <t>Gesamt:</t>
        </is>
      </c>
      <c r="F127" s="11" t="n"/>
      <c r="G127" s="11" t="n"/>
      <c r="H127" s="13">
        <f>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
      </c>
      <c r="I127" s="11" t="n"/>
      <c r="J127" s="11" t="n"/>
      <c r="K127" s="11" t="n"/>
      <c r="L127" s="11" t="n"/>
      <c r="M127" s="11" t="inlineStr">
        <is>
          <t>Vertraulichkeit</t>
        </is>
      </c>
      <c r="N127" s="12" t="inlineStr"/>
      <c r="O127" s="11" t="inlineStr"/>
      <c r="P127" s="12" t="inlineStr">
        <is>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is>
      </c>
      <c r="Q127" s="11" t="inlineStr">
        <is>
          <t>Nutzende</t>
        </is>
      </c>
      <c r="R127" s="11" t="inlineStr">
        <is>
          <t>IT-Betriebskonzept</t>
        </is>
      </c>
      <c r="S127" s="12" t="inlineStr">
        <is>
          <t>einen Passwortmanager</t>
        </is>
      </c>
      <c r="T127" s="12" t="inlineStr">
        <is>
          <t>G 0.36 – Identitätsdiebstahl; G 0.30 – Unberechtigte Nutzung oder Administration von Geräten und Systemen; G 0.42 – Social Engineering</t>
        </is>
      </c>
      <c r="U127" s="11" t="n">
        <v>2</v>
      </c>
      <c r="V127" s="11" t="n">
        <v>2</v>
      </c>
      <c r="W127" s="11" t="n">
        <v>1</v>
      </c>
      <c r="X127" s="11" t="n">
        <v>1</v>
      </c>
      <c r="Y127" s="11" t="n">
        <v>1</v>
      </c>
    </row>
    <row r="128">
      <c r="A128" s="11" t="inlineStr">
        <is>
          <t>BER.6.1</t>
        </is>
      </c>
      <c r="B128" s="12" t="inlineStr">
        <is>
          <t>Passwortmanager</t>
        </is>
      </c>
      <c r="C128" s="11" t="inlineStr">
        <is>
          <t>BER.6.1</t>
        </is>
      </c>
      <c r="D128" s="11" t="inlineStr">
        <is>
          <t>Standard-Anforderungen</t>
        </is>
      </c>
      <c r="E128" s="12" t="inlineStr">
        <is>
          <t>Berechtigung für Nutzende SOLLTE einen Passwortmanager installieren.</t>
        </is>
      </c>
      <c r="F128" s="14" t="n"/>
      <c r="G128" s="14" t="n"/>
      <c r="H128" s="14" t="inlineStr">
        <is>
          <t>unbearbeitet</t>
        </is>
      </c>
      <c r="I128" s="14" t="n"/>
      <c r="J128" s="14" t="n"/>
      <c r="K128" s="14" t="n"/>
      <c r="L128" s="15" t="n"/>
      <c r="M128" s="11" t="inlineStr">
        <is>
          <t>Vertraulichkeit</t>
        </is>
      </c>
      <c r="N128" s="12" t="inlineStr"/>
      <c r="O128" s="11" t="inlineStr"/>
      <c r="P128" s="12" t="inlineStr">
        <is>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is>
      </c>
      <c r="Q128" s="11" t="inlineStr">
        <is>
          <t>Nutzende</t>
        </is>
      </c>
      <c r="R128" s="11" t="inlineStr">
        <is>
          <t>IT-Betriebskonzept</t>
        </is>
      </c>
      <c r="S128" s="12" t="inlineStr">
        <is>
          <t>einen Passwortmanager</t>
        </is>
      </c>
      <c r="T128" s="12" t="inlineStr">
        <is>
          <t>G 0.36 – Identitätsdiebstahl; G 0.30 – Unberechtigte Nutzung oder Administration von Geräten und Systemen; G 0.42 – Social Engineering</t>
        </is>
      </c>
      <c r="U128" s="11" t="n">
        <v>2</v>
      </c>
      <c r="V128" s="11" t="n">
        <v>2</v>
      </c>
      <c r="W128" s="11" t="n">
        <v>1</v>
      </c>
      <c r="X128" s="11" t="n">
        <v>1</v>
      </c>
      <c r="Y128" s="11" t="n">
        <v>1</v>
      </c>
    </row>
    <row r="129">
      <c r="A129" s="9" t="inlineStr">
        <is>
          <t>BER.6.2</t>
        </is>
      </c>
      <c r="B129" s="10" t="inlineStr">
        <is>
          <t>Blockieren von Passwort Recycling</t>
        </is>
      </c>
      <c r="C129" s="11" t="n"/>
      <c r="D129" s="11" t="inlineStr">
        <is>
          <t>Standard-Anforderungen</t>
        </is>
      </c>
      <c r="E129" s="12" t="inlineStr">
        <is>
          <t>Gesamt:</t>
        </is>
      </c>
      <c r="F129" s="11" t="n"/>
      <c r="G129" s="11" t="n"/>
      <c r="H129" s="13">
        <f>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
      </c>
      <c r="I129" s="11" t="n"/>
      <c r="J129" s="11" t="n"/>
      <c r="K129" s="11" t="n"/>
      <c r="L129" s="11" t="n"/>
      <c r="M129" s="11" t="inlineStr"/>
      <c r="N129" s="12" t="inlineStr"/>
      <c r="O129" s="11" t="inlineStr"/>
      <c r="P129" s="12" t="inlineStr">
        <is>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is>
      </c>
      <c r="Q129" s="11" t="inlineStr">
        <is>
          <t>Nutzende</t>
        </is>
      </c>
      <c r="R129" s="11" t="inlineStr">
        <is>
          <t>Konfigurationshistorie</t>
        </is>
      </c>
      <c r="S129" s="12" t="inlineStr">
        <is>
          <t>die Wiederverwendung von Passwörtern</t>
        </is>
      </c>
      <c r="T129" s="12" t="inlineStr">
        <is>
          <t>G 0.36 – Identitätsdiebstahl; G 0.30 – Unberechtigte Nutzung oder Administration von Geräten und Systemen; G 0.42 – Social Engineering</t>
        </is>
      </c>
      <c r="U129" s="11" t="n">
        <v>3</v>
      </c>
      <c r="V129" s="11" t="n">
        <v>1</v>
      </c>
      <c r="W129" s="11" t="n">
        <v>1</v>
      </c>
      <c r="X129" s="11" t="n">
        <v>1</v>
      </c>
      <c r="Y129" s="11" t="n">
        <v>1</v>
      </c>
    </row>
    <row r="130">
      <c r="A130" s="11" t="inlineStr">
        <is>
          <t>BER.6.2</t>
        </is>
      </c>
      <c r="B130" s="12" t="inlineStr">
        <is>
          <t>Blockieren von Passwort Recycling</t>
        </is>
      </c>
      <c r="C130" s="11" t="inlineStr">
        <is>
          <t>BER.6.2</t>
        </is>
      </c>
      <c r="D130" s="11" t="inlineStr">
        <is>
          <t>Standard-Anforderungen</t>
        </is>
      </c>
      <c r="E130" s="12" t="inlineStr">
        <is>
          <t>Berechtigung für Nutzende SOLLTE die Wiederverwendung von Passwörtern blockieren.</t>
        </is>
      </c>
      <c r="F130" s="14" t="n"/>
      <c r="G130" s="14" t="n"/>
      <c r="H130" s="14" t="inlineStr">
        <is>
          <t>unbearbeitet</t>
        </is>
      </c>
      <c r="I130" s="14" t="n"/>
      <c r="J130" s="14" t="n"/>
      <c r="K130" s="14" t="n"/>
      <c r="L130" s="15" t="n"/>
      <c r="M130" s="11" t="inlineStr"/>
      <c r="N130" s="12" t="inlineStr"/>
      <c r="O130" s="11" t="inlineStr"/>
      <c r="P130" s="12" t="inlineStr">
        <is>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is>
      </c>
      <c r="Q130" s="11" t="inlineStr">
        <is>
          <t>Nutzende</t>
        </is>
      </c>
      <c r="R130" s="11" t="inlineStr">
        <is>
          <t>Konfigurationshistorie</t>
        </is>
      </c>
      <c r="S130" s="12" t="inlineStr">
        <is>
          <t>die Wiederverwendung von Passwörtern</t>
        </is>
      </c>
      <c r="T130" s="12" t="inlineStr">
        <is>
          <t>G 0.36 – Identitätsdiebstahl; G 0.30 – Unberechtigte Nutzung oder Administration von Geräten und Systemen; G 0.42 – Social Engineering</t>
        </is>
      </c>
      <c r="U130" s="11" t="n">
        <v>3</v>
      </c>
      <c r="V130" s="11" t="n">
        <v>1</v>
      </c>
      <c r="W130" s="11" t="n">
        <v>1</v>
      </c>
      <c r="X130" s="11" t="n">
        <v>1</v>
      </c>
      <c r="Y130" s="11" t="n">
        <v>1</v>
      </c>
    </row>
    <row r="131">
      <c r="A131" s="9" t="inlineStr">
        <is>
          <t>BER.6.3</t>
        </is>
      </c>
      <c r="B131" s="10" t="inlineStr">
        <is>
          <t>Trivialpasswörter</t>
        </is>
      </c>
      <c r="C131" s="11" t="n"/>
      <c r="D131" s="11" t="inlineStr">
        <is>
          <t>Standard-Anforderungen</t>
        </is>
      </c>
      <c r="E131" s="12" t="inlineStr">
        <is>
          <t>Gesamt:</t>
        </is>
      </c>
      <c r="F131" s="11" t="n"/>
      <c r="G131" s="11" t="n"/>
      <c r="H131" s="13">
        <f>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
      </c>
      <c r="I131" s="11" t="n"/>
      <c r="J131" s="11" t="n"/>
      <c r="K131" s="11" t="n"/>
      <c r="L131" s="11" t="n"/>
      <c r="M131" s="11" t="inlineStr"/>
      <c r="N131" s="12" t="inlineStr"/>
      <c r="O131" s="11" t="inlineStr"/>
      <c r="P131" s="12" t="inlineStr">
        <is>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is>
      </c>
      <c r="Q131" s="11" t="inlineStr">
        <is>
          <t>Nutzende</t>
        </is>
      </c>
      <c r="R131" s="11" t="inlineStr">
        <is>
          <t>Konfigurationshistorie</t>
        </is>
      </c>
      <c r="S131" s="12" t="inlineStr">
        <is>
          <t>die Verwendung von Trivialpassworten</t>
        </is>
      </c>
      <c r="T131" s="12" t="inlineStr">
        <is>
          <t>G 0.36 – Identitätsdiebstahl; G 0.30 – Unberechtigte Nutzung oder Administration von Geräten und Systemen; G 0.42 – Social Engineering</t>
        </is>
      </c>
      <c r="U131" s="11" t="n">
        <v>2</v>
      </c>
      <c r="V131" s="11" t="n">
        <v>1</v>
      </c>
      <c r="W131" s="11" t="n">
        <v>1</v>
      </c>
      <c r="X131" s="11" t="n">
        <v>1</v>
      </c>
      <c r="Y131" s="11" t="n">
        <v>1</v>
      </c>
    </row>
    <row r="132">
      <c r="A132" s="11" t="inlineStr">
        <is>
          <t>BER.6.3</t>
        </is>
      </c>
      <c r="B132" s="12" t="inlineStr">
        <is>
          <t>Trivialpasswörter</t>
        </is>
      </c>
      <c r="C132" s="11" t="inlineStr">
        <is>
          <t>BER.6.3</t>
        </is>
      </c>
      <c r="D132" s="11" t="inlineStr">
        <is>
          <t>Standard-Anforderungen</t>
        </is>
      </c>
      <c r="E132" s="12" t="inlineStr">
        <is>
          <t>Berechtigung für Nutzende SOLLTE die Verwendung von Trivialpassworten blockieren.</t>
        </is>
      </c>
      <c r="F132" s="14" t="n"/>
      <c r="G132" s="14" t="n"/>
      <c r="H132" s="14" t="inlineStr">
        <is>
          <t>unbearbeitet</t>
        </is>
      </c>
      <c r="I132" s="14" t="n"/>
      <c r="J132" s="14" t="n"/>
      <c r="K132" s="14" t="n"/>
      <c r="L132" s="15" t="n"/>
      <c r="M132" s="11" t="inlineStr"/>
      <c r="N132" s="12" t="inlineStr"/>
      <c r="O132" s="11" t="inlineStr"/>
      <c r="P132" s="12" t="inlineStr">
        <is>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is>
      </c>
      <c r="Q132" s="11" t="inlineStr">
        <is>
          <t>Nutzende</t>
        </is>
      </c>
      <c r="R132" s="11" t="inlineStr">
        <is>
          <t>Konfigurationshistorie</t>
        </is>
      </c>
      <c r="S132" s="12" t="inlineStr">
        <is>
          <t>die Verwendung von Trivialpassworten</t>
        </is>
      </c>
      <c r="T132" s="12" t="inlineStr">
        <is>
          <t>G 0.36 – Identitätsdiebstahl; G 0.30 – Unberechtigte Nutzung oder Administration von Geräten und Systemen; G 0.42 – Social Engineering</t>
        </is>
      </c>
      <c r="U132" s="11" t="n">
        <v>2</v>
      </c>
      <c r="V132" s="11" t="n">
        <v>1</v>
      </c>
      <c r="W132" s="11" t="n">
        <v>1</v>
      </c>
      <c r="X132" s="11" t="n">
        <v>1</v>
      </c>
      <c r="Y132" s="11" t="n">
        <v>1</v>
      </c>
    </row>
    <row r="133">
      <c r="A133" s="9" t="inlineStr">
        <is>
          <t>BER.6.4</t>
        </is>
      </c>
      <c r="B133" s="10" t="inlineStr">
        <is>
          <t>Kriterien für die Qualität von Passwörtern</t>
        </is>
      </c>
      <c r="C133" s="11" t="n"/>
      <c r="D133" s="11" t="inlineStr">
        <is>
          <t>Standard-Anforderungen</t>
        </is>
      </c>
      <c r="E133" s="12" t="inlineStr">
        <is>
          <t>Gesamt:</t>
        </is>
      </c>
      <c r="F133" s="11" t="n"/>
      <c r="G133" s="11" t="n"/>
      <c r="H133" s="13">
        <f>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
      </c>
      <c r="I133" s="11" t="n"/>
      <c r="J133" s="11" t="n"/>
      <c r="K133" s="11" t="n"/>
      <c r="L133" s="11" t="n"/>
      <c r="M133" s="11" t="inlineStr"/>
      <c r="N133" s="12" t="inlineStr"/>
      <c r="O133" s="11" t="inlineStr"/>
      <c r="P133" s="12" t="inlineStr">
        <is>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is>
      </c>
      <c r="Q133" s="11" t="inlineStr"/>
      <c r="R133" s="11" t="inlineStr">
        <is>
          <t>IT-Betriebskonzept</t>
        </is>
      </c>
      <c r="S133" s="12" t="inlineStr">
        <is>
          <t>Kriterien für die Qualität von Passwörtern</t>
        </is>
      </c>
      <c r="T133" s="12" t="inlineStr">
        <is>
          <t>G 0.36 – Identitätsdiebstahl; G 0.30 – Unberechtigte Nutzung oder Administration von Geräten und Systemen</t>
        </is>
      </c>
      <c r="U133" s="11" t="n">
        <v>3</v>
      </c>
      <c r="V133" s="11" t="n">
        <v>1</v>
      </c>
      <c r="W133" s="11" t="n">
        <v>1</v>
      </c>
      <c r="X133" s="11" t="n">
        <v>1</v>
      </c>
      <c r="Y133" s="11" t="n">
        <v>1</v>
      </c>
    </row>
    <row r="134">
      <c r="A134" s="11" t="inlineStr">
        <is>
          <t>BER.6.4</t>
        </is>
      </c>
      <c r="B134" s="12" t="inlineStr">
        <is>
          <t>Kriterien für die Qualität von Passwörtern</t>
        </is>
      </c>
      <c r="C134" s="11" t="inlineStr">
        <is>
          <t>BER.6.4</t>
        </is>
      </c>
      <c r="D134" s="11" t="inlineStr">
        <is>
          <t>Standard-Anforderungen</t>
        </is>
      </c>
      <c r="E134" s="12" t="inlineStr">
        <is>
          <t>Berechtigung SOLLTE Kriterien für die Qualität von Passwörtern anhand von Lebensdauer und Angriffsmöglichkeiten verankern.</t>
        </is>
      </c>
      <c r="F134" s="14" t="n"/>
      <c r="G134" s="14" t="n"/>
      <c r="H134" s="14" t="inlineStr">
        <is>
          <t>unbearbeitet</t>
        </is>
      </c>
      <c r="I134" s="14" t="n"/>
      <c r="J134" s="14" t="n"/>
      <c r="K134" s="14" t="n"/>
      <c r="L134" s="15" t="n"/>
      <c r="M134" s="11" t="inlineStr"/>
      <c r="N134" s="12" t="inlineStr"/>
      <c r="O134" s="11" t="inlineStr"/>
      <c r="P134" s="12" t="inlineStr">
        <is>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is>
      </c>
      <c r="Q134" s="11" t="inlineStr"/>
      <c r="R134" s="11" t="inlineStr">
        <is>
          <t>IT-Betriebskonzept</t>
        </is>
      </c>
      <c r="S134" s="12" t="inlineStr">
        <is>
          <t>Kriterien für die Qualität von Passwörtern</t>
        </is>
      </c>
      <c r="T134" s="12" t="inlineStr">
        <is>
          <t>G 0.36 – Identitätsdiebstahl; G 0.30 – Unberechtigte Nutzung oder Administration von Geräten und Systemen</t>
        </is>
      </c>
      <c r="U134" s="11" t="n">
        <v>3</v>
      </c>
      <c r="V134" s="11" t="n">
        <v>1</v>
      </c>
      <c r="W134" s="11" t="n">
        <v>1</v>
      </c>
      <c r="X134" s="11" t="n">
        <v>1</v>
      </c>
      <c r="Y134" s="11" t="n">
        <v>1</v>
      </c>
    </row>
    <row r="135">
      <c r="A135" s="9" t="inlineStr">
        <is>
          <t>BER.6.5</t>
        </is>
      </c>
      <c r="B135" s="10" t="inlineStr">
        <is>
          <t>Anlassbezogene Passwortwechsel</t>
        </is>
      </c>
      <c r="C135" s="11" t="n"/>
      <c r="D135" s="11" t="inlineStr">
        <is>
          <t>Standard-Anforderungen</t>
        </is>
      </c>
      <c r="E135" s="12" t="inlineStr">
        <is>
          <t>Gesamt:</t>
        </is>
      </c>
      <c r="F135" s="11" t="n"/>
      <c r="G135" s="11" t="n"/>
      <c r="H135" s="13">
        <f>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
      </c>
      <c r="I135" s="11" t="n"/>
      <c r="J135" s="11" t="n"/>
      <c r="K135" s="11" t="n"/>
      <c r="L135" s="11" t="n"/>
      <c r="M135" s="11" t="inlineStr"/>
      <c r="N135" s="12" t="inlineStr"/>
      <c r="O135" s="11" t="inlineStr"/>
      <c r="P135" s="12" t="inlineStr">
        <is>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is>
      </c>
      <c r="Q135" s="11" t="inlineStr"/>
      <c r="R135" s="11" t="inlineStr">
        <is>
          <t>IT-Betriebskonzept</t>
        </is>
      </c>
      <c r="S135" s="12" t="inlineStr">
        <is>
          <t>einen Passwortwechsel</t>
        </is>
      </c>
      <c r="T135" s="12" t="inlineStr">
        <is>
          <t>G 0.36 – Identitätsdiebstahl; G 0.30 – Unberechtigte Nutzung oder Administration von Geräten und Systemen; G 0.42 – Social Engineering</t>
        </is>
      </c>
      <c r="U135" s="11" t="n">
        <v>1</v>
      </c>
      <c r="V135" s="11" t="n">
        <v>1</v>
      </c>
      <c r="W135" s="11" t="n">
        <v>1</v>
      </c>
      <c r="X135" s="11" t="n">
        <v>1</v>
      </c>
      <c r="Y135" s="11" t="n">
        <v>1</v>
      </c>
    </row>
    <row r="136">
      <c r="A136" s="11" t="inlineStr">
        <is>
          <t>BER.6.5</t>
        </is>
      </c>
      <c r="B136" s="12" t="inlineStr">
        <is>
          <t>Anlassbezogene Passwortwechsel</t>
        </is>
      </c>
      <c r="C136" s="11" t="inlineStr">
        <is>
          <t>BER.6.5</t>
        </is>
      </c>
      <c r="D136" s="11" t="inlineStr">
        <is>
          <t>Standard-Anforderungen</t>
        </is>
      </c>
      <c r="E136" s="12" t="inlineStr">
        <is>
          <t>Berechtigung SOLLTE einen Passwortwechsel ausschließlich anlassbezogen ausführen.</t>
        </is>
      </c>
      <c r="F136" s="14" t="n"/>
      <c r="G136" s="14" t="n"/>
      <c r="H136" s="14" t="inlineStr">
        <is>
          <t>unbearbeitet</t>
        </is>
      </c>
      <c r="I136" s="14" t="n"/>
      <c r="J136" s="14" t="n"/>
      <c r="K136" s="14" t="n"/>
      <c r="L136" s="15" t="n"/>
      <c r="M136" s="11" t="inlineStr"/>
      <c r="N136" s="12" t="inlineStr"/>
      <c r="O136" s="11" t="inlineStr"/>
      <c r="P136" s="12" t="inlineStr">
        <is>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is>
      </c>
      <c r="Q136" s="11" t="inlineStr"/>
      <c r="R136" s="11" t="inlineStr">
        <is>
          <t>IT-Betriebskonzept</t>
        </is>
      </c>
      <c r="S136" s="12" t="inlineStr">
        <is>
          <t>einen Passwortwechsel</t>
        </is>
      </c>
      <c r="T136" s="12" t="inlineStr">
        <is>
          <t>G 0.36 – Identitätsdiebstahl; G 0.30 – Unberechtigte Nutzung oder Administration von Geräten und Systemen; G 0.42 – Social Engineering</t>
        </is>
      </c>
      <c r="U136" s="11" t="n">
        <v>1</v>
      </c>
      <c r="V136" s="11" t="n">
        <v>1</v>
      </c>
      <c r="W136" s="11" t="n">
        <v>1</v>
      </c>
      <c r="X136" s="11" t="n">
        <v>1</v>
      </c>
      <c r="Y136" s="11" t="n">
        <v>1</v>
      </c>
    </row>
    <row r="137">
      <c r="A137" s="9" t="inlineStr">
        <is>
          <t>BER.6.6</t>
        </is>
      </c>
      <c r="B137" s="10" t="inlineStr">
        <is>
          <t>Monitoring von Zugangsdaten</t>
        </is>
      </c>
      <c r="C137" s="11" t="n"/>
      <c r="D137" s="11" t="inlineStr">
        <is>
          <t>Standard-Anforderungen</t>
        </is>
      </c>
      <c r="E137" s="12" t="inlineStr">
        <is>
          <t>Gesamt:</t>
        </is>
      </c>
      <c r="F137" s="11" t="n"/>
      <c r="G137" s="11" t="n"/>
      <c r="H137" s="13">
        <f>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
      </c>
      <c r="I137" s="11" t="n"/>
      <c r="J137" s="11" t="n"/>
      <c r="K137" s="11" t="n"/>
      <c r="L137" s="11" t="n"/>
      <c r="M137" s="11" t="inlineStr"/>
      <c r="N137" s="12" t="inlineStr"/>
      <c r="O137" s="11" t="inlineStr"/>
      <c r="P137" s="12" t="inlineStr">
        <is>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is>
      </c>
      <c r="Q137" s="11" t="inlineStr"/>
      <c r="R137" s="11" t="inlineStr">
        <is>
          <t>Detektions-Konzept</t>
        </is>
      </c>
      <c r="S137" s="12" t="inlineStr">
        <is>
          <t>Zugangsdaten auf Kompromittierung</t>
        </is>
      </c>
      <c r="T137" s="12" t="inlineStr">
        <is>
          <t>G 0.36 – Identitätsdiebstahl; G 0.30 – Unberechtigte Nutzung oder Administration von Geräten und Systemen; G 0.18 – Fehlplanung oder fehlende Anpassung; G 0.47 – Schädliche Seiteneffekte IT-gestützter Angriffe</t>
        </is>
      </c>
      <c r="U137" s="11" t="n">
        <v>3</v>
      </c>
      <c r="V137" s="11" t="n">
        <v>1</v>
      </c>
      <c r="W137" s="11" t="n">
        <v>1</v>
      </c>
      <c r="X137" s="11" t="n">
        <v>1</v>
      </c>
      <c r="Y137" s="11" t="n">
        <v>1</v>
      </c>
    </row>
    <row r="138">
      <c r="A138" s="11" t="inlineStr">
        <is>
          <t>BER.6.6</t>
        </is>
      </c>
      <c r="B138" s="12" t="inlineStr">
        <is>
          <t>Monitoring von Zugangsdaten</t>
        </is>
      </c>
      <c r="C138" s="11" t="inlineStr">
        <is>
          <t>BER.6.6</t>
        </is>
      </c>
      <c r="D138" s="11" t="inlineStr">
        <is>
          <t>Standard-Anforderungen</t>
        </is>
      </c>
      <c r="E138" s="12" t="inlineStr">
        <is>
          <t>Berechtigung SOLLTE Zugangsdaten auf Kompromittierung durch einen automatisierten Mechanismus überwachen.</t>
        </is>
      </c>
      <c r="F138" s="14" t="n"/>
      <c r="G138" s="14" t="n"/>
      <c r="H138" s="14" t="inlineStr">
        <is>
          <t>unbearbeitet</t>
        </is>
      </c>
      <c r="I138" s="14" t="n"/>
      <c r="J138" s="14" t="n"/>
      <c r="K138" s="14" t="n"/>
      <c r="L138" s="15" t="n"/>
      <c r="M138" s="11" t="inlineStr"/>
      <c r="N138" s="12" t="inlineStr"/>
      <c r="O138" s="11" t="inlineStr"/>
      <c r="P138" s="12" t="inlineStr">
        <is>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is>
      </c>
      <c r="Q138" s="11" t="inlineStr"/>
      <c r="R138" s="11" t="inlineStr">
        <is>
          <t>Detektions-Konzept</t>
        </is>
      </c>
      <c r="S138" s="12" t="inlineStr">
        <is>
          <t>Zugangsdaten auf Kompromittierung</t>
        </is>
      </c>
      <c r="T138" s="12" t="inlineStr">
        <is>
          <t>G 0.36 – Identitätsdiebstahl; G 0.30 – Unberechtigte Nutzung oder Administration von Geräten und Systemen; G 0.18 – Fehlplanung oder fehlende Anpassung; G 0.47 – Schädliche Seiteneffekte IT-gestützter Angriffe</t>
        </is>
      </c>
      <c r="U138" s="11" t="n">
        <v>3</v>
      </c>
      <c r="V138" s="11" t="n">
        <v>1</v>
      </c>
      <c r="W138" s="11" t="n">
        <v>1</v>
      </c>
      <c r="X138" s="11" t="n">
        <v>1</v>
      </c>
      <c r="Y138" s="11" t="n">
        <v>1</v>
      </c>
    </row>
    <row r="139">
      <c r="A139" s="9" t="inlineStr">
        <is>
          <t>BER.7.1</t>
        </is>
      </c>
      <c r="B139" s="10" t="inlineStr">
        <is>
          <t>Etablierte Algorithmen bei der Schlüsselerzeugung</t>
        </is>
      </c>
      <c r="C139" s="11" t="n"/>
      <c r="D139" s="11" t="inlineStr">
        <is>
          <t>Standard-Anforderungen</t>
        </is>
      </c>
      <c r="E139" s="12" t="inlineStr">
        <is>
          <t>Gesamt:</t>
        </is>
      </c>
      <c r="F139" s="11" t="n"/>
      <c r="G139" s="11" t="n"/>
      <c r="H139" s="13">
        <f>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
      </c>
      <c r="I139" s="11" t="n"/>
      <c r="J139" s="11" t="n"/>
      <c r="K139" s="11" t="n"/>
      <c r="L139" s="11" t="n"/>
      <c r="M139" s="11" t="inlineStr">
        <is>
          <t>Vertraulichkeit</t>
        </is>
      </c>
      <c r="N139" s="12" t="inlineStr">
        <is>
          <t>CON.1.A1-UA.1</t>
        </is>
      </c>
      <c r="O139" s="11" t="inlineStr">
        <is>
          <t>intersects-with</t>
        </is>
      </c>
      <c r="P139" s="12" t="inlineStr">
        <is>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is>
      </c>
      <c r="Q139" s="11" t="inlineStr"/>
      <c r="R139" s="11" t="inlineStr">
        <is>
          <t>IT-Betriebskonzept</t>
        </is>
      </c>
      <c r="S139" s="12" t="inlineStr">
        <is>
          <t>die ausschließliche Verwendung etablierter kryptografischer Algorithmen</t>
        </is>
      </c>
      <c r="T139" s="12" t="inlineStr">
        <is>
          <t>G 0.36 – Identitätsdiebstahl</t>
        </is>
      </c>
      <c r="U139" s="11" t="n">
        <v>2</v>
      </c>
      <c r="V139" s="11" t="n">
        <v>2</v>
      </c>
      <c r="W139" s="11" t="n">
        <v>1</v>
      </c>
      <c r="X139" s="11" t="n">
        <v>1</v>
      </c>
      <c r="Y139" s="11" t="n">
        <v>0</v>
      </c>
    </row>
    <row r="140">
      <c r="A140" s="11" t="inlineStr">
        <is>
          <t>BER.7.1</t>
        </is>
      </c>
      <c r="B140" s="12" t="inlineStr">
        <is>
          <t>Etablierte Algorithmen bei der Schlüsselerzeugung</t>
        </is>
      </c>
      <c r="C140" s="11" t="inlineStr">
        <is>
          <t>BER.7.1</t>
        </is>
      </c>
      <c r="D140" s="11" t="inlineStr">
        <is>
          <t>Standard-Anforderungen</t>
        </is>
      </c>
      <c r="E140" s="12" t="inlineStr">
        <is>
          <t>Berechtigung SOLLTE die ausschließliche Verwendung etablierter kryptografischer Algorithmen bei der Schlüsselerzeugung nach einem anerkannten Standard verankern.</t>
        </is>
      </c>
      <c r="F140" s="14" t="n"/>
      <c r="G140" s="14" t="n"/>
      <c r="H140" s="14" t="inlineStr">
        <is>
          <t>unbearbeitet</t>
        </is>
      </c>
      <c r="I140" s="14" t="n"/>
      <c r="J140" s="14" t="n"/>
      <c r="K140" s="14" t="n"/>
      <c r="L140" s="15" t="n"/>
      <c r="M140" s="11" t="inlineStr">
        <is>
          <t>Vertraulichkeit</t>
        </is>
      </c>
      <c r="N140" s="12" t="inlineStr">
        <is>
          <t>CON.1.A1-UA.1</t>
        </is>
      </c>
      <c r="O140" s="11" t="inlineStr">
        <is>
          <t>intersects-with</t>
        </is>
      </c>
      <c r="P140" s="12" t="inlineStr">
        <is>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is>
      </c>
      <c r="Q140" s="11" t="inlineStr"/>
      <c r="R140" s="11" t="inlineStr">
        <is>
          <t>IT-Betriebskonzept</t>
        </is>
      </c>
      <c r="S140" s="12" t="inlineStr">
        <is>
          <t>die ausschließliche Verwendung etablierter kryptografischer Algorithmen</t>
        </is>
      </c>
      <c r="T140" s="12" t="inlineStr">
        <is>
          <t>G 0.36 – Identitätsdiebstahl</t>
        </is>
      </c>
      <c r="U140" s="11" t="n">
        <v>2</v>
      </c>
      <c r="V140" s="11" t="n">
        <v>2</v>
      </c>
      <c r="W140" s="11" t="n">
        <v>1</v>
      </c>
      <c r="X140" s="11" t="n">
        <v>1</v>
      </c>
      <c r="Y140" s="11" t="n">
        <v>0</v>
      </c>
    </row>
    <row r="141">
      <c r="A141" s="9" t="inlineStr">
        <is>
          <t>BER.7.2</t>
        </is>
      </c>
      <c r="B141" s="10" t="inlineStr">
        <is>
          <t>Schlüssellänge</t>
        </is>
      </c>
      <c r="C141" s="11" t="n"/>
      <c r="D141" s="11" t="inlineStr">
        <is>
          <t>Standard-Anforderungen</t>
        </is>
      </c>
      <c r="E141" s="12" t="inlineStr">
        <is>
          <t>Gesamt:</t>
        </is>
      </c>
      <c r="F141" s="11" t="n"/>
      <c r="G141" s="11" t="n"/>
      <c r="H141" s="13">
        <f>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
      </c>
      <c r="I141" s="11" t="n"/>
      <c r="J141" s="11" t="n"/>
      <c r="K141" s="11" t="n"/>
      <c r="L141" s="11" t="n"/>
      <c r="M141" s="11" t="inlineStr">
        <is>
          <t>Vertraulichkeit</t>
        </is>
      </c>
      <c r="N141" s="12" t="inlineStr"/>
      <c r="O141" s="11" t="inlineStr"/>
      <c r="P141" s="12" t="inlineStr">
        <is>
          <t>Für die Sicherheit von Schlüsseln wie Passwörter oder PINs ist die Länge von Bedeutung. Für Details siehe BSI TR-02102.</t>
        </is>
      </c>
      <c r="Q141" s="11" t="inlineStr"/>
      <c r="R141" s="11" t="inlineStr">
        <is>
          <t>Verzeichnis öffentlicher Schlüssel</t>
        </is>
      </c>
      <c r="S141" s="12" t="inlineStr">
        <is>
          <t>die Schlüssellängen</t>
        </is>
      </c>
      <c r="T141" s="12" t="inlineStr">
        <is>
          <t>G 0.36 – Identitätsdiebstahl</t>
        </is>
      </c>
      <c r="U141" s="11" t="n">
        <v>2</v>
      </c>
      <c r="V141" s="11" t="n">
        <v>2</v>
      </c>
      <c r="W141" s="11" t="n">
        <v>1</v>
      </c>
      <c r="X141" s="11" t="n">
        <v>1</v>
      </c>
      <c r="Y141" s="11" t="n">
        <v>0</v>
      </c>
    </row>
    <row r="142">
      <c r="A142" s="11" t="inlineStr">
        <is>
          <t>BER.7.2</t>
        </is>
      </c>
      <c r="B142" s="12" t="inlineStr">
        <is>
          <t>Schlüssellänge</t>
        </is>
      </c>
      <c r="C142" s="11" t="inlineStr">
        <is>
          <t>BER.7.2</t>
        </is>
      </c>
      <c r="D142" s="11" t="inlineStr">
        <is>
          <t>Standard-Anforderungen</t>
        </is>
      </c>
      <c r="E142" s="12" t="inlineStr">
        <is>
          <t>Berechtigung SOLLTE die Schlüssellängen nach einem anerkannten Standard bei der Schlüsselerzeugung zuweisen.</t>
        </is>
      </c>
      <c r="F142" s="14" t="n"/>
      <c r="G142" s="14" t="n"/>
      <c r="H142" s="14" t="inlineStr">
        <is>
          <t>unbearbeitet</t>
        </is>
      </c>
      <c r="I142" s="14" t="n"/>
      <c r="J142" s="14" t="n"/>
      <c r="K142" s="14" t="n"/>
      <c r="L142" s="15" t="n"/>
      <c r="M142" s="11" t="inlineStr">
        <is>
          <t>Vertraulichkeit</t>
        </is>
      </c>
      <c r="N142" s="12" t="inlineStr"/>
      <c r="O142" s="11" t="inlineStr"/>
      <c r="P142" s="12" t="inlineStr">
        <is>
          <t>Für die Sicherheit von Schlüsseln wie Passwörter oder PINs ist die Länge von Bedeutung. Für Details siehe BSI TR-02102.</t>
        </is>
      </c>
      <c r="Q142" s="11" t="inlineStr"/>
      <c r="R142" s="11" t="inlineStr">
        <is>
          <t>Verzeichnis öffentlicher Schlüssel</t>
        </is>
      </c>
      <c r="S142" s="12" t="inlineStr">
        <is>
          <t>die Schlüssellängen</t>
        </is>
      </c>
      <c r="T142" s="12" t="inlineStr">
        <is>
          <t>G 0.36 – Identitätsdiebstahl</t>
        </is>
      </c>
      <c r="U142" s="11" t="n">
        <v>2</v>
      </c>
      <c r="V142" s="11" t="n">
        <v>2</v>
      </c>
      <c r="W142" s="11" t="n">
        <v>1</v>
      </c>
      <c r="X142" s="11" t="n">
        <v>1</v>
      </c>
      <c r="Y142" s="11" t="n">
        <v>0</v>
      </c>
    </row>
    <row r="143">
      <c r="A143" s="9" t="inlineStr">
        <is>
          <t>BER.7.3</t>
        </is>
      </c>
      <c r="B143" s="10" t="inlineStr">
        <is>
          <t>Verzeichnis öffentlicher Schlüssel</t>
        </is>
      </c>
      <c r="C143" s="11" t="n"/>
      <c r="D143" s="11" t="inlineStr">
        <is>
          <t>Standard-Anforderungen</t>
        </is>
      </c>
      <c r="E143" s="12" t="inlineStr">
        <is>
          <t>Gesamt:</t>
        </is>
      </c>
      <c r="F143" s="11" t="n"/>
      <c r="G143" s="11" t="n"/>
      <c r="H143" s="13">
        <f>IF(OR(COUNTBLANK($H$144:$H$144)&gt;0,COUNTIF($H$144:$H$144,"unbearbeitet")=COUNTA($H$144:$H$144)),"Bitte Teilanforderungen ausfüllen",IF(COUNTIF($H$144:$H$144,"zu klären")&gt;0,"zu klären",IF(COUNTIF($H$144:$H$144,"entbehrlich")=COUNTA($H$144:$H$144),"entbehrlich",IF(COUNTIF($H$144:$H$144,"verwiesen")=COUNTA($H$144:$H$144),"verwiesen",IF(COUNTIF($H$144:$H$144,"nein")+COUNTIF($H$144:$H$144,"entbehrlich")=COUNTA($H$144:$H$144),"nein",IF(COUNTIF($H$144:$H$144,"ja")+COUNTIF($H$144:$H$144,"entbehrlich")+COUNTIF($H$144:$H$144,"verwiesen")=COUNTA($H$144:$H$144),"ja","teilweise"))))))</f>
        <v/>
      </c>
      <c r="I143" s="11" t="n"/>
      <c r="J143" s="11" t="n"/>
      <c r="K143" s="11" t="n"/>
      <c r="L143" s="11" t="n"/>
      <c r="M143" s="11" t="inlineStr">
        <is>
          <t>Vertraulichkeit</t>
        </is>
      </c>
      <c r="N143" s="12" t="inlineStr"/>
      <c r="O143" s="11" t="inlineStr"/>
      <c r="P143" s="12" t="inlineStr">
        <is>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is>
      </c>
      <c r="Q143" s="11" t="inlineStr"/>
      <c r="R143" s="11" t="inlineStr">
        <is>
          <t>Verzeichnis öffentlicher Schlüssel</t>
        </is>
      </c>
      <c r="S143" s="12" t="inlineStr">
        <is>
          <t>zu jedem öffentlichen Schlüssel die dazugehörige Identität, das Ablaufdatum, den Nutzungszweck, die Schlüsselart und den Algorithmus</t>
        </is>
      </c>
      <c r="T143" s="12" t="inlineStr">
        <is>
          <t>G 0.36 – Identitätsdiebstahl</t>
        </is>
      </c>
      <c r="U143" s="11" t="n">
        <v>3</v>
      </c>
      <c r="V143" s="11" t="n">
        <v>2</v>
      </c>
      <c r="W143" s="11" t="n">
        <v>1</v>
      </c>
      <c r="X143" s="11" t="n">
        <v>1</v>
      </c>
      <c r="Y143" s="11" t="n">
        <v>0</v>
      </c>
    </row>
    <row r="144">
      <c r="A144" s="11" t="inlineStr">
        <is>
          <t>BER.7.3</t>
        </is>
      </c>
      <c r="B144" s="12" t="inlineStr">
        <is>
          <t>Verzeichnis öffentlicher Schlüssel</t>
        </is>
      </c>
      <c r="C144" s="11" t="inlineStr">
        <is>
          <t>BER.7.3</t>
        </is>
      </c>
      <c r="D144" s="11" t="inlineStr">
        <is>
          <t>Standard-Anforderungen</t>
        </is>
      </c>
      <c r="E144" s="12" t="inlineStr">
        <is>
          <t>Berechtigung SOLLTE zu jedem öffentlichen Schlüssel die dazugehörige Identität, das Ablaufdatum, den Nutzungszweck, die Schlüsselart und den Algorithmus bei der Schlüsselbeglaubigung dokumentieren.</t>
        </is>
      </c>
      <c r="F144" s="14" t="n"/>
      <c r="G144" s="14" t="n"/>
      <c r="H144" s="14" t="inlineStr">
        <is>
          <t>unbearbeitet</t>
        </is>
      </c>
      <c r="I144" s="14" t="n"/>
      <c r="J144" s="14" t="n"/>
      <c r="K144" s="14" t="n"/>
      <c r="L144" s="15" t="n"/>
      <c r="M144" s="11" t="inlineStr">
        <is>
          <t>Vertraulichkeit</t>
        </is>
      </c>
      <c r="N144" s="12" t="inlineStr"/>
      <c r="O144" s="11" t="inlineStr"/>
      <c r="P144" s="12" t="inlineStr">
        <is>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is>
      </c>
      <c r="Q144" s="11" t="inlineStr"/>
      <c r="R144" s="11" t="inlineStr">
        <is>
          <t>Verzeichnis öffentlicher Schlüssel</t>
        </is>
      </c>
      <c r="S144" s="12" t="inlineStr">
        <is>
          <t>zu jedem öffentlichen Schlüssel die dazugehörige Identität, das Ablaufdatum, den Nutzungszweck, die Schlüsselart und den Algorithmus</t>
        </is>
      </c>
      <c r="T144" s="12" t="inlineStr">
        <is>
          <t>G 0.36 – Identitätsdiebstahl</t>
        </is>
      </c>
      <c r="U144" s="11" t="n">
        <v>3</v>
      </c>
      <c r="V144" s="11" t="n">
        <v>2</v>
      </c>
      <c r="W144" s="11" t="n">
        <v>1</v>
      </c>
      <c r="X144" s="11" t="n">
        <v>1</v>
      </c>
      <c r="Y144" s="11" t="n">
        <v>0</v>
      </c>
    </row>
    <row r="145">
      <c r="A145" s="9" t="inlineStr">
        <is>
          <t>BER.7.4</t>
        </is>
      </c>
      <c r="B145" s="10" t="inlineStr">
        <is>
          <t>Erzeugung auf sicheren IT-Systemen</t>
        </is>
      </c>
      <c r="C145" s="11" t="n"/>
      <c r="D145" s="11" t="inlineStr">
        <is>
          <t>Standard-Anforderungen</t>
        </is>
      </c>
      <c r="E145" s="12" t="inlineStr">
        <is>
          <t>Gesamt:</t>
        </is>
      </c>
      <c r="F145" s="11" t="n"/>
      <c r="G145" s="11" t="n"/>
      <c r="H145" s="13">
        <f>IF(OR(COUNTBLANK($H$146:$H$146)&gt;0,COUNTIF($H$146:$H$146,"unbearbeitet")=COUNTA($H$146:$H$146)),"Bitte Teilanforderungen ausfüllen",IF(COUNTIF($H$146:$H$146,"zu klären")&gt;0,"zu klären",IF(COUNTIF($H$146:$H$146,"entbehrlich")=COUNTA($H$146:$H$146),"entbehrlich",IF(COUNTIF($H$146:$H$146,"verwiesen")=COUNTA($H$146:$H$146),"verwiesen",IF(COUNTIF($H$146:$H$146,"nein")+COUNTIF($H$146:$H$146,"entbehrlich")=COUNTA($H$146:$H$146),"nein",IF(COUNTIF($H$146:$H$146,"ja")+COUNTIF($H$146:$H$146,"entbehrlich")+COUNTIF($H$146:$H$146,"verwiesen")=COUNTA($H$146:$H$146),"ja","teilweise"))))))</f>
        <v/>
      </c>
      <c r="I145" s="11" t="n"/>
      <c r="J145" s="11" t="n"/>
      <c r="K145" s="11" t="n"/>
      <c r="L145" s="11" t="n"/>
      <c r="M145" s="11" t="inlineStr">
        <is>
          <t>Vertraulichkeit</t>
        </is>
      </c>
      <c r="N145" s="12" t="inlineStr"/>
      <c r="O145" s="11" t="inlineStr"/>
      <c r="P145" s="12" t="inlineStr">
        <is>
          <t>Wird ein Schlüssel auf einem System erzeugt, dass einen geringeren Schutz bietet als auf dem späteren Einsatzsystem, dann könnte der Schlüssel bereits kompromittiert sein.</t>
        </is>
      </c>
      <c r="Q145" s="11" t="inlineStr"/>
      <c r="R145" s="11" t="inlineStr">
        <is>
          <t>IT-Betriebskonzept</t>
        </is>
      </c>
      <c r="S145" s="12" t="inlineStr">
        <is>
          <t>die Verwendung eines IT-Systems, welches mindestens dasselbe Schutzniveau bietet, für das der Schlüssel eingesetzt werden soll,</t>
        </is>
      </c>
      <c r="T145" s="12" t="inlineStr">
        <is>
          <t>G 0.36 – Identitätsdiebstahl</t>
        </is>
      </c>
      <c r="U145" s="11" t="n">
        <v>2</v>
      </c>
      <c r="V145" s="11" t="n">
        <v>2</v>
      </c>
      <c r="W145" s="11" t="n">
        <v>1</v>
      </c>
      <c r="X145" s="11" t="n">
        <v>1</v>
      </c>
      <c r="Y145" s="11" t="n">
        <v>0</v>
      </c>
    </row>
    <row r="146">
      <c r="A146" s="11" t="inlineStr">
        <is>
          <t>BER.7.4</t>
        </is>
      </c>
      <c r="B146" s="12" t="inlineStr">
        <is>
          <t>Erzeugung auf sicheren IT-Systemen</t>
        </is>
      </c>
      <c r="C146" s="11" t="inlineStr">
        <is>
          <t>BER.7.4</t>
        </is>
      </c>
      <c r="D146" s="11" t="inlineStr">
        <is>
          <t>Standard-Anforderungen</t>
        </is>
      </c>
      <c r="E146" s="12" t="inlineStr">
        <is>
          <t>Berechtigung SOLLTE die Verwendung eines IT-Systems, welches mindestens dasselbe Schutzniveau bietet, für das der Schlüssel eingesetzt werden soll, bei der Schlüsselerzeugung verankern.</t>
        </is>
      </c>
      <c r="F146" s="14" t="n"/>
      <c r="G146" s="14" t="n"/>
      <c r="H146" s="14" t="inlineStr">
        <is>
          <t>unbearbeitet</t>
        </is>
      </c>
      <c r="I146" s="14" t="n"/>
      <c r="J146" s="14" t="n"/>
      <c r="K146" s="14" t="n"/>
      <c r="L146" s="15" t="n"/>
      <c r="M146" s="11" t="inlineStr">
        <is>
          <t>Vertraulichkeit</t>
        </is>
      </c>
      <c r="N146" s="12" t="inlineStr"/>
      <c r="O146" s="11" t="inlineStr"/>
      <c r="P146" s="12" t="inlineStr">
        <is>
          <t>Wird ein Schlüssel auf einem System erzeugt, dass einen geringeren Schutz bietet als auf dem späteren Einsatzsystem, dann könnte der Schlüssel bereits kompromittiert sein.</t>
        </is>
      </c>
      <c r="Q146" s="11" t="inlineStr"/>
      <c r="R146" s="11" t="inlineStr">
        <is>
          <t>IT-Betriebskonzept</t>
        </is>
      </c>
      <c r="S146" s="12" t="inlineStr">
        <is>
          <t>die Verwendung eines IT-Systems, welches mindestens dasselbe Schutzniveau bietet, für das der Schlüssel eingesetzt werden soll,</t>
        </is>
      </c>
      <c r="T146" s="12" t="inlineStr">
        <is>
          <t>G 0.36 – Identitätsdiebstahl</t>
        </is>
      </c>
      <c r="U146" s="11" t="n">
        <v>2</v>
      </c>
      <c r="V146" s="11" t="n">
        <v>2</v>
      </c>
      <c r="W146" s="11" t="n">
        <v>1</v>
      </c>
      <c r="X146" s="11" t="n">
        <v>1</v>
      </c>
      <c r="Y146" s="11" t="n">
        <v>0</v>
      </c>
    </row>
    <row r="147">
      <c r="A147" s="9" t="inlineStr">
        <is>
          <t>BER.7.5</t>
        </is>
      </c>
      <c r="B147" s="10" t="inlineStr">
        <is>
          <t>Kriterien für die Qualität von Zufallszahlen</t>
        </is>
      </c>
      <c r="C147" s="11" t="n"/>
      <c r="D147" s="11" t="inlineStr">
        <is>
          <t>Standard-Anforderungen</t>
        </is>
      </c>
      <c r="E147" s="12" t="inlineStr">
        <is>
          <t>Gesamt:</t>
        </is>
      </c>
      <c r="F147" s="11" t="n"/>
      <c r="G147" s="11" t="n"/>
      <c r="H147" s="13">
        <f>IF(OR(COUNTBLANK($H$148:$H$148)&gt;0,COUNTIF($H$148:$H$148,"unbearbeitet")=COUNTA($H$148:$H$148)),"Bitte Teilanforderungen ausfüllen",IF(COUNTIF($H$148:$H$148,"zu klären")&gt;0,"zu klären",IF(COUNTIF($H$148:$H$148,"entbehrlich")=COUNTA($H$148:$H$148),"entbehrlich",IF(COUNTIF($H$148:$H$148,"verwiesen")=COUNTA($H$148:$H$148),"verwiesen",IF(COUNTIF($H$148:$H$148,"nein")+COUNTIF($H$148:$H$148,"entbehrlich")=COUNTA($H$148:$H$148),"nein",IF(COUNTIF($H$148:$H$148,"ja")+COUNTIF($H$148:$H$148,"entbehrlich")+COUNTIF($H$148:$H$148,"verwiesen")=COUNTA($H$148:$H$148),"ja","teilweise"))))))</f>
        <v/>
      </c>
      <c r="I147" s="11" t="n"/>
      <c r="J147" s="11" t="n"/>
      <c r="K147" s="11" t="n"/>
      <c r="L147" s="11" t="n"/>
      <c r="M147" s="11" t="inlineStr">
        <is>
          <t>Vertraulichkeit</t>
        </is>
      </c>
      <c r="N147" s="12" t="inlineStr"/>
      <c r="O147" s="11" t="inlineStr"/>
      <c r="P147" s="12" t="inlineStr">
        <is>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is>
      </c>
      <c r="Q147" s="11" t="inlineStr"/>
      <c r="R147" s="11" t="inlineStr">
        <is>
          <t>IT-Betriebskonzept</t>
        </is>
      </c>
      <c r="S147" s="12" t="inlineStr">
        <is>
          <t>{{Kriterien}} für die Qualität von Zufallszahlen</t>
        </is>
      </c>
      <c r="T147" s="12" t="inlineStr">
        <is>
          <t>G 0.36 – Identitätsdiebstahl</t>
        </is>
      </c>
      <c r="U147" s="11" t="n">
        <v>3</v>
      </c>
      <c r="V147" s="11" t="n">
        <v>2</v>
      </c>
      <c r="W147" s="11" t="n">
        <v>1</v>
      </c>
      <c r="X147" s="11" t="n">
        <v>1</v>
      </c>
      <c r="Y147" s="11" t="n">
        <v>0</v>
      </c>
    </row>
    <row r="148">
      <c r="A148" s="11" t="inlineStr">
        <is>
          <t>BER.7.5</t>
        </is>
      </c>
      <c r="B148" s="12" t="inlineStr">
        <is>
          <t>Kriterien für die Qualität von Zufallszahlen</t>
        </is>
      </c>
      <c r="C148" s="11" t="inlineStr">
        <is>
          <t>BER.7.5</t>
        </is>
      </c>
      <c r="D148" s="11" t="inlineStr">
        <is>
          <t>Standard-Anforderungen</t>
        </is>
      </c>
      <c r="E148" s="12" t="inlineStr">
        <is>
          <t>Berechtigung SOLLTE Kriterien für die Qualität von Zufallszahlen bei der Schlüsselerzeugung verankern.</t>
        </is>
      </c>
      <c r="F148" s="14" t="n"/>
      <c r="G148" s="14" t="n"/>
      <c r="H148" s="14" t="inlineStr">
        <is>
          <t>unbearbeitet</t>
        </is>
      </c>
      <c r="I148" s="14" t="n"/>
      <c r="J148" s="14" t="n"/>
      <c r="K148" s="14" t="n"/>
      <c r="L148" s="15" t="n"/>
      <c r="M148" s="11" t="inlineStr">
        <is>
          <t>Vertraulichkeit</t>
        </is>
      </c>
      <c r="N148" s="12" t="inlineStr"/>
      <c r="O148" s="11" t="inlineStr"/>
      <c r="P148" s="12" t="inlineStr">
        <is>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is>
      </c>
      <c r="Q148" s="11" t="inlineStr"/>
      <c r="R148" s="11" t="inlineStr">
        <is>
          <t>IT-Betriebskonzept</t>
        </is>
      </c>
      <c r="S148" s="12" t="inlineStr">
        <is>
          <t>{{Kriterien}} für die Qualität von Zufallszahlen</t>
        </is>
      </c>
      <c r="T148" s="12" t="inlineStr">
        <is>
          <t>G 0.36 – Identitätsdiebstahl</t>
        </is>
      </c>
      <c r="U148" s="11" t="n">
        <v>3</v>
      </c>
      <c r="V148" s="11" t="n">
        <v>2</v>
      </c>
      <c r="W148" s="11" t="n">
        <v>1</v>
      </c>
      <c r="X148" s="11" t="n">
        <v>1</v>
      </c>
      <c r="Y148" s="11" t="n">
        <v>0</v>
      </c>
    </row>
    <row r="149">
      <c r="A149" s="9" t="inlineStr">
        <is>
          <t>BER.7.6</t>
        </is>
      </c>
      <c r="B149" s="10" t="inlineStr">
        <is>
          <t>Etablierte Algorithmen beim Transport</t>
        </is>
      </c>
      <c r="C149" s="11" t="n"/>
      <c r="D149" s="11" t="inlineStr">
        <is>
          <t>Standard-Anforderungen</t>
        </is>
      </c>
      <c r="E149" s="12" t="inlineStr">
        <is>
          <t>Gesamt:</t>
        </is>
      </c>
      <c r="F149" s="11" t="n"/>
      <c r="G149" s="11" t="n"/>
      <c r="H149" s="13">
        <f>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
      </c>
      <c r="I149" s="11" t="n"/>
      <c r="J149" s="11" t="n"/>
      <c r="K149" s="11" t="n"/>
      <c r="L149" s="11" t="n"/>
      <c r="M149" s="11" t="inlineStr">
        <is>
          <t>Vertraulichkeit</t>
        </is>
      </c>
      <c r="N149" s="12" t="inlineStr"/>
      <c r="O149" s="11" t="inlineStr"/>
      <c r="P149" s="12" t="inlineStr">
        <is>
          <t>Aktuelle etablierte Algorithmen sind in BSI TR-02102 zu finden. Der Transport kann mit Public Key Cryptography Standards (PKCS), z.B. PKCS#12 Dateiformat erfolgen. Für weitere Details zur Implementierung siehe Detailspezifikation kryptografischer Abläufe und Mechanismen des BSI.</t>
        </is>
      </c>
      <c r="Q149" s="11" t="inlineStr"/>
      <c r="R149" s="11" t="inlineStr">
        <is>
          <t>IT-Betriebskonzept</t>
        </is>
      </c>
      <c r="S149" s="12" t="inlineStr">
        <is>
          <t>die ausschließliche Verwendung etablierter kryptografischer Algorithmen</t>
        </is>
      </c>
      <c r="T149" s="12" t="inlineStr">
        <is>
          <t>G 0.36 – Identitätsdiebstahl</t>
        </is>
      </c>
      <c r="U149" s="11" t="n">
        <v>2</v>
      </c>
      <c r="V149" s="11" t="n">
        <v>2</v>
      </c>
      <c r="W149" s="11" t="n">
        <v>1</v>
      </c>
      <c r="X149" s="11" t="n">
        <v>1</v>
      </c>
      <c r="Y149" s="11" t="n">
        <v>0</v>
      </c>
    </row>
    <row r="150">
      <c r="A150" s="11" t="inlineStr">
        <is>
          <t>BER.7.6</t>
        </is>
      </c>
      <c r="B150" s="12" t="inlineStr">
        <is>
          <t>Etablierte Algorithmen beim Transport</t>
        </is>
      </c>
      <c r="C150" s="11" t="inlineStr">
        <is>
          <t>BER.7.6</t>
        </is>
      </c>
      <c r="D150" s="11" t="inlineStr">
        <is>
          <t>Standard-Anforderungen</t>
        </is>
      </c>
      <c r="E150" s="12" t="inlineStr">
        <is>
          <t>Berechtigung SOLLTE die ausschließliche Verwendung etablierter kryptografischer Algorithmen beim Transport geheimer Schlüssel verankern.</t>
        </is>
      </c>
      <c r="F150" s="14" t="n"/>
      <c r="G150" s="14" t="n"/>
      <c r="H150" s="14" t="inlineStr">
        <is>
          <t>unbearbeitet</t>
        </is>
      </c>
      <c r="I150" s="14" t="n"/>
      <c r="J150" s="14" t="n"/>
      <c r="K150" s="14" t="n"/>
      <c r="L150" s="15" t="n"/>
      <c r="M150" s="11" t="inlineStr">
        <is>
          <t>Vertraulichkeit</t>
        </is>
      </c>
      <c r="N150" s="12" t="inlineStr"/>
      <c r="O150" s="11" t="inlineStr"/>
      <c r="P150" s="12" t="inlineStr">
        <is>
          <t>Aktuelle etablierte Algorithmen sind in BSI TR-02102 zu finden. Der Transport kann mit Public Key Cryptography Standards (PKCS), z.B. PKCS#12 Dateiformat erfolgen. Für weitere Details zur Implementierung siehe Detailspezifikation kryptografischer Abläufe und Mechanismen des BSI.</t>
        </is>
      </c>
      <c r="Q150" s="11" t="inlineStr"/>
      <c r="R150" s="11" t="inlineStr">
        <is>
          <t>IT-Betriebskonzept</t>
        </is>
      </c>
      <c r="S150" s="12" t="inlineStr">
        <is>
          <t>die ausschließliche Verwendung etablierter kryptografischer Algorithmen</t>
        </is>
      </c>
      <c r="T150" s="12" t="inlineStr">
        <is>
          <t>G 0.36 – Identitätsdiebstahl</t>
        </is>
      </c>
      <c r="U150" s="11" t="n">
        <v>2</v>
      </c>
      <c r="V150" s="11" t="n">
        <v>2</v>
      </c>
      <c r="W150" s="11" t="n">
        <v>1</v>
      </c>
      <c r="X150" s="11" t="n">
        <v>1</v>
      </c>
      <c r="Y150" s="11" t="n">
        <v>0</v>
      </c>
    </row>
    <row r="151">
      <c r="A151" s="9" t="inlineStr">
        <is>
          <t>BER.7.7</t>
        </is>
      </c>
      <c r="B151" s="10" t="inlineStr">
        <is>
          <t>Kein Transport privater Schlüssel</t>
        </is>
      </c>
      <c r="C151" s="11" t="n"/>
      <c r="D151" s="11" t="inlineStr">
        <is>
          <t>Anforderungen bei erhöhtem Schutzbedarf</t>
        </is>
      </c>
      <c r="E151" s="12" t="inlineStr">
        <is>
          <t>Gesamt:</t>
        </is>
      </c>
      <c r="F151" s="11" t="n"/>
      <c r="G151" s="11" t="n"/>
      <c r="H151" s="13">
        <f>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
      </c>
      <c r="I151" s="11" t="n"/>
      <c r="J151" s="11" t="n"/>
      <c r="K151" s="11" t="n"/>
      <c r="L151" s="11" t="n"/>
      <c r="M151" s="11" t="inlineStr">
        <is>
          <t>Vertraulichkeit</t>
        </is>
      </c>
      <c r="N151" s="12" t="inlineStr"/>
      <c r="O151" s="11" t="inlineStr"/>
      <c r="P151" s="12" t="inlineStr">
        <is>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is>
      </c>
      <c r="Q151" s="11" t="inlineStr"/>
      <c r="R151" s="11" t="inlineStr">
        <is>
          <t>IT-Betriebskonzept</t>
        </is>
      </c>
      <c r="S151" s="12" t="inlineStr">
        <is>
          <t>den Export privater Schlüssel</t>
        </is>
      </c>
      <c r="T151" s="12" t="inlineStr">
        <is>
          <t>G 0.36 – Identitätsdiebstahl</t>
        </is>
      </c>
      <c r="U151" s="11" t="n">
        <v>5</v>
      </c>
      <c r="V151" s="11" t="n">
        <v>2</v>
      </c>
      <c r="W151" s="11" t="n">
        <v>1</v>
      </c>
      <c r="X151" s="11" t="n">
        <v>1</v>
      </c>
      <c r="Y151" s="11" t="n">
        <v>0</v>
      </c>
    </row>
    <row r="152">
      <c r="A152" s="11" t="inlineStr">
        <is>
          <t>BER.7.7</t>
        </is>
      </c>
      <c r="B152" s="12" t="inlineStr">
        <is>
          <t>Kein Transport privater Schlüssel</t>
        </is>
      </c>
      <c r="C152" s="11" t="inlineStr">
        <is>
          <t>BER.7.7</t>
        </is>
      </c>
      <c r="D152" s="11" t="inlineStr">
        <is>
          <t>Anforderungen bei erhöhtem Schutzbedarf</t>
        </is>
      </c>
      <c r="E152" s="12" t="inlineStr">
        <is>
          <t>Berechtigung KANN den Export privater Schlüssel durch eine zuständige Person oder Rolle autorisieren.</t>
        </is>
      </c>
      <c r="F152" s="14" t="n"/>
      <c r="G152" s="14" t="n"/>
      <c r="H152" s="14" t="inlineStr">
        <is>
          <t>unbearbeitet</t>
        </is>
      </c>
      <c r="I152" s="14" t="n"/>
      <c r="J152" s="14" t="n"/>
      <c r="K152" s="14" t="n"/>
      <c r="L152" s="15" t="n"/>
      <c r="M152" s="11" t="inlineStr">
        <is>
          <t>Vertraulichkeit</t>
        </is>
      </c>
      <c r="N152" s="12" t="inlineStr"/>
      <c r="O152" s="11" t="inlineStr"/>
      <c r="P152" s="12" t="inlineStr">
        <is>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is>
      </c>
      <c r="Q152" s="11" t="inlineStr"/>
      <c r="R152" s="11" t="inlineStr">
        <is>
          <t>IT-Betriebskonzept</t>
        </is>
      </c>
      <c r="S152" s="12" t="inlineStr">
        <is>
          <t>den Export privater Schlüssel</t>
        </is>
      </c>
      <c r="T152" s="12" t="inlineStr">
        <is>
          <t>G 0.36 – Identitätsdiebstahl</t>
        </is>
      </c>
      <c r="U152" s="11" t="n">
        <v>5</v>
      </c>
      <c r="V152" s="11" t="n">
        <v>2</v>
      </c>
      <c r="W152" s="11" t="n">
        <v>1</v>
      </c>
      <c r="X152" s="11" t="n">
        <v>1</v>
      </c>
      <c r="Y152" s="11" t="n">
        <v>0</v>
      </c>
    </row>
    <row r="153">
      <c r="A153" s="9" t="inlineStr">
        <is>
          <t>BER.7.8</t>
        </is>
      </c>
      <c r="B153" s="10" t="inlineStr">
        <is>
          <t>Etablierte Algorithmen bei der Schlüsselnutzung</t>
        </is>
      </c>
      <c r="C153" s="11" t="n"/>
      <c r="D153" s="11" t="inlineStr">
        <is>
          <t>Standard-Anforderungen</t>
        </is>
      </c>
      <c r="E153" s="12" t="inlineStr">
        <is>
          <t>Gesamt:</t>
        </is>
      </c>
      <c r="F153" s="11" t="n"/>
      <c r="G153" s="11" t="n"/>
      <c r="H153" s="13">
        <f>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
      </c>
      <c r="I153" s="11" t="n"/>
      <c r="J153" s="11" t="n"/>
      <c r="K153" s="11" t="n"/>
      <c r="L153" s="11" t="n"/>
      <c r="M153" s="11" t="inlineStr">
        <is>
          <t>Vertraulichkeit</t>
        </is>
      </c>
      <c r="N153" s="12" t="inlineStr">
        <is>
          <t>CON.1.A1-UA.2</t>
        </is>
      </c>
      <c r="O153" s="11" t="inlineStr">
        <is>
          <t>intersects-with</t>
        </is>
      </c>
      <c r="P153" s="12" t="inlineStr">
        <is>
          <t>Aktuelle etablierte Algorithmen sind in BSI TR-02102 zu finden. Für weitere Details zur Implementierung siehe Detailspezifikation kryptografischer Abläufe und Mechanismen des BSI.</t>
        </is>
      </c>
      <c r="Q153" s="11" t="inlineStr"/>
      <c r="R153" s="11" t="inlineStr">
        <is>
          <t>IT-Betriebskonzept</t>
        </is>
      </c>
      <c r="S153" s="12" t="inlineStr">
        <is>
          <t>die ausschließliche Verwendung etablierter Algorithmen</t>
        </is>
      </c>
      <c r="T153" s="12" t="inlineStr">
        <is>
          <t>G 0.36 – Identitätsdiebstahl</t>
        </is>
      </c>
      <c r="U153" s="11" t="n">
        <v>2</v>
      </c>
      <c r="V153" s="11" t="n">
        <v>2</v>
      </c>
      <c r="W153" s="11" t="n">
        <v>1</v>
      </c>
      <c r="X153" s="11" t="n">
        <v>1</v>
      </c>
      <c r="Y153" s="11" t="n">
        <v>0</v>
      </c>
    </row>
    <row r="154">
      <c r="A154" s="11" t="inlineStr">
        <is>
          <t>BER.7.8</t>
        </is>
      </c>
      <c r="B154" s="12" t="inlineStr">
        <is>
          <t>Etablierte Algorithmen bei der Schlüsselnutzung</t>
        </is>
      </c>
      <c r="C154" s="11" t="inlineStr">
        <is>
          <t>BER.7.8</t>
        </is>
      </c>
      <c r="D154" s="11" t="inlineStr">
        <is>
          <t>Standard-Anforderungen</t>
        </is>
      </c>
      <c r="E154" s="12" t="inlineStr">
        <is>
          <t>Berechtigung SOLLTE die ausschließliche Verwendung etablierter Algorithmen bei der Schlüsselnutzung verankern.</t>
        </is>
      </c>
      <c r="F154" s="14" t="n"/>
      <c r="G154" s="14" t="n"/>
      <c r="H154" s="14" t="inlineStr">
        <is>
          <t>unbearbeitet</t>
        </is>
      </c>
      <c r="I154" s="14" t="n"/>
      <c r="J154" s="14" t="n"/>
      <c r="K154" s="14" t="n"/>
      <c r="L154" s="15" t="n"/>
      <c r="M154" s="11" t="inlineStr">
        <is>
          <t>Vertraulichkeit</t>
        </is>
      </c>
      <c r="N154" s="12" t="inlineStr">
        <is>
          <t>CON.1.A1-UA.2</t>
        </is>
      </c>
      <c r="O154" s="11" t="inlineStr">
        <is>
          <t>intersects-with</t>
        </is>
      </c>
      <c r="P154" s="12" t="inlineStr">
        <is>
          <t>Aktuelle etablierte Algorithmen sind in BSI TR-02102 zu finden. Für weitere Details zur Implementierung siehe Detailspezifikation kryptografischer Abläufe und Mechanismen des BSI.</t>
        </is>
      </c>
      <c r="Q154" s="11" t="inlineStr"/>
      <c r="R154" s="11" t="inlineStr">
        <is>
          <t>IT-Betriebskonzept</t>
        </is>
      </c>
      <c r="S154" s="12" t="inlineStr">
        <is>
          <t>die ausschließliche Verwendung etablierter Algorithmen</t>
        </is>
      </c>
      <c r="T154" s="12" t="inlineStr">
        <is>
          <t>G 0.36 – Identitätsdiebstahl</t>
        </is>
      </c>
      <c r="U154" s="11" t="n">
        <v>2</v>
      </c>
      <c r="V154" s="11" t="n">
        <v>2</v>
      </c>
      <c r="W154" s="11" t="n">
        <v>1</v>
      </c>
      <c r="X154" s="11" t="n">
        <v>1</v>
      </c>
      <c r="Y154" s="11" t="n">
        <v>0</v>
      </c>
    </row>
    <row r="155">
      <c r="A155" s="9" t="inlineStr">
        <is>
          <t>BER.7.9</t>
        </is>
      </c>
      <c r="B155" s="10" t="inlineStr">
        <is>
          <t>Zweckbindung</t>
        </is>
      </c>
      <c r="C155" s="11" t="n"/>
      <c r="D155" s="11" t="inlineStr">
        <is>
          <t>Standard-Anforderungen</t>
        </is>
      </c>
      <c r="E155" s="12" t="inlineStr">
        <is>
          <t>Gesamt:</t>
        </is>
      </c>
      <c r="F155" s="11" t="n"/>
      <c r="G155" s="11" t="n"/>
      <c r="H155" s="13">
        <f>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
      </c>
      <c r="I155" s="11" t="n"/>
      <c r="J155" s="11" t="n"/>
      <c r="K155" s="11" t="n"/>
      <c r="L155" s="11" t="n"/>
      <c r="M155" s="11" t="inlineStr">
        <is>
          <t>Vertraulichkeit</t>
        </is>
      </c>
      <c r="N155" s="12" t="inlineStr"/>
      <c r="O155" s="11" t="inlineStr"/>
      <c r="P155" s="12" t="inlineStr">
        <is>
          <t>Zweckbindung bedeutet, dass der Schlüssel ausschließlich zu dem im Verzeichnis öffentlicher Schlüssel festgelegten Nutzungszweck verwendet werden darf. Die Zweckbindung gilt insbesondere auch für den privaten Schlüssel.</t>
        </is>
      </c>
      <c r="Q155" s="11" t="inlineStr"/>
      <c r="R155" s="11" t="inlineStr">
        <is>
          <t>IT-Betriebskonzept</t>
        </is>
      </c>
      <c r="S155" s="12" t="inlineStr">
        <is>
          <t>Verstöße gegen die Zweckbindung</t>
        </is>
      </c>
      <c r="T155" s="12" t="inlineStr">
        <is>
          <t>G 0.36 – Identitätsdiebstahl</t>
        </is>
      </c>
      <c r="U155" s="11" t="n">
        <v>2</v>
      </c>
      <c r="V155" s="11" t="n">
        <v>2</v>
      </c>
      <c r="W155" s="11" t="n">
        <v>1</v>
      </c>
      <c r="X155" s="11" t="n">
        <v>1</v>
      </c>
      <c r="Y155" s="11" t="n">
        <v>0</v>
      </c>
    </row>
    <row r="156">
      <c r="A156" s="11" t="inlineStr">
        <is>
          <t>BER.7.9</t>
        </is>
      </c>
      <c r="B156" s="12" t="inlineStr">
        <is>
          <t>Zweckbindung</t>
        </is>
      </c>
      <c r="C156" s="11" t="inlineStr">
        <is>
          <t>BER.7.9</t>
        </is>
      </c>
      <c r="D156" s="11" t="inlineStr">
        <is>
          <t>Standard-Anforderungen</t>
        </is>
      </c>
      <c r="E156" s="12" t="inlineStr">
        <is>
          <t>Berechtigung SOLLTE Verstöße gegen die Zweckbindung bei der Schlüsselnutzung untersagen.</t>
        </is>
      </c>
      <c r="F156" s="14" t="n"/>
      <c r="G156" s="14" t="n"/>
      <c r="H156" s="14" t="inlineStr">
        <is>
          <t>unbearbeitet</t>
        </is>
      </c>
      <c r="I156" s="14" t="n"/>
      <c r="J156" s="14" t="n"/>
      <c r="K156" s="14" t="n"/>
      <c r="L156" s="15" t="n"/>
      <c r="M156" s="11" t="inlineStr">
        <is>
          <t>Vertraulichkeit</t>
        </is>
      </c>
      <c r="N156" s="12" t="inlineStr"/>
      <c r="O156" s="11" t="inlineStr"/>
      <c r="P156" s="12" t="inlineStr">
        <is>
          <t>Zweckbindung bedeutet, dass der Schlüssel ausschließlich zu dem im Verzeichnis öffentlicher Schlüssel festgelegten Nutzungszweck verwendet werden darf. Die Zweckbindung gilt insbesondere auch für den privaten Schlüssel.</t>
        </is>
      </c>
      <c r="Q156" s="11" t="inlineStr"/>
      <c r="R156" s="11" t="inlineStr">
        <is>
          <t>IT-Betriebskonzept</t>
        </is>
      </c>
      <c r="S156" s="12" t="inlineStr">
        <is>
          <t>Verstöße gegen die Zweckbindung</t>
        </is>
      </c>
      <c r="T156" s="12" t="inlineStr">
        <is>
          <t>G 0.36 – Identitätsdiebstahl</t>
        </is>
      </c>
      <c r="U156" s="11" t="n">
        <v>2</v>
      </c>
      <c r="V156" s="11" t="n">
        <v>2</v>
      </c>
      <c r="W156" s="11" t="n">
        <v>1</v>
      </c>
      <c r="X156" s="11" t="n">
        <v>1</v>
      </c>
      <c r="Y156" s="11" t="n">
        <v>0</v>
      </c>
    </row>
    <row r="157">
      <c r="A157" s="9" t="inlineStr">
        <is>
          <t>BER.7.10</t>
        </is>
      </c>
      <c r="B157" s="10" t="inlineStr">
        <is>
          <t>Abgelaufene Schlüssel</t>
        </is>
      </c>
      <c r="C157" s="11" t="n"/>
      <c r="D157" s="11" t="inlineStr">
        <is>
          <t>Standard-Anforderungen</t>
        </is>
      </c>
      <c r="E157" s="12" t="inlineStr">
        <is>
          <t>Gesamt:</t>
        </is>
      </c>
      <c r="F157" s="11" t="n"/>
      <c r="G157" s="11" t="n"/>
      <c r="H157" s="13">
        <f>IF(OR(COUNTBLANK($H$158:$H$158)&gt;0,COUNTIF($H$158:$H$158,"unbearbeitet")=COUNTA($H$158:$H$158)),"Bitte Teilanforderungen ausfüllen",IF(COUNTIF($H$158:$H$158,"zu klären")&gt;0,"zu klären",IF(COUNTIF($H$158:$H$158,"entbehrlich")=COUNTA($H$158:$H$158),"entbehrlich",IF(COUNTIF($H$158:$H$158,"verwiesen")=COUNTA($H$158:$H$158),"verwiesen",IF(COUNTIF($H$158:$H$158,"nein")+COUNTIF($H$158:$H$158,"entbehrlich")=COUNTA($H$158:$H$158),"nein",IF(COUNTIF($H$158:$H$158,"ja")+COUNTIF($H$158:$H$158,"entbehrlich")+COUNTIF($H$158:$H$158,"verwiesen")=COUNTA($H$158:$H$158),"ja","teilweise"))))))</f>
        <v/>
      </c>
      <c r="I157" s="11" t="n"/>
      <c r="J157" s="11" t="n"/>
      <c r="K157" s="11" t="n"/>
      <c r="L157" s="11" t="n"/>
      <c r="M157" s="11" t="inlineStr"/>
      <c r="N157" s="12" t="inlineStr"/>
      <c r="O157" s="11" t="inlineStr"/>
      <c r="P157" s="12" t="inlineStr">
        <is>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is>
      </c>
      <c r="Q157" s="11" t="inlineStr"/>
      <c r="R157" s="11" t="inlineStr">
        <is>
          <t>IT-Betriebskonzept</t>
        </is>
      </c>
      <c r="S157" s="12" t="inlineStr">
        <is>
          <t>die Nutzung des Schlüssels zur Verschlüsselung oder Signierung</t>
        </is>
      </c>
      <c r="T157" s="12" t="inlineStr">
        <is>
          <t>G 0.36 – Identitätsdiebstahl; G 0.19 – Offenlegung schützenswerter Informationen; G 0.22 – Manipulation von Informationen</t>
        </is>
      </c>
      <c r="U157" s="11" t="n">
        <v>1</v>
      </c>
      <c r="V157" s="11" t="n">
        <v>1</v>
      </c>
      <c r="W157" s="11" t="n">
        <v>1</v>
      </c>
      <c r="X157" s="11" t="n">
        <v>1</v>
      </c>
      <c r="Y157" s="11" t="n">
        <v>1</v>
      </c>
    </row>
    <row r="158">
      <c r="A158" s="11" t="inlineStr">
        <is>
          <t>BER.7.10</t>
        </is>
      </c>
      <c r="B158" s="12" t="inlineStr">
        <is>
          <t>Abgelaufene Schlüssel</t>
        </is>
      </c>
      <c r="C158" s="11" t="inlineStr">
        <is>
          <t>BER.7.10</t>
        </is>
      </c>
      <c r="D158" s="11" t="inlineStr">
        <is>
          <t>Standard-Anforderungen</t>
        </is>
      </c>
      <c r="E158" s="12" t="inlineStr">
        <is>
          <t>Berechtigung SOLLTE die Nutzung des Schlüssels zur Verschlüsselung oder Signierung nach Ablauf der Nutzungszeit untersagen.</t>
        </is>
      </c>
      <c r="F158" s="14" t="n"/>
      <c r="G158" s="14" t="n"/>
      <c r="H158" s="14" t="inlineStr">
        <is>
          <t>unbearbeitet</t>
        </is>
      </c>
      <c r="I158" s="14" t="n"/>
      <c r="J158" s="14" t="n"/>
      <c r="K158" s="14" t="n"/>
      <c r="L158" s="15" t="n"/>
      <c r="M158" s="11" t="inlineStr"/>
      <c r="N158" s="12" t="inlineStr"/>
      <c r="O158" s="11" t="inlineStr"/>
      <c r="P158" s="12" t="inlineStr">
        <is>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is>
      </c>
      <c r="Q158" s="11" t="inlineStr"/>
      <c r="R158" s="11" t="inlineStr">
        <is>
          <t>IT-Betriebskonzept</t>
        </is>
      </c>
      <c r="S158" s="12" t="inlineStr">
        <is>
          <t>die Nutzung des Schlüssels zur Verschlüsselung oder Signierung</t>
        </is>
      </c>
      <c r="T158" s="12" t="inlineStr">
        <is>
          <t>G 0.36 – Identitätsdiebstahl; G 0.19 – Offenlegung schützenswerter Informationen; G 0.22 – Manipulation von Informationen</t>
        </is>
      </c>
      <c r="U158" s="11" t="n">
        <v>1</v>
      </c>
      <c r="V158" s="11" t="n">
        <v>1</v>
      </c>
      <c r="W158" s="11" t="n">
        <v>1</v>
      </c>
      <c r="X158" s="11" t="n">
        <v>1</v>
      </c>
      <c r="Y158" s="11" t="n">
        <v>1</v>
      </c>
    </row>
    <row r="159">
      <c r="A159" s="9" t="inlineStr">
        <is>
          <t>BER.7.11</t>
        </is>
      </c>
      <c r="B159" s="10" t="inlineStr">
        <is>
          <t>Integrität</t>
        </is>
      </c>
      <c r="C159" s="11" t="n"/>
      <c r="D159" s="11" t="inlineStr">
        <is>
          <t>Standard-Anforderungen</t>
        </is>
      </c>
      <c r="E159" s="12" t="inlineStr">
        <is>
          <t>Gesamt:</t>
        </is>
      </c>
      <c r="F159" s="11" t="n"/>
      <c r="G159" s="11" t="n"/>
      <c r="H159" s="13">
        <f>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
      </c>
      <c r="I159" s="11" t="n"/>
      <c r="J159" s="11" t="n"/>
      <c r="K159" s="11" t="n"/>
      <c r="L159" s="11" t="n"/>
      <c r="M159" s="11" t="inlineStr">
        <is>
          <t>Vertraulichkeit</t>
        </is>
      </c>
      <c r="N159" s="12" t="inlineStr"/>
      <c r="O159" s="11" t="inlineStr"/>
      <c r="P159" s="12" t="inlineStr">
        <is>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is>
      </c>
      <c r="Q159" s="11" t="inlineStr"/>
      <c r="R159" s="11" t="inlineStr">
        <is>
          <t>IT-Betriebskonzept</t>
        </is>
      </c>
      <c r="S159" s="12" t="inlineStr">
        <is>
          <t>die Verifikation der Integrität geheimer Schlüssel</t>
        </is>
      </c>
      <c r="T159" s="12" t="inlineStr">
        <is>
          <t>G 0.36 – Identitätsdiebstahl; G 0.19 – Offenlegung schützenswerter Informationen; G 0.22 – Manipulation von Informationen</t>
        </is>
      </c>
      <c r="U159" s="11" t="n">
        <v>1</v>
      </c>
      <c r="V159" s="11" t="n">
        <v>2</v>
      </c>
      <c r="W159" s="11" t="n">
        <v>1</v>
      </c>
      <c r="X159" s="11" t="n">
        <v>1</v>
      </c>
      <c r="Y159" s="11" t="n">
        <v>1</v>
      </c>
    </row>
    <row r="160">
      <c r="A160" s="11" t="inlineStr">
        <is>
          <t>BER.7.11</t>
        </is>
      </c>
      <c r="B160" s="12" t="inlineStr">
        <is>
          <t>Integrität</t>
        </is>
      </c>
      <c r="C160" s="11" t="inlineStr">
        <is>
          <t>BER.7.11</t>
        </is>
      </c>
      <c r="D160" s="11" t="inlineStr">
        <is>
          <t>Standard-Anforderungen</t>
        </is>
      </c>
      <c r="E160" s="12" t="inlineStr">
        <is>
          <t>Berechtigung SOLLTE die Verifikation der Integrität geheimer Schlüssel vor jeder Nutzung verankern.</t>
        </is>
      </c>
      <c r="F160" s="14" t="n"/>
      <c r="G160" s="14" t="n"/>
      <c r="H160" s="14" t="inlineStr">
        <is>
          <t>unbearbeitet</t>
        </is>
      </c>
      <c r="I160" s="14" t="n"/>
      <c r="J160" s="14" t="n"/>
      <c r="K160" s="14" t="n"/>
      <c r="L160" s="15" t="n"/>
      <c r="M160" s="11" t="inlineStr">
        <is>
          <t>Vertraulichkeit</t>
        </is>
      </c>
      <c r="N160" s="12" t="inlineStr"/>
      <c r="O160" s="11" t="inlineStr"/>
      <c r="P160" s="12" t="inlineStr">
        <is>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is>
      </c>
      <c r="Q160" s="11" t="inlineStr"/>
      <c r="R160" s="11" t="inlineStr">
        <is>
          <t>IT-Betriebskonzept</t>
        </is>
      </c>
      <c r="S160" s="12" t="inlineStr">
        <is>
          <t>die Verifikation der Integrität geheimer Schlüssel</t>
        </is>
      </c>
      <c r="T160" s="12" t="inlineStr">
        <is>
          <t>G 0.36 – Identitätsdiebstahl; G 0.19 – Offenlegung schützenswerter Informationen; G 0.22 – Manipulation von Informationen</t>
        </is>
      </c>
      <c r="U160" s="11" t="n">
        <v>1</v>
      </c>
      <c r="V160" s="11" t="n">
        <v>2</v>
      </c>
      <c r="W160" s="11" t="n">
        <v>1</v>
      </c>
      <c r="X160" s="11" t="n">
        <v>1</v>
      </c>
      <c r="Y160" s="11" t="n">
        <v>1</v>
      </c>
    </row>
    <row r="161">
      <c r="A161" s="9" t="inlineStr">
        <is>
          <t>BER.7.12</t>
        </is>
      </c>
      <c r="B161" s="10" t="inlineStr">
        <is>
          <t>Authentizität</t>
        </is>
      </c>
      <c r="C161" s="11" t="n"/>
      <c r="D161" s="11" t="inlineStr">
        <is>
          <t>Standard-Anforderungen</t>
        </is>
      </c>
      <c r="E161" s="12" t="inlineStr">
        <is>
          <t>Gesamt:</t>
        </is>
      </c>
      <c r="F161" s="11" t="n"/>
      <c r="G161" s="11" t="n"/>
      <c r="H161" s="13">
        <f>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
      </c>
      <c r="I161" s="11" t="n"/>
      <c r="J161" s="11" t="n"/>
      <c r="K161" s="11" t="n"/>
      <c r="L161" s="11" t="n"/>
      <c r="M161" s="11" t="inlineStr">
        <is>
          <t>Vertraulichkeit</t>
        </is>
      </c>
      <c r="N161" s="12" t="inlineStr"/>
      <c r="O161" s="11" t="inlineStr"/>
      <c r="P161" s="12" t="inlineStr">
        <is>
          <t>Für die Implementierung genügt es, wenn die eingesetzten IT-Produkte bereits so entwickelt oder beschafft worden sind, dass sie die Prüfung automatisiert durchführen.</t>
        </is>
      </c>
      <c r="Q161" s="11" t="inlineStr"/>
      <c r="R161" s="11" t="inlineStr">
        <is>
          <t>IT-Betriebskonzept</t>
        </is>
      </c>
      <c r="S161" s="12" t="inlineStr">
        <is>
          <t>die Verifikation der Authentizität öffentlicher Schlüssel</t>
        </is>
      </c>
      <c r="T161" s="12" t="inlineStr">
        <is>
          <t>G 0.36 – Identitätsdiebstahl</t>
        </is>
      </c>
      <c r="U161" s="11" t="n">
        <v>2</v>
      </c>
      <c r="V161" s="11" t="n">
        <v>2</v>
      </c>
      <c r="W161" s="11" t="n">
        <v>1</v>
      </c>
      <c r="X161" s="11" t="n">
        <v>1</v>
      </c>
      <c r="Y161" s="11" t="n">
        <v>0</v>
      </c>
    </row>
    <row r="162">
      <c r="A162" s="11" t="inlineStr">
        <is>
          <t>BER.7.12</t>
        </is>
      </c>
      <c r="B162" s="12" t="inlineStr">
        <is>
          <t>Authentizität</t>
        </is>
      </c>
      <c r="C162" s="11" t="inlineStr">
        <is>
          <t>BER.7.12</t>
        </is>
      </c>
      <c r="D162" s="11" t="inlineStr">
        <is>
          <t>Standard-Anforderungen</t>
        </is>
      </c>
      <c r="E162" s="12" t="inlineStr">
        <is>
          <t>Berechtigung SOLLTE die Verifikation der Authentizität öffentlicher Schlüssel vor jeder Nutzung verankern.</t>
        </is>
      </c>
      <c r="F162" s="14" t="n"/>
      <c r="G162" s="14" t="n"/>
      <c r="H162" s="14" t="inlineStr">
        <is>
          <t>unbearbeitet</t>
        </is>
      </c>
      <c r="I162" s="14" t="n"/>
      <c r="J162" s="14" t="n"/>
      <c r="K162" s="14" t="n"/>
      <c r="L162" s="15" t="n"/>
      <c r="M162" s="11" t="inlineStr">
        <is>
          <t>Vertraulichkeit</t>
        </is>
      </c>
      <c r="N162" s="12" t="inlineStr"/>
      <c r="O162" s="11" t="inlineStr"/>
      <c r="P162" s="12" t="inlineStr">
        <is>
          <t>Für die Implementierung genügt es, wenn die eingesetzten IT-Produkte bereits so entwickelt oder beschafft worden sind, dass sie die Prüfung automatisiert durchführen.</t>
        </is>
      </c>
      <c r="Q162" s="11" t="inlineStr"/>
      <c r="R162" s="11" t="inlineStr">
        <is>
          <t>IT-Betriebskonzept</t>
        </is>
      </c>
      <c r="S162" s="12" t="inlineStr">
        <is>
          <t>die Verifikation der Authentizität öffentlicher Schlüssel</t>
        </is>
      </c>
      <c r="T162" s="12" t="inlineStr">
        <is>
          <t>G 0.36 – Identitätsdiebstahl</t>
        </is>
      </c>
      <c r="U162" s="11" t="n">
        <v>2</v>
      </c>
      <c r="V162" s="11" t="n">
        <v>2</v>
      </c>
      <c r="W162" s="11" t="n">
        <v>1</v>
      </c>
      <c r="X162" s="11" t="n">
        <v>1</v>
      </c>
      <c r="Y162" s="11" t="n">
        <v>0</v>
      </c>
    </row>
    <row r="163">
      <c r="A163" s="9" t="inlineStr">
        <is>
          <t>BER.7.13</t>
        </is>
      </c>
      <c r="B163" s="10" t="inlineStr">
        <is>
          <t>Gültigkeit</t>
        </is>
      </c>
      <c r="C163" s="11" t="n"/>
      <c r="D163" s="11" t="inlineStr">
        <is>
          <t>Standard-Anforderungen</t>
        </is>
      </c>
      <c r="E163" s="12" t="inlineStr">
        <is>
          <t>Gesamt:</t>
        </is>
      </c>
      <c r="F163" s="11" t="n"/>
      <c r="G163" s="11" t="n"/>
      <c r="H163" s="13">
        <f>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
      </c>
      <c r="I163" s="11" t="n"/>
      <c r="J163" s="11" t="n"/>
      <c r="K163" s="11" t="n"/>
      <c r="L163" s="11" t="n"/>
      <c r="M163" s="11" t="inlineStr">
        <is>
          <t>Vertraulichkeit</t>
        </is>
      </c>
      <c r="N163" s="12" t="inlineStr"/>
      <c r="O163" s="11" t="inlineStr"/>
      <c r="P163" s="12" t="inlineStr">
        <is>
          <t>Die Gültigkeit ergibt sich aus Nutzungszeit und Revocation-Status. Für die Implementierung genügt es, wenn die eingesetzten IT-Produkte bereits so entwickelt oder beschafft worden sind, dass sie die Prüfung automatisiert durchführen.</t>
        </is>
      </c>
      <c r="Q163" s="11" t="inlineStr"/>
      <c r="R163" s="11" t="inlineStr">
        <is>
          <t>IT-Betriebskonzept</t>
        </is>
      </c>
      <c r="S163" s="12" t="inlineStr">
        <is>
          <t>die Verifikation der Gültigkeit des Schlüssels</t>
        </is>
      </c>
      <c r="T163" s="12" t="inlineStr">
        <is>
          <t>G 0.36 – Identitätsdiebstahl</t>
        </is>
      </c>
      <c r="U163" s="11" t="n">
        <v>1</v>
      </c>
      <c r="V163" s="11" t="n">
        <v>2</v>
      </c>
      <c r="W163" s="11" t="n">
        <v>1</v>
      </c>
      <c r="X163" s="11" t="n">
        <v>1</v>
      </c>
      <c r="Y163" s="11" t="n">
        <v>0</v>
      </c>
    </row>
    <row r="164">
      <c r="A164" s="11" t="inlineStr">
        <is>
          <t>BER.7.13</t>
        </is>
      </c>
      <c r="B164" s="12" t="inlineStr">
        <is>
          <t>Gültigkeit</t>
        </is>
      </c>
      <c r="C164" s="11" t="inlineStr">
        <is>
          <t>BER.7.13</t>
        </is>
      </c>
      <c r="D164" s="11" t="inlineStr">
        <is>
          <t>Standard-Anforderungen</t>
        </is>
      </c>
      <c r="E164" s="12" t="inlineStr">
        <is>
          <t>Berechtigung SOLLTE die Verifikation der Gültigkeit des Schlüssels vor jeder Nutzung verankern.</t>
        </is>
      </c>
      <c r="F164" s="14" t="n"/>
      <c r="G164" s="14" t="n"/>
      <c r="H164" s="14" t="inlineStr">
        <is>
          <t>unbearbeitet</t>
        </is>
      </c>
      <c r="I164" s="14" t="n"/>
      <c r="J164" s="14" t="n"/>
      <c r="K164" s="14" t="n"/>
      <c r="L164" s="15" t="n"/>
      <c r="M164" s="11" t="inlineStr">
        <is>
          <t>Vertraulichkeit</t>
        </is>
      </c>
      <c r="N164" s="12" t="inlineStr"/>
      <c r="O164" s="11" t="inlineStr"/>
      <c r="P164" s="12" t="inlineStr">
        <is>
          <t>Die Gültigkeit ergibt sich aus Nutzungszeit und Revocation-Status. Für die Implementierung genügt es, wenn die eingesetzten IT-Produkte bereits so entwickelt oder beschafft worden sind, dass sie die Prüfung automatisiert durchführen.</t>
        </is>
      </c>
      <c r="Q164" s="11" t="inlineStr"/>
      <c r="R164" s="11" t="inlineStr">
        <is>
          <t>IT-Betriebskonzept</t>
        </is>
      </c>
      <c r="S164" s="12" t="inlineStr">
        <is>
          <t>die Verifikation der Gültigkeit des Schlüssels</t>
        </is>
      </c>
      <c r="T164" s="12" t="inlineStr">
        <is>
          <t>G 0.36 – Identitätsdiebstahl</t>
        </is>
      </c>
      <c r="U164" s="11" t="n">
        <v>1</v>
      </c>
      <c r="V164" s="11" t="n">
        <v>2</v>
      </c>
      <c r="W164" s="11" t="n">
        <v>1</v>
      </c>
      <c r="X164" s="11" t="n">
        <v>1</v>
      </c>
      <c r="Y164" s="11" t="n">
        <v>0</v>
      </c>
    </row>
    <row r="165">
      <c r="A165" s="9" t="inlineStr">
        <is>
          <t>BER.7.14</t>
        </is>
      </c>
      <c r="B165" s="10" t="inlineStr">
        <is>
          <t>Schlüssel vor Ablauf prüfen</t>
        </is>
      </c>
      <c r="C165" s="11" t="n"/>
      <c r="D165" s="11" t="inlineStr">
        <is>
          <t>Standard-Anforderungen</t>
        </is>
      </c>
      <c r="E165" s="12" t="inlineStr">
        <is>
          <t>Gesamt:</t>
        </is>
      </c>
      <c r="F165" s="11" t="n"/>
      <c r="G165" s="11" t="n"/>
      <c r="H165" s="13">
        <f>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
      </c>
      <c r="I165" s="11" t="n"/>
      <c r="J165" s="11" t="n"/>
      <c r="K165" s="11" t="n"/>
      <c r="L165" s="11" t="n"/>
      <c r="M165" s="11" t="inlineStr">
        <is>
          <t>Vertraulichkeit</t>
        </is>
      </c>
      <c r="N165" s="12" t="inlineStr"/>
      <c r="O165" s="11" t="inlineStr"/>
      <c r="P165" s="12" t="inlineStr">
        <is>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is>
      </c>
      <c r="Q165" s="11" t="inlineStr"/>
      <c r="R165" s="11" t="inlineStr">
        <is>
          <t>Verzeichnis öffentlicher Schlüssel</t>
        </is>
      </c>
      <c r="S165" s="12" t="inlineStr">
        <is>
          <t>Schlüssel auf das baldige Auslaufen der Nutzungszeit</t>
        </is>
      </c>
      <c r="T165" s="12" t="inlineStr">
        <is>
          <t>G 0.19 – Offenlegung schützenswerter Informationen; G 0.22 – Manipulation von Informationen; G 0.36 – Identitätsdiebstahl</t>
        </is>
      </c>
      <c r="U165" s="11" t="n">
        <v>2</v>
      </c>
      <c r="V165" s="11" t="n">
        <v>2</v>
      </c>
      <c r="W165" s="11" t="n">
        <v>1</v>
      </c>
      <c r="X165" s="11" t="n">
        <v>1</v>
      </c>
      <c r="Y165" s="11" t="n">
        <v>1</v>
      </c>
    </row>
    <row r="166">
      <c r="A166" s="11" t="inlineStr">
        <is>
          <t>BER.7.14</t>
        </is>
      </c>
      <c r="B166" s="12" t="inlineStr">
        <is>
          <t>Schlüssel vor Ablauf prüfen</t>
        </is>
      </c>
      <c r="C166" s="11" t="inlineStr">
        <is>
          <t>BER.7.14</t>
        </is>
      </c>
      <c r="D166" s="11" t="inlineStr">
        <is>
          <t>Standard-Anforderungen</t>
        </is>
      </c>
      <c r="E166" s="12" t="inlineStr">
        <is>
          <t>Berechtigung SOLLTE Schlüssel auf das baldige Auslaufen der Nutzungszeit regelmäßig überprüfen.</t>
        </is>
      </c>
      <c r="F166" s="14" t="n"/>
      <c r="G166" s="14" t="n"/>
      <c r="H166" s="14" t="inlineStr">
        <is>
          <t>unbearbeitet</t>
        </is>
      </c>
      <c r="I166" s="14" t="n"/>
      <c r="J166" s="14" t="n"/>
      <c r="K166" s="14" t="n"/>
      <c r="L166" s="15" t="n"/>
      <c r="M166" s="11" t="inlineStr">
        <is>
          <t>Vertraulichkeit</t>
        </is>
      </c>
      <c r="N166" s="12" t="inlineStr"/>
      <c r="O166" s="11" t="inlineStr"/>
      <c r="P166" s="12" t="inlineStr">
        <is>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is>
      </c>
      <c r="Q166" s="11" t="inlineStr"/>
      <c r="R166" s="11" t="inlineStr">
        <is>
          <t>Verzeichnis öffentlicher Schlüssel</t>
        </is>
      </c>
      <c r="S166" s="12" t="inlineStr">
        <is>
          <t>Schlüssel auf das baldige Auslaufen der Nutzungszeit</t>
        </is>
      </c>
      <c r="T166" s="12" t="inlineStr">
        <is>
          <t>G 0.19 – Offenlegung schützenswerter Informationen; G 0.22 – Manipulation von Informationen; G 0.36 – Identitätsdiebstahl</t>
        </is>
      </c>
      <c r="U166" s="11" t="n">
        <v>2</v>
      </c>
      <c r="V166" s="11" t="n">
        <v>2</v>
      </c>
      <c r="W166" s="11" t="n">
        <v>1</v>
      </c>
      <c r="X166" s="11" t="n">
        <v>1</v>
      </c>
      <c r="Y166" s="11" t="n">
        <v>1</v>
      </c>
    </row>
    <row r="167">
      <c r="A167" s="9" t="inlineStr">
        <is>
          <t>BER.7.15</t>
        </is>
      </c>
      <c r="B167" s="10" t="inlineStr">
        <is>
          <t>Vorgehensweise nach Nutzung</t>
        </is>
      </c>
      <c r="C167" s="11" t="n"/>
      <c r="D167" s="11" t="inlineStr">
        <is>
          <t>Standard-Anforderungen</t>
        </is>
      </c>
      <c r="E167" s="12" t="inlineStr">
        <is>
          <t>Gesamt:</t>
        </is>
      </c>
      <c r="F167" s="11" t="n"/>
      <c r="G167" s="11" t="n"/>
      <c r="H167" s="13">
        <f>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
      </c>
      <c r="I167" s="11" t="n"/>
      <c r="J167" s="11" t="n"/>
      <c r="K167" s="11" t="n"/>
      <c r="L167" s="11" t="n"/>
      <c r="M167" s="11" t="inlineStr">
        <is>
          <t>Vertraulichkeit</t>
        </is>
      </c>
      <c r="N167" s="12" t="inlineStr"/>
      <c r="O167" s="11" t="inlineStr"/>
      <c r="P167" s="12" t="inlineStr">
        <is>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is>
      </c>
      <c r="Q167" s="11" t="inlineStr"/>
      <c r="R167" s="11" t="inlineStr">
        <is>
          <t>Verzeichnis öffentlicher Schlüssel</t>
        </is>
      </c>
      <c r="S167" s="12" t="inlineStr">
        <is>
          <t>eine Vorgehensweise zur Außerbetriebnahme geheimer Schlüssel</t>
        </is>
      </c>
      <c r="T167" s="12" t="inlineStr">
        <is>
          <t>G 0.19 – Offenlegung schützenswerter Informationen; G 0.22 – Manipulation von Informationen; G 0.36 – Identitätsdiebstahl</t>
        </is>
      </c>
      <c r="U167" s="11" t="n">
        <v>3</v>
      </c>
      <c r="V167" s="11" t="n">
        <v>2</v>
      </c>
      <c r="W167" s="11" t="n">
        <v>1</v>
      </c>
      <c r="X167" s="11" t="n">
        <v>1</v>
      </c>
      <c r="Y167" s="11" t="n">
        <v>1</v>
      </c>
    </row>
    <row r="168">
      <c r="A168" s="11" t="inlineStr">
        <is>
          <t>BER.7.15</t>
        </is>
      </c>
      <c r="B168" s="12" t="inlineStr">
        <is>
          <t>Vorgehensweise nach Nutzung</t>
        </is>
      </c>
      <c r="C168" s="11" t="inlineStr">
        <is>
          <t>BER.7.15</t>
        </is>
      </c>
      <c r="D168" s="11" t="inlineStr">
        <is>
          <t>Standard-Anforderungen</t>
        </is>
      </c>
      <c r="E168" s="12" t="inlineStr">
        <is>
          <t>Berechtigung SOLLTE eine Vorgehensweise zur Außerbetriebnahme geheimer Schlüssel , sobald sie nicht mehr benötigt werden, verankern.</t>
        </is>
      </c>
      <c r="F168" s="14" t="n"/>
      <c r="G168" s="14" t="n"/>
      <c r="H168" s="14" t="inlineStr">
        <is>
          <t>unbearbeitet</t>
        </is>
      </c>
      <c r="I168" s="14" t="n"/>
      <c r="J168" s="14" t="n"/>
      <c r="K168" s="14" t="n"/>
      <c r="L168" s="15" t="n"/>
      <c r="M168" s="11" t="inlineStr">
        <is>
          <t>Vertraulichkeit</t>
        </is>
      </c>
      <c r="N168" s="12" t="inlineStr"/>
      <c r="O168" s="11" t="inlineStr"/>
      <c r="P168" s="12" t="inlineStr">
        <is>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is>
      </c>
      <c r="Q168" s="11" t="inlineStr"/>
      <c r="R168" s="11" t="inlineStr">
        <is>
          <t>Verzeichnis öffentlicher Schlüssel</t>
        </is>
      </c>
      <c r="S168" s="12" t="inlineStr">
        <is>
          <t>eine Vorgehensweise zur Außerbetriebnahme geheimer Schlüssel</t>
        </is>
      </c>
      <c r="T168" s="12" t="inlineStr">
        <is>
          <t>G 0.19 – Offenlegung schützenswerter Informationen; G 0.22 – Manipulation von Informationen; G 0.36 – Identitätsdiebstahl</t>
        </is>
      </c>
      <c r="U168" s="11" t="n">
        <v>3</v>
      </c>
      <c r="V168" s="11" t="n">
        <v>2</v>
      </c>
      <c r="W168" s="11" t="n">
        <v>1</v>
      </c>
      <c r="X168" s="11" t="n">
        <v>1</v>
      </c>
      <c r="Y168" s="11" t="n">
        <v>1</v>
      </c>
    </row>
    <row r="169">
      <c r="A169" s="9" t="inlineStr">
        <is>
          <t>BER.7.16</t>
        </is>
      </c>
      <c r="B169" s="10" t="inlineStr">
        <is>
          <t>Vorgaben für die Schlüsselbeglaubigung</t>
        </is>
      </c>
      <c r="C169" s="11" t="n"/>
      <c r="D169" s="11" t="inlineStr">
        <is>
          <t>Standard-Anforderungen</t>
        </is>
      </c>
      <c r="E169" s="12" t="inlineStr">
        <is>
          <t>Gesamt:</t>
        </is>
      </c>
      <c r="F169" s="11" t="n"/>
      <c r="G169" s="11" t="n"/>
      <c r="H169" s="13">
        <f>IF(OR(COUNTBLANK($H$170:$H$176)&gt;0,COUNTIF($H$170:$H$176,"unbearbeitet")=COUNTA($H$170:$H$176)),"Bitte Teilanforderungen ausfüllen",IF(COUNTIF($H$170:$H$176,"zu klären")&gt;0,"zu klären",IF(COUNTIF($H$170:$H$176,"entbehrlich")=COUNTA($H$170:$H$176),"entbehrlich",IF(COUNTIF($H$170:$H$176,"verwiesen")=COUNTA($H$170:$H$176),"verwiesen",IF(COUNTIF($H$170:$H$176,"nein")+COUNTIF($H$170:$H$176,"entbehrlich")=COUNTA($H$170:$H$176),"nein",IF(COUNTIF($H$170:$H$176,"ja")+COUNTIF($H$170:$H$176,"entbehrlich")+COUNTIF($H$170:$H$176,"verwiesen")=COUNTA($H$170:$H$176),"ja","teilweise"))))))</f>
        <v/>
      </c>
      <c r="I169" s="11" t="n"/>
      <c r="J169" s="11" t="n"/>
      <c r="K169" s="11" t="n"/>
      <c r="L169" s="11" t="n"/>
      <c r="M169" s="11" t="inlineStr">
        <is>
          <t>Vertraulichkeit</t>
        </is>
      </c>
      <c r="N169" s="12" t="inlineStr"/>
      <c r="O169" s="11" t="inlineStr"/>
      <c r="P169" s="12" t="inlineStr">
        <is>
          <t>Je nach Umfang der Beglaubigungstätigkeit gehören hierzu z.B. Algorithmen, Zweckbindung, Nutzungsdauer, sowie prozessuale Vorgaben für Speicherung, Beantragung, Revocation, Erneuerung und Verfügbarkeit. Für Details siehe IETF RFC 3647.</t>
        </is>
      </c>
      <c r="Q169" s="11" t="inlineStr"/>
      <c r="R169" s="11" t="inlineStr">
        <is>
          <t>IT-Betriebskonzept</t>
        </is>
      </c>
      <c r="S169" s="12" t="inlineStr">
        <is>
          <t>Vorgaben für die Schlüsselbeglaubigung</t>
        </is>
      </c>
      <c r="T169" s="12" t="inlineStr">
        <is>
          <t>G 0.36 – Identitätsdiebstahl</t>
        </is>
      </c>
      <c r="U169" s="11" t="n">
        <v>3</v>
      </c>
      <c r="V169" s="11" t="n">
        <v>2</v>
      </c>
      <c r="W169" s="11" t="n">
        <v>1</v>
      </c>
      <c r="X169" s="11" t="n">
        <v>1</v>
      </c>
      <c r="Y169" s="11" t="n">
        <v>0</v>
      </c>
    </row>
    <row r="170">
      <c r="A170" s="11" t="inlineStr">
        <is>
          <t>BER.7.16</t>
        </is>
      </c>
      <c r="B170" s="12" t="inlineStr">
        <is>
          <t>Vorgaben für die Schlüsselbeglaubigung</t>
        </is>
      </c>
      <c r="C170" s="11" t="inlineStr">
        <is>
          <t>BER.7.16</t>
        </is>
      </c>
      <c r="D170" s="11" t="inlineStr">
        <is>
          <t>Standard-Anforderungen</t>
        </is>
      </c>
      <c r="E170" s="12" t="inlineStr">
        <is>
          <t>Berechtigung SOLLTE Vorgaben für die Schlüsselbeglaubigung verankern.</t>
        </is>
      </c>
      <c r="F170" s="14" t="n"/>
      <c r="G170" s="14" t="n"/>
      <c r="H170" s="14" t="inlineStr">
        <is>
          <t>unbearbeitet</t>
        </is>
      </c>
      <c r="I170" s="14" t="n"/>
      <c r="J170" s="14" t="n"/>
      <c r="K170" s="14" t="n"/>
      <c r="L170" s="15" t="n"/>
      <c r="M170" s="11" t="inlineStr">
        <is>
          <t>Vertraulichkeit</t>
        </is>
      </c>
      <c r="N170" s="12" t="inlineStr"/>
      <c r="O170" s="11" t="inlineStr"/>
      <c r="P170" s="12" t="inlineStr">
        <is>
          <t>Je nach Umfang der Beglaubigungstätigkeit gehören hierzu z.B. Algorithmen, Zweckbindung, Nutzungsdauer, sowie prozessuale Vorgaben für Speicherung, Beantragung, Revocation, Erneuerung und Verfügbarkeit. Für Details siehe IETF RFC 3647.</t>
        </is>
      </c>
      <c r="Q170" s="11" t="inlineStr"/>
      <c r="R170" s="11" t="inlineStr">
        <is>
          <t>IT-Betriebskonzept</t>
        </is>
      </c>
      <c r="S170" s="12" t="inlineStr">
        <is>
          <t>Vorgaben für die Schlüsselbeglaubigung</t>
        </is>
      </c>
      <c r="T170" s="12" t="inlineStr">
        <is>
          <t>G 0.36 – Identitätsdiebstahl</t>
        </is>
      </c>
      <c r="U170" s="11" t="n">
        <v>3</v>
      </c>
      <c r="V170" s="11" t="n">
        <v>2</v>
      </c>
      <c r="W170" s="11" t="n">
        <v>1</v>
      </c>
      <c r="X170" s="11" t="n">
        <v>1</v>
      </c>
      <c r="Y170" s="11" t="n">
        <v>0</v>
      </c>
    </row>
    <row r="171">
      <c r="A171" s="11" t="inlineStr">
        <is>
          <t>BER.7.16</t>
        </is>
      </c>
      <c r="B171" s="12" t="inlineStr">
        <is>
          <t>Vorgaben für die Schlüsselbeglaubigung</t>
        </is>
      </c>
      <c r="C171" s="11" t="inlineStr">
        <is>
          <t>BER.7.16.1</t>
        </is>
      </c>
      <c r="D171" s="11" t="inlineStr">
        <is>
          <t>Standard-Anforderungen</t>
        </is>
      </c>
      <c r="E171" s="12" t="inlineStr">
        <is>
          <t>Berechtigung SOLLTE die Beglaubigung von Schlüsseln einer zuständigen Person oder Rolle zuweisen.</t>
        </is>
      </c>
      <c r="F171" s="14" t="n"/>
      <c r="G171" s="14" t="n"/>
      <c r="H171" s="14" t="inlineStr">
        <is>
          <t>unbearbeitet</t>
        </is>
      </c>
      <c r="I171" s="14" t="n"/>
      <c r="J171" s="14" t="n"/>
      <c r="K171" s="14" t="n"/>
      <c r="L171" s="15" t="n"/>
      <c r="M171" s="11" t="inlineStr">
        <is>
          <t>Vertraulichkeit</t>
        </is>
      </c>
      <c r="N171" s="12" t="inlineStr"/>
      <c r="O171" s="11" t="inlineStr"/>
      <c r="P171" s="12" t="inlineStr">
        <is>
          <t>Die Beglaubigung von Schlüsseln ist technisch komplex. Gleichzeitig hängt von ihr die Vertrauensstellung von Systemen und Anwendungen im Informationsverbund ab. Daher ist es sinnvoll diese Aufgabe konkret bestimmten Personen oder Rollen zuzuweisen.</t>
        </is>
      </c>
      <c r="Q171" s="11" t="inlineStr"/>
      <c r="R171" s="11" t="inlineStr">
        <is>
          <t>IT-Betriebskonzept</t>
        </is>
      </c>
      <c r="S171" s="12" t="inlineStr">
        <is>
          <t>die Beglaubigung von Schlüsseln</t>
        </is>
      </c>
      <c r="T171" s="12" t="inlineStr">
        <is>
          <t>G 0.36 – Identitätsdiebstahl</t>
        </is>
      </c>
      <c r="U171" s="11" t="n">
        <v>4</v>
      </c>
      <c r="V171" s="11" t="n">
        <v>2</v>
      </c>
      <c r="W171" s="11" t="n">
        <v>1</v>
      </c>
      <c r="X171" s="11" t="n">
        <v>1</v>
      </c>
      <c r="Y171" s="11" t="n">
        <v>0</v>
      </c>
    </row>
    <row r="172">
      <c r="A172" s="11" t="inlineStr">
        <is>
          <t>BER.7.16</t>
        </is>
      </c>
      <c r="B172" s="12" t="inlineStr">
        <is>
          <t>Vorgaben für die Schlüsselbeglaubigung</t>
        </is>
      </c>
      <c r="C172" s="11" t="inlineStr">
        <is>
          <t>BER.7.16.2</t>
        </is>
      </c>
      <c r="D172" s="11" t="inlineStr">
        <is>
          <t>Standard-Anforderungen</t>
        </is>
      </c>
      <c r="E172" s="12" t="inlineStr">
        <is>
          <t>Berechtigung SOLLTE den Schlüssel anhand der Vorgaben für die Schlüsselbeglaubigung bei Beantragung einer Beglaubigung testen.</t>
        </is>
      </c>
      <c r="F172" s="14" t="n"/>
      <c r="G172" s="14" t="n"/>
      <c r="H172" s="14" t="inlineStr">
        <is>
          <t>unbearbeitet</t>
        </is>
      </c>
      <c r="I172" s="14" t="n"/>
      <c r="J172" s="14" t="n"/>
      <c r="K172" s="14" t="n"/>
      <c r="L172" s="15" t="n"/>
      <c r="M172" s="11" t="inlineStr">
        <is>
          <t>Vertraulichkeit</t>
        </is>
      </c>
      <c r="N172" s="12" t="inlineStr"/>
      <c r="O172" s="11" t="inlineStr"/>
      <c r="P172" s="12" t="inlineStr">
        <is>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is>
      </c>
      <c r="Q172" s="11" t="inlineStr"/>
      <c r="R172" s="11" t="inlineStr">
        <is>
          <t>IT-Betriebskonzept</t>
        </is>
      </c>
      <c r="S172" s="12" t="inlineStr">
        <is>
          <t>den Schlüssel anhand der Vorgaben für die Schlüsselbeglaubigung</t>
        </is>
      </c>
      <c r="T172" s="12" t="inlineStr">
        <is>
          <t>G 0.36 – Identitätsdiebstahl; G 0.19 – Offenlegung schützenswerter Informationen; G 0.22 – Manipulation von Informationen</t>
        </is>
      </c>
      <c r="U172" s="11" t="n">
        <v>4</v>
      </c>
      <c r="V172" s="11" t="n">
        <v>2</v>
      </c>
      <c r="W172" s="11" t="n">
        <v>1</v>
      </c>
      <c r="X172" s="11" t="n">
        <v>1</v>
      </c>
      <c r="Y172" s="11" t="n">
        <v>1</v>
      </c>
    </row>
    <row r="173">
      <c r="A173" s="11" t="inlineStr">
        <is>
          <t>BER.7.16</t>
        </is>
      </c>
      <c r="B173" s="12" t="inlineStr">
        <is>
          <t>Vorgaben für die Schlüsselbeglaubigung</t>
        </is>
      </c>
      <c r="C173" s="11" t="inlineStr">
        <is>
          <t>BER.7.16.3</t>
        </is>
      </c>
      <c r="D173" s="11" t="inlineStr">
        <is>
          <t>Standard-Anforderungen</t>
        </is>
      </c>
      <c r="E173" s="12" t="inlineStr">
        <is>
          <t>Berechtigung SOLLTE den Schlüssel anhand der Vorgaben für die Schlüsselbeglaubigung bei Erneuerung einer Beglaubigung testen.</t>
        </is>
      </c>
      <c r="F173" s="14" t="n"/>
      <c r="G173" s="14" t="n"/>
      <c r="H173" s="14" t="inlineStr">
        <is>
          <t>unbearbeitet</t>
        </is>
      </c>
      <c r="I173" s="14" t="n"/>
      <c r="J173" s="14" t="n"/>
      <c r="K173" s="14" t="n"/>
      <c r="L173" s="15" t="n"/>
      <c r="M173" s="11" t="inlineStr">
        <is>
          <t>Vertraulichkeit</t>
        </is>
      </c>
      <c r="N173" s="12" t="inlineStr"/>
      <c r="O173" s="11" t="inlineStr"/>
      <c r="P173" s="12" t="inlineStr">
        <is>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is>
      </c>
      <c r="Q173" s="11" t="inlineStr"/>
      <c r="R173" s="11" t="inlineStr">
        <is>
          <t>IT-Betriebskonzept</t>
        </is>
      </c>
      <c r="S173" s="12" t="inlineStr">
        <is>
          <t>den Schlüssel anhand der Vorgaben für die Schlüsselbeglaubigung</t>
        </is>
      </c>
      <c r="T173" s="12" t="inlineStr">
        <is>
          <t>G 0.36 – Identitätsdiebstahl</t>
        </is>
      </c>
      <c r="U173" s="11" t="n">
        <v>4</v>
      </c>
      <c r="V173" s="11" t="n">
        <v>2</v>
      </c>
      <c r="W173" s="11" t="n">
        <v>1</v>
      </c>
      <c r="X173" s="11" t="n">
        <v>1</v>
      </c>
      <c r="Y173" s="11" t="n">
        <v>0</v>
      </c>
    </row>
    <row r="174">
      <c r="A174" s="11" t="inlineStr">
        <is>
          <t>BER.7.16</t>
        </is>
      </c>
      <c r="B174" s="12" t="inlineStr">
        <is>
          <t>Vorgaben für die Schlüsselbeglaubigung</t>
        </is>
      </c>
      <c r="C174" s="11" t="inlineStr">
        <is>
          <t>BER.7.16.4</t>
        </is>
      </c>
      <c r="D174" s="11" t="inlineStr">
        <is>
          <t>Standard-Anforderungen</t>
        </is>
      </c>
      <c r="E174" s="12" t="inlineStr">
        <is>
          <t>Berechtigung SOLLTE den Schlüssel anhand der Vorgaben für die Schlüsselbeglaubigung bei Revocation einer Beglaubigung testen.</t>
        </is>
      </c>
      <c r="F174" s="14" t="n"/>
      <c r="G174" s="14" t="n"/>
      <c r="H174" s="14" t="inlineStr">
        <is>
          <t>unbearbeitet</t>
        </is>
      </c>
      <c r="I174" s="14" t="n"/>
      <c r="J174" s="14" t="n"/>
      <c r="K174" s="14" t="n"/>
      <c r="L174" s="15" t="n"/>
      <c r="M174" s="11" t="inlineStr">
        <is>
          <t>Vertraulichkeit</t>
        </is>
      </c>
      <c r="N174" s="12" t="inlineStr"/>
      <c r="O174" s="11" t="inlineStr"/>
      <c r="P174" s="12" t="inlineStr">
        <is>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is>
      </c>
      <c r="Q174" s="11" t="inlineStr"/>
      <c r="R174" s="11" t="inlineStr">
        <is>
          <t>IT-Betriebskonzept</t>
        </is>
      </c>
      <c r="S174" s="12" t="inlineStr">
        <is>
          <t>den Schlüssel anhand der Vorgaben für die Schlüsselbeglaubigung</t>
        </is>
      </c>
      <c r="T174" s="12" t="inlineStr">
        <is>
          <t>G 0.19 – Offenlegung schützenswerter Informationen; G 0.22 – Manipulation von Informationen; G 0.36 – Identitätsdiebstahl</t>
        </is>
      </c>
      <c r="U174" s="11" t="n">
        <v>4</v>
      </c>
      <c r="V174" s="11" t="n">
        <v>2</v>
      </c>
      <c r="W174" s="11" t="n">
        <v>1</v>
      </c>
      <c r="X174" s="11" t="n">
        <v>1</v>
      </c>
      <c r="Y174" s="11" t="n">
        <v>1</v>
      </c>
    </row>
    <row r="175">
      <c r="A175" s="11" t="inlineStr">
        <is>
          <t>BER.7.16</t>
        </is>
      </c>
      <c r="B175" s="12" t="inlineStr">
        <is>
          <t>Vorgaben für die Schlüsselbeglaubigung</t>
        </is>
      </c>
      <c r="C175" s="11" t="inlineStr">
        <is>
          <t>BER.7.16.5</t>
        </is>
      </c>
      <c r="D175" s="11" t="inlineStr">
        <is>
          <t>Standard-Anforderungen</t>
        </is>
      </c>
      <c r="E175" s="12" t="inlineStr">
        <is>
          <t>Berechtigung SOLLTE den Beglaubigungsstatus des Schlüssels im Verzeichnis öffentlicher Schlüssel dokumentieren.</t>
        </is>
      </c>
      <c r="F175" s="14" t="n"/>
      <c r="G175" s="14" t="n"/>
      <c r="H175" s="14" t="inlineStr">
        <is>
          <t>unbearbeitet</t>
        </is>
      </c>
      <c r="I175" s="14" t="n"/>
      <c r="J175" s="14" t="n"/>
      <c r="K175" s="14" t="n"/>
      <c r="L175" s="15" t="n"/>
      <c r="M175" s="11" t="inlineStr">
        <is>
          <t>Vertraulichkeit</t>
        </is>
      </c>
      <c r="N175" s="12" t="inlineStr"/>
      <c r="O175" s="11" t="inlineStr"/>
      <c r="P175" s="12" t="inlineStr">
        <is>
          <t>Der Beglaubigungsstatus erfasst, ob der Schlüssel von der Beglaubigungs- oder Zertifizierungsstelle der Institution beglaubigt wurde.</t>
        </is>
      </c>
      <c r="Q175" s="11" t="inlineStr"/>
      <c r="R175" s="11" t="inlineStr">
        <is>
          <t>Verzeichnis öffentlicher Schlüssel</t>
        </is>
      </c>
      <c r="S175" s="12" t="inlineStr">
        <is>
          <t>den Beglaubigungsstatus des Schlüssels im Verzeichnis öffentlicher Schlüssel</t>
        </is>
      </c>
      <c r="T175" s="12" t="inlineStr">
        <is>
          <t>G 0.36 – Identitätsdiebstahl</t>
        </is>
      </c>
      <c r="U175" s="11" t="n">
        <v>3</v>
      </c>
      <c r="V175" s="11" t="n">
        <v>2</v>
      </c>
      <c r="W175" s="11" t="n">
        <v>1</v>
      </c>
      <c r="X175" s="11" t="n">
        <v>1</v>
      </c>
      <c r="Y175" s="11" t="n">
        <v>0</v>
      </c>
    </row>
    <row r="176">
      <c r="A176" s="11" t="inlineStr">
        <is>
          <t>BER.7.16</t>
        </is>
      </c>
      <c r="B176" s="12" t="inlineStr">
        <is>
          <t>Vorgaben für die Schlüsselbeglaubigung</t>
        </is>
      </c>
      <c r="C176" s="11" t="inlineStr">
        <is>
          <t>BER.7.16.6</t>
        </is>
      </c>
      <c r="D176" s="11" t="inlineStr">
        <is>
          <t>Standard-Anforderungen</t>
        </is>
      </c>
      <c r="E176" s="12" t="inlineStr">
        <is>
          <t>Berechtigung SOLLTE den Revocationstatus des Schlüssels im Verzeichnis öffentlicher Schlüssel dokumentieren.</t>
        </is>
      </c>
      <c r="F176" s="14" t="n"/>
      <c r="G176" s="14" t="n"/>
      <c r="H176" s="14" t="inlineStr">
        <is>
          <t>unbearbeitet</t>
        </is>
      </c>
      <c r="I176" s="14" t="n"/>
      <c r="J176" s="14" t="n"/>
      <c r="K176" s="14" t="n"/>
      <c r="L176" s="15" t="n"/>
      <c r="M176" s="11" t="inlineStr">
        <is>
          <t>Vertraulichkeit</t>
        </is>
      </c>
      <c r="N176" s="12" t="inlineStr"/>
      <c r="O176" s="11" t="inlineStr"/>
      <c r="P176" s="12" t="inlineStr">
        <is>
          <t>Der Revocationsstatus des Schlüsseln erfasst, ob der Schlüssel zurückgezogen wurde, etwa weil er aufgrund einer Kompromittierung nicht mehr sicher verwendet werden kann.</t>
        </is>
      </c>
      <c r="Q176" s="11" t="inlineStr"/>
      <c r="R176" s="11" t="inlineStr">
        <is>
          <t>Verzeichnis öffentlicher Schlüssel</t>
        </is>
      </c>
      <c r="S176" s="12" t="inlineStr">
        <is>
          <t>den Revocationstatus des Schlüssels im Verzeichnis öffentlicher Schlüssel</t>
        </is>
      </c>
      <c r="T176" s="12" t="inlineStr">
        <is>
          <t>G 0.36 – Identitätsdiebstahl</t>
        </is>
      </c>
      <c r="U176" s="11" t="n">
        <v>3</v>
      </c>
      <c r="V176" s="11" t="n">
        <v>2</v>
      </c>
      <c r="W176" s="11" t="n">
        <v>1</v>
      </c>
      <c r="X176" s="11" t="n">
        <v>1</v>
      </c>
      <c r="Y176" s="11" t="n">
        <v>0</v>
      </c>
    </row>
  </sheetData>
  <autoFilter ref="A6:Y6"/>
  <conditionalFormatting sqref="H7:H176">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20 H22 H24 H26 H28 H30 H32 H34 H36 H38 H40 H42 H44 H46 H48 H50 H52 H54 H56 H58 H60 H62 H64 H66 H68 H70 H72 H74 H76 H78 H80 H81 H82 H84 H86 H88 H89 H91 H93 H95 H97 H99 H100 H102 H104 H106 H108 H110 H112 H114 H116 H118 H120 H122 H124 H126 H128 H130 H132 H134 H136 H138 H140 H142 H144 H146 H148 H150 H152 H154 H156 H158 H160 H162 H164 H166 H168 H170 H171 H172 H173 H174 H175 H176"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68"/>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BES</t>
        </is>
      </c>
      <c r="B3" s="6" t="inlineStr">
        <is>
          <t>Beschaffungsmanagement</t>
        </is>
      </c>
    </row>
    <row r="4">
      <c r="A4" s="3" t="inlineStr">
        <is>
          <t>Zielobjekte</t>
        </is>
      </c>
      <c r="B4" s="7">
        <f>IF('Praktiken'!D8="","",'Praktiken'!D8)</f>
        <v/>
      </c>
    </row>
    <row r="5">
      <c r="A5" s="3" t="inlineStr">
        <is>
          <t>Zuständig</t>
        </is>
      </c>
      <c r="B5" s="7">
        <f>IF('Praktiken'!S8="","",'Praktiken'!S8)</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BES.1.1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c r="O7" s="11" t="inlineStr"/>
      <c r="P7" s="12" t="inlineStr">
        <is>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is>
      </c>
      <c r="Q7" s="11" t="inlineStr"/>
      <c r="R7" s="11" t="inlineStr">
        <is>
          <t>Prozess Beschaffung</t>
        </is>
      </c>
      <c r="S7" s="12" t="inlineStr">
        <is>
          <t>Verfahren und Regelungen zur Beschaffung von IT-Produkten und Dienstleistungen</t>
        </is>
      </c>
      <c r="T7" s="12" t="inlineStr">
        <is>
          <t>G 0.18 – Fehlplanung oder fehlende Anpassung</t>
        </is>
      </c>
      <c r="U7" s="11" t="n">
        <v>0</v>
      </c>
      <c r="V7" s="11" t="n">
        <v>1</v>
      </c>
      <c r="W7" s="11" t="n">
        <v>1</v>
      </c>
      <c r="X7" s="11" t="n">
        <v>1</v>
      </c>
      <c r="Y7" s="11" t="n">
        <v>0</v>
      </c>
    </row>
    <row r="8">
      <c r="A8" s="11" t="inlineStr">
        <is>
          <t>BES.1.1</t>
        </is>
      </c>
      <c r="B8" s="12" t="inlineStr">
        <is>
          <t>Verfahren und Regelungen</t>
        </is>
      </c>
      <c r="C8" s="11" t="inlineStr">
        <is>
          <t>BES.1.1.1</t>
        </is>
      </c>
      <c r="D8" s="11" t="inlineStr">
        <is>
          <t>Basis-Anforderungen</t>
        </is>
      </c>
      <c r="E8" s="12" t="inlineStr">
        <is>
          <t>Beschaffungsmanagement MUSS die Verfahren und Regelungen dokumentieren.</t>
        </is>
      </c>
      <c r="F8" s="14" t="n"/>
      <c r="G8" s="14" t="n"/>
      <c r="H8" s="14" t="inlineStr">
        <is>
          <t>unbearbeitet</t>
        </is>
      </c>
      <c r="I8" s="14" t="n"/>
      <c r="J8" s="14" t="n"/>
      <c r="K8" s="14" t="n"/>
      <c r="L8" s="15" t="n"/>
      <c r="M8" s="11" t="inlineStr"/>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t>
        </is>
      </c>
      <c r="U8" s="11" t="n">
        <v>0</v>
      </c>
      <c r="V8" s="11" t="n">
        <v>1</v>
      </c>
      <c r="W8" s="11" t="n">
        <v>1</v>
      </c>
      <c r="X8" s="11" t="n">
        <v>1</v>
      </c>
      <c r="Y8" s="11" t="n">
        <v>1</v>
      </c>
    </row>
    <row r="9">
      <c r="A9" s="11" t="inlineStr">
        <is>
          <t>BES.1.1</t>
        </is>
      </c>
      <c r="B9" s="12" t="inlineStr">
        <is>
          <t>Verfahren und Regelungen</t>
        </is>
      </c>
      <c r="C9" s="11" t="inlineStr">
        <is>
          <t>BES.1.1.2</t>
        </is>
      </c>
      <c r="D9" s="11" t="inlineStr">
        <is>
          <t>Basis-Anforderungen</t>
        </is>
      </c>
      <c r="E9" s="12" t="inlineStr">
        <is>
          <t>Beschaffungsmanagement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BES.1.1</t>
        </is>
      </c>
      <c r="B10" s="12" t="inlineStr">
        <is>
          <t>Verfahren und Regelungen</t>
        </is>
      </c>
      <c r="C10" s="11" t="inlineStr">
        <is>
          <t>BES.1.1.3</t>
        </is>
      </c>
      <c r="D10" s="11" t="inlineStr">
        <is>
          <t>Basis-Anforderungen</t>
        </is>
      </c>
      <c r="E10" s="12" t="inlineStr">
        <is>
          <t>Beschaffungsmanagement MUSS die zuständigen Personen oder Rollen über die Verfahren und Regelungen informieren.</t>
        </is>
      </c>
      <c r="F10" s="14" t="n"/>
      <c r="G10" s="14" t="n"/>
      <c r="H10" s="14" t="inlineStr">
        <is>
          <t>unbearbeitet</t>
        </is>
      </c>
      <c r="I10" s="14" t="n"/>
      <c r="J10" s="14" t="n"/>
      <c r="K10" s="14" t="n"/>
      <c r="L10" s="15" t="n"/>
      <c r="M10" s="11" t="inlineStr"/>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1</v>
      </c>
      <c r="X10" s="11" t="n">
        <v>1</v>
      </c>
      <c r="Y10" s="11" t="n">
        <v>0</v>
      </c>
    </row>
    <row r="11">
      <c r="A11" s="9" t="inlineStr">
        <is>
          <t>BES.1.2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BES.1.2</t>
        </is>
      </c>
      <c r="B12" s="12" t="inlineStr">
        <is>
          <t>Regelmäßige Überprüfung</t>
        </is>
      </c>
      <c r="C12" s="11" t="inlineStr">
        <is>
          <t>BES.1.2</t>
        </is>
      </c>
      <c r="D12" s="11" t="inlineStr">
        <is>
          <t>Basis-Anforderungen</t>
        </is>
      </c>
      <c r="E12" s="12" t="inlineStr">
        <is>
          <t>Beschaffungsmanagement MUSS die Verfahren und Regelungen regelmäßig und anlassbezogen auf Aktualität überprüfen.</t>
        </is>
      </c>
      <c r="F12" s="14" t="n"/>
      <c r="G12" s="14" t="n"/>
      <c r="H12" s="14" t="inlineStr">
        <is>
          <t>unbearbeitet</t>
        </is>
      </c>
      <c r="I12" s="14" t="n"/>
      <c r="J12" s="14" t="n"/>
      <c r="K12" s="14" t="n"/>
      <c r="L12" s="15" t="n"/>
      <c r="M12" s="11" t="inlineStr"/>
      <c r="N12" s="12" t="inlineStr"/>
      <c r="O12" s="11" t="inlineStr"/>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BES.1.3</t>
        </is>
      </c>
      <c r="B13" s="10" t="inlineStr">
        <is>
          <t>Lieferanten- und Dienstleisterverzeichnis</t>
        </is>
      </c>
      <c r="C13" s="11" t="n"/>
      <c r="D13" s="11" t="inlineStr">
        <is>
          <t>Standard-Anforderungen</t>
        </is>
      </c>
      <c r="E13" s="12" t="inlineStr">
        <is>
          <t>Gesamt:</t>
        </is>
      </c>
      <c r="F13" s="11" t="n"/>
      <c r="G13" s="11" t="n"/>
      <c r="H13" s="13">
        <f>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
      </c>
      <c r="I13" s="11" t="n"/>
      <c r="J13" s="11" t="n"/>
      <c r="K13" s="11" t="n"/>
      <c r="L13" s="11" t="n"/>
      <c r="M13" s="11" t="inlineStr"/>
      <c r="N13" s="12" t="inlineStr"/>
      <c r="O13" s="11" t="inlineStr"/>
      <c r="P13" s="12" t="inlineStr">
        <is>
          <t>Direkte Zulieferer sind hier alle Vertragspartner, von denen IT-Produkte bezogen werden. Dienstleister sind alle Vertragspartner, die schützenswerte Informationen des Informationsverbundes verarbeiten.</t>
        </is>
      </c>
      <c r="Q13" s="11" t="inlineStr">
        <is>
          <t>Einkäufe</t>
        </is>
      </c>
      <c r="R13" s="11" t="inlineStr">
        <is>
          <t>Liste der Hersteller und Dienstleister</t>
        </is>
      </c>
      <c r="S13" s="12" t="inlineStr">
        <is>
          <t>alle direkten Zulieferer und Dienstleister</t>
        </is>
      </c>
      <c r="T13" s="12" t="inlineStr">
        <is>
          <t>G 0.18 – Fehlplanung oder fehlende Anpassung</t>
        </is>
      </c>
      <c r="U13" s="11" t="n">
        <v>2</v>
      </c>
      <c r="V13" s="11" t="n">
        <v>1</v>
      </c>
      <c r="W13" s="11" t="n">
        <v>1</v>
      </c>
      <c r="X13" s="11" t="n">
        <v>1</v>
      </c>
      <c r="Y13" s="11" t="n">
        <v>0</v>
      </c>
    </row>
    <row r="14">
      <c r="A14" s="11" t="inlineStr">
        <is>
          <t>BES.1.3</t>
        </is>
      </c>
      <c r="B14" s="12" t="inlineStr">
        <is>
          <t>Lieferanten- und Dienstleisterverzeichnis</t>
        </is>
      </c>
      <c r="C14" s="11" t="inlineStr">
        <is>
          <t>BES.1.3</t>
        </is>
      </c>
      <c r="D14" s="11" t="inlineStr">
        <is>
          <t>Standard-Anforderungen</t>
        </is>
      </c>
      <c r="E14" s="12" t="inlineStr">
        <is>
          <t>Beschaffungsmanagement für Einkäufe SOLLTE alle direkten Zulieferer und Dienstleister inklusive der jeweiligen Kontaktdaten und den bezogenen Lieferungen dokumentieren.</t>
        </is>
      </c>
      <c r="F14" s="14" t="n"/>
      <c r="G14" s="14" t="n"/>
      <c r="H14" s="14" t="inlineStr">
        <is>
          <t>unbearbeitet</t>
        </is>
      </c>
      <c r="I14" s="14" t="n"/>
      <c r="J14" s="14" t="n"/>
      <c r="K14" s="14" t="n"/>
      <c r="L14" s="15" t="n"/>
      <c r="M14" s="11" t="inlineStr"/>
      <c r="N14" s="12" t="inlineStr"/>
      <c r="O14" s="11" t="inlineStr"/>
      <c r="P14" s="12" t="inlineStr">
        <is>
          <t>Direkte Zulieferer sind hier alle Vertragspartner, von denen IT-Produkte bezogen werden. Dienstleister sind alle Vertragspartner, die schützenswerte Informationen des Informationsverbundes verarbeiten.</t>
        </is>
      </c>
      <c r="Q14" s="11" t="inlineStr">
        <is>
          <t>Einkäufe</t>
        </is>
      </c>
      <c r="R14" s="11" t="inlineStr">
        <is>
          <t>Liste der Hersteller und Dienstleister</t>
        </is>
      </c>
      <c r="S14" s="12" t="inlineStr">
        <is>
          <t>alle direkten Zulieferer und Dienstleister</t>
        </is>
      </c>
      <c r="T14" s="12" t="inlineStr">
        <is>
          <t>G 0.18 – Fehlplanung oder fehlende Anpassung</t>
        </is>
      </c>
      <c r="U14" s="11" t="n">
        <v>2</v>
      </c>
      <c r="V14" s="11" t="n">
        <v>1</v>
      </c>
      <c r="W14" s="11" t="n">
        <v>1</v>
      </c>
      <c r="X14" s="11" t="n">
        <v>1</v>
      </c>
      <c r="Y14" s="11" t="n">
        <v>0</v>
      </c>
    </row>
    <row r="15">
      <c r="A15" s="11" t="inlineStr">
        <is>
          <t>BES.1.3</t>
        </is>
      </c>
      <c r="B15" s="12" t="inlineStr">
        <is>
          <t>Lieferanten- und Dienstleisterverzeichnis</t>
        </is>
      </c>
      <c r="C15" s="11" t="inlineStr">
        <is>
          <t>BES.1.3.1</t>
        </is>
      </c>
      <c r="D15" s="11" t="inlineStr">
        <is>
          <t>Anforderungen bei erhöhtem Schutzbedarf</t>
        </is>
      </c>
      <c r="E15" s="12" t="inlineStr">
        <is>
          <t>Beschaffungsmanagement für Einkäufe KANN die gesamte Lieferkette inklusive der jeweiligen Unterauftragnehmer und deren Kontaktdaten dokumentieren.</t>
        </is>
      </c>
      <c r="F15" s="14" t="n"/>
      <c r="G15" s="14" t="n"/>
      <c r="H15" s="14" t="inlineStr">
        <is>
          <t>unbearbeitet</t>
        </is>
      </c>
      <c r="I15" s="14" t="n"/>
      <c r="J15" s="14" t="n"/>
      <c r="K15" s="14" t="n"/>
      <c r="L15" s="15" t="n"/>
      <c r="M15" s="11" t="inlineStr"/>
      <c r="N15" s="12" t="inlineStr"/>
      <c r="O15" s="11" t="inlineStr"/>
      <c r="P15" s="12" t="inlineStr">
        <is>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is>
      </c>
      <c r="Q15" s="11" t="inlineStr">
        <is>
          <t>Einkäufe</t>
        </is>
      </c>
      <c r="R15" s="11" t="inlineStr">
        <is>
          <t>Liste der Hersteller und Dienstleister</t>
        </is>
      </c>
      <c r="S15" s="12" t="inlineStr">
        <is>
          <t>die gesamte Lieferkette</t>
        </is>
      </c>
      <c r="T15" s="12" t="inlineStr">
        <is>
          <t>G 0.18 – Fehlplanung oder fehlende Anpassung</t>
        </is>
      </c>
      <c r="U15" s="11" t="n">
        <v>5</v>
      </c>
      <c r="V15" s="11" t="n">
        <v>1</v>
      </c>
      <c r="W15" s="11" t="n">
        <v>1</v>
      </c>
      <c r="X15" s="11" t="n">
        <v>1</v>
      </c>
      <c r="Y15" s="11" t="n">
        <v>0</v>
      </c>
    </row>
    <row r="16">
      <c r="A16" s="9" t="inlineStr">
        <is>
          <t>BES.1.4</t>
        </is>
      </c>
      <c r="B16" s="10" t="inlineStr">
        <is>
          <t>Outsourcing-Strategie</t>
        </is>
      </c>
      <c r="C16" s="11" t="n"/>
      <c r="D16" s="11" t="inlineStr">
        <is>
          <t>Anforderungen bei erhöhtem Schutzbedarf</t>
        </is>
      </c>
      <c r="E16" s="12" t="inlineStr">
        <is>
          <t>Gesamt:</t>
        </is>
      </c>
      <c r="F16" s="11" t="n"/>
      <c r="G16" s="11" t="n"/>
      <c r="H16" s="13">
        <f>IF(OR(COUNTBLANK($H$17:$H$18)&gt;0,COUNTIF($H$17:$H$18,"unbearbeitet")=COUNTA($H$17:$H$18)),"Bitte Teilanforderungen ausfüllen",IF(COUNTIF($H$17:$H$18,"zu klären")&gt;0,"zu klären",IF(COUNTIF($H$17:$H$18,"entbehrlich")=COUNTA($H$17:$H$18),"entbehrlich",IF(COUNTIF($H$17:$H$18,"verwiesen")=COUNTA($H$17:$H$18),"verwiesen",IF(COUNTIF($H$17:$H$18,"nein")+COUNTIF($H$17:$H$18,"entbehrlich")=COUNTA($H$17:$H$18),"nein",IF(COUNTIF($H$17:$H$18,"ja")+COUNTIF($H$17:$H$18,"entbehrlich")+COUNTIF($H$17:$H$18,"verwiesen")=COUNTA($H$17:$H$18),"ja","teilweise"))))))</f>
        <v/>
      </c>
      <c r="I16" s="11" t="n"/>
      <c r="J16" s="11" t="n"/>
      <c r="K16" s="11" t="n"/>
      <c r="L16" s="11" t="n"/>
      <c r="M16" s="11" t="inlineStr"/>
      <c r="N16" s="12" t="inlineStr"/>
      <c r="O16" s="11" t="inlineStr"/>
      <c r="P16" s="12" t="inlineStr">
        <is>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is>
      </c>
      <c r="Q16" s="11" t="inlineStr">
        <is>
          <t>Outsourcing</t>
        </is>
      </c>
      <c r="R16" s="11" t="inlineStr">
        <is>
          <t>Outsourcing Strategie</t>
        </is>
      </c>
      <c r="S16" s="12" t="inlineStr">
        <is>
          <t>eine Strategie</t>
        </is>
      </c>
      <c r="T16" s="12" t="inlineStr">
        <is>
          <t>G 0.11 – Ausfall oder Störung von Dienstleistern</t>
        </is>
      </c>
      <c r="U16" s="11" t="n">
        <v>4</v>
      </c>
      <c r="V16" s="11" t="n">
        <v>1</v>
      </c>
      <c r="W16" s="11" t="n">
        <v>1</v>
      </c>
      <c r="X16" s="11" t="n">
        <v>1</v>
      </c>
      <c r="Y16" s="11" t="n">
        <v>0</v>
      </c>
    </row>
    <row r="17">
      <c r="A17" s="11" t="inlineStr">
        <is>
          <t>BES.1.4</t>
        </is>
      </c>
      <c r="B17" s="12" t="inlineStr">
        <is>
          <t>Outsourcing-Strategie</t>
        </is>
      </c>
      <c r="C17" s="11" t="inlineStr">
        <is>
          <t>BES.1.4</t>
        </is>
      </c>
      <c r="D17" s="11" t="inlineStr">
        <is>
          <t>Anforderungen bei erhöhtem Schutzbedarf</t>
        </is>
      </c>
      <c r="E17" s="12" t="inlineStr">
        <is>
          <t>Beschaffungsmanagement für Outsourcing SOLLTE eine Strategie mit Zielen, Chancen und Risiken des Outsourcings verankern.</t>
        </is>
      </c>
      <c r="F17" s="14" t="n"/>
      <c r="G17" s="14" t="n"/>
      <c r="H17" s="14" t="inlineStr">
        <is>
          <t>unbearbeitet</t>
        </is>
      </c>
      <c r="I17" s="14" t="n"/>
      <c r="J17" s="14" t="n"/>
      <c r="K17" s="14" t="n"/>
      <c r="L17" s="15" t="n"/>
      <c r="M17" s="11" t="inlineStr"/>
      <c r="N17" s="12" t="inlineStr"/>
      <c r="O17" s="11" t="inlineStr"/>
      <c r="P17" s="12" t="inlineStr">
        <is>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is>
      </c>
      <c r="Q17" s="11" t="inlineStr">
        <is>
          <t>Outsourcing</t>
        </is>
      </c>
      <c r="R17" s="11" t="inlineStr">
        <is>
          <t>Outsourcing Strategie</t>
        </is>
      </c>
      <c r="S17" s="12" t="inlineStr">
        <is>
          <t>eine Strategie</t>
        </is>
      </c>
      <c r="T17" s="12" t="inlineStr">
        <is>
          <t>G 0.11 – Ausfall oder Störung von Dienstleistern</t>
        </is>
      </c>
      <c r="U17" s="11" t="n">
        <v>4</v>
      </c>
      <c r="V17" s="11" t="n">
        <v>1</v>
      </c>
      <c r="W17" s="11" t="n">
        <v>1</v>
      </c>
      <c r="X17" s="11" t="n">
        <v>1</v>
      </c>
      <c r="Y17" s="11" t="n">
        <v>0</v>
      </c>
    </row>
    <row r="18">
      <c r="A18" s="11" t="inlineStr">
        <is>
          <t>BES.1.4</t>
        </is>
      </c>
      <c r="B18" s="12" t="inlineStr">
        <is>
          <t>Outsourcing-Strategie</t>
        </is>
      </c>
      <c r="C18" s="11" t="inlineStr">
        <is>
          <t>BES.1.4.1</t>
        </is>
      </c>
      <c r="D18" s="11" t="inlineStr">
        <is>
          <t>Standard-Anforderungen</t>
        </is>
      </c>
      <c r="E18" s="12" t="inlineStr">
        <is>
          <t>Beschaffungsmanagement für Outsourcing SOLLTE die Strategie durch die Institutionsleitung autorisieren.</t>
        </is>
      </c>
      <c r="F18" s="14" t="n"/>
      <c r="G18" s="14" t="n"/>
      <c r="H18" s="14" t="inlineStr">
        <is>
          <t>unbearbeitet</t>
        </is>
      </c>
      <c r="I18" s="14" t="n"/>
      <c r="J18" s="14" t="n"/>
      <c r="K18" s="14" t="n"/>
      <c r="L18" s="15" t="n"/>
      <c r="M18" s="11" t="inlineStr"/>
      <c r="N18" s="12" t="inlineStr"/>
      <c r="O18" s="11" t="inlineStr"/>
      <c r="P18" s="12" t="inlineStr">
        <is>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is>
      </c>
      <c r="Q18" s="11" t="inlineStr">
        <is>
          <t>Outsourcing</t>
        </is>
      </c>
      <c r="R18" s="11" t="inlineStr">
        <is>
          <t>Outsourcing Strategie</t>
        </is>
      </c>
      <c r="S18" s="12" t="inlineStr">
        <is>
          <t>die Strategie</t>
        </is>
      </c>
      <c r="T18" s="12" t="inlineStr">
        <is>
          <t>G 0.18 – Fehlplanung oder fehlende Anpassung</t>
        </is>
      </c>
      <c r="U18" s="11" t="n">
        <v>4</v>
      </c>
      <c r="V18" s="11" t="n">
        <v>1</v>
      </c>
      <c r="W18" s="11" t="n">
        <v>1</v>
      </c>
      <c r="X18" s="11" t="n">
        <v>1</v>
      </c>
      <c r="Y18" s="11" t="n">
        <v>0</v>
      </c>
    </row>
    <row r="19">
      <c r="A19" s="9" t="inlineStr">
        <is>
          <t>BES.1.5</t>
        </is>
      </c>
      <c r="B19" s="10" t="inlineStr">
        <is>
          <t>Autorisierung des Bereitstellungsmodells</t>
        </is>
      </c>
      <c r="C19" s="11" t="n"/>
      <c r="D19" s="11" t="inlineStr">
        <is>
          <t>Standard-Anforderungen</t>
        </is>
      </c>
      <c r="E19" s="12" t="inlineStr">
        <is>
          <t>Gesamt:</t>
        </is>
      </c>
      <c r="F19" s="11" t="n"/>
      <c r="G19" s="11" t="n"/>
      <c r="H19" s="13">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
      </c>
      <c r="I19" s="11" t="n"/>
      <c r="J19" s="11" t="n"/>
      <c r="K19" s="11" t="n"/>
      <c r="L19" s="11" t="n"/>
      <c r="M19" s="11" t="inlineStr"/>
      <c r="N19" s="12" t="inlineStr"/>
      <c r="O19" s="11" t="inlineStr"/>
      <c r="P19" s="12" t="inlineStr">
        <is>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is>
      </c>
      <c r="Q19" s="11" t="inlineStr">
        <is>
          <t>Cloud-Dienste</t>
        </is>
      </c>
      <c r="R19" s="11" t="inlineStr">
        <is>
          <t>Beschaffungskriterien</t>
        </is>
      </c>
      <c r="S19" s="12" t="inlineStr">
        <is>
          <t>für jeden Cloud-Dienst das Bereitstellungsmodell</t>
        </is>
      </c>
      <c r="T19" s="12" t="inlineStr">
        <is>
          <t>G 0.18 – Fehlplanung oder fehlende Anpassung</t>
        </is>
      </c>
      <c r="U19" s="11" t="n">
        <v>3</v>
      </c>
      <c r="V19" s="11" t="n">
        <v>1</v>
      </c>
      <c r="W19" s="11" t="n">
        <v>1</v>
      </c>
      <c r="X19" s="11" t="n">
        <v>1</v>
      </c>
      <c r="Y19" s="11" t="n">
        <v>0</v>
      </c>
    </row>
    <row r="20">
      <c r="A20" s="11" t="inlineStr">
        <is>
          <t>BES.1.5</t>
        </is>
      </c>
      <c r="B20" s="12" t="inlineStr">
        <is>
          <t>Autorisierung des Bereitstellungsmodells</t>
        </is>
      </c>
      <c r="C20" s="11" t="inlineStr">
        <is>
          <t>BES.1.5</t>
        </is>
      </c>
      <c r="D20" s="11" t="inlineStr">
        <is>
          <t>Standard-Anforderungen</t>
        </is>
      </c>
      <c r="E20" s="12" t="inlineStr">
        <is>
          <t>Beschaffungsmanagement für Cloud-Dienste SOLLTE für jeden Cloud-Dienst das Bereitstellungsmodell durch eine zuständige Person oder Rolle autorisieren.</t>
        </is>
      </c>
      <c r="F20" s="14" t="n"/>
      <c r="G20" s="14" t="n"/>
      <c r="H20" s="14" t="inlineStr">
        <is>
          <t>unbearbeitet</t>
        </is>
      </c>
      <c r="I20" s="14" t="n"/>
      <c r="J20" s="14" t="n"/>
      <c r="K20" s="14" t="n"/>
      <c r="L20" s="15" t="n"/>
      <c r="M20" s="11" t="inlineStr"/>
      <c r="N20" s="12" t="inlineStr"/>
      <c r="O20" s="11" t="inlineStr"/>
      <c r="P20" s="12" t="inlineStr">
        <is>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is>
      </c>
      <c r="Q20" s="11" t="inlineStr">
        <is>
          <t>Cloud-Dienste</t>
        </is>
      </c>
      <c r="R20" s="11" t="inlineStr">
        <is>
          <t>Beschaffungskriterien</t>
        </is>
      </c>
      <c r="S20" s="12" t="inlineStr">
        <is>
          <t>für jeden Cloud-Dienst das Bereitstellungsmodell</t>
        </is>
      </c>
      <c r="T20" s="12" t="inlineStr">
        <is>
          <t>G 0.18 – Fehlplanung oder fehlende Anpassung</t>
        </is>
      </c>
      <c r="U20" s="11" t="n">
        <v>3</v>
      </c>
      <c r="V20" s="11" t="n">
        <v>1</v>
      </c>
      <c r="W20" s="11" t="n">
        <v>1</v>
      </c>
      <c r="X20" s="11" t="n">
        <v>1</v>
      </c>
      <c r="Y20" s="11" t="n">
        <v>0</v>
      </c>
    </row>
    <row r="21">
      <c r="A21" s="9" t="inlineStr">
        <is>
          <t>BES.1.6</t>
        </is>
      </c>
      <c r="B21" s="10" t="inlineStr">
        <is>
          <t>Dokumentation des Bereitstellungsmodells</t>
        </is>
      </c>
      <c r="C21" s="11" t="n"/>
      <c r="D21" s="11" t="inlineStr">
        <is>
          <t>Standard-Anforderungen</t>
        </is>
      </c>
      <c r="E21" s="12" t="inlineStr">
        <is>
          <t>Gesamt:</t>
        </is>
      </c>
      <c r="F21" s="11" t="n"/>
      <c r="G21" s="11" t="n"/>
      <c r="H21" s="13">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
      </c>
      <c r="I21" s="11" t="n"/>
      <c r="J21" s="11" t="n"/>
      <c r="K21" s="11" t="n"/>
      <c r="L21" s="11" t="n"/>
      <c r="M21" s="11" t="inlineStr"/>
      <c r="N21" s="12" t="inlineStr"/>
      <c r="O21" s="11" t="inlineStr"/>
      <c r="P21" s="12" t="inlineStr">
        <is>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is>
      </c>
      <c r="Q21" s="11" t="inlineStr">
        <is>
          <t>Cloud-Dienste</t>
        </is>
      </c>
      <c r="R21" s="11" t="inlineStr">
        <is>
          <t>Beschaffungskriterien</t>
        </is>
      </c>
      <c r="S21" s="12" t="inlineStr">
        <is>
          <t>für jeden Cloud-Dienst das gewünschte Bereitstellungsmodell</t>
        </is>
      </c>
      <c r="T21" s="12" t="inlineStr">
        <is>
          <t>G 0.18 – Fehlplanung oder fehlende Anpassung; G 0.37 – Abstreiten von Handlungen</t>
        </is>
      </c>
      <c r="U21" s="11" t="n">
        <v>3</v>
      </c>
      <c r="V21" s="11" t="n">
        <v>1</v>
      </c>
      <c r="W21" s="11" t="n">
        <v>1</v>
      </c>
      <c r="X21" s="11" t="n">
        <v>1</v>
      </c>
      <c r="Y21" s="11" t="n">
        <v>0</v>
      </c>
    </row>
    <row r="22">
      <c r="A22" s="11" t="inlineStr">
        <is>
          <t>BES.1.6</t>
        </is>
      </c>
      <c r="B22" s="12" t="inlineStr">
        <is>
          <t>Dokumentation des Bereitstellungsmodells</t>
        </is>
      </c>
      <c r="C22" s="11" t="inlineStr">
        <is>
          <t>BES.1.6</t>
        </is>
      </c>
      <c r="D22" s="11" t="inlineStr">
        <is>
          <t>Standard-Anforderungen</t>
        </is>
      </c>
      <c r="E22" s="12" t="inlineStr">
        <is>
          <t>Beschaffungsmanagement für Cloud-Dienste SOLLTE für jeden Cloud-Dienst das gewünschte Bereitstellungsmodell mit Ausführung der geteilten Verantwortlichkeiten dokumentieren.</t>
        </is>
      </c>
      <c r="F22" s="14" t="n"/>
      <c r="G22" s="14" t="n"/>
      <c r="H22" s="14" t="inlineStr">
        <is>
          <t>unbearbeitet</t>
        </is>
      </c>
      <c r="I22" s="14" t="n"/>
      <c r="J22" s="14" t="n"/>
      <c r="K22" s="14" t="n"/>
      <c r="L22" s="15" t="n"/>
      <c r="M22" s="11" t="inlineStr"/>
      <c r="N22" s="12" t="inlineStr"/>
      <c r="O22" s="11" t="inlineStr"/>
      <c r="P22" s="12" t="inlineStr">
        <is>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is>
      </c>
      <c r="Q22" s="11" t="inlineStr">
        <is>
          <t>Cloud-Dienste</t>
        </is>
      </c>
      <c r="R22" s="11" t="inlineStr">
        <is>
          <t>Beschaffungskriterien</t>
        </is>
      </c>
      <c r="S22" s="12" t="inlineStr">
        <is>
          <t>für jeden Cloud-Dienst das gewünschte Bereitstellungsmodell</t>
        </is>
      </c>
      <c r="T22" s="12" t="inlineStr">
        <is>
          <t>G 0.18 – Fehlplanung oder fehlende Anpassung; G 0.37 – Abstreiten von Handlungen</t>
        </is>
      </c>
      <c r="U22" s="11" t="n">
        <v>3</v>
      </c>
      <c r="V22" s="11" t="n">
        <v>1</v>
      </c>
      <c r="W22" s="11" t="n">
        <v>1</v>
      </c>
      <c r="X22" s="11" t="n">
        <v>1</v>
      </c>
      <c r="Y22" s="11" t="n">
        <v>0</v>
      </c>
    </row>
    <row r="23">
      <c r="A23" s="9" t="inlineStr">
        <is>
          <t>BES.1.7</t>
        </is>
      </c>
      <c r="B23" s="10" t="inlineStr">
        <is>
          <t>Vereinbarung der geteilten Verantwortung</t>
        </is>
      </c>
      <c r="C23" s="11" t="n"/>
      <c r="D23" s="11" t="inlineStr">
        <is>
          <t>Standard-Anforderungen</t>
        </is>
      </c>
      <c r="E23" s="12" t="inlineStr">
        <is>
          <t>Gesamt:</t>
        </is>
      </c>
      <c r="F23" s="11" t="n"/>
      <c r="G23" s="11" t="n"/>
      <c r="H23" s="13">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
      </c>
      <c r="I23" s="11" t="n"/>
      <c r="J23" s="11" t="n"/>
      <c r="K23" s="11" t="n"/>
      <c r="L23" s="11" t="n"/>
      <c r="M23" s="11" t="inlineStr"/>
      <c r="N23" s="12" t="inlineStr"/>
      <c r="O23" s="11" t="inlineStr"/>
      <c r="P23" s="12" t="inlineStr">
        <is>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is>
      </c>
      <c r="Q23" s="11" t="inlineStr">
        <is>
          <t>Cloud-Dienste</t>
        </is>
      </c>
      <c r="R23" s="11" t="inlineStr">
        <is>
          <t>Beschaffungskriterien</t>
        </is>
      </c>
      <c r="S23" s="12" t="inlineStr">
        <is>
          <t>für jeden Cloud-Dienst mit dem Anbieter die geteilte Verantwortung</t>
        </is>
      </c>
      <c r="T23" s="12" t="inlineStr">
        <is>
          <t>G 0.18 – Fehlplanung oder fehlende Anpassung</t>
        </is>
      </c>
      <c r="U23" s="11" t="n">
        <v>3</v>
      </c>
      <c r="V23" s="11" t="n">
        <v>1</v>
      </c>
      <c r="W23" s="11" t="n">
        <v>1</v>
      </c>
      <c r="X23" s="11" t="n">
        <v>1</v>
      </c>
      <c r="Y23" s="11" t="n">
        <v>0</v>
      </c>
    </row>
    <row r="24">
      <c r="A24" s="11" t="inlineStr">
        <is>
          <t>BES.1.7</t>
        </is>
      </c>
      <c r="B24" s="12" t="inlineStr">
        <is>
          <t>Vereinbarung der geteilten Verantwortung</t>
        </is>
      </c>
      <c r="C24" s="11" t="inlineStr">
        <is>
          <t>BES.1.7</t>
        </is>
      </c>
      <c r="D24" s="11" t="inlineStr">
        <is>
          <t>Standard-Anforderungen</t>
        </is>
      </c>
      <c r="E24" s="12" t="inlineStr">
        <is>
          <t>Beschaffungsmanagement für Cloud-Dienste SOLLTE für jeden Cloud-Dienst mit dem Anbieter die geteilte Verantwortung vereinbaren.</t>
        </is>
      </c>
      <c r="F24" s="14" t="n"/>
      <c r="G24" s="14" t="n"/>
      <c r="H24" s="14" t="inlineStr">
        <is>
          <t>unbearbeitet</t>
        </is>
      </c>
      <c r="I24" s="14" t="n"/>
      <c r="J24" s="14" t="n"/>
      <c r="K24" s="14" t="n"/>
      <c r="L24" s="15" t="n"/>
      <c r="M24" s="11" t="inlineStr"/>
      <c r="N24" s="12" t="inlineStr"/>
      <c r="O24" s="11" t="inlineStr"/>
      <c r="P24" s="12" t="inlineStr">
        <is>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is>
      </c>
      <c r="Q24" s="11" t="inlineStr">
        <is>
          <t>Cloud-Dienste</t>
        </is>
      </c>
      <c r="R24" s="11" t="inlineStr">
        <is>
          <t>Beschaffungskriterien</t>
        </is>
      </c>
      <c r="S24" s="12" t="inlineStr">
        <is>
          <t>für jeden Cloud-Dienst mit dem Anbieter die geteilte Verantwortung</t>
        </is>
      </c>
      <c r="T24" s="12" t="inlineStr">
        <is>
          <t>G 0.18 – Fehlplanung oder fehlende Anpassung</t>
        </is>
      </c>
      <c r="U24" s="11" t="n">
        <v>3</v>
      </c>
      <c r="V24" s="11" t="n">
        <v>1</v>
      </c>
      <c r="W24" s="11" t="n">
        <v>1</v>
      </c>
      <c r="X24" s="11" t="n">
        <v>1</v>
      </c>
      <c r="Y24" s="11" t="n">
        <v>0</v>
      </c>
    </row>
    <row r="25">
      <c r="A25" s="9" t="inlineStr">
        <is>
          <t>BES.2.1</t>
        </is>
      </c>
      <c r="B25" s="10" t="inlineStr">
        <is>
          <t>Erfassung des Bedarfes</t>
        </is>
      </c>
      <c r="C25" s="11" t="n"/>
      <c r="D25" s="11" t="inlineStr">
        <is>
          <t>Standard-Anforderungen</t>
        </is>
      </c>
      <c r="E25" s="12" t="inlineStr">
        <is>
          <t>Gesamt:</t>
        </is>
      </c>
      <c r="F25" s="11" t="n"/>
      <c r="G25" s="11" t="n"/>
      <c r="H25" s="13">
        <f>IF(OR(COUNTBLANK($H$26:$H$36)&gt;0,COUNTIF($H$26:$H$36,"unbearbeitet")=COUNTA($H$26:$H$36)),"Bitte Teilanforderungen ausfüllen",IF(COUNTIF($H$26:$H$36,"zu klären")&gt;0,"zu klären",IF(COUNTIF($H$26:$H$36,"entbehrlich")=COUNTA($H$26:$H$36),"entbehrlich",IF(COUNTIF($H$26:$H$36,"verwiesen")=COUNTA($H$26:$H$36),"verwiesen",IF(COUNTIF($H$26:$H$36,"nein")+COUNTIF($H$26:$H$36,"entbehrlich")=COUNTA($H$26:$H$36),"nein",IF(COUNTIF($H$26:$H$36,"ja")+COUNTIF($H$26:$H$36,"entbehrlich")+COUNTIF($H$26:$H$36,"verwiesen")=COUNTA($H$26:$H$36),"ja","teilweise"))))))</f>
        <v/>
      </c>
      <c r="I25" s="11" t="n"/>
      <c r="J25" s="11" t="n"/>
      <c r="K25" s="11" t="n"/>
      <c r="L25" s="11" t="n"/>
      <c r="M25" s="11" t="inlineStr"/>
      <c r="N25" s="12" t="inlineStr"/>
      <c r="O25" s="11" t="inlineStr"/>
      <c r="P25" s="12" t="inlineStr">
        <is>
          <t>Dies umfasst sowohl Bedürfnisse für eine sichere Funktionalität als auch nicht-funktionalen Bedarf wie Datensicherung und Einbindung in das Monitoring.</t>
        </is>
      </c>
      <c r="Q25" s="11" t="inlineStr">
        <is>
          <t>Einkäufe</t>
        </is>
      </c>
      <c r="R25" s="11" t="inlineStr">
        <is>
          <t>Beschaffungskriterien</t>
        </is>
      </c>
      <c r="S25" s="12" t="inlineStr">
        <is>
          <t>den Bedarf</t>
        </is>
      </c>
      <c r="T25" s="12" t="inlineStr">
        <is>
          <t>G 0.18 – Fehlplanung oder fehlende Anpassung</t>
        </is>
      </c>
      <c r="U25" s="11" t="n">
        <v>2</v>
      </c>
      <c r="V25" s="11" t="n">
        <v>1</v>
      </c>
      <c r="W25" s="11" t="n">
        <v>1</v>
      </c>
      <c r="X25" s="11" t="n">
        <v>1</v>
      </c>
      <c r="Y25" s="11" t="n">
        <v>0</v>
      </c>
    </row>
    <row r="26">
      <c r="A26" s="11" t="inlineStr">
        <is>
          <t>BES.2.1</t>
        </is>
      </c>
      <c r="B26" s="12" t="inlineStr">
        <is>
          <t>Erfassung des Bedarfes</t>
        </is>
      </c>
      <c r="C26" s="11" t="inlineStr">
        <is>
          <t>BES.2.1</t>
        </is>
      </c>
      <c r="D26" s="11" t="inlineStr">
        <is>
          <t>Standard-Anforderungen</t>
        </is>
      </c>
      <c r="E26" s="12" t="inlineStr">
        <is>
          <t>Beschaffungsmanagement für Einkäufe SOLLTE den Bedarf anhand einer Leistungsbeschreibung oder einer Umsetzungsstrategie dokumentieren.</t>
        </is>
      </c>
      <c r="F26" s="14" t="n"/>
      <c r="G26" s="14" t="n"/>
      <c r="H26" s="14" t="inlineStr">
        <is>
          <t>unbearbeitet</t>
        </is>
      </c>
      <c r="I26" s="14" t="n"/>
      <c r="J26" s="14" t="n"/>
      <c r="K26" s="14" t="n"/>
      <c r="L26" s="15" t="n"/>
      <c r="M26" s="11" t="inlineStr"/>
      <c r="N26" s="12" t="inlineStr"/>
      <c r="O26" s="11" t="inlineStr"/>
      <c r="P26" s="12" t="inlineStr">
        <is>
          <t>Dies umfasst sowohl Bedürfnisse für eine sichere Funktionalität als auch nicht-funktionalen Bedarf wie Datensicherung und Einbindung in das Monitoring.</t>
        </is>
      </c>
      <c r="Q26" s="11" t="inlineStr">
        <is>
          <t>Einkäufe</t>
        </is>
      </c>
      <c r="R26" s="11" t="inlineStr">
        <is>
          <t>Beschaffungskriterien</t>
        </is>
      </c>
      <c r="S26" s="12" t="inlineStr">
        <is>
          <t>den Bedarf</t>
        </is>
      </c>
      <c r="T26" s="12" t="inlineStr">
        <is>
          <t>G 0.18 – Fehlplanung oder fehlende Anpassung</t>
        </is>
      </c>
      <c r="U26" s="11" t="n">
        <v>2</v>
      </c>
      <c r="V26" s="11" t="n">
        <v>1</v>
      </c>
      <c r="W26" s="11" t="n">
        <v>1</v>
      </c>
      <c r="X26" s="11" t="n">
        <v>1</v>
      </c>
      <c r="Y26" s="11" t="n">
        <v>0</v>
      </c>
    </row>
    <row r="27">
      <c r="A27" s="11" t="inlineStr">
        <is>
          <t>BES.2.1</t>
        </is>
      </c>
      <c r="B27" s="12" t="inlineStr">
        <is>
          <t>Erfassung des Bedarfes</t>
        </is>
      </c>
      <c r="C27" s="11" t="inlineStr">
        <is>
          <t>BES.2.1.1</t>
        </is>
      </c>
      <c r="D27" s="11" t="inlineStr">
        <is>
          <t>Standard-Anforderungen</t>
        </is>
      </c>
      <c r="E27" s="12" t="inlineStr">
        <is>
          <t>Beschaffungsmanagement für IT-Produkte SOLLTE den Verwendungszweck dokumentieren.</t>
        </is>
      </c>
      <c r="F27" s="14" t="n"/>
      <c r="G27" s="14" t="n"/>
      <c r="H27" s="14" t="inlineStr">
        <is>
          <t>unbearbeitet</t>
        </is>
      </c>
      <c r="I27" s="14" t="n"/>
      <c r="J27" s="14" t="n"/>
      <c r="K27" s="14" t="n"/>
      <c r="L27" s="15" t="n"/>
      <c r="M27" s="11" t="inlineStr"/>
      <c r="N27" s="12" t="inlineStr"/>
      <c r="O27" s="11" t="inlineStr"/>
      <c r="P27" s="12" t="inlineStr">
        <is>
          <t>Relevant kann hierbei beispielsweise sein, ob es verschiedene Einsatzszenarien (z.B. Innen- und Außendienst) gibt.</t>
        </is>
      </c>
      <c r="Q27" s="11" t="inlineStr">
        <is>
          <t>IT-Produkte</t>
        </is>
      </c>
      <c r="R27" s="11" t="inlineStr">
        <is>
          <t>Beschaffungskriterien</t>
        </is>
      </c>
      <c r="S27" s="12" t="inlineStr">
        <is>
          <t>den Verwendungszweck</t>
        </is>
      </c>
      <c r="T27" s="12" t="inlineStr">
        <is>
          <t>G 0.18 – Fehlplanung oder fehlende Anpassung</t>
        </is>
      </c>
      <c r="U27" s="11" t="n">
        <v>3</v>
      </c>
      <c r="V27" s="11" t="n">
        <v>1</v>
      </c>
      <c r="W27" s="11" t="n">
        <v>1</v>
      </c>
      <c r="X27" s="11" t="n">
        <v>1</v>
      </c>
      <c r="Y27" s="11" t="n">
        <v>0</v>
      </c>
    </row>
    <row r="28">
      <c r="A28" s="11" t="inlineStr">
        <is>
          <t>BES.2.1</t>
        </is>
      </c>
      <c r="B28" s="12" t="inlineStr">
        <is>
          <t>Erfassung des Bedarfes</t>
        </is>
      </c>
      <c r="C28" s="11" t="inlineStr">
        <is>
          <t>BES.2.1.2</t>
        </is>
      </c>
      <c r="D28" s="11" t="inlineStr">
        <is>
          <t>Standard-Anforderungen</t>
        </is>
      </c>
      <c r="E28" s="12" t="inlineStr">
        <is>
          <t>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is>
      </c>
      <c r="F28" s="14" t="n"/>
      <c r="G28" s="14" t="n"/>
      <c r="H28" s="14" t="inlineStr">
        <is>
          <t>unbearbeitet</t>
        </is>
      </c>
      <c r="I28" s="14" t="n"/>
      <c r="J28" s="14" t="n"/>
      <c r="K28" s="14" t="n"/>
      <c r="L28" s="15" t="n"/>
      <c r="M28" s="11" t="inlineStr"/>
      <c r="N28" s="12" t="inlineStr"/>
      <c r="O28" s="11" t="inlineStr"/>
      <c r="P28" s="12" t="inlineStr">
        <is>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is>
      </c>
      <c r="Q28" s="11" t="inlineStr">
        <is>
          <t>Outsourcing</t>
        </is>
      </c>
      <c r="R28" s="11" t="inlineStr">
        <is>
          <t>Geschäftsprozesse</t>
        </is>
      </c>
      <c r="S28" s="12" t="inlineStr">
        <is>
          <t>Geschäftsprozessprofile für (Teil-)Prozesse, die ausgelagert werden,</t>
        </is>
      </c>
      <c r="T28" s="12" t="inlineStr">
        <is>
          <t>G 0.18 – Fehlplanung oder fehlende Anpassung</t>
        </is>
      </c>
      <c r="U28" s="11" t="n">
        <v>4</v>
      </c>
      <c r="V28" s="11" t="n">
        <v>1</v>
      </c>
      <c r="W28" s="11" t="n">
        <v>1</v>
      </c>
      <c r="X28" s="11" t="n">
        <v>1</v>
      </c>
      <c r="Y28" s="11" t="n">
        <v>0</v>
      </c>
    </row>
    <row r="29">
      <c r="A29" s="11" t="inlineStr">
        <is>
          <t>BES.2.1</t>
        </is>
      </c>
      <c r="B29" s="12" t="inlineStr">
        <is>
          <t>Erfassung des Bedarfes</t>
        </is>
      </c>
      <c r="C29" s="11" t="inlineStr">
        <is>
          <t>BES.2.1.3</t>
        </is>
      </c>
      <c r="D29" s="11" t="inlineStr">
        <is>
          <t>Standard-Anforderungen</t>
        </is>
      </c>
      <c r="E29" s="12" t="inlineStr">
        <is>
          <t>Beschaffungsmanagement für IT-Produkte SOLLTE Systemvoraussetzungen dokumentieren.</t>
        </is>
      </c>
      <c r="F29" s="14" t="n"/>
      <c r="G29" s="14" t="n"/>
      <c r="H29" s="14" t="inlineStr">
        <is>
          <t>unbearbeitet</t>
        </is>
      </c>
      <c r="I29" s="14" t="n"/>
      <c r="J29" s="14" t="n"/>
      <c r="K29" s="14" t="n"/>
      <c r="L29" s="15" t="n"/>
      <c r="M29" s="11" t="inlineStr"/>
      <c r="N29" s="12" t="inlineStr"/>
      <c r="O29" s="11" t="inlineStr"/>
      <c r="P29" s="12" t="inlineStr">
        <is>
          <t>Hierzu können sowohl Hardwareparameter gehören (z.B. 8 GB RAM, TPM 2.0), als auch Voraussetzungen an Betriebssysteme (z.B. Lauffähigkeit nur auf bestimmten Betriebssystemen oder bei Unterstützung bestimmter Funktionen), auf denen der Einsatz geplant ist.</t>
        </is>
      </c>
      <c r="Q29" s="11" t="inlineStr">
        <is>
          <t>IT-Produkte</t>
        </is>
      </c>
      <c r="R29" s="11" t="inlineStr">
        <is>
          <t>Beschaffungskriterien</t>
        </is>
      </c>
      <c r="S29" s="12" t="inlineStr">
        <is>
          <t>Systemvoraussetzungen</t>
        </is>
      </c>
      <c r="T29" s="12" t="inlineStr">
        <is>
          <t>G 0.18 – Fehlplanung oder fehlende Anpassung</t>
        </is>
      </c>
      <c r="U29" s="11" t="n">
        <v>3</v>
      </c>
      <c r="V29" s="11" t="n">
        <v>1</v>
      </c>
      <c r="W29" s="11" t="n">
        <v>1</v>
      </c>
      <c r="X29" s="11" t="n">
        <v>1</v>
      </c>
      <c r="Y29" s="11" t="n">
        <v>0</v>
      </c>
    </row>
    <row r="30">
      <c r="A30" s="11" t="inlineStr">
        <is>
          <t>BES.2.1</t>
        </is>
      </c>
      <c r="B30" s="12" t="inlineStr">
        <is>
          <t>Erfassung des Bedarfes</t>
        </is>
      </c>
      <c r="C30" s="11" t="inlineStr">
        <is>
          <t>BES.2.1.4</t>
        </is>
      </c>
      <c r="D30" s="11" t="inlineStr">
        <is>
          <t>Standard-Anforderungen</t>
        </is>
      </c>
      <c r="E30" s="12" t="inlineStr">
        <is>
          <t>Beschaffungsmanagement für Einkäufe SOLLTE den Bedarf für die Kompatibilität mit der bestehenden Infrastruktur dokumentieren.</t>
        </is>
      </c>
      <c r="F30" s="14" t="n"/>
      <c r="G30" s="14" t="n"/>
      <c r="H30" s="14" t="inlineStr">
        <is>
          <t>unbearbeitet</t>
        </is>
      </c>
      <c r="I30" s="14" t="n"/>
      <c r="J30" s="14" t="n"/>
      <c r="K30" s="14" t="n"/>
      <c r="L30" s="15" t="n"/>
      <c r="M30" s="11" t="inlineStr"/>
      <c r="N30" s="12" t="inlineStr"/>
      <c r="O30" s="11" t="inlineStr"/>
      <c r="P30" s="12" t="inlineStr">
        <is>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is>
      </c>
      <c r="Q30" s="11" t="inlineStr">
        <is>
          <t>Einkäufe</t>
        </is>
      </c>
      <c r="R30" s="11" t="inlineStr">
        <is>
          <t>Beschaffungskriterien</t>
        </is>
      </c>
      <c r="S30" s="12" t="inlineStr">
        <is>
          <t>den Bedarf für die Kompatibilität mit der bestehenden Infrastruktur</t>
        </is>
      </c>
      <c r="T30" s="12" t="inlineStr">
        <is>
          <t>G 0.18 – Fehlplanung oder fehlende Anpassung</t>
        </is>
      </c>
      <c r="U30" s="11" t="n">
        <v>3</v>
      </c>
      <c r="V30" s="11" t="n">
        <v>1</v>
      </c>
      <c r="W30" s="11" t="n">
        <v>1</v>
      </c>
      <c r="X30" s="11" t="n">
        <v>1</v>
      </c>
      <c r="Y30" s="11" t="n">
        <v>0</v>
      </c>
    </row>
    <row r="31">
      <c r="A31" s="11" t="inlineStr">
        <is>
          <t>BES.2.1</t>
        </is>
      </c>
      <c r="B31" s="12" t="inlineStr">
        <is>
          <t>Erfassung des Bedarfes</t>
        </is>
      </c>
      <c r="C31" s="11" t="inlineStr">
        <is>
          <t>BES.2.1.4.1</t>
        </is>
      </c>
      <c r="D31" s="11" t="inlineStr">
        <is>
          <t>Standard-Anforderungen</t>
        </is>
      </c>
      <c r="E31" s="12" t="inlineStr">
        <is>
          <t>Beschaffungsmanagement für Einkäufe SOLLTE den Bedarf für die Kompatibilität im Hinblick auf Schnittstellen dokumentieren.</t>
        </is>
      </c>
      <c r="F31" s="14" t="n"/>
      <c r="G31" s="14" t="n"/>
      <c r="H31" s="14" t="inlineStr">
        <is>
          <t>unbearbeitet</t>
        </is>
      </c>
      <c r="I31" s="14" t="n"/>
      <c r="J31" s="14" t="n"/>
      <c r="K31" s="14" t="n"/>
      <c r="L31" s="15" t="n"/>
      <c r="M31" s="11" t="inlineStr"/>
      <c r="N31" s="12" t="inlineStr"/>
      <c r="O31" s="11" t="inlineStr"/>
      <c r="P31" s="12" t="inlineStr">
        <is>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is>
      </c>
      <c r="Q31" s="11" t="inlineStr">
        <is>
          <t>Einkäufe</t>
        </is>
      </c>
      <c r="R31" s="11" t="inlineStr">
        <is>
          <t>Beschaffungskriterien</t>
        </is>
      </c>
      <c r="S31" s="12" t="inlineStr">
        <is>
          <t>den Bedarf für die Kompatibilität</t>
        </is>
      </c>
      <c r="T31" s="12" t="inlineStr">
        <is>
          <t>G 0.18 – Fehlplanung oder fehlende Anpassung</t>
        </is>
      </c>
      <c r="U31" s="11" t="n">
        <v>4</v>
      </c>
      <c r="V31" s="11" t="n">
        <v>1</v>
      </c>
      <c r="W31" s="11" t="n">
        <v>1</v>
      </c>
      <c r="X31" s="11" t="n">
        <v>1</v>
      </c>
      <c r="Y31" s="11" t="n">
        <v>0</v>
      </c>
    </row>
    <row r="32">
      <c r="A32" s="11" t="inlineStr">
        <is>
          <t>BES.2.1</t>
        </is>
      </c>
      <c r="B32" s="12" t="inlineStr">
        <is>
          <t>Erfassung des Bedarfes</t>
        </is>
      </c>
      <c r="C32" s="11" t="inlineStr">
        <is>
          <t>BES.2.1.4.2</t>
        </is>
      </c>
      <c r="D32" s="11" t="inlineStr">
        <is>
          <t>Standard-Anforderungen</t>
        </is>
      </c>
      <c r="E32" s="12" t="inlineStr">
        <is>
          <t>Beschaffungsmanagement für Einkäufe SOLLTE den Bedarf für die Kompatibilität im Hinblick auf die Netzanbindung dokumentieren.</t>
        </is>
      </c>
      <c r="F32" s="14" t="n"/>
      <c r="G32" s="14" t="n"/>
      <c r="H32" s="14" t="inlineStr">
        <is>
          <t>unbearbeitet</t>
        </is>
      </c>
      <c r="I32" s="14" t="n"/>
      <c r="J32" s="14" t="n"/>
      <c r="K32" s="14" t="n"/>
      <c r="L32" s="15" t="n"/>
      <c r="M32" s="11" t="inlineStr"/>
      <c r="N32" s="12" t="inlineStr"/>
      <c r="O32" s="11" t="inlineStr"/>
      <c r="P32" s="12" t="inlineStr">
        <is>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is>
      </c>
      <c r="Q32" s="11" t="inlineStr">
        <is>
          <t>Einkäufe</t>
        </is>
      </c>
      <c r="R32" s="11" t="inlineStr">
        <is>
          <t>Beschaffungskriterien</t>
        </is>
      </c>
      <c r="S32" s="12" t="inlineStr">
        <is>
          <t>den Bedarf für die Kompatibilität</t>
        </is>
      </c>
      <c r="T32" s="12" t="inlineStr">
        <is>
          <t>G 0.18 – Fehlplanung oder fehlende Anpassung</t>
        </is>
      </c>
      <c r="U32" s="11" t="n">
        <v>4</v>
      </c>
      <c r="V32" s="11" t="n">
        <v>1</v>
      </c>
      <c r="W32" s="11" t="n">
        <v>1</v>
      </c>
      <c r="X32" s="11" t="n">
        <v>1</v>
      </c>
      <c r="Y32" s="11" t="n">
        <v>0</v>
      </c>
    </row>
    <row r="33">
      <c r="A33" s="11" t="inlineStr">
        <is>
          <t>BES.2.1</t>
        </is>
      </c>
      <c r="B33" s="12" t="inlineStr">
        <is>
          <t>Erfassung des Bedarfes</t>
        </is>
      </c>
      <c r="C33" s="11" t="inlineStr">
        <is>
          <t>BES.2.1.4.3</t>
        </is>
      </c>
      <c r="D33" s="11" t="inlineStr">
        <is>
          <t>Standard-Anforderungen</t>
        </is>
      </c>
      <c r="E33" s="12" t="inlineStr">
        <is>
          <t>Beschaffungsmanagement für Einkäufe SOLLTE den Bedarf für die Kompatibilität im Hinblick auf das Administrationsmodell dokumentieren.</t>
        </is>
      </c>
      <c r="F33" s="14" t="n"/>
      <c r="G33" s="14" t="n"/>
      <c r="H33" s="14" t="inlineStr">
        <is>
          <t>unbearbeitet</t>
        </is>
      </c>
      <c r="I33" s="14" t="n"/>
      <c r="J33" s="14" t="n"/>
      <c r="K33" s="14" t="n"/>
      <c r="L33" s="15" t="n"/>
      <c r="M33" s="11" t="inlineStr"/>
      <c r="N33" s="12" t="inlineStr"/>
      <c r="O33" s="11" t="inlineStr"/>
      <c r="P33" s="12" t="inlineStr">
        <is>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is>
      </c>
      <c r="Q33" s="11" t="inlineStr">
        <is>
          <t>Einkäufe</t>
        </is>
      </c>
      <c r="R33" s="11" t="inlineStr">
        <is>
          <t>Beschaffungskriterien</t>
        </is>
      </c>
      <c r="S33" s="12" t="inlineStr">
        <is>
          <t>den Bedarf für die Kompatibilität</t>
        </is>
      </c>
      <c r="T33" s="12" t="inlineStr">
        <is>
          <t>G 0.37 – Abstreiten von Handlungen</t>
        </is>
      </c>
      <c r="U33" s="11" t="n">
        <v>4</v>
      </c>
      <c r="V33" s="11" t="n">
        <v>1</v>
      </c>
      <c r="W33" s="11" t="n">
        <v>1</v>
      </c>
      <c r="X33" s="11" t="n">
        <v>0</v>
      </c>
      <c r="Y33" s="11" t="n">
        <v>1</v>
      </c>
    </row>
    <row r="34">
      <c r="A34" s="11" t="inlineStr">
        <is>
          <t>BES.2.1</t>
        </is>
      </c>
      <c r="B34" s="12" t="inlineStr">
        <is>
          <t>Erfassung des Bedarfes</t>
        </is>
      </c>
      <c r="C34" s="11" t="inlineStr">
        <is>
          <t>BES.2.1.4.4</t>
        </is>
      </c>
      <c r="D34" s="11" t="inlineStr">
        <is>
          <t>Standard-Anforderungen</t>
        </is>
      </c>
      <c r="E34" s="12" t="inlineStr">
        <is>
          <t>Beschaffungsmanagement für Einkäufe SOLLTE den Bedarf für die Kompatibilität im Hinblick auf das Datenmanagementmodell dokumentieren.</t>
        </is>
      </c>
      <c r="F34" s="14" t="n"/>
      <c r="G34" s="14" t="n"/>
      <c r="H34" s="14" t="inlineStr">
        <is>
          <t>unbearbeitet</t>
        </is>
      </c>
      <c r="I34" s="14" t="n"/>
      <c r="J34" s="14" t="n"/>
      <c r="K34" s="14" t="n"/>
      <c r="L34" s="15" t="n"/>
      <c r="M34" s="11" t="inlineStr"/>
      <c r="N34" s="12" t="inlineStr"/>
      <c r="O34" s="11" t="inlineStr"/>
      <c r="P34" s="12" t="inlineStr">
        <is>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is>
      </c>
      <c r="Q34" s="11" t="inlineStr">
        <is>
          <t>Einkäufe</t>
        </is>
      </c>
      <c r="R34" s="11" t="inlineStr">
        <is>
          <t>Beschaffungskriterien</t>
        </is>
      </c>
      <c r="S34" s="12" t="inlineStr">
        <is>
          <t>den Bedarf für die Kompatibilität</t>
        </is>
      </c>
      <c r="T34" s="12" t="inlineStr">
        <is>
          <t>G 0.18 – Fehlplanung oder fehlende Anpassung</t>
        </is>
      </c>
      <c r="U34" s="11" t="n">
        <v>4</v>
      </c>
      <c r="V34" s="11" t="n">
        <v>1</v>
      </c>
      <c r="W34" s="11" t="n">
        <v>1</v>
      </c>
      <c r="X34" s="11" t="n">
        <v>1</v>
      </c>
      <c r="Y34" s="11" t="n">
        <v>0</v>
      </c>
    </row>
    <row r="35">
      <c r="A35" s="11" t="inlineStr">
        <is>
          <t>BES.2.1</t>
        </is>
      </c>
      <c r="B35" s="12" t="inlineStr">
        <is>
          <t>Erfassung des Bedarfes</t>
        </is>
      </c>
      <c r="C35" s="11" t="inlineStr">
        <is>
          <t>BES.2.1.5</t>
        </is>
      </c>
      <c r="D35" s="11" t="inlineStr">
        <is>
          <t>Standard-Anforderungen</t>
        </is>
      </c>
      <c r="E35" s="12" t="inlineStr">
        <is>
          <t>Beschaffungsmanagement für IT-Produkte SOLLTE für den geplanten Einsatzzeitraum erforderliche Lizenzen dokumentieren.</t>
        </is>
      </c>
      <c r="F35" s="14" t="n"/>
      <c r="G35" s="14" t="n"/>
      <c r="H35" s="14" t="inlineStr">
        <is>
          <t>unbearbeitet</t>
        </is>
      </c>
      <c r="I35" s="14" t="n"/>
      <c r="J35" s="14" t="n"/>
      <c r="K35" s="14" t="n"/>
      <c r="L35" s="15" t="n"/>
      <c r="M35" s="11" t="inlineStr"/>
      <c r="N35" s="12" t="inlineStr"/>
      <c r="O35" s="11" t="inlineStr"/>
      <c r="P35" s="12" t="inlineStr">
        <is>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is>
      </c>
      <c r="Q35" s="11" t="inlineStr">
        <is>
          <t>IT-Produkte</t>
        </is>
      </c>
      <c r="R35" s="11" t="inlineStr">
        <is>
          <t>Beschaffungskriterien</t>
        </is>
      </c>
      <c r="S35" s="12" t="inlineStr">
        <is>
          <t>für den geplanten Einsatzzeitraum erforderliche Lizenzen</t>
        </is>
      </c>
      <c r="T35" s="12" t="inlineStr">
        <is>
          <t>G 0.18 – Fehlplanung oder fehlende Anpassung</t>
        </is>
      </c>
      <c r="U35" s="11" t="n">
        <v>3</v>
      </c>
      <c r="V35" s="11" t="n">
        <v>1</v>
      </c>
      <c r="W35" s="11" t="n">
        <v>1</v>
      </c>
      <c r="X35" s="11" t="n">
        <v>1</v>
      </c>
      <c r="Y35" s="11" t="n">
        <v>0</v>
      </c>
    </row>
    <row r="36">
      <c r="A36" s="11" t="inlineStr">
        <is>
          <t>BES.2.1</t>
        </is>
      </c>
      <c r="B36" s="12" t="inlineStr">
        <is>
          <t>Erfassung des Bedarfes</t>
        </is>
      </c>
      <c r="C36" s="11" t="inlineStr">
        <is>
          <t>BES.2.1.6</t>
        </is>
      </c>
      <c r="D36" s="11" t="inlineStr">
        <is>
          <t>Standard-Anforderungen</t>
        </is>
      </c>
      <c r="E36" s="12" t="inlineStr">
        <is>
          <t>Beschaffungsmanagement für IT-Produkte SOLLTE den Bedarf an Support- und Wartungsverträgen basierend auf dem Schutzbedarf für Verfügbarkeit dokumentieren.</t>
        </is>
      </c>
      <c r="F36" s="14" t="n"/>
      <c r="G36" s="14" t="n"/>
      <c r="H36" s="14" t="inlineStr">
        <is>
          <t>unbearbeitet</t>
        </is>
      </c>
      <c r="I36" s="14" t="n"/>
      <c r="J36" s="14" t="n"/>
      <c r="K36" s="14" t="n"/>
      <c r="L36" s="15" t="n"/>
      <c r="M36" s="11" t="inlineStr"/>
      <c r="N36" s="12" t="inlineStr"/>
      <c r="O36" s="11" t="inlineStr"/>
      <c r="P36" s="12" t="inlineStr">
        <is>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is>
      </c>
      <c r="Q36" s="11" t="inlineStr">
        <is>
          <t>IT-Produkte</t>
        </is>
      </c>
      <c r="R36" s="11" t="inlineStr">
        <is>
          <t>Beschaffungskriterien</t>
        </is>
      </c>
      <c r="S36" s="12" t="inlineStr">
        <is>
          <t>den Bedarf an Support- und Wartungsverträgen</t>
        </is>
      </c>
      <c r="T36" s="12" t="inlineStr">
        <is>
          <t>G 0.18 – Fehlplanung oder fehlende Anpassung</t>
        </is>
      </c>
      <c r="U36" s="11" t="n">
        <v>3</v>
      </c>
      <c r="V36" s="11" t="n">
        <v>1</v>
      </c>
      <c r="W36" s="11" t="n">
        <v>1</v>
      </c>
      <c r="X36" s="11" t="n">
        <v>1</v>
      </c>
      <c r="Y36" s="11" t="n">
        <v>0</v>
      </c>
    </row>
    <row r="37">
      <c r="A37" s="9" t="inlineStr">
        <is>
          <t>BES.2.2</t>
        </is>
      </c>
      <c r="B37" s="10" t="inlineStr">
        <is>
          <t>Dokumentation des Rechtsraums und der Datenlokation</t>
        </is>
      </c>
      <c r="C37" s="11" t="n"/>
      <c r="D37" s="11" t="inlineStr">
        <is>
          <t>Standard-Anforderungen</t>
        </is>
      </c>
      <c r="E37" s="12" t="inlineStr">
        <is>
          <t>Gesamt:</t>
        </is>
      </c>
      <c r="F37" s="11" t="n"/>
      <c r="G37" s="11" t="n"/>
      <c r="H37" s="13">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
      </c>
      <c r="I37" s="11" t="n"/>
      <c r="J37" s="11" t="n"/>
      <c r="K37" s="11" t="n"/>
      <c r="L37" s="11" t="n"/>
      <c r="M37" s="11" t="inlineStr">
        <is>
          <t>Vertraulichkeit, Integrität</t>
        </is>
      </c>
      <c r="N37" s="12" t="inlineStr"/>
      <c r="O37" s="11" t="inlineStr"/>
      <c r="P37" s="12" t="inlineStr">
        <is>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is>
      </c>
      <c r="Q37" s="11" t="inlineStr">
        <is>
          <t>Cloud-Dienste</t>
        </is>
      </c>
      <c r="R37" s="11" t="inlineStr">
        <is>
          <t>Geschäftsprozesse</t>
        </is>
      </c>
      <c r="S37" s="12" t="inlineStr">
        <is>
          <t>Rechtsraum und Datenlokation</t>
        </is>
      </c>
      <c r="T37" s="12" t="inlineStr">
        <is>
          <t>G 0.18 – Fehlplanung oder fehlende Anpassung; G 0.37 – Abstreiten von Handlungen</t>
        </is>
      </c>
      <c r="U37" s="11" t="n">
        <v>4</v>
      </c>
      <c r="V37" s="11" t="n">
        <v>2</v>
      </c>
      <c r="W37" s="11" t="n">
        <v>2</v>
      </c>
      <c r="X37" s="11" t="n">
        <v>1</v>
      </c>
      <c r="Y37" s="11" t="n">
        <v>1</v>
      </c>
    </row>
    <row r="38">
      <c r="A38" s="11" t="inlineStr">
        <is>
          <t>BES.2.2</t>
        </is>
      </c>
      <c r="B38" s="12" t="inlineStr">
        <is>
          <t>Dokumentation des Rechtsraums und der Datenlokation</t>
        </is>
      </c>
      <c r="C38" s="11" t="inlineStr">
        <is>
          <t>BES.2.2</t>
        </is>
      </c>
      <c r="D38" s="11" t="inlineStr">
        <is>
          <t>Standard-Anforderungen</t>
        </is>
      </c>
      <c r="E38" s="12" t="inlineStr">
        <is>
          <t>Beschaffungsmanagement für Cloud-Dienste SOLLTE Rechtsraum und Datenlokation dokumentieren.</t>
        </is>
      </c>
      <c r="F38" s="14" t="n"/>
      <c r="G38" s="14" t="n"/>
      <c r="H38" s="14" t="inlineStr">
        <is>
          <t>unbearbeitet</t>
        </is>
      </c>
      <c r="I38" s="14" t="n"/>
      <c r="J38" s="14" t="n"/>
      <c r="K38" s="14" t="n"/>
      <c r="L38" s="15" t="n"/>
      <c r="M38" s="11" t="inlineStr">
        <is>
          <t>Vertraulichkeit, Integrität</t>
        </is>
      </c>
      <c r="N38" s="12" t="inlineStr"/>
      <c r="O38" s="11" t="inlineStr"/>
      <c r="P38" s="12" t="inlineStr">
        <is>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is>
      </c>
      <c r="Q38" s="11" t="inlineStr">
        <is>
          <t>Cloud-Dienste</t>
        </is>
      </c>
      <c r="R38" s="11" t="inlineStr">
        <is>
          <t>Geschäftsprozesse</t>
        </is>
      </c>
      <c r="S38" s="12" t="inlineStr">
        <is>
          <t>Rechtsraum und Datenlokation</t>
        </is>
      </c>
      <c r="T38" s="12" t="inlineStr">
        <is>
          <t>G 0.18 – Fehlplanung oder fehlende Anpassung; G 0.37 – Abstreiten von Handlungen</t>
        </is>
      </c>
      <c r="U38" s="11" t="n">
        <v>4</v>
      </c>
      <c r="V38" s="11" t="n">
        <v>2</v>
      </c>
      <c r="W38" s="11" t="n">
        <v>2</v>
      </c>
      <c r="X38" s="11" t="n">
        <v>1</v>
      </c>
      <c r="Y38" s="11" t="n">
        <v>1</v>
      </c>
    </row>
    <row r="39">
      <c r="A39" s="9" t="inlineStr">
        <is>
          <t>BES.2.3</t>
        </is>
      </c>
      <c r="B39" s="10" t="inlineStr">
        <is>
          <t>Vereinbarung des Rechtsraums und der Datenlokation</t>
        </is>
      </c>
      <c r="C39" s="11" t="n"/>
      <c r="D39" s="11" t="inlineStr">
        <is>
          <t>Anforderungen bei erhöhtem Schutzbedarf</t>
        </is>
      </c>
      <c r="E39" s="12" t="inlineStr">
        <is>
          <t>Gesamt:</t>
        </is>
      </c>
      <c r="F39" s="11" t="n"/>
      <c r="G39" s="11" t="n"/>
      <c r="H39" s="13">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
      </c>
      <c r="I39" s="11" t="n"/>
      <c r="J39" s="11" t="n"/>
      <c r="K39" s="11" t="n"/>
      <c r="L39" s="11" t="n"/>
      <c r="M39" s="11" t="inlineStr"/>
      <c r="N39" s="12" t="inlineStr"/>
      <c r="O39" s="11" t="inlineStr"/>
      <c r="P39" s="12" t="inlineStr">
        <is>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is>
      </c>
      <c r="Q39" s="11" t="inlineStr">
        <is>
          <t>Cloud-Dienste</t>
        </is>
      </c>
      <c r="R39" s="11" t="inlineStr">
        <is>
          <t>Beschaffungskriterien</t>
        </is>
      </c>
      <c r="S39" s="12" t="inlineStr">
        <is>
          <t>Rechtsraum und Datenlokation mit dem Anbieter</t>
        </is>
      </c>
      <c r="T39" s="12" t="inlineStr">
        <is>
          <t>G 0.18 – Fehlplanung oder fehlende Anpassung</t>
        </is>
      </c>
      <c r="U39" s="11" t="n">
        <v>4</v>
      </c>
      <c r="V39" s="11" t="n">
        <v>1</v>
      </c>
      <c r="W39" s="11" t="n">
        <v>1</v>
      </c>
      <c r="X39" s="11" t="n">
        <v>1</v>
      </c>
      <c r="Y39" s="11" t="n">
        <v>0</v>
      </c>
    </row>
    <row r="40">
      <c r="A40" s="11" t="inlineStr">
        <is>
          <t>BES.2.3</t>
        </is>
      </c>
      <c r="B40" s="12" t="inlineStr">
        <is>
          <t>Vereinbarung des Rechtsraums und der Datenlokation</t>
        </is>
      </c>
      <c r="C40" s="11" t="inlineStr">
        <is>
          <t>BES.2.3</t>
        </is>
      </c>
      <c r="D40" s="11" t="inlineStr">
        <is>
          <t>Anforderungen bei erhöhtem Schutzbedarf</t>
        </is>
      </c>
      <c r="E40" s="12" t="inlineStr">
        <is>
          <t>Beschaffungsmanagement für Cloud-Dienste KANN Rechtsraum und Datenlokation mit dem Anbieter vereinbaren.</t>
        </is>
      </c>
      <c r="F40" s="14" t="n"/>
      <c r="G40" s="14" t="n"/>
      <c r="H40" s="14" t="inlineStr">
        <is>
          <t>unbearbeitet</t>
        </is>
      </c>
      <c r="I40" s="14" t="n"/>
      <c r="J40" s="14" t="n"/>
      <c r="K40" s="14" t="n"/>
      <c r="L40" s="15" t="n"/>
      <c r="M40" s="11" t="inlineStr"/>
      <c r="N40" s="12" t="inlineStr"/>
      <c r="O40" s="11" t="inlineStr"/>
      <c r="P40" s="12" t="inlineStr">
        <is>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is>
      </c>
      <c r="Q40" s="11" t="inlineStr">
        <is>
          <t>Cloud-Dienste</t>
        </is>
      </c>
      <c r="R40" s="11" t="inlineStr">
        <is>
          <t>Beschaffungskriterien</t>
        </is>
      </c>
      <c r="S40" s="12" t="inlineStr">
        <is>
          <t>Rechtsraum und Datenlokation mit dem Anbieter</t>
        </is>
      </c>
      <c r="T40" s="12" t="inlineStr">
        <is>
          <t>G 0.18 – Fehlplanung oder fehlende Anpassung</t>
        </is>
      </c>
      <c r="U40" s="11" t="n">
        <v>4</v>
      </c>
      <c r="V40" s="11" t="n">
        <v>1</v>
      </c>
      <c r="W40" s="11" t="n">
        <v>1</v>
      </c>
      <c r="X40" s="11" t="n">
        <v>1</v>
      </c>
      <c r="Y40" s="11" t="n">
        <v>0</v>
      </c>
    </row>
    <row r="41">
      <c r="A41" s="9" t="inlineStr">
        <is>
          <t>BES.2.4</t>
        </is>
      </c>
      <c r="B41" s="10" t="inlineStr">
        <is>
          <t>Anhörung Nutzender</t>
        </is>
      </c>
      <c r="C41" s="11" t="n"/>
      <c r="D41" s="11" t="inlineStr">
        <is>
          <t>Standard-Anforderungen</t>
        </is>
      </c>
      <c r="E41" s="12" t="inlineStr">
        <is>
          <t>Gesamt:</t>
        </is>
      </c>
      <c r="F41" s="11" t="n"/>
      <c r="G41" s="11" t="n"/>
      <c r="H41" s="13">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
      </c>
      <c r="I41" s="11" t="n"/>
      <c r="J41" s="11" t="n"/>
      <c r="K41" s="11" t="n"/>
      <c r="L41" s="11" t="n"/>
      <c r="M41" s="11" t="inlineStr"/>
      <c r="N41" s="12" t="inlineStr"/>
      <c r="O41" s="11" t="inlineStr"/>
      <c r="P41" s="12" t="inlineStr">
        <is>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is>
      </c>
      <c r="Q41" s="11" t="inlineStr">
        <is>
          <t>Einkäufe</t>
        </is>
      </c>
      <c r="R41" s="11" t="inlineStr">
        <is>
          <t>Prozess Beschaffung</t>
        </is>
      </c>
      <c r="S41" s="12" t="inlineStr">
        <is>
          <t>Nutzende</t>
        </is>
      </c>
      <c r="T41" s="12" t="inlineStr">
        <is>
          <t>G 0.18 – Fehlplanung oder fehlende Anpassung</t>
        </is>
      </c>
      <c r="U41" s="11" t="n">
        <v>2</v>
      </c>
      <c r="V41" s="11" t="n">
        <v>1</v>
      </c>
      <c r="W41" s="11" t="n">
        <v>1</v>
      </c>
      <c r="X41" s="11" t="n">
        <v>1</v>
      </c>
      <c r="Y41" s="11" t="n">
        <v>0</v>
      </c>
    </row>
    <row r="42">
      <c r="A42" s="11" t="inlineStr">
        <is>
          <t>BES.2.4</t>
        </is>
      </c>
      <c r="B42" s="12" t="inlineStr">
        <is>
          <t>Anhörung Nutzender</t>
        </is>
      </c>
      <c r="C42" s="11" t="inlineStr">
        <is>
          <t>BES.2.4</t>
        </is>
      </c>
      <c r="D42" s="11" t="inlineStr">
        <is>
          <t>Standard-Anforderungen</t>
        </is>
      </c>
      <c r="E42" s="12" t="inlineStr">
        <is>
          <t>Beschaffungsmanagement für Einkäufe SOLLTE Nutzende bei der Bedarfserfassung anhören.</t>
        </is>
      </c>
      <c r="F42" s="14" t="n"/>
      <c r="G42" s="14" t="n"/>
      <c r="H42" s="14" t="inlineStr">
        <is>
          <t>unbearbeitet</t>
        </is>
      </c>
      <c r="I42" s="14" t="n"/>
      <c r="J42" s="14" t="n"/>
      <c r="K42" s="14" t="n"/>
      <c r="L42" s="15" t="n"/>
      <c r="M42" s="11" t="inlineStr"/>
      <c r="N42" s="12" t="inlineStr"/>
      <c r="O42" s="11" t="inlineStr"/>
      <c r="P42" s="12" t="inlineStr">
        <is>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is>
      </c>
      <c r="Q42" s="11" t="inlineStr">
        <is>
          <t>Einkäufe</t>
        </is>
      </c>
      <c r="R42" s="11" t="inlineStr">
        <is>
          <t>Prozess Beschaffung</t>
        </is>
      </c>
      <c r="S42" s="12" t="inlineStr">
        <is>
          <t>Nutzende</t>
        </is>
      </c>
      <c r="T42" s="12" t="inlineStr">
        <is>
          <t>G 0.18 – Fehlplanung oder fehlende Anpassung</t>
        </is>
      </c>
      <c r="U42" s="11" t="n">
        <v>2</v>
      </c>
      <c r="V42" s="11" t="n">
        <v>1</v>
      </c>
      <c r="W42" s="11" t="n">
        <v>1</v>
      </c>
      <c r="X42" s="11" t="n">
        <v>1</v>
      </c>
      <c r="Y42" s="11" t="n">
        <v>0</v>
      </c>
    </row>
    <row r="43">
      <c r="A43" s="9" t="inlineStr">
        <is>
          <t>BES.2.5</t>
        </is>
      </c>
      <c r="B43" s="10" t="inlineStr">
        <is>
          <t>Anhörung Administrierender</t>
        </is>
      </c>
      <c r="C43" s="11" t="n"/>
      <c r="D43" s="11" t="inlineStr">
        <is>
          <t>Standard-Anforderungen</t>
        </is>
      </c>
      <c r="E43" s="12" t="inlineStr">
        <is>
          <t>Gesamt:</t>
        </is>
      </c>
      <c r="F43" s="11" t="n"/>
      <c r="G43" s="11" t="n"/>
      <c r="H43" s="13">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
      </c>
      <c r="I43" s="11" t="n"/>
      <c r="J43" s="11" t="n"/>
      <c r="K43" s="11" t="n"/>
      <c r="L43" s="11" t="n"/>
      <c r="M43" s="11" t="inlineStr"/>
      <c r="N43" s="12" t="inlineStr"/>
      <c r="O43" s="11" t="inlineStr"/>
      <c r="P43" s="12" t="inlineStr">
        <is>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is>
      </c>
      <c r="Q43" s="11" t="inlineStr">
        <is>
          <t>Einkäufe</t>
        </is>
      </c>
      <c r="R43" s="11" t="inlineStr">
        <is>
          <t>Prozess Beschaffung</t>
        </is>
      </c>
      <c r="S43" s="12" t="inlineStr">
        <is>
          <t>Administrierende</t>
        </is>
      </c>
      <c r="T43" s="12" t="inlineStr">
        <is>
          <t>G 0.18 – Fehlplanung oder fehlende Anpassung</t>
        </is>
      </c>
      <c r="U43" s="11" t="n">
        <v>2</v>
      </c>
      <c r="V43" s="11" t="n">
        <v>1</v>
      </c>
      <c r="W43" s="11" t="n">
        <v>1</v>
      </c>
      <c r="X43" s="11" t="n">
        <v>1</v>
      </c>
      <c r="Y43" s="11" t="n">
        <v>0</v>
      </c>
    </row>
    <row r="44">
      <c r="A44" s="11" t="inlineStr">
        <is>
          <t>BES.2.5</t>
        </is>
      </c>
      <c r="B44" s="12" t="inlineStr">
        <is>
          <t>Anhörung Administrierender</t>
        </is>
      </c>
      <c r="C44" s="11" t="inlineStr">
        <is>
          <t>BES.2.5</t>
        </is>
      </c>
      <c r="D44" s="11" t="inlineStr">
        <is>
          <t>Standard-Anforderungen</t>
        </is>
      </c>
      <c r="E44" s="12" t="inlineStr">
        <is>
          <t>Beschaffungsmanagement für Einkäufe SOLLTE Administrierende bei der Bedarfserfassung anhören.</t>
        </is>
      </c>
      <c r="F44" s="14" t="n"/>
      <c r="G44" s="14" t="n"/>
      <c r="H44" s="14" t="inlineStr">
        <is>
          <t>unbearbeitet</t>
        </is>
      </c>
      <c r="I44" s="14" t="n"/>
      <c r="J44" s="14" t="n"/>
      <c r="K44" s="14" t="n"/>
      <c r="L44" s="15" t="n"/>
      <c r="M44" s="11" t="inlineStr"/>
      <c r="N44" s="12" t="inlineStr"/>
      <c r="O44" s="11" t="inlineStr"/>
      <c r="P44" s="12" t="inlineStr">
        <is>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is>
      </c>
      <c r="Q44" s="11" t="inlineStr">
        <is>
          <t>Einkäufe</t>
        </is>
      </c>
      <c r="R44" s="11" t="inlineStr">
        <is>
          <t>Prozess Beschaffung</t>
        </is>
      </c>
      <c r="S44" s="12" t="inlineStr">
        <is>
          <t>Administrierende</t>
        </is>
      </c>
      <c r="T44" s="12" t="inlineStr">
        <is>
          <t>G 0.18 – Fehlplanung oder fehlende Anpassung</t>
        </is>
      </c>
      <c r="U44" s="11" t="n">
        <v>2</v>
      </c>
      <c r="V44" s="11" t="n">
        <v>1</v>
      </c>
      <c r="W44" s="11" t="n">
        <v>1</v>
      </c>
      <c r="X44" s="11" t="n">
        <v>1</v>
      </c>
      <c r="Y44" s="11" t="n">
        <v>0</v>
      </c>
    </row>
    <row r="45">
      <c r="A45" s="9" t="inlineStr">
        <is>
          <t>BES.2.6</t>
        </is>
      </c>
      <c r="B45" s="10" t="inlineStr">
        <is>
          <t>Outsourcing auf Grundlage der Geschäftsprozessprofile</t>
        </is>
      </c>
      <c r="C45" s="11" t="n"/>
      <c r="D45" s="11" t="inlineStr">
        <is>
          <t>Anforderungen bei erhöhtem Schutzbedarf</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c r="N45" s="12" t="inlineStr"/>
      <c r="O45" s="11" t="inlineStr"/>
      <c r="P45" s="12" t="inlineStr">
        <is>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is>
      </c>
      <c r="Q45" s="11" t="inlineStr">
        <is>
          <t>Outsourcing</t>
        </is>
      </c>
      <c r="R45" s="11" t="inlineStr">
        <is>
          <t>Geschäftsprozesse</t>
        </is>
      </c>
      <c r="S45" s="12" t="inlineStr">
        <is>
          <t>Outsourcingverträge auf Grundlage der Geschäftsprozessprofile</t>
        </is>
      </c>
      <c r="T45" s="12" t="inlineStr">
        <is>
          <t>G 0.18 – Fehlplanung oder fehlende Anpassung</t>
        </is>
      </c>
      <c r="U45" s="11" t="n">
        <v>4</v>
      </c>
      <c r="V45" s="11" t="n">
        <v>1</v>
      </c>
      <c r="W45" s="11" t="n">
        <v>1</v>
      </c>
      <c r="X45" s="11" t="n">
        <v>1</v>
      </c>
      <c r="Y45" s="11" t="n">
        <v>0</v>
      </c>
    </row>
    <row r="46">
      <c r="A46" s="11" t="inlineStr">
        <is>
          <t>BES.2.6</t>
        </is>
      </c>
      <c r="B46" s="12" t="inlineStr">
        <is>
          <t>Outsourcing auf Grundlage der Geschäftsprozessprofile</t>
        </is>
      </c>
      <c r="C46" s="11" t="inlineStr">
        <is>
          <t>BES.2.6</t>
        </is>
      </c>
      <c r="D46" s="11" t="inlineStr">
        <is>
          <t>Anforderungen bei erhöhtem Schutzbedarf</t>
        </is>
      </c>
      <c r="E46" s="12" t="inlineStr">
        <is>
          <t>Beschaffungsmanagement für Outsourcing KANN Outsourcingverträge auf Grundlage der Geschäftsprozessprofile durch die Leitung autorisieren.</t>
        </is>
      </c>
      <c r="F46" s="14" t="n"/>
      <c r="G46" s="14" t="n"/>
      <c r="H46" s="14" t="inlineStr">
        <is>
          <t>unbearbeitet</t>
        </is>
      </c>
      <c r="I46" s="14" t="n"/>
      <c r="J46" s="14" t="n"/>
      <c r="K46" s="14" t="n"/>
      <c r="L46" s="15" t="n"/>
      <c r="M46" s="11" t="inlineStr"/>
      <c r="N46" s="12" t="inlineStr"/>
      <c r="O46" s="11" t="inlineStr"/>
      <c r="P46" s="12" t="inlineStr">
        <is>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is>
      </c>
      <c r="Q46" s="11" t="inlineStr">
        <is>
          <t>Outsourcing</t>
        </is>
      </c>
      <c r="R46" s="11" t="inlineStr">
        <is>
          <t>Geschäftsprozesse</t>
        </is>
      </c>
      <c r="S46" s="12" t="inlineStr">
        <is>
          <t>Outsourcingverträge auf Grundlage der Geschäftsprozessprofile</t>
        </is>
      </c>
      <c r="T46" s="12" t="inlineStr">
        <is>
          <t>G 0.18 – Fehlplanung oder fehlende Anpassung</t>
        </is>
      </c>
      <c r="U46" s="11" t="n">
        <v>4</v>
      </c>
      <c r="V46" s="11" t="n">
        <v>1</v>
      </c>
      <c r="W46" s="11" t="n">
        <v>1</v>
      </c>
      <c r="X46" s="11" t="n">
        <v>1</v>
      </c>
      <c r="Y46" s="11" t="n">
        <v>0</v>
      </c>
    </row>
    <row r="47">
      <c r="A47" s="9" t="inlineStr">
        <is>
          <t>BES.3.1</t>
        </is>
      </c>
      <c r="B47" s="10" t="inlineStr">
        <is>
          <t>Klassifizierung von Lieferantenbeziehungen</t>
        </is>
      </c>
      <c r="C47" s="11" t="n"/>
      <c r="D47" s="11" t="inlineStr">
        <is>
          <t>Standard-Anforderungen</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c r="N47" s="12" t="inlineStr"/>
      <c r="O47" s="11" t="inlineStr"/>
      <c r="P47" s="12" t="inlineStr">
        <is>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is>
      </c>
      <c r="Q47" s="11" t="inlineStr">
        <is>
          <t>Einkäufe</t>
        </is>
      </c>
      <c r="R47" s="11" t="inlineStr">
        <is>
          <t>Prozess Beschaffung</t>
        </is>
      </c>
      <c r="S47" s="12" t="inlineStr">
        <is>
          <t>Lieferantenbeziehungen einer Klasse</t>
        </is>
      </c>
      <c r="T47" s="12" t="inlineStr">
        <is>
          <t>G 0.18 – Fehlplanung oder fehlende Anpassung</t>
        </is>
      </c>
      <c r="U47" s="11" t="n">
        <v>3</v>
      </c>
      <c r="V47" s="11" t="n">
        <v>1</v>
      </c>
      <c r="W47" s="11" t="n">
        <v>1</v>
      </c>
      <c r="X47" s="11" t="n">
        <v>1</v>
      </c>
      <c r="Y47" s="11" t="n">
        <v>0</v>
      </c>
    </row>
    <row r="48">
      <c r="A48" s="11" t="inlineStr">
        <is>
          <t>BES.3.1</t>
        </is>
      </c>
      <c r="B48" s="12" t="inlineStr">
        <is>
          <t>Klassifizierung von Lieferantenbeziehungen</t>
        </is>
      </c>
      <c r="C48" s="11" t="inlineStr">
        <is>
          <t>BES.3.1</t>
        </is>
      </c>
      <c r="D48" s="11" t="inlineStr">
        <is>
          <t>Standard-Anforderungen</t>
        </is>
      </c>
      <c r="E48" s="12" t="inlineStr">
        <is>
          <t>Beschaffungsmanagement für Einkäufe SOLLTE Lieferantenbeziehungen einer Klasse zuweisen.</t>
        </is>
      </c>
      <c r="F48" s="14" t="n"/>
      <c r="G48" s="14" t="n"/>
      <c r="H48" s="14" t="inlineStr">
        <is>
          <t>unbearbeitet</t>
        </is>
      </c>
      <c r="I48" s="14" t="n"/>
      <c r="J48" s="14" t="n"/>
      <c r="K48" s="14" t="n"/>
      <c r="L48" s="15" t="n"/>
      <c r="M48" s="11" t="inlineStr"/>
      <c r="N48" s="12" t="inlineStr"/>
      <c r="O48" s="11" t="inlineStr"/>
      <c r="P48" s="12" t="inlineStr">
        <is>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is>
      </c>
      <c r="Q48" s="11" t="inlineStr">
        <is>
          <t>Einkäufe</t>
        </is>
      </c>
      <c r="R48" s="11" t="inlineStr">
        <is>
          <t>Prozess Beschaffung</t>
        </is>
      </c>
      <c r="S48" s="12" t="inlineStr">
        <is>
          <t>Lieferantenbeziehungen einer Klasse</t>
        </is>
      </c>
      <c r="T48" s="12" t="inlineStr">
        <is>
          <t>G 0.18 – Fehlplanung oder fehlende Anpassung</t>
        </is>
      </c>
      <c r="U48" s="11" t="n">
        <v>3</v>
      </c>
      <c r="V48" s="11" t="n">
        <v>1</v>
      </c>
      <c r="W48" s="11" t="n">
        <v>1</v>
      </c>
      <c r="X48" s="11" t="n">
        <v>1</v>
      </c>
      <c r="Y48" s="11" t="n">
        <v>0</v>
      </c>
    </row>
    <row r="49">
      <c r="A49" s="9" t="inlineStr">
        <is>
          <t>BES.3.2</t>
        </is>
      </c>
      <c r="B49" s="10" t="inlineStr">
        <is>
          <t>Auswahlkriterien</t>
        </is>
      </c>
      <c r="C49" s="11" t="n"/>
      <c r="D49" s="11" t="inlineStr">
        <is>
          <t>Standard-Anforderungen</t>
        </is>
      </c>
      <c r="E49" s="12" t="inlineStr">
        <is>
          <t>Gesamt:</t>
        </is>
      </c>
      <c r="F49" s="11" t="n"/>
      <c r="G49" s="11" t="n"/>
      <c r="H49" s="13">
        <f>IF(OR(COUNTBLANK($H$50:$H$52)&gt;0,COUNTIF($H$50:$H$52,"unbearbeitet")=COUNTA($H$50:$H$52)),"Bitte Teilanforderungen ausfüllen",IF(COUNTIF($H$50:$H$52,"zu klären")&gt;0,"zu klären",IF(COUNTIF($H$50:$H$52,"entbehrlich")=COUNTA($H$50:$H$52),"entbehrlich",IF(COUNTIF($H$50:$H$52,"verwiesen")=COUNTA($H$50:$H$52),"verwiesen",IF(COUNTIF($H$50:$H$52,"nein")+COUNTIF($H$50:$H$52,"entbehrlich")=COUNTA($H$50:$H$52),"nein",IF(COUNTIF($H$50:$H$52,"ja")+COUNTIF($H$50:$H$52,"entbehrlich")+COUNTIF($H$50:$H$52,"verwiesen")=COUNTA($H$50:$H$52),"ja","teilweise"))))))</f>
        <v/>
      </c>
      <c r="I49" s="11" t="n"/>
      <c r="J49" s="11" t="n"/>
      <c r="K49" s="11" t="n"/>
      <c r="L49" s="11" t="n"/>
      <c r="M49" s="11" t="inlineStr"/>
      <c r="N49" s="12" t="inlineStr"/>
      <c r="O49" s="11" t="inlineStr"/>
      <c r="P49" s="12" t="inlineStr">
        <is>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is>
      </c>
      <c r="Q49" s="11" t="inlineStr">
        <is>
          <t>Einkäufe</t>
        </is>
      </c>
      <c r="R49" s="11" t="inlineStr">
        <is>
          <t>Beschaffungskriterien</t>
        </is>
      </c>
      <c r="S49" s="12" t="inlineStr">
        <is>
          <t>die Auswahl von Lieferanten</t>
        </is>
      </c>
      <c r="T49" s="12" t="inlineStr">
        <is>
          <t>G 0.18 – Fehlplanung oder fehlende Anpassung</t>
        </is>
      </c>
      <c r="U49" s="11" t="n">
        <v>3</v>
      </c>
      <c r="V49" s="11" t="n">
        <v>1</v>
      </c>
      <c r="W49" s="11" t="n">
        <v>1</v>
      </c>
      <c r="X49" s="11" t="n">
        <v>1</v>
      </c>
      <c r="Y49" s="11" t="n">
        <v>0</v>
      </c>
    </row>
    <row r="50">
      <c r="A50" s="11" t="inlineStr">
        <is>
          <t>BES.3.2</t>
        </is>
      </c>
      <c r="B50" s="12" t="inlineStr">
        <is>
          <t>Auswahlkriterien</t>
        </is>
      </c>
      <c r="C50" s="11" t="inlineStr">
        <is>
          <t>BES.3.2</t>
        </is>
      </c>
      <c r="D50" s="11" t="inlineStr">
        <is>
          <t>Standard-Anforderungen</t>
        </is>
      </c>
      <c r="E50" s="12" t="inlineStr">
        <is>
          <t>Beschaffungsmanagement für Einkäufe SOLLTE die Auswahl von Lieferanten anhand von Kriterien zu ihrer Verlässlichkeit verankern.</t>
        </is>
      </c>
      <c r="F50" s="14" t="n"/>
      <c r="G50" s="14" t="n"/>
      <c r="H50" s="14" t="inlineStr">
        <is>
          <t>unbearbeitet</t>
        </is>
      </c>
      <c r="I50" s="14" t="n"/>
      <c r="J50" s="14" t="n"/>
      <c r="K50" s="14" t="n"/>
      <c r="L50" s="15" t="n"/>
      <c r="M50" s="11" t="inlineStr"/>
      <c r="N50" s="12" t="inlineStr"/>
      <c r="O50" s="11" t="inlineStr"/>
      <c r="P50" s="12" t="inlineStr">
        <is>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is>
      </c>
      <c r="Q50" s="11" t="inlineStr">
        <is>
          <t>Einkäufe</t>
        </is>
      </c>
      <c r="R50" s="11" t="inlineStr">
        <is>
          <t>Beschaffungskriterien</t>
        </is>
      </c>
      <c r="S50" s="12" t="inlineStr">
        <is>
          <t>die Auswahl von Lieferanten</t>
        </is>
      </c>
      <c r="T50" s="12" t="inlineStr">
        <is>
          <t>G 0.18 – Fehlplanung oder fehlende Anpassung</t>
        </is>
      </c>
      <c r="U50" s="11" t="n">
        <v>3</v>
      </c>
      <c r="V50" s="11" t="n">
        <v>1</v>
      </c>
      <c r="W50" s="11" t="n">
        <v>1</v>
      </c>
      <c r="X50" s="11" t="n">
        <v>1</v>
      </c>
      <c r="Y50" s="11" t="n">
        <v>0</v>
      </c>
    </row>
    <row r="51">
      <c r="A51" s="11" t="inlineStr">
        <is>
          <t>BES.3.2</t>
        </is>
      </c>
      <c r="B51" s="12" t="inlineStr">
        <is>
          <t>Auswahlkriterien</t>
        </is>
      </c>
      <c r="C51" s="11" t="inlineStr">
        <is>
          <t>BES.3.2.1</t>
        </is>
      </c>
      <c r="D51" s="11" t="inlineStr">
        <is>
          <t>Anforderungen bei erhöhtem Schutzbedarf</t>
        </is>
      </c>
      <c r="E51" s="12" t="inlineStr">
        <is>
          <t>Beschaffungsmanagement für Einkäufe KANN die Auswahl von Lieferanten anhand von Zertifikaten, Testaten oder Vergleichbarem verankern.</t>
        </is>
      </c>
      <c r="F51" s="14" t="n"/>
      <c r="G51" s="14" t="n"/>
      <c r="H51" s="14" t="inlineStr">
        <is>
          <t>unbearbeitet</t>
        </is>
      </c>
      <c r="I51" s="14" t="n"/>
      <c r="J51" s="14" t="n"/>
      <c r="K51" s="14" t="n"/>
      <c r="L51" s="15" t="n"/>
      <c r="M51" s="11" t="inlineStr"/>
      <c r="N51" s="12" t="inlineStr"/>
      <c r="O51" s="11" t="inlineStr"/>
      <c r="P51" s="12" t="inlineStr">
        <is>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is>
      </c>
      <c r="Q51" s="11" t="inlineStr">
        <is>
          <t>Einkäufe</t>
        </is>
      </c>
      <c r="R51" s="11" t="inlineStr">
        <is>
          <t>Beschaffungskriterien</t>
        </is>
      </c>
      <c r="S51" s="12" t="inlineStr">
        <is>
          <t>die Auswahl von Lieferanten</t>
        </is>
      </c>
      <c r="T51" s="12" t="inlineStr">
        <is>
          <t>G 0.18 – Fehlplanung oder fehlende Anpassung</t>
        </is>
      </c>
      <c r="U51" s="11" t="n">
        <v>5</v>
      </c>
      <c r="V51" s="11" t="n">
        <v>1</v>
      </c>
      <c r="W51" s="11" t="n">
        <v>1</v>
      </c>
      <c r="X51" s="11" t="n">
        <v>1</v>
      </c>
      <c r="Y51" s="11" t="n">
        <v>0</v>
      </c>
    </row>
    <row r="52">
      <c r="A52" s="11" t="inlineStr">
        <is>
          <t>BES.3.2</t>
        </is>
      </c>
      <c r="B52" s="12" t="inlineStr">
        <is>
          <t>Auswahlkriterien</t>
        </is>
      </c>
      <c r="C52" s="11" t="inlineStr">
        <is>
          <t>BES.3.2.2</t>
        </is>
      </c>
      <c r="D52" s="11" t="inlineStr">
        <is>
          <t>Anforderungen bei erhöhtem Schutzbedarf</t>
        </is>
      </c>
      <c r="E52" s="12" t="inlineStr">
        <is>
          <t>Beschaffungsmanagement für Einkäufe KANN die Auswahl von Lieferanten anhand ihrer Fähigkeit, ihre Bezugsquellen zu diversifizieren und die Bindung an bestimmte Lieferanten zu begrenzen, verankern.</t>
        </is>
      </c>
      <c r="F52" s="14" t="n"/>
      <c r="G52" s="14" t="n"/>
      <c r="H52" s="14" t="inlineStr">
        <is>
          <t>unbearbeitet</t>
        </is>
      </c>
      <c r="I52" s="14" t="n"/>
      <c r="J52" s="14" t="n"/>
      <c r="K52" s="14" t="n"/>
      <c r="L52" s="15" t="n"/>
      <c r="M52" s="11" t="inlineStr"/>
      <c r="N52" s="12" t="inlineStr"/>
      <c r="O52" s="11" t="inlineStr"/>
      <c r="P52" s="12" t="inlineStr">
        <is>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is>
      </c>
      <c r="Q52" s="11" t="inlineStr">
        <is>
          <t>Einkäufe</t>
        </is>
      </c>
      <c r="R52" s="11" t="inlineStr">
        <is>
          <t>Beschaffungskriterien</t>
        </is>
      </c>
      <c r="S52" s="12" t="inlineStr">
        <is>
          <t>die Auswahl von Lieferanten</t>
        </is>
      </c>
      <c r="T52" s="12" t="inlineStr">
        <is>
          <t>G 0.11 – Ausfall oder Störung von Dienstleistern</t>
        </is>
      </c>
      <c r="U52" s="11" t="n">
        <v>5</v>
      </c>
      <c r="V52" s="11" t="n">
        <v>1</v>
      </c>
      <c r="W52" s="11" t="n">
        <v>1</v>
      </c>
      <c r="X52" s="11" t="n">
        <v>1</v>
      </c>
      <c r="Y52" s="11" t="n">
        <v>0</v>
      </c>
    </row>
    <row r="53">
      <c r="A53" s="9" t="inlineStr">
        <is>
          <t>BES.3.3</t>
        </is>
      </c>
      <c r="B53" s="10" t="inlineStr">
        <is>
          <t>Unzuverlässige Lieferanten</t>
        </is>
      </c>
      <c r="C53" s="11" t="n"/>
      <c r="D53" s="11" t="inlineStr">
        <is>
          <t>Standard-Anforderungen</t>
        </is>
      </c>
      <c r="E53" s="12" t="inlineStr">
        <is>
          <t>Gesamt:</t>
        </is>
      </c>
      <c r="F53" s="11" t="n"/>
      <c r="G53" s="11" t="n"/>
      <c r="H53" s="13">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
      </c>
      <c r="I53" s="11" t="n"/>
      <c r="J53" s="11" t="n"/>
      <c r="K53" s="11" t="n"/>
      <c r="L53" s="11" t="n"/>
      <c r="M53" s="11" t="inlineStr"/>
      <c r="N53" s="12" t="inlineStr">
        <is>
          <t>APP.6.A3-UA.2</t>
        </is>
      </c>
      <c r="O53" s="11" t="inlineStr">
        <is>
          <t>intersects-with</t>
        </is>
      </c>
      <c r="P53" s="12" t="inlineStr">
        <is>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is>
      </c>
      <c r="Q53" s="11" t="inlineStr">
        <is>
          <t>Einkäufe</t>
        </is>
      </c>
      <c r="R53" s="11" t="inlineStr">
        <is>
          <t>Prozess Beschaffung</t>
        </is>
      </c>
      <c r="S53" s="12" t="inlineStr">
        <is>
          <t>die Beschaffung aus einer unbekannten oder unzuverlässigen Quelle</t>
        </is>
      </c>
      <c r="T53" s="12" t="inlineStr">
        <is>
          <t>G 0.18 – Fehlplanung oder fehlende Anpassung</t>
        </is>
      </c>
      <c r="U53" s="11" t="n">
        <v>2</v>
      </c>
      <c r="V53" s="11" t="n">
        <v>1</v>
      </c>
      <c r="W53" s="11" t="n">
        <v>1</v>
      </c>
      <c r="X53" s="11" t="n">
        <v>1</v>
      </c>
      <c r="Y53" s="11" t="n">
        <v>0</v>
      </c>
    </row>
    <row r="54">
      <c r="A54" s="11" t="inlineStr">
        <is>
          <t>BES.3.3</t>
        </is>
      </c>
      <c r="B54" s="12" t="inlineStr">
        <is>
          <t>Unzuverlässige Lieferanten</t>
        </is>
      </c>
      <c r="C54" s="11" t="inlineStr">
        <is>
          <t>BES.3.3</t>
        </is>
      </c>
      <c r="D54" s="11" t="inlineStr">
        <is>
          <t>Standard-Anforderungen</t>
        </is>
      </c>
      <c r="E54" s="12" t="inlineStr">
        <is>
          <t>Beschaffungsmanagement für Einkäufe SOLLTE die Beschaffung aus einer unbekannten oder unzuverlässigen Quelle untersagen.</t>
        </is>
      </c>
      <c r="F54" s="14" t="n"/>
      <c r="G54" s="14" t="n"/>
      <c r="H54" s="14" t="inlineStr">
        <is>
          <t>unbearbeitet</t>
        </is>
      </c>
      <c r="I54" s="14" t="n"/>
      <c r="J54" s="14" t="n"/>
      <c r="K54" s="14" t="n"/>
      <c r="L54" s="15" t="n"/>
      <c r="M54" s="11" t="inlineStr"/>
      <c r="N54" s="12" t="inlineStr">
        <is>
          <t>APP.6.A3-UA.2</t>
        </is>
      </c>
      <c r="O54" s="11" t="inlineStr">
        <is>
          <t>intersects-with</t>
        </is>
      </c>
      <c r="P54" s="12" t="inlineStr">
        <is>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is>
      </c>
      <c r="Q54" s="11" t="inlineStr">
        <is>
          <t>Einkäufe</t>
        </is>
      </c>
      <c r="R54" s="11" t="inlineStr">
        <is>
          <t>Prozess Beschaffung</t>
        </is>
      </c>
      <c r="S54" s="12" t="inlineStr">
        <is>
          <t>die Beschaffung aus einer unbekannten oder unzuverlässigen Quelle</t>
        </is>
      </c>
      <c r="T54" s="12" t="inlineStr">
        <is>
          <t>G 0.18 – Fehlplanung oder fehlende Anpassung</t>
        </is>
      </c>
      <c r="U54" s="11" t="n">
        <v>2</v>
      </c>
      <c r="V54" s="11" t="n">
        <v>1</v>
      </c>
      <c r="W54" s="11" t="n">
        <v>1</v>
      </c>
      <c r="X54" s="11" t="n">
        <v>1</v>
      </c>
      <c r="Y54" s="11" t="n">
        <v>0</v>
      </c>
    </row>
    <row r="55">
      <c r="A55" s="9" t="inlineStr">
        <is>
          <t>BES.4.1</t>
        </is>
      </c>
      <c r="B55" s="10" t="inlineStr">
        <is>
          <t>Klassifizierung von Beschaffungsvorhaben</t>
        </is>
      </c>
      <c r="C55" s="11" t="n"/>
      <c r="D55" s="11" t="inlineStr">
        <is>
          <t>Standard-Anforderungen</t>
        </is>
      </c>
      <c r="E55" s="12" t="inlineStr">
        <is>
          <t>Gesamt:</t>
        </is>
      </c>
      <c r="F55" s="11" t="n"/>
      <c r="G55" s="11" t="n"/>
      <c r="H55" s="13">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
      </c>
      <c r="I55" s="11" t="n"/>
      <c r="J55" s="11" t="n"/>
      <c r="K55" s="11" t="n"/>
      <c r="L55" s="11" t="n"/>
      <c r="M55" s="11" t="inlineStr"/>
      <c r="N55" s="12" t="inlineStr"/>
      <c r="O55" s="11" t="inlineStr"/>
      <c r="P55" s="12" t="inlineStr">
        <is>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is>
      </c>
      <c r="Q55" s="11" t="inlineStr">
        <is>
          <t>Einkäufe</t>
        </is>
      </c>
      <c r="R55" s="11" t="inlineStr">
        <is>
          <t>Beschaffungskriterien</t>
        </is>
      </c>
      <c r="S55" s="12" t="inlineStr">
        <is>
          <t>dem Beschaffungsvorhaben eine Klasse</t>
        </is>
      </c>
      <c r="T55" s="12" t="inlineStr">
        <is>
          <t>G 0.20 – Informationen oder Produkte aus unzuverlässiger Quelle</t>
        </is>
      </c>
      <c r="U55" s="11" t="n">
        <v>2</v>
      </c>
      <c r="V55" s="11" t="n">
        <v>1</v>
      </c>
      <c r="W55" s="11" t="n">
        <v>1</v>
      </c>
      <c r="X55" s="11" t="n">
        <v>1</v>
      </c>
      <c r="Y55" s="11" t="n">
        <v>1</v>
      </c>
    </row>
    <row r="56">
      <c r="A56" s="11" t="inlineStr">
        <is>
          <t>BES.4.1</t>
        </is>
      </c>
      <c r="B56" s="12" t="inlineStr">
        <is>
          <t>Klassifizierung von Beschaffungsvorhaben</t>
        </is>
      </c>
      <c r="C56" s="11" t="inlineStr">
        <is>
          <t>BES.4.1</t>
        </is>
      </c>
      <c r="D56" s="11" t="inlineStr">
        <is>
          <t>Standard-Anforderungen</t>
        </is>
      </c>
      <c r="E56" s="12" t="inlineStr">
        <is>
          <t>Beschaffungsmanagement für Einkäufe SOLLTE dem Beschaffungsvorhaben eine Klasse zuweisen.</t>
        </is>
      </c>
      <c r="F56" s="14" t="n"/>
      <c r="G56" s="14" t="n"/>
      <c r="H56" s="14" t="inlineStr">
        <is>
          <t>unbearbeitet</t>
        </is>
      </c>
      <c r="I56" s="14" t="n"/>
      <c r="J56" s="14" t="n"/>
      <c r="K56" s="14" t="n"/>
      <c r="L56" s="15" t="n"/>
      <c r="M56" s="11" t="inlineStr"/>
      <c r="N56" s="12" t="inlineStr"/>
      <c r="O56" s="11" t="inlineStr"/>
      <c r="P56" s="12" t="inlineStr">
        <is>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is>
      </c>
      <c r="Q56" s="11" t="inlineStr">
        <is>
          <t>Einkäufe</t>
        </is>
      </c>
      <c r="R56" s="11" t="inlineStr">
        <is>
          <t>Beschaffungskriterien</t>
        </is>
      </c>
      <c r="S56" s="12" t="inlineStr">
        <is>
          <t>dem Beschaffungsvorhaben eine Klasse</t>
        </is>
      </c>
      <c r="T56" s="12" t="inlineStr">
        <is>
          <t>G 0.20 – Informationen oder Produkte aus unzuverlässiger Quelle</t>
        </is>
      </c>
      <c r="U56" s="11" t="n">
        <v>2</v>
      </c>
      <c r="V56" s="11" t="n">
        <v>1</v>
      </c>
      <c r="W56" s="11" t="n">
        <v>1</v>
      </c>
      <c r="X56" s="11" t="n">
        <v>1</v>
      </c>
      <c r="Y56" s="11" t="n">
        <v>1</v>
      </c>
    </row>
    <row r="57">
      <c r="A57" s="9" t="inlineStr">
        <is>
          <t>BES.4.2</t>
        </is>
      </c>
      <c r="B57" s="10" t="inlineStr">
        <is>
          <t>Dokumentation der Beschaffungskriterien</t>
        </is>
      </c>
      <c r="C57" s="11" t="n"/>
      <c r="D57" s="11" t="inlineStr">
        <is>
          <t>Standard-Anforderungen</t>
        </is>
      </c>
      <c r="E57" s="12" t="inlineStr">
        <is>
          <t>Gesamt:</t>
        </is>
      </c>
      <c r="F57" s="11" t="n"/>
      <c r="G57" s="11" t="n"/>
      <c r="H57" s="13">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
      </c>
      <c r="I57" s="11" t="n"/>
      <c r="J57" s="11" t="n"/>
      <c r="K57" s="11" t="n"/>
      <c r="L57" s="11" t="n"/>
      <c r="M57" s="11" t="inlineStr"/>
      <c r="N57" s="12" t="inlineStr"/>
      <c r="O57" s="11" t="inlineStr"/>
      <c r="P57" s="12" t="inlineStr">
        <is>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is>
      </c>
      <c r="Q57" s="11" t="inlineStr">
        <is>
          <t>Einkäufe</t>
        </is>
      </c>
      <c r="R57" s="11" t="inlineStr">
        <is>
          <t>Beschaffungskriterien</t>
        </is>
      </c>
      <c r="S57" s="12" t="inlineStr">
        <is>
          <t>{{Kriterien}} für die Beschaffung</t>
        </is>
      </c>
      <c r="T57" s="12" t="inlineStr">
        <is>
          <t>G 0.20 – Informationen oder Produkte aus unzuverlässiger Quelle; G 0.18 – Fehlplanung oder fehlende Anpassung; G 0.37 – Abstreiten von Handlungen</t>
        </is>
      </c>
      <c r="U57" s="11" t="n">
        <v>2</v>
      </c>
      <c r="V57" s="11" t="n">
        <v>1</v>
      </c>
      <c r="W57" s="11" t="n">
        <v>1</v>
      </c>
      <c r="X57" s="11" t="n">
        <v>1</v>
      </c>
      <c r="Y57" s="11" t="n">
        <v>1</v>
      </c>
    </row>
    <row r="58">
      <c r="A58" s="11" t="inlineStr">
        <is>
          <t>BES.4.2</t>
        </is>
      </c>
      <c r="B58" s="12" t="inlineStr">
        <is>
          <t>Dokumentation der Beschaffungskriterien</t>
        </is>
      </c>
      <c r="C58" s="11" t="inlineStr">
        <is>
          <t>BES.4.2</t>
        </is>
      </c>
      <c r="D58" s="11" t="inlineStr">
        <is>
          <t>Standard-Anforderungen</t>
        </is>
      </c>
      <c r="E58" s="12" t="inlineStr">
        <is>
          <t>Beschaffungsmanagement für Einkäufe SOLLTE Kriterien für die Beschaffung dokumentieren.</t>
        </is>
      </c>
      <c r="F58" s="14" t="n"/>
      <c r="G58" s="14" t="n"/>
      <c r="H58" s="14" t="inlineStr">
        <is>
          <t>unbearbeitet</t>
        </is>
      </c>
      <c r="I58" s="14" t="n"/>
      <c r="J58" s="14" t="n"/>
      <c r="K58" s="14" t="n"/>
      <c r="L58" s="15" t="n"/>
      <c r="M58" s="11" t="inlineStr"/>
      <c r="N58" s="12" t="inlineStr"/>
      <c r="O58" s="11" t="inlineStr"/>
      <c r="P58" s="12" t="inlineStr">
        <is>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is>
      </c>
      <c r="Q58" s="11" t="inlineStr">
        <is>
          <t>Einkäufe</t>
        </is>
      </c>
      <c r="R58" s="11" t="inlineStr">
        <is>
          <t>Beschaffungskriterien</t>
        </is>
      </c>
      <c r="S58" s="12" t="inlineStr">
        <is>
          <t>{{Kriterien}} für die Beschaffung</t>
        </is>
      </c>
      <c r="T58" s="12" t="inlineStr">
        <is>
          <t>G 0.20 – Informationen oder Produkte aus unzuverlässiger Quelle; G 0.18 – Fehlplanung oder fehlende Anpassung; G 0.37 – Abstreiten von Handlungen</t>
        </is>
      </c>
      <c r="U58" s="11" t="n">
        <v>2</v>
      </c>
      <c r="V58" s="11" t="n">
        <v>1</v>
      </c>
      <c r="W58" s="11" t="n">
        <v>1</v>
      </c>
      <c r="X58" s="11" t="n">
        <v>1</v>
      </c>
      <c r="Y58" s="11" t="n">
        <v>1</v>
      </c>
    </row>
    <row r="59">
      <c r="A59" s="9" t="inlineStr">
        <is>
          <t>BES.4.3</t>
        </is>
      </c>
      <c r="B59" s="10" t="inlineStr">
        <is>
          <t>Beschaffung anhand der Kriterien</t>
        </is>
      </c>
      <c r="C59" s="11" t="n"/>
      <c r="D59" s="11" t="inlineStr">
        <is>
          <t>Standard-Anforderungen</t>
        </is>
      </c>
      <c r="E59" s="12" t="inlineStr">
        <is>
          <t>Gesamt:</t>
        </is>
      </c>
      <c r="F59" s="11" t="n"/>
      <c r="G59" s="11" t="n"/>
      <c r="H59" s="13">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
      </c>
      <c r="I59" s="11" t="n"/>
      <c r="J59" s="11" t="n"/>
      <c r="K59" s="11" t="n"/>
      <c r="L59" s="11" t="n"/>
      <c r="M59" s="11" t="inlineStr"/>
      <c r="N59" s="12" t="inlineStr">
        <is>
          <t>APP.6.A3-UA.1</t>
        </is>
      </c>
      <c r="O59" s="11" t="inlineStr">
        <is>
          <t>intersects-with</t>
        </is>
      </c>
      <c r="P59" s="12" t="inlineStr">
        <is>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is>
      </c>
      <c r="Q59" s="11" t="inlineStr">
        <is>
          <t>Einkäufe</t>
        </is>
      </c>
      <c r="R59" s="11" t="inlineStr">
        <is>
          <t>Prozess Beschaffung</t>
        </is>
      </c>
      <c r="S59" s="12" t="inlineStr">
        <is>
          <t>die Beschaffung</t>
        </is>
      </c>
      <c r="T59" s="12" t="inlineStr">
        <is>
          <t>G 0.20 – Informationen oder Produkte aus unzuverlässiger Quelle</t>
        </is>
      </c>
      <c r="U59" s="11" t="n">
        <v>2</v>
      </c>
      <c r="V59" s="11" t="n">
        <v>1</v>
      </c>
      <c r="W59" s="11" t="n">
        <v>1</v>
      </c>
      <c r="X59" s="11" t="n">
        <v>1</v>
      </c>
      <c r="Y59" s="11" t="n">
        <v>1</v>
      </c>
    </row>
    <row r="60">
      <c r="A60" s="11" t="inlineStr">
        <is>
          <t>BES.4.3</t>
        </is>
      </c>
      <c r="B60" s="12" t="inlineStr">
        <is>
          <t>Beschaffung anhand der Kriterien</t>
        </is>
      </c>
      <c r="C60" s="11" t="inlineStr">
        <is>
          <t>BES.4.3</t>
        </is>
      </c>
      <c r="D60" s="11" t="inlineStr">
        <is>
          <t>Standard-Anforderungen</t>
        </is>
      </c>
      <c r="E60" s="12" t="inlineStr">
        <is>
          <t>Beschaffungsmanagement für Einkäufe SOLLTE die Beschaffung anhand der festgelegten Kriterien verankern.</t>
        </is>
      </c>
      <c r="F60" s="14" t="n"/>
      <c r="G60" s="14" t="n"/>
      <c r="H60" s="14" t="inlineStr">
        <is>
          <t>unbearbeitet</t>
        </is>
      </c>
      <c r="I60" s="14" t="n"/>
      <c r="J60" s="14" t="n"/>
      <c r="K60" s="14" t="n"/>
      <c r="L60" s="15" t="n"/>
      <c r="M60" s="11" t="inlineStr"/>
      <c r="N60" s="12" t="inlineStr">
        <is>
          <t>APP.6.A3-UA.1</t>
        </is>
      </c>
      <c r="O60" s="11" t="inlineStr">
        <is>
          <t>intersects-with</t>
        </is>
      </c>
      <c r="P60" s="12" t="inlineStr">
        <is>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is>
      </c>
      <c r="Q60" s="11" t="inlineStr">
        <is>
          <t>Einkäufe</t>
        </is>
      </c>
      <c r="R60" s="11" t="inlineStr">
        <is>
          <t>Prozess Beschaffung</t>
        </is>
      </c>
      <c r="S60" s="12" t="inlineStr">
        <is>
          <t>die Beschaffung</t>
        </is>
      </c>
      <c r="T60" s="12" t="inlineStr">
        <is>
          <t>G 0.20 – Informationen oder Produkte aus unzuverlässiger Quelle</t>
        </is>
      </c>
      <c r="U60" s="11" t="n">
        <v>2</v>
      </c>
      <c r="V60" s="11" t="n">
        <v>1</v>
      </c>
      <c r="W60" s="11" t="n">
        <v>1</v>
      </c>
      <c r="X60" s="11" t="n">
        <v>1</v>
      </c>
      <c r="Y60" s="11" t="n">
        <v>1</v>
      </c>
    </row>
    <row r="61">
      <c r="A61" s="9" t="inlineStr">
        <is>
          <t>BES.4.4</t>
        </is>
      </c>
      <c r="B61" s="10" t="inlineStr">
        <is>
          <t>Vertragsvorlage für Outsourcing</t>
        </is>
      </c>
      <c r="C61" s="11" t="n"/>
      <c r="D61" s="11" t="inlineStr">
        <is>
          <t>Standard-Anforderungen</t>
        </is>
      </c>
      <c r="E61" s="12" t="inlineStr">
        <is>
          <t>Gesamt:</t>
        </is>
      </c>
      <c r="F61" s="11" t="n"/>
      <c r="G61" s="11" t="n"/>
      <c r="H61" s="13">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
      </c>
      <c r="I61" s="11" t="n"/>
      <c r="J61" s="11" t="n"/>
      <c r="K61" s="11" t="n"/>
      <c r="L61" s="11" t="n"/>
      <c r="M61" s="11" t="inlineStr"/>
      <c r="N61" s="12" t="inlineStr"/>
      <c r="O61" s="11" t="inlineStr"/>
      <c r="P61" s="12" t="inlineStr">
        <is>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is>
      </c>
      <c r="Q61" s="11" t="inlineStr">
        <is>
          <t>Outsourcing</t>
        </is>
      </c>
      <c r="R61" s="11" t="inlineStr">
        <is>
          <t>Beschaffungskriterien</t>
        </is>
      </c>
      <c r="S61" s="12" t="inlineStr">
        <is>
          <t>Kriterien für Outsourcing-Dienstleistungen in einer standardisierten Richtlinie für Verträge</t>
        </is>
      </c>
      <c r="T61" s="12" t="inlineStr">
        <is>
          <t>G 0.20 – Informationen oder Produkte aus unzuverlässiger Quelle</t>
        </is>
      </c>
      <c r="U61" s="11" t="n">
        <v>3</v>
      </c>
      <c r="V61" s="11" t="n">
        <v>1</v>
      </c>
      <c r="W61" s="11" t="n">
        <v>1</v>
      </c>
      <c r="X61" s="11" t="n">
        <v>1</v>
      </c>
      <c r="Y61" s="11" t="n">
        <v>1</v>
      </c>
    </row>
    <row r="62">
      <c r="A62" s="11" t="inlineStr">
        <is>
          <t>BES.4.4</t>
        </is>
      </c>
      <c r="B62" s="12" t="inlineStr">
        <is>
          <t>Vertragsvorlage für Outsourcing</t>
        </is>
      </c>
      <c r="C62" s="11" t="inlineStr">
        <is>
          <t>BES.4.4</t>
        </is>
      </c>
      <c r="D62" s="11" t="inlineStr">
        <is>
          <t>Standard-Anforderungen</t>
        </is>
      </c>
      <c r="E62" s="12" t="inlineStr">
        <is>
          <t>Beschaffungsmanagement für Outsourcing SOLLTE Kriterien für Outsourcing-Dienstleistungen in einer standardisierten Richtlinie für Verträge dokumentieren.</t>
        </is>
      </c>
      <c r="F62" s="14" t="n"/>
      <c r="G62" s="14" t="n"/>
      <c r="H62" s="14" t="inlineStr">
        <is>
          <t>unbearbeitet</t>
        </is>
      </c>
      <c r="I62" s="14" t="n"/>
      <c r="J62" s="14" t="n"/>
      <c r="K62" s="14" t="n"/>
      <c r="L62" s="15" t="n"/>
      <c r="M62" s="11" t="inlineStr"/>
      <c r="N62" s="12" t="inlineStr"/>
      <c r="O62" s="11" t="inlineStr"/>
      <c r="P62" s="12" t="inlineStr">
        <is>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is>
      </c>
      <c r="Q62" s="11" t="inlineStr">
        <is>
          <t>Outsourcing</t>
        </is>
      </c>
      <c r="R62" s="11" t="inlineStr">
        <is>
          <t>Beschaffungskriterien</t>
        </is>
      </c>
      <c r="S62" s="12" t="inlineStr">
        <is>
          <t>Kriterien für Outsourcing-Dienstleistungen in einer standardisierten Richtlinie für Verträge</t>
        </is>
      </c>
      <c r="T62" s="12" t="inlineStr">
        <is>
          <t>G 0.20 – Informationen oder Produkte aus unzuverlässiger Quelle</t>
        </is>
      </c>
      <c r="U62" s="11" t="n">
        <v>3</v>
      </c>
      <c r="V62" s="11" t="n">
        <v>1</v>
      </c>
      <c r="W62" s="11" t="n">
        <v>1</v>
      </c>
      <c r="X62" s="11" t="n">
        <v>1</v>
      </c>
      <c r="Y62" s="11" t="n">
        <v>1</v>
      </c>
    </row>
    <row r="63">
      <c r="A63" s="9" t="inlineStr">
        <is>
          <t>BES.4.5</t>
        </is>
      </c>
      <c r="B63" s="10" t="inlineStr">
        <is>
          <t>Security by Design</t>
        </is>
      </c>
      <c r="C63" s="11" t="n"/>
      <c r="D63" s="11" t="inlineStr">
        <is>
          <t>Standard-Anforderungen</t>
        </is>
      </c>
      <c r="E63" s="12" t="inlineStr">
        <is>
          <t>Gesamt:</t>
        </is>
      </c>
      <c r="F63" s="11" t="n"/>
      <c r="G63" s="11" t="n"/>
      <c r="H63" s="13">
        <f>IF(OR(COUNTBLANK($H$64:$H$66)&gt;0,COUNTIF($H$64:$H$66,"unbearbeitet")=COUNTA($H$64:$H$66)),"Bitte Teilanforderungen ausfüllen",IF(COUNTIF($H$64:$H$66,"zu klären")&gt;0,"zu klären",IF(COUNTIF($H$64:$H$66,"entbehrlich")=COUNTA($H$64:$H$66),"entbehrlich",IF(COUNTIF($H$64:$H$66,"verwiesen")=COUNTA($H$64:$H$66),"verwiesen",IF(COUNTIF($H$64:$H$66,"nein")+COUNTIF($H$64:$H$66,"entbehrlich")=COUNTA($H$64:$H$66),"nein",IF(COUNTIF($H$64:$H$66,"ja")+COUNTIF($H$64:$H$66,"entbehrlich")+COUNTIF($H$64:$H$66,"verwiesen")=COUNTA($H$64:$H$66),"ja","teilweise"))))))</f>
        <v/>
      </c>
      <c r="I63" s="11" t="n"/>
      <c r="J63" s="11" t="n"/>
      <c r="K63" s="11" t="n"/>
      <c r="L63" s="11" t="n"/>
      <c r="M63" s="11" t="inlineStr"/>
      <c r="N63" s="12" t="inlineStr"/>
      <c r="O63" s="11" t="inlineStr"/>
      <c r="P63" s="12" t="inlineStr">
        <is>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is>
      </c>
      <c r="Q63" s="11" t="inlineStr">
        <is>
          <t>Einkäufe</t>
        </is>
      </c>
      <c r="R63" s="11" t="inlineStr">
        <is>
          <t>Beschaffungskriterien</t>
        </is>
      </c>
      <c r="S63" s="12" t="inlineStr">
        <is>
          <t>Security by Design</t>
        </is>
      </c>
      <c r="T63" s="12" t="inlineStr">
        <is>
          <t>G 0.20 – Informationen oder Produkte aus unzuverlässiger Quelle</t>
        </is>
      </c>
      <c r="U63" s="11" t="n">
        <v>2</v>
      </c>
      <c r="V63" s="11" t="n">
        <v>1</v>
      </c>
      <c r="W63" s="11" t="n">
        <v>1</v>
      </c>
      <c r="X63" s="11" t="n">
        <v>1</v>
      </c>
      <c r="Y63" s="11" t="n">
        <v>1</v>
      </c>
    </row>
    <row r="64">
      <c r="A64" s="11" t="inlineStr">
        <is>
          <t>BES.4.5</t>
        </is>
      </c>
      <c r="B64" s="12" t="inlineStr">
        <is>
          <t>Security by Design</t>
        </is>
      </c>
      <c r="C64" s="11" t="inlineStr">
        <is>
          <t>BES.4.5</t>
        </is>
      </c>
      <c r="D64" s="11" t="inlineStr">
        <is>
          <t>Standard-Anforderungen</t>
        </is>
      </c>
      <c r="E64" s="12" t="inlineStr">
        <is>
          <t>Beschaffungsmanagement für Einkäufe SOLLTE Security by Design vereinbaren.</t>
        </is>
      </c>
      <c r="F64" s="14" t="n"/>
      <c r="G64" s="14" t="n"/>
      <c r="H64" s="14" t="inlineStr">
        <is>
          <t>unbearbeitet</t>
        </is>
      </c>
      <c r="I64" s="14" t="n"/>
      <c r="J64" s="14" t="n"/>
      <c r="K64" s="14" t="n"/>
      <c r="L64" s="15" t="n"/>
      <c r="M64" s="11" t="inlineStr"/>
      <c r="N64" s="12" t="inlineStr"/>
      <c r="O64" s="11" t="inlineStr"/>
      <c r="P64" s="12" t="inlineStr">
        <is>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is>
      </c>
      <c r="Q64" s="11" t="inlineStr">
        <is>
          <t>Einkäufe</t>
        </is>
      </c>
      <c r="R64" s="11" t="inlineStr">
        <is>
          <t>Beschaffungskriterien</t>
        </is>
      </c>
      <c r="S64" s="12" t="inlineStr">
        <is>
          <t>Security by Design</t>
        </is>
      </c>
      <c r="T64" s="12" t="inlineStr">
        <is>
          <t>G 0.20 – Informationen oder Produkte aus unzuverlässiger Quelle</t>
        </is>
      </c>
      <c r="U64" s="11" t="n">
        <v>2</v>
      </c>
      <c r="V64" s="11" t="n">
        <v>1</v>
      </c>
      <c r="W64" s="11" t="n">
        <v>1</v>
      </c>
      <c r="X64" s="11" t="n">
        <v>1</v>
      </c>
      <c r="Y64" s="11" t="n">
        <v>1</v>
      </c>
    </row>
    <row r="65">
      <c r="A65" s="11" t="inlineStr">
        <is>
          <t>BES.4.5</t>
        </is>
      </c>
      <c r="B65" s="12" t="inlineStr">
        <is>
          <t>Security by Design</t>
        </is>
      </c>
      <c r="C65" s="11" t="inlineStr">
        <is>
          <t>BES.4.5.1</t>
        </is>
      </c>
      <c r="D65" s="11" t="inlineStr">
        <is>
          <t>Anforderungen bei erhöhtem Schutzbedarf</t>
        </is>
      </c>
      <c r="E65" s="12" t="inlineStr">
        <is>
          <t>Beschaffungsmanagement für IT-Produkte KANN Nachweise zur Entwicklung nach einem Sicherheitslebenszyklus vereinbaren.</t>
        </is>
      </c>
      <c r="F65" s="14" t="n"/>
      <c r="G65" s="14" t="n"/>
      <c r="H65" s="14" t="inlineStr">
        <is>
          <t>unbearbeitet</t>
        </is>
      </c>
      <c r="I65" s="14" t="n"/>
      <c r="J65" s="14" t="n"/>
      <c r="K65" s="14" t="n"/>
      <c r="L65" s="15" t="n"/>
      <c r="M65" s="11" t="inlineStr"/>
      <c r="N65" s="12" t="inlineStr"/>
      <c r="O65" s="11" t="inlineStr"/>
      <c r="P65" s="12" t="inlineStr">
        <is>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is>
      </c>
      <c r="Q65" s="11" t="inlineStr">
        <is>
          <t>IT-Produkte</t>
        </is>
      </c>
      <c r="R65" s="11" t="inlineStr">
        <is>
          <t>Beschaffungskriterien</t>
        </is>
      </c>
      <c r="S65" s="12" t="inlineStr">
        <is>
          <t>Nachweise zur Entwicklung nach einem Sicherheitslebenszyklus</t>
        </is>
      </c>
      <c r="T65" s="12" t="inlineStr">
        <is>
          <t>G 0.20 – Informationen oder Produkte aus unzuverlässiger Quelle</t>
        </is>
      </c>
      <c r="U65" s="11" t="n">
        <v>4</v>
      </c>
      <c r="V65" s="11" t="n">
        <v>1</v>
      </c>
      <c r="W65" s="11" t="n">
        <v>1</v>
      </c>
      <c r="X65" s="11" t="n">
        <v>1</v>
      </c>
      <c r="Y65" s="11" t="n">
        <v>1</v>
      </c>
    </row>
    <row r="66">
      <c r="A66" s="11" t="inlineStr">
        <is>
          <t>BES.4.5</t>
        </is>
      </c>
      <c r="B66" s="12" t="inlineStr">
        <is>
          <t>Security by Design</t>
        </is>
      </c>
      <c r="C66" s="11" t="inlineStr">
        <is>
          <t>BES.4.5.2</t>
        </is>
      </c>
      <c r="D66" s="11" t="inlineStr">
        <is>
          <t>Anforderungen bei erhöhtem Schutzbedarf</t>
        </is>
      </c>
      <c r="E66" s="12" t="inlineStr">
        <is>
          <t>Beschaffungsmanagement für Outsourcing KANN eine festgelegte Mandantentrennung vereinbaren.</t>
        </is>
      </c>
      <c r="F66" s="14" t="n"/>
      <c r="G66" s="14" t="n"/>
      <c r="H66" s="14" t="inlineStr">
        <is>
          <t>unbearbeitet</t>
        </is>
      </c>
      <c r="I66" s="14" t="n"/>
      <c r="J66" s="14" t="n"/>
      <c r="K66" s="14" t="n"/>
      <c r="L66" s="15" t="n"/>
      <c r="M66" s="11" t="inlineStr">
        <is>
          <t>Vertraulichkeit</t>
        </is>
      </c>
      <c r="N66" s="12" t="inlineStr">
        <is>
          <t>APP.4.6.A20-UA.1</t>
        </is>
      </c>
      <c r="O66" s="11" t="inlineStr">
        <is>
          <t>intersects-with</t>
        </is>
      </c>
      <c r="P66" s="12" t="inlineStr">
        <is>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is>
      </c>
      <c r="Q66" s="11" t="inlineStr">
        <is>
          <t>Outsourcing</t>
        </is>
      </c>
      <c r="R66" s="11" t="inlineStr">
        <is>
          <t>Beschaffungskriterien</t>
        </is>
      </c>
      <c r="S66" s="12" t="inlineStr">
        <is>
          <t>eine festgelegte Mandantentrennung</t>
        </is>
      </c>
      <c r="T66" s="12" t="inlineStr">
        <is>
          <t>G 0.20 – Informationen oder Produkte aus unzuverlässiger Quelle; G 0.14 – Ausspähen von Informationen (Spionage); G 0.19 – Offenlegung schützenswerter Informationen; G 0.29 – Verstoß gegen Gesetze oder Regelungen</t>
        </is>
      </c>
      <c r="U66" s="11" t="n">
        <v>4</v>
      </c>
      <c r="V66" s="11" t="n">
        <v>2</v>
      </c>
      <c r="W66" s="11" t="n">
        <v>1</v>
      </c>
      <c r="X66" s="11" t="n">
        <v>1</v>
      </c>
      <c r="Y66" s="11" t="n">
        <v>1</v>
      </c>
    </row>
    <row r="67">
      <c r="A67" s="9" t="inlineStr">
        <is>
          <t>BES.4.6</t>
        </is>
      </c>
      <c r="B67" s="10" t="inlineStr">
        <is>
          <t>Security by Default</t>
        </is>
      </c>
      <c r="C67" s="11" t="n"/>
      <c r="D67" s="11" t="inlineStr">
        <is>
          <t>Standard-Anforderungen</t>
        </is>
      </c>
      <c r="E67" s="12" t="inlineStr">
        <is>
          <t>Gesamt:</t>
        </is>
      </c>
      <c r="F67" s="11" t="n"/>
      <c r="G67" s="11" t="n"/>
      <c r="H67" s="13">
        <f>IF(OR(COUNTBLANK($H$68:$H$71)&gt;0,COUNTIF($H$68:$H$71,"unbearbeitet")=COUNTA($H$68:$H$71)),"Bitte Teilanforderungen ausfüllen",IF(COUNTIF($H$68:$H$71,"zu klären")&gt;0,"zu klären",IF(COUNTIF($H$68:$H$71,"entbehrlich")=COUNTA($H$68:$H$71),"entbehrlich",IF(COUNTIF($H$68:$H$71,"verwiesen")=COUNTA($H$68:$H$71),"verwiesen",IF(COUNTIF($H$68:$H$71,"nein")+COUNTIF($H$68:$H$71,"entbehrlich")=COUNTA($H$68:$H$71),"nein",IF(COUNTIF($H$68:$H$71,"ja")+COUNTIF($H$68:$H$71,"entbehrlich")+COUNTIF($H$68:$H$71,"verwiesen")=COUNTA($H$68:$H$71),"ja","teilweise"))))))</f>
        <v/>
      </c>
      <c r="I67" s="11" t="n"/>
      <c r="J67" s="11" t="n"/>
      <c r="K67" s="11" t="n"/>
      <c r="L67" s="11" t="n"/>
      <c r="M67" s="11" t="inlineStr">
        <is>
          <t>Integrität</t>
        </is>
      </c>
      <c r="N67" s="12" t="inlineStr"/>
      <c r="O67" s="11" t="inlineStr"/>
      <c r="P67" s="12" t="inlineStr">
        <is>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is>
      </c>
      <c r="Q67" s="11" t="inlineStr">
        <is>
          <t>Einkäufe</t>
        </is>
      </c>
      <c r="R67" s="11" t="inlineStr">
        <is>
          <t>Beschaffungskriterien</t>
        </is>
      </c>
      <c r="S67" s="12" t="inlineStr">
        <is>
          <t>Security by Default</t>
        </is>
      </c>
      <c r="T67" s="12" t="inlineStr">
        <is>
          <t>G 0.20 – Informationen oder Produkte aus unzuverlässiger Quelle; G 0.22 – Manipulation von Informationen; G 0.23 – Unbefugtes Eindringen in IT-Systeme</t>
        </is>
      </c>
      <c r="U67" s="11" t="n">
        <v>2</v>
      </c>
      <c r="V67" s="11" t="n">
        <v>1</v>
      </c>
      <c r="W67" s="11" t="n">
        <v>2</v>
      </c>
      <c r="X67" s="11" t="n">
        <v>1</v>
      </c>
      <c r="Y67" s="11" t="n">
        <v>1</v>
      </c>
    </row>
    <row r="68">
      <c r="A68" s="11" t="inlineStr">
        <is>
          <t>BES.4.6</t>
        </is>
      </c>
      <c r="B68" s="12" t="inlineStr">
        <is>
          <t>Security by Default</t>
        </is>
      </c>
      <c r="C68" s="11" t="inlineStr">
        <is>
          <t>BES.4.6</t>
        </is>
      </c>
      <c r="D68" s="11" t="inlineStr">
        <is>
          <t>Standard-Anforderungen</t>
        </is>
      </c>
      <c r="E68" s="12" t="inlineStr">
        <is>
          <t>Beschaffungsmanagement für Einkäufe SOLLTE Security by Default vereinbaren.</t>
        </is>
      </c>
      <c r="F68" s="14" t="n"/>
      <c r="G68" s="14" t="n"/>
      <c r="H68" s="14" t="inlineStr">
        <is>
          <t>unbearbeitet</t>
        </is>
      </c>
      <c r="I68" s="14" t="n"/>
      <c r="J68" s="14" t="n"/>
      <c r="K68" s="14" t="n"/>
      <c r="L68" s="15" t="n"/>
      <c r="M68" s="11" t="inlineStr">
        <is>
          <t>Integrität</t>
        </is>
      </c>
      <c r="N68" s="12" t="inlineStr"/>
      <c r="O68" s="11" t="inlineStr"/>
      <c r="P68" s="12" t="inlineStr">
        <is>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is>
      </c>
      <c r="Q68" s="11" t="inlineStr">
        <is>
          <t>Einkäufe</t>
        </is>
      </c>
      <c r="R68" s="11" t="inlineStr">
        <is>
          <t>Beschaffungskriterien</t>
        </is>
      </c>
      <c r="S68" s="12" t="inlineStr">
        <is>
          <t>Security by Default</t>
        </is>
      </c>
      <c r="T68" s="12" t="inlineStr">
        <is>
          <t>G 0.20 – Informationen oder Produkte aus unzuverlässiger Quelle; G 0.22 – Manipulation von Informationen; G 0.23 – Unbefugtes Eindringen in IT-Systeme</t>
        </is>
      </c>
      <c r="U68" s="11" t="n">
        <v>2</v>
      </c>
      <c r="V68" s="11" t="n">
        <v>1</v>
      </c>
      <c r="W68" s="11" t="n">
        <v>2</v>
      </c>
      <c r="X68" s="11" t="n">
        <v>1</v>
      </c>
      <c r="Y68" s="11" t="n">
        <v>1</v>
      </c>
    </row>
    <row r="69">
      <c r="A69" s="11" t="inlineStr">
        <is>
          <t>BES.4.6</t>
        </is>
      </c>
      <c r="B69" s="12" t="inlineStr">
        <is>
          <t>Security by Default</t>
        </is>
      </c>
      <c r="C69" s="11" t="inlineStr">
        <is>
          <t>BES.4.6.1</t>
        </is>
      </c>
      <c r="D69" s="11" t="inlineStr">
        <is>
          <t>Standard-Anforderungen</t>
        </is>
      </c>
      <c r="E69" s="12" t="inlineStr">
        <is>
          <t>Beschaffungsmanagement für Dienstleistungen SOLLTE eine Authentifizierung vor dem Zugriff auf schützenswerte Informationen oder Dienste vereinbaren.</t>
        </is>
      </c>
      <c r="F69" s="14" t="n"/>
      <c r="G69" s="14" t="n"/>
      <c r="H69" s="14" t="inlineStr">
        <is>
          <t>unbearbeitet</t>
        </is>
      </c>
      <c r="I69" s="14" t="n"/>
      <c r="J69" s="14" t="n"/>
      <c r="K69" s="14" t="n"/>
      <c r="L69" s="15" t="n"/>
      <c r="M69" s="11" t="inlineStr">
        <is>
          <t>Integrität</t>
        </is>
      </c>
      <c r="N69" s="12" t="inlineStr"/>
      <c r="O69" s="11" t="inlineStr"/>
      <c r="P69" s="12" t="inlineStr">
        <is>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is>
      </c>
      <c r="Q69" s="11" t="inlineStr">
        <is>
          <t>Dienstleistungen</t>
        </is>
      </c>
      <c r="R69" s="11" t="inlineStr">
        <is>
          <t>Beschaffungskriterien</t>
        </is>
      </c>
      <c r="S69" s="12" t="inlineStr">
        <is>
          <t>eine Authentifizierung</t>
        </is>
      </c>
      <c r="T69" s="12" t="inlineStr">
        <is>
          <t>G 0.20 – Informationen oder Produkte aus unzuverlässiger Quelle; G 0.21 – Manipulation von Hard- oder Software; G 0.22 – Manipulation von Informationen</t>
        </is>
      </c>
      <c r="U69" s="11" t="n">
        <v>2</v>
      </c>
      <c r="V69" s="11" t="n">
        <v>1</v>
      </c>
      <c r="W69" s="11" t="n">
        <v>2</v>
      </c>
      <c r="X69" s="11" t="n">
        <v>1</v>
      </c>
      <c r="Y69" s="11" t="n">
        <v>1</v>
      </c>
    </row>
    <row r="70">
      <c r="A70" s="11" t="inlineStr">
        <is>
          <t>BES.4.6</t>
        </is>
      </c>
      <c r="B70" s="12" t="inlineStr">
        <is>
          <t>Security by Default</t>
        </is>
      </c>
      <c r="C70" s="11" t="inlineStr">
        <is>
          <t>BES.4.6.2</t>
        </is>
      </c>
      <c r="D70" s="11" t="inlineStr">
        <is>
          <t>Standard-Anforderungen</t>
        </is>
      </c>
      <c r="E70" s="12" t="inlineStr">
        <is>
          <t>Beschaffungsmanagement für Outsourcing SOLLTE die Verschlüsselung schützenswerter Informationen durch den Anbieter vereinbaren.</t>
        </is>
      </c>
      <c r="F70" s="14" t="n"/>
      <c r="G70" s="14" t="n"/>
      <c r="H70" s="14" t="inlineStr">
        <is>
          <t>unbearbeitet</t>
        </is>
      </c>
      <c r="I70" s="14" t="n"/>
      <c r="J70" s="14" t="n"/>
      <c r="K70" s="14" t="n"/>
      <c r="L70" s="15" t="n"/>
      <c r="M70" s="11" t="inlineStr">
        <is>
          <t>Integrität</t>
        </is>
      </c>
      <c r="N70" s="12" t="inlineStr"/>
      <c r="O70" s="11" t="inlineStr"/>
      <c r="P70" s="12" t="inlineStr">
        <is>
          <t>Hiermit ist die Ablageverschlüsselung (at rest) und die Transportverschlüsselung (in transit) gemeint. Die Transportverschlüsselung ist dabei sowohl für die Verbindung zum Outsourcing-Dienstleister, als auch bei der Übertragung innerhalb des Dienstleisternetzes vorzunehmen.</t>
        </is>
      </c>
      <c r="Q70" s="11" t="inlineStr">
        <is>
          <t>Outsourcing</t>
        </is>
      </c>
      <c r="R70" s="11" t="inlineStr">
        <is>
          <t>Beschaffungskriterien</t>
        </is>
      </c>
      <c r="S70" s="12" t="inlineStr">
        <is>
          <t>die Verschlüsselung schützenswerter Informationen</t>
        </is>
      </c>
      <c r="T70" s="12" t="inlineStr">
        <is>
          <t>G 0.20 – Informationen oder Produkte aus unzuverlässiger Quelle; G 0.21 – Manipulation von Hard- oder Software; G 0.22 – Manipulation von Informationen</t>
        </is>
      </c>
      <c r="U70" s="11" t="n">
        <v>4</v>
      </c>
      <c r="V70" s="11" t="n">
        <v>1</v>
      </c>
      <c r="W70" s="11" t="n">
        <v>2</v>
      </c>
      <c r="X70" s="11" t="n">
        <v>1</v>
      </c>
      <c r="Y70" s="11" t="n">
        <v>1</v>
      </c>
    </row>
    <row r="71">
      <c r="A71" s="11" t="inlineStr">
        <is>
          <t>BES.4.6</t>
        </is>
      </c>
      <c r="B71" s="12" t="inlineStr">
        <is>
          <t>Security by Default</t>
        </is>
      </c>
      <c r="C71" s="11" t="inlineStr">
        <is>
          <t>BES.4.6.3</t>
        </is>
      </c>
      <c r="D71" s="11" t="inlineStr">
        <is>
          <t>Anforderungen bei erhöhtem Schutzbedarf</t>
        </is>
      </c>
      <c r="E71" s="12" t="inlineStr">
        <is>
          <t>Beschaffungsmanagement für IT-Produkte KANN Schutzmechanismen gegen Manipulationen auf dem Lieferweg vereinbaren.</t>
        </is>
      </c>
      <c r="F71" s="14" t="n"/>
      <c r="G71" s="14" t="n"/>
      <c r="H71" s="14" t="inlineStr">
        <is>
          <t>unbearbeitet</t>
        </is>
      </c>
      <c r="I71" s="14" t="n"/>
      <c r="J71" s="14" t="n"/>
      <c r="K71" s="14" t="n"/>
      <c r="L71" s="15" t="n"/>
      <c r="M71" s="11" t="inlineStr"/>
      <c r="N71" s="12" t="inlineStr"/>
      <c r="O71" s="11" t="inlineStr"/>
      <c r="P71" s="12" t="inlineStr">
        <is>
          <t>Bei physischen Produkten können hierfür Siegel oder schwer fälschbare Kennzeichnungen verwendet werden, während bei Software und Daten kryptographische Prüfsummen oder digitale Signaturen eingesetzt werden können.</t>
        </is>
      </c>
      <c r="Q71" s="11" t="inlineStr">
        <is>
          <t>IT-Produkte</t>
        </is>
      </c>
      <c r="R71" s="11" t="inlineStr">
        <is>
          <t>Beschaffungskriterien</t>
        </is>
      </c>
      <c r="S71" s="12" t="inlineStr">
        <is>
          <t>Schutzmechanismen gegen Manipulationen auf dem Lieferweg</t>
        </is>
      </c>
      <c r="T71" s="12" t="inlineStr">
        <is>
          <t>G 0.21 – Manipulation von Hard- oder Software; G 0.22 – Manipulation von Informationen; G 0.20 – Informationen oder Produkte aus unzuverlässiger Quelle</t>
        </is>
      </c>
      <c r="U71" s="11" t="n">
        <v>5</v>
      </c>
      <c r="V71" s="11" t="n">
        <v>1</v>
      </c>
      <c r="W71" s="11" t="n">
        <v>1</v>
      </c>
      <c r="X71" s="11" t="n">
        <v>1</v>
      </c>
      <c r="Y71" s="11" t="n">
        <v>1</v>
      </c>
    </row>
    <row r="72">
      <c r="A72" s="9" t="inlineStr">
        <is>
          <t>BES.4.7</t>
        </is>
      </c>
      <c r="B72" s="10" t="inlineStr">
        <is>
          <t>ISMS beim Dienstleister</t>
        </is>
      </c>
      <c r="C72" s="11" t="n"/>
      <c r="D72" s="11" t="inlineStr">
        <is>
          <t>Standard-Anforderungen</t>
        </is>
      </c>
      <c r="E72" s="12" t="inlineStr">
        <is>
          <t>Gesamt:</t>
        </is>
      </c>
      <c r="F72" s="11" t="n"/>
      <c r="G72" s="11" t="n"/>
      <c r="H72" s="13">
        <f>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
      </c>
      <c r="I72" s="11" t="n"/>
      <c r="J72" s="11" t="n"/>
      <c r="K72" s="11" t="n"/>
      <c r="L72" s="11" t="n"/>
      <c r="M72" s="11" t="inlineStr">
        <is>
          <t>Verfügbarkeit</t>
        </is>
      </c>
      <c r="N72" s="12" t="inlineStr"/>
      <c r="O72" s="11" t="inlineStr"/>
      <c r="P72" s="12" t="inlineStr">
        <is>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is>
      </c>
      <c r="Q72" s="11" t="inlineStr">
        <is>
          <t>Outsourcing</t>
        </is>
      </c>
      <c r="R72" s="11" t="inlineStr">
        <is>
          <t>Beschaffungskriterien</t>
        </is>
      </c>
      <c r="S72" s="12" t="inlineStr">
        <is>
          <t>ein Managementsystem für Informationssicherheit (ISMS)</t>
        </is>
      </c>
      <c r="T72" s="12" t="inlineStr">
        <is>
          <t>G 0.20 – Informationen oder Produkte aus unzuverlässiger Quelle; G 0.11 – Ausfall oder Störung von Dienstleistern; G 0.25 – Ausfall von Geräten oder Systemen</t>
        </is>
      </c>
      <c r="U72" s="11" t="n">
        <v>4</v>
      </c>
      <c r="V72" s="11" t="n">
        <v>1</v>
      </c>
      <c r="W72" s="11" t="n">
        <v>1</v>
      </c>
      <c r="X72" s="11" t="n">
        <v>2</v>
      </c>
      <c r="Y72" s="11" t="n">
        <v>0</v>
      </c>
    </row>
    <row r="73">
      <c r="A73" s="11" t="inlineStr">
        <is>
          <t>BES.4.7</t>
        </is>
      </c>
      <c r="B73" s="12" t="inlineStr">
        <is>
          <t>ISMS beim Dienstleister</t>
        </is>
      </c>
      <c r="C73" s="11" t="inlineStr">
        <is>
          <t>BES.4.7</t>
        </is>
      </c>
      <c r="D73" s="11" t="inlineStr">
        <is>
          <t>Standard-Anforderungen</t>
        </is>
      </c>
      <c r="E73" s="12" t="inlineStr">
        <is>
          <t>Beschaffungsmanagement für Outsourcing SOLLTE ein Managementsystem für Informationssicherheit (ISMS) vereinbaren.</t>
        </is>
      </c>
      <c r="F73" s="14" t="n"/>
      <c r="G73" s="14" t="n"/>
      <c r="H73" s="14" t="inlineStr">
        <is>
          <t>unbearbeitet</t>
        </is>
      </c>
      <c r="I73" s="14" t="n"/>
      <c r="J73" s="14" t="n"/>
      <c r="K73" s="14" t="n"/>
      <c r="L73" s="15" t="n"/>
      <c r="M73" s="11" t="inlineStr">
        <is>
          <t>Verfügbarkeit</t>
        </is>
      </c>
      <c r="N73" s="12" t="inlineStr"/>
      <c r="O73" s="11" t="inlineStr"/>
      <c r="P73" s="12" t="inlineStr">
        <is>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is>
      </c>
      <c r="Q73" s="11" t="inlineStr">
        <is>
          <t>Outsourcing</t>
        </is>
      </c>
      <c r="R73" s="11" t="inlineStr">
        <is>
          <t>Beschaffungskriterien</t>
        </is>
      </c>
      <c r="S73" s="12" t="inlineStr">
        <is>
          <t>ein Managementsystem für Informationssicherheit (ISMS)</t>
        </is>
      </c>
      <c r="T73" s="12" t="inlineStr">
        <is>
          <t>G 0.20 – Informationen oder Produkte aus unzuverlässiger Quelle; G 0.11 – Ausfall oder Störung von Dienstleistern; G 0.25 – Ausfall von Geräten oder Systemen</t>
        </is>
      </c>
      <c r="U73" s="11" t="n">
        <v>4</v>
      </c>
      <c r="V73" s="11" t="n">
        <v>1</v>
      </c>
      <c r="W73" s="11" t="n">
        <v>1</v>
      </c>
      <c r="X73" s="11" t="n">
        <v>2</v>
      </c>
      <c r="Y73" s="11" t="n">
        <v>0</v>
      </c>
    </row>
    <row r="74">
      <c r="A74" s="9" t="inlineStr">
        <is>
          <t>BES.4.8</t>
        </is>
      </c>
      <c r="B74" s="10" t="inlineStr">
        <is>
          <t>Konformitätsnachweise</t>
        </is>
      </c>
      <c r="C74" s="11" t="n"/>
      <c r="D74" s="11" t="inlineStr">
        <is>
          <t>Standard-Anforderungen</t>
        </is>
      </c>
      <c r="E74" s="12" t="inlineStr">
        <is>
          <t>Gesamt:</t>
        </is>
      </c>
      <c r="F74" s="11" t="n"/>
      <c r="G74" s="11" t="n"/>
      <c r="H74" s="13">
        <f>IF(OR(COUNTBLANK($H$75:$H$79)&gt;0,COUNTIF($H$75:$H$79,"unbearbeitet")=COUNTA($H$75:$H$79)),"Bitte Teilanforderungen ausfüllen",IF(COUNTIF($H$75:$H$79,"zu klären")&gt;0,"zu klären",IF(COUNTIF($H$75:$H$79,"entbehrlich")=COUNTA($H$75:$H$79),"entbehrlich",IF(COUNTIF($H$75:$H$79,"verwiesen")=COUNTA($H$75:$H$79),"verwiesen",IF(COUNTIF($H$75:$H$79,"nein")+COUNTIF($H$75:$H$79,"entbehrlich")=COUNTA($H$75:$H$79),"nein",IF(COUNTIF($H$75:$H$79,"ja")+COUNTIF($H$75:$H$79,"entbehrlich")+COUNTIF($H$75:$H$79,"verwiesen")=COUNTA($H$75:$H$79),"ja","teilweise"))))))</f>
        <v/>
      </c>
      <c r="I74" s="11" t="n"/>
      <c r="J74" s="11" t="n"/>
      <c r="K74" s="11" t="n"/>
      <c r="L74" s="11" t="n"/>
      <c r="M74" s="11" t="inlineStr"/>
      <c r="N74" s="12" t="inlineStr"/>
      <c r="O74" s="11" t="inlineStr"/>
      <c r="P74" s="12" t="inlineStr">
        <is>
          <t>Nachweise können z.B. durch eine passende Zertifizierung (etwa nach IT-Grundschutz bei Dienstleistern oder CCRA bei IT-Produkten), ein Testat (z.B. C5-Testat für Cloud-Anbieter), oder durch die Vorlage von Sicherheitskonzepten, Risikoanalysen und Pentesting-Ergebnissen erbracht werden.</t>
        </is>
      </c>
      <c r="Q74" s="11" t="inlineStr">
        <is>
          <t>Einkäufe</t>
        </is>
      </c>
      <c r="R74" s="11" t="inlineStr">
        <is>
          <t>Beschaffungskriterien</t>
        </is>
      </c>
      <c r="S74" s="12" t="inlineStr">
        <is>
          <t>Nachweise des Lieferanten zur Erfüllung der Sicherheitskriterien</t>
        </is>
      </c>
      <c r="T74" s="12" t="inlineStr">
        <is>
          <t>G 0.20 – Informationen oder Produkte aus unzuverlässiger Quelle</t>
        </is>
      </c>
      <c r="U74" s="11" t="n">
        <v>4</v>
      </c>
      <c r="V74" s="11" t="n">
        <v>1</v>
      </c>
      <c r="W74" s="11" t="n">
        <v>1</v>
      </c>
      <c r="X74" s="11" t="n">
        <v>1</v>
      </c>
      <c r="Y74" s="11" t="n">
        <v>1</v>
      </c>
    </row>
    <row r="75">
      <c r="A75" s="11" t="inlineStr">
        <is>
          <t>BES.4.8</t>
        </is>
      </c>
      <c r="B75" s="12" t="inlineStr">
        <is>
          <t>Konformitätsnachweise</t>
        </is>
      </c>
      <c r="C75" s="11" t="inlineStr">
        <is>
          <t>BES.4.8</t>
        </is>
      </c>
      <c r="D75" s="11" t="inlineStr">
        <is>
          <t>Standard-Anforderungen</t>
        </is>
      </c>
      <c r="E75" s="12" t="inlineStr">
        <is>
          <t>Beschaffungsmanagement für Einkäufe SOLLTE Nachweise des Lieferanten zur Erfüllung der Sicherheitskriterien vereinbaren.</t>
        </is>
      </c>
      <c r="F75" s="14" t="n"/>
      <c r="G75" s="14" t="n"/>
      <c r="H75" s="14" t="inlineStr">
        <is>
          <t>unbearbeitet</t>
        </is>
      </c>
      <c r="I75" s="14" t="n"/>
      <c r="J75" s="14" t="n"/>
      <c r="K75" s="14" t="n"/>
      <c r="L75" s="15" t="n"/>
      <c r="M75" s="11" t="inlineStr"/>
      <c r="N75" s="12" t="inlineStr"/>
      <c r="O75" s="11" t="inlineStr"/>
      <c r="P75" s="12" t="inlineStr">
        <is>
          <t>Nachweise können z.B. durch eine passende Zertifizierung (etwa nach IT-Grundschutz bei Dienstleistern oder CCRA bei IT-Produkten), ein Testat (z.B. C5-Testat für Cloud-Anbieter), oder durch die Vorlage von Sicherheitskonzepten, Risikoanalysen und Pentesting-Ergebnissen erbracht werden.</t>
        </is>
      </c>
      <c r="Q75" s="11" t="inlineStr">
        <is>
          <t>Einkäufe</t>
        </is>
      </c>
      <c r="R75" s="11" t="inlineStr">
        <is>
          <t>Beschaffungskriterien</t>
        </is>
      </c>
      <c r="S75" s="12" t="inlineStr">
        <is>
          <t>Nachweise des Lieferanten zur Erfüllung der Sicherheitskriterien</t>
        </is>
      </c>
      <c r="T75" s="12" t="inlineStr">
        <is>
          <t>G 0.20 – Informationen oder Produkte aus unzuverlässiger Quelle</t>
        </is>
      </c>
      <c r="U75" s="11" t="n">
        <v>4</v>
      </c>
      <c r="V75" s="11" t="n">
        <v>1</v>
      </c>
      <c r="W75" s="11" t="n">
        <v>1</v>
      </c>
      <c r="X75" s="11" t="n">
        <v>1</v>
      </c>
      <c r="Y75" s="11" t="n">
        <v>1</v>
      </c>
    </row>
    <row r="76">
      <c r="A76" s="11" t="inlineStr">
        <is>
          <t>BES.4.8</t>
        </is>
      </c>
      <c r="B76" s="12" t="inlineStr">
        <is>
          <t>Konformitätsnachweise</t>
        </is>
      </c>
      <c r="C76" s="11" t="inlineStr">
        <is>
          <t>BES.4.8.1</t>
        </is>
      </c>
      <c r="D76" s="11" t="inlineStr">
        <is>
          <t>Anforderungen bei erhöhtem Schutzbedarf</t>
        </is>
      </c>
      <c r="E76" s="12" t="inlineStr">
        <is>
          <t>Beschaffungsmanagement für Einkäufe KANN ein Zertifikat oder Testat nach einem passenden Sicherheitsstandard vereinbaren.</t>
        </is>
      </c>
      <c r="F76" s="14" t="n"/>
      <c r="G76" s="14" t="n"/>
      <c r="H76" s="14" t="inlineStr">
        <is>
          <t>unbearbeitet</t>
        </is>
      </c>
      <c r="I76" s="14" t="n"/>
      <c r="J76" s="14" t="n"/>
      <c r="K76" s="14" t="n"/>
      <c r="L76" s="15" t="n"/>
      <c r="M76" s="11" t="inlineStr"/>
      <c r="N76" s="12" t="inlineStr"/>
      <c r="O76" s="11" t="inlineStr"/>
      <c r="P76" s="12" t="inlineStr">
        <is>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is>
      </c>
      <c r="Q76" s="11" t="inlineStr">
        <is>
          <t>Einkäufe</t>
        </is>
      </c>
      <c r="R76" s="11" t="inlineStr">
        <is>
          <t>Beschaffungskriterien</t>
        </is>
      </c>
      <c r="S76" s="12" t="inlineStr">
        <is>
          <t>ein Zertifikat oder Testat</t>
        </is>
      </c>
      <c r="T76" s="12" t="inlineStr">
        <is>
          <t>G 0.20 – Informationen oder Produkte aus unzuverlässiger Quelle</t>
        </is>
      </c>
      <c r="U76" s="11" t="n">
        <v>5</v>
      </c>
      <c r="V76" s="11" t="n">
        <v>1</v>
      </c>
      <c r="W76" s="11" t="n">
        <v>1</v>
      </c>
      <c r="X76" s="11" t="n">
        <v>1</v>
      </c>
      <c r="Y76" s="11" t="n">
        <v>1</v>
      </c>
    </row>
    <row r="77">
      <c r="A77" s="11" t="inlineStr">
        <is>
          <t>BES.4.8</t>
        </is>
      </c>
      <c r="B77" s="12" t="inlineStr">
        <is>
          <t>Konformitätsnachweise</t>
        </is>
      </c>
      <c r="C77" s="11" t="inlineStr">
        <is>
          <t>BES.4.8.2</t>
        </is>
      </c>
      <c r="D77" s="11" t="inlineStr">
        <is>
          <t>Standard-Anforderungen</t>
        </is>
      </c>
      <c r="E77" s="12" t="inlineStr">
        <is>
          <t>Beschaffungsmanagement für Cloud-Dienste SOLLTE einen Konformitätsnachweis durch Dritte vereinbaren.</t>
        </is>
      </c>
      <c r="F77" s="14" t="n"/>
      <c r="G77" s="14" t="n"/>
      <c r="H77" s="14" t="inlineStr">
        <is>
          <t>unbearbeitet</t>
        </is>
      </c>
      <c r="I77" s="14" t="n"/>
      <c r="J77" s="14" t="n"/>
      <c r="K77" s="14" t="n"/>
      <c r="L77" s="15" t="n"/>
      <c r="M77" s="11" t="inlineStr"/>
      <c r="N77" s="12" t="inlineStr"/>
      <c r="O77" s="11" t="inlineStr"/>
      <c r="P77" s="12" t="inlineStr">
        <is>
          <t>Beispielsweise durch ein C5 Testat. Hierbei ist zu prüfen, ob der Geltungsbereich und der Schutzbedarf die genutzten Clouddienste erfasst (Auswertung des Nachweises). Dies gilt auch für Subdienstleister.</t>
        </is>
      </c>
      <c r="Q77" s="11" t="inlineStr">
        <is>
          <t>Cloud-Dienste</t>
        </is>
      </c>
      <c r="R77" s="11" t="inlineStr">
        <is>
          <t>Beschaffungskriterien</t>
        </is>
      </c>
      <c r="S77" s="12" t="inlineStr">
        <is>
          <t>einen Konformitätsnachweis durch Dritte</t>
        </is>
      </c>
      <c r="T77" s="12" t="inlineStr">
        <is>
          <t>G 0.20 – Informationen oder Produkte aus unzuverlässiger Quelle; G 0.18 – Fehlplanung oder fehlende Anpassung</t>
        </is>
      </c>
      <c r="U77" s="11" t="n">
        <v>4</v>
      </c>
      <c r="V77" s="11" t="n">
        <v>1</v>
      </c>
      <c r="W77" s="11" t="n">
        <v>1</v>
      </c>
      <c r="X77" s="11" t="n">
        <v>1</v>
      </c>
      <c r="Y77" s="11" t="n">
        <v>1</v>
      </c>
    </row>
    <row r="78">
      <c r="A78" s="11" t="inlineStr">
        <is>
          <t>BES.4.8</t>
        </is>
      </c>
      <c r="B78" s="12" t="inlineStr">
        <is>
          <t>Konformitätsnachweise</t>
        </is>
      </c>
      <c r="C78" s="11" t="inlineStr">
        <is>
          <t>BES.4.8.3</t>
        </is>
      </c>
      <c r="D78" s="11" t="inlineStr">
        <is>
          <t>Anforderungen bei erhöhtem Schutzbedarf</t>
        </is>
      </c>
      <c r="E78" s="12" t="inlineStr">
        <is>
          <t>Beschaffungsmanagement für Outsourcing KANN eine IT-Grundschutz-Analyse der potenziell zu nutzenden Infrastruktur des Dienstleisters vereinbaren.</t>
        </is>
      </c>
      <c r="F78" s="14" t="n"/>
      <c r="G78" s="14" t="n"/>
      <c r="H78" s="14" t="inlineStr">
        <is>
          <t>unbearbeitet</t>
        </is>
      </c>
      <c r="I78" s="14" t="n"/>
      <c r="J78" s="14" t="n"/>
      <c r="K78" s="14" t="n"/>
      <c r="L78" s="15" t="n"/>
      <c r="M78" s="11" t="inlineStr"/>
      <c r="N78" s="12" t="inlineStr"/>
      <c r="O78" s="11" t="inlineStr"/>
      <c r="P78" s="12" t="inlineStr">
        <is>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is>
      </c>
      <c r="Q78" s="11" t="inlineStr">
        <is>
          <t>Outsourcing</t>
        </is>
      </c>
      <c r="R78" s="11" t="inlineStr">
        <is>
          <t>Beschaffungskriterien</t>
        </is>
      </c>
      <c r="S78" s="12" t="inlineStr">
        <is>
          <t>eine IT-Grundschutz-Analyse der potenziell zu nutzenden Infrastruktur des Dienstleisters</t>
        </is>
      </c>
      <c r="T78" s="12" t="inlineStr">
        <is>
          <t>G 0.20 – Informationen oder Produkte aus unzuverlässiger Quelle</t>
        </is>
      </c>
      <c r="U78" s="11" t="n">
        <v>5</v>
      </c>
      <c r="V78" s="11" t="n">
        <v>1</v>
      </c>
      <c r="W78" s="11" t="n">
        <v>1</v>
      </c>
      <c r="X78" s="11" t="n">
        <v>1</v>
      </c>
      <c r="Y78" s="11" t="n">
        <v>1</v>
      </c>
    </row>
    <row r="79">
      <c r="A79" s="11" t="inlineStr">
        <is>
          <t>BES.4.8</t>
        </is>
      </c>
      <c r="B79" s="12" t="inlineStr">
        <is>
          <t>Konformitätsnachweise</t>
        </is>
      </c>
      <c r="C79" s="11" t="inlineStr">
        <is>
          <t>BES.4.8.4</t>
        </is>
      </c>
      <c r="D79" s="11" t="inlineStr">
        <is>
          <t>Anforderungen bei erhöhtem Schutzbedarf</t>
        </is>
      </c>
      <c r="E79" s="12" t="inlineStr">
        <is>
          <t>Beschaffungsmanagement für Outsourcing KANN eine Offenlegung der Risikoanalyse aus dem ISMS des Dienstleisters, soweit eine Risikoanalyse nach IT-Grundschutz-Vorgehensweise notwendig ist, vereinbaren.</t>
        </is>
      </c>
      <c r="F79" s="14" t="n"/>
      <c r="G79" s="14" t="n"/>
      <c r="H79" s="14" t="inlineStr">
        <is>
          <t>unbearbeitet</t>
        </is>
      </c>
      <c r="I79" s="14" t="n"/>
      <c r="J79" s="14" t="n"/>
      <c r="K79" s="14" t="n"/>
      <c r="L79" s="15" t="n"/>
      <c r="M79" s="11" t="inlineStr"/>
      <c r="N79" s="12" t="inlineStr"/>
      <c r="O79" s="11" t="inlineStr"/>
      <c r="P79" s="12" t="inlineStr">
        <is>
          <t>Eine Offenlegung ist hierzu nur erforderlich, soweit die Informationen für die Risikoanalyse des Auftraggebers erforderlich sind.</t>
        </is>
      </c>
      <c r="Q79" s="11" t="inlineStr">
        <is>
          <t>Outsourcing</t>
        </is>
      </c>
      <c r="R79" s="11" t="inlineStr">
        <is>
          <t>Beschaffungskriterien</t>
        </is>
      </c>
      <c r="S79" s="12" t="inlineStr">
        <is>
          <t>eine Offenlegung der Risikoanalyse aus dem ISMS des Dienstleisters, soweit eine Risikoanalyse nach IT-Grundschutz-Vorgehensweise notwendig ist,</t>
        </is>
      </c>
      <c r="T79" s="12" t="inlineStr">
        <is>
          <t>G 0.20 – Informationen oder Produkte aus unzuverlässiger Quelle</t>
        </is>
      </c>
      <c r="U79" s="11" t="n">
        <v>5</v>
      </c>
      <c r="V79" s="11" t="n">
        <v>1</v>
      </c>
      <c r="W79" s="11" t="n">
        <v>1</v>
      </c>
      <c r="X79" s="11" t="n">
        <v>1</v>
      </c>
      <c r="Y79" s="11" t="n">
        <v>1</v>
      </c>
    </row>
    <row r="80">
      <c r="A80" s="9" t="inlineStr">
        <is>
          <t>BES.4.9</t>
        </is>
      </c>
      <c r="B80" s="10" t="inlineStr">
        <is>
          <t>Sicherheitsüberprüfung (extern)</t>
        </is>
      </c>
      <c r="C80" s="11" t="n"/>
      <c r="D80" s="11" t="inlineStr">
        <is>
          <t>Anforderungen bei erhöhtem Schutzbedarf</t>
        </is>
      </c>
      <c r="E80" s="12" t="inlineStr">
        <is>
          <t>Gesamt:</t>
        </is>
      </c>
      <c r="F80" s="11" t="n"/>
      <c r="G80" s="11" t="n"/>
      <c r="H80" s="13">
        <f>IF(OR(COUNTBLANK($H$81:$H$81)&gt;0,COUNTIF($H$81:$H$81,"unbearbeitet")=COUNTA($H$81:$H$81)),"Bitte Teilanforderungen ausfüllen",IF(COUNTIF($H$81:$H$81,"zu klären")&gt;0,"zu klären",IF(COUNTIF($H$81:$H$81,"entbehrlich")=COUNTA($H$81:$H$81),"entbehrlich",IF(COUNTIF($H$81:$H$81,"verwiesen")=COUNTA($H$81:$H$81),"verwiesen",IF(COUNTIF($H$81:$H$81,"nein")+COUNTIF($H$81:$H$81,"entbehrlich")=COUNTA($H$81:$H$81),"nein",IF(COUNTIF($H$81:$H$81,"ja")+COUNTIF($H$81:$H$81,"entbehrlich")+COUNTIF($H$81:$H$81,"verwiesen")=COUNTA($H$81:$H$81),"ja","teilweise"))))))</f>
        <v/>
      </c>
      <c r="I80" s="11" t="n"/>
      <c r="J80" s="11" t="n"/>
      <c r="K80" s="11" t="n"/>
      <c r="L80" s="11" t="n"/>
      <c r="M80" s="11" t="inlineStr"/>
      <c r="N80" s="12" t="inlineStr"/>
      <c r="O80" s="11" t="inlineStr"/>
      <c r="P80" s="12" t="inlineStr">
        <is>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is>
      </c>
      <c r="Q80" s="11" t="inlineStr">
        <is>
          <t>Einkäufe</t>
        </is>
      </c>
      <c r="R80" s="11" t="inlineStr">
        <is>
          <t>Beschaffungskriterien</t>
        </is>
      </c>
      <c r="S80" s="12" t="inlineStr">
        <is>
          <t>Sicherheitsüberprüfungen für Personen, die vom Lieferanten mit der Vertragsdurchführung beauftragt werden,</t>
        </is>
      </c>
      <c r="T80" s="12" t="inlineStr">
        <is>
          <t>G 0.20 – Informationen oder Produkte aus unzuverlässiger Quelle</t>
        </is>
      </c>
      <c r="U80" s="11" t="n">
        <v>5</v>
      </c>
      <c r="V80" s="11" t="n">
        <v>1</v>
      </c>
      <c r="W80" s="11" t="n">
        <v>1</v>
      </c>
      <c r="X80" s="11" t="n">
        <v>1</v>
      </c>
      <c r="Y80" s="11" t="n">
        <v>1</v>
      </c>
    </row>
    <row r="81">
      <c r="A81" s="11" t="inlineStr">
        <is>
          <t>BES.4.9</t>
        </is>
      </c>
      <c r="B81" s="12" t="inlineStr">
        <is>
          <t>Sicherheitsüberprüfung (extern)</t>
        </is>
      </c>
      <c r="C81" s="11" t="inlineStr">
        <is>
          <t>BES.4.9</t>
        </is>
      </c>
      <c r="D81" s="11" t="inlineStr">
        <is>
          <t>Anforderungen bei erhöhtem Schutzbedarf</t>
        </is>
      </c>
      <c r="E81" s="12" t="inlineStr">
        <is>
          <t>Beschaffungsmanagement für Einkäufe KANN Sicherheitsüberprüfungen für Personen, die vom Lieferanten mit der Vertragsdurchführung beauftragt werden, vereinbaren.</t>
        </is>
      </c>
      <c r="F81" s="14" t="n"/>
      <c r="G81" s="14" t="n"/>
      <c r="H81" s="14" t="inlineStr">
        <is>
          <t>unbearbeitet</t>
        </is>
      </c>
      <c r="I81" s="14" t="n"/>
      <c r="J81" s="14" t="n"/>
      <c r="K81" s="14" t="n"/>
      <c r="L81" s="15" t="n"/>
      <c r="M81" s="11" t="inlineStr"/>
      <c r="N81" s="12" t="inlineStr"/>
      <c r="O81" s="11" t="inlineStr"/>
      <c r="P81" s="12" t="inlineStr">
        <is>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is>
      </c>
      <c r="Q81" s="11" t="inlineStr">
        <is>
          <t>Einkäufe</t>
        </is>
      </c>
      <c r="R81" s="11" t="inlineStr">
        <is>
          <t>Beschaffungskriterien</t>
        </is>
      </c>
      <c r="S81" s="12" t="inlineStr">
        <is>
          <t>Sicherheitsüberprüfungen für Personen, die vom Lieferanten mit der Vertragsdurchführung beauftragt werden,</t>
        </is>
      </c>
      <c r="T81" s="12" t="inlineStr">
        <is>
          <t>G 0.20 – Informationen oder Produkte aus unzuverlässiger Quelle</t>
        </is>
      </c>
      <c r="U81" s="11" t="n">
        <v>5</v>
      </c>
      <c r="V81" s="11" t="n">
        <v>1</v>
      </c>
      <c r="W81" s="11" t="n">
        <v>1</v>
      </c>
      <c r="X81" s="11" t="n">
        <v>1</v>
      </c>
      <c r="Y81" s="11" t="n">
        <v>1</v>
      </c>
    </row>
    <row r="82">
      <c r="A82" s="9" t="inlineStr">
        <is>
          <t>BES.5.1</t>
        </is>
      </c>
      <c r="B82" s="10" t="inlineStr">
        <is>
          <t>Kompetenzen</t>
        </is>
      </c>
      <c r="C82" s="11" t="n"/>
      <c r="D82" s="11" t="inlineStr">
        <is>
          <t>Standard-Anforderungen</t>
        </is>
      </c>
      <c r="E82" s="12" t="inlineStr">
        <is>
          <t>Gesamt:</t>
        </is>
      </c>
      <c r="F82" s="11" t="n"/>
      <c r="G82" s="11" t="n"/>
      <c r="H82" s="13">
        <f>IF(OR(COUNTBLANK($H$83:$H$83)&gt;0,COUNTIF($H$83:$H$83,"unbearbeitet")=COUNTA($H$83:$H$83)),"Bitte Teilanforderungen ausfüllen",IF(COUNTIF($H$83:$H$83,"zu klären")&gt;0,"zu klären",IF(COUNTIF($H$83:$H$83,"entbehrlich")=COUNTA($H$83:$H$83),"entbehrlich",IF(COUNTIF($H$83:$H$83,"verwiesen")=COUNTA($H$83:$H$83),"verwiesen",IF(COUNTIF($H$83:$H$83,"nein")+COUNTIF($H$83:$H$83,"entbehrlich")=COUNTA($H$83:$H$83),"nein",IF(COUNTIF($H$83:$H$83,"ja")+COUNTIF($H$83:$H$83,"entbehrlich")+COUNTIF($H$83:$H$83,"verwiesen")=COUNTA($H$83:$H$83),"ja","teilweise"))))))</f>
        <v/>
      </c>
      <c r="I82" s="11" t="n"/>
      <c r="J82" s="11" t="n"/>
      <c r="K82" s="11" t="n"/>
      <c r="L82" s="11" t="n"/>
      <c r="M82" s="11" t="inlineStr"/>
      <c r="N82" s="12" t="inlineStr"/>
      <c r="O82" s="11" t="inlineStr"/>
      <c r="P82" s="12" t="inlineStr">
        <is>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is>
      </c>
      <c r="Q82" s="11" t="inlineStr">
        <is>
          <t>Dienstleistungen</t>
        </is>
      </c>
      <c r="R82" s="11" t="inlineStr">
        <is>
          <t>Beschaffungskriterien</t>
        </is>
      </c>
      <c r="S82" s="12" t="inlineStr">
        <is>
          <t>Kompetenzen in Informationssicherheit, die von den Mitarbeitern des Lieferanten verlangt werden,</t>
        </is>
      </c>
      <c r="T82" s="12" t="inlineStr">
        <is>
          <t>G 0.20 – Informationen oder Produkte aus unzuverlässiger Quelle</t>
        </is>
      </c>
      <c r="U82" s="11" t="n">
        <v>4</v>
      </c>
      <c r="V82" s="11" t="n">
        <v>1</v>
      </c>
      <c r="W82" s="11" t="n">
        <v>1</v>
      </c>
      <c r="X82" s="11" t="n">
        <v>1</v>
      </c>
      <c r="Y82" s="11" t="n">
        <v>1</v>
      </c>
    </row>
    <row r="83">
      <c r="A83" s="11" t="inlineStr">
        <is>
          <t>BES.5.1</t>
        </is>
      </c>
      <c r="B83" s="12" t="inlineStr">
        <is>
          <t>Kompetenzen</t>
        </is>
      </c>
      <c r="C83" s="11" t="inlineStr">
        <is>
          <t>BES.5.1</t>
        </is>
      </c>
      <c r="D83" s="11" t="inlineStr">
        <is>
          <t>Standard-Anforderungen</t>
        </is>
      </c>
      <c r="E83" s="12" t="inlineStr">
        <is>
          <t>Beschaffungsmanagement für Dienstleistungen SOLLTE Kompetenzen in Informationssicherheit, die von den Mitarbeitern des Lieferanten verlangt werden, vereinbaren.</t>
        </is>
      </c>
      <c r="F83" s="14" t="n"/>
      <c r="G83" s="14" t="n"/>
      <c r="H83" s="14" t="inlineStr">
        <is>
          <t>unbearbeitet</t>
        </is>
      </c>
      <c r="I83" s="14" t="n"/>
      <c r="J83" s="14" t="n"/>
      <c r="K83" s="14" t="n"/>
      <c r="L83" s="15" t="n"/>
      <c r="M83" s="11" t="inlineStr"/>
      <c r="N83" s="12" t="inlineStr"/>
      <c r="O83" s="11" t="inlineStr"/>
      <c r="P83" s="12" t="inlineStr">
        <is>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is>
      </c>
      <c r="Q83" s="11" t="inlineStr">
        <is>
          <t>Dienstleistungen</t>
        </is>
      </c>
      <c r="R83" s="11" t="inlineStr">
        <is>
          <t>Beschaffungskriterien</t>
        </is>
      </c>
      <c r="S83" s="12" t="inlineStr">
        <is>
          <t>Kompetenzen in Informationssicherheit, die von den Mitarbeitern des Lieferanten verlangt werden,</t>
        </is>
      </c>
      <c r="T83" s="12" t="inlineStr">
        <is>
          <t>G 0.20 – Informationen oder Produkte aus unzuverlässiger Quelle</t>
        </is>
      </c>
      <c r="U83" s="11" t="n">
        <v>4</v>
      </c>
      <c r="V83" s="11" t="n">
        <v>1</v>
      </c>
      <c r="W83" s="11" t="n">
        <v>1</v>
      </c>
      <c r="X83" s="11" t="n">
        <v>1</v>
      </c>
      <c r="Y83" s="11" t="n">
        <v>1</v>
      </c>
    </row>
    <row r="84">
      <c r="A84" s="9" t="inlineStr">
        <is>
          <t>BES.5.2</t>
        </is>
      </c>
      <c r="B84" s="10" t="inlineStr">
        <is>
          <t>Service Level Agreement</t>
        </is>
      </c>
      <c r="C84" s="11" t="n"/>
      <c r="D84" s="11" t="inlineStr">
        <is>
          <t>Standard-Anforderungen</t>
        </is>
      </c>
      <c r="E84" s="12" t="inlineStr">
        <is>
          <t>Gesamt:</t>
        </is>
      </c>
      <c r="F84" s="11" t="n"/>
      <c r="G84" s="11" t="n"/>
      <c r="H84" s="13">
        <f>IF(OR(COUNTBLANK($H$85:$H$85)&gt;0,COUNTIF($H$85:$H$85,"unbearbeitet")=COUNTA($H$85:$H$85)),"Bitte Teilanforderungen ausfüllen",IF(COUNTIF($H$85:$H$85,"zu klären")&gt;0,"zu klären",IF(COUNTIF($H$85:$H$85,"entbehrlich")=COUNTA($H$85:$H$85),"entbehrlich",IF(COUNTIF($H$85:$H$85,"verwiesen")=COUNTA($H$85:$H$85),"verwiesen",IF(COUNTIF($H$85:$H$85,"nein")+COUNTIF($H$85:$H$85,"entbehrlich")=COUNTA($H$85:$H$85),"nein",IF(COUNTIF($H$85:$H$85,"ja")+COUNTIF($H$85:$H$85,"entbehrlich")+COUNTIF($H$85:$H$85,"verwiesen")=COUNTA($H$85:$H$85),"ja","teilweise"))))))</f>
        <v/>
      </c>
      <c r="I84" s="11" t="n"/>
      <c r="J84" s="11" t="n"/>
      <c r="K84" s="11" t="n"/>
      <c r="L84" s="11" t="n"/>
      <c r="M84" s="11" t="inlineStr"/>
      <c r="N84" s="12" t="inlineStr"/>
      <c r="O84" s="11" t="inlineStr"/>
      <c r="P84" s="12" t="inlineStr">
        <is>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is>
      </c>
      <c r="Q84" s="11" t="inlineStr">
        <is>
          <t>Outsourcing</t>
        </is>
      </c>
      <c r="R84" s="11" t="inlineStr">
        <is>
          <t>Beschaffungskriterien</t>
        </is>
      </c>
      <c r="S84" s="12" t="inlineStr">
        <is>
          <t>die Einhaltung einer bestimmten Dienstgüte</t>
        </is>
      </c>
      <c r="T84" s="12" t="inlineStr">
        <is>
          <t>G 0.20 – Informationen oder Produkte aus unzuverlässiger Quelle</t>
        </is>
      </c>
      <c r="U84" s="11" t="n">
        <v>4</v>
      </c>
      <c r="V84" s="11" t="n">
        <v>1</v>
      </c>
      <c r="W84" s="11" t="n">
        <v>1</v>
      </c>
      <c r="X84" s="11" t="n">
        <v>1</v>
      </c>
      <c r="Y84" s="11" t="n">
        <v>1</v>
      </c>
    </row>
    <row r="85">
      <c r="A85" s="11" t="inlineStr">
        <is>
          <t>BES.5.2</t>
        </is>
      </c>
      <c r="B85" s="12" t="inlineStr">
        <is>
          <t>Service Level Agreement</t>
        </is>
      </c>
      <c r="C85" s="11" t="inlineStr">
        <is>
          <t>BES.5.2</t>
        </is>
      </c>
      <c r="D85" s="11" t="inlineStr">
        <is>
          <t>Standard-Anforderungen</t>
        </is>
      </c>
      <c r="E85" s="12" t="inlineStr">
        <is>
          <t>Beschaffungsmanagement für Outsourcing SOLLTE die Einhaltung einer bestimmten Dienstgüte anhand von Kriterien vereinbaren.</t>
        </is>
      </c>
      <c r="F85" s="14" t="n"/>
      <c r="G85" s="14" t="n"/>
      <c r="H85" s="14" t="inlineStr">
        <is>
          <t>unbearbeitet</t>
        </is>
      </c>
      <c r="I85" s="14" t="n"/>
      <c r="J85" s="14" t="n"/>
      <c r="K85" s="14" t="n"/>
      <c r="L85" s="15" t="n"/>
      <c r="M85" s="11" t="inlineStr"/>
      <c r="N85" s="12" t="inlineStr"/>
      <c r="O85" s="11" t="inlineStr"/>
      <c r="P85" s="12" t="inlineStr">
        <is>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is>
      </c>
      <c r="Q85" s="11" t="inlineStr">
        <is>
          <t>Outsourcing</t>
        </is>
      </c>
      <c r="R85" s="11" t="inlineStr">
        <is>
          <t>Beschaffungskriterien</t>
        </is>
      </c>
      <c r="S85" s="12" t="inlineStr">
        <is>
          <t>die Einhaltung einer bestimmten Dienstgüte</t>
        </is>
      </c>
      <c r="T85" s="12" t="inlineStr">
        <is>
          <t>G 0.20 – Informationen oder Produkte aus unzuverlässiger Quelle</t>
        </is>
      </c>
      <c r="U85" s="11" t="n">
        <v>4</v>
      </c>
      <c r="V85" s="11" t="n">
        <v>1</v>
      </c>
      <c r="W85" s="11" t="n">
        <v>1</v>
      </c>
      <c r="X85" s="11" t="n">
        <v>1</v>
      </c>
      <c r="Y85" s="11" t="n">
        <v>1</v>
      </c>
    </row>
    <row r="86">
      <c r="A86" s="9" t="inlineStr">
        <is>
          <t>BES.5.3</t>
        </is>
      </c>
      <c r="B86" s="10" t="inlineStr">
        <is>
          <t>Compliance-Verpflichtungen</t>
        </is>
      </c>
      <c r="C86" s="11" t="n"/>
      <c r="D86" s="11" t="inlineStr">
        <is>
          <t>Standard-Anforderungen</t>
        </is>
      </c>
      <c r="E86" s="12" t="inlineStr">
        <is>
          <t>Gesamt:</t>
        </is>
      </c>
      <c r="F86" s="11" t="n"/>
      <c r="G86" s="11" t="n"/>
      <c r="H86" s="13">
        <f>IF(OR(COUNTBLANK($H$87:$H$87)&gt;0,COUNTIF($H$87:$H$87,"unbearbeitet")=COUNTA($H$87:$H$87)),"Bitte Teilanforderungen ausfüllen",IF(COUNTIF($H$87:$H$87,"zu klären")&gt;0,"zu klären",IF(COUNTIF($H$87:$H$87,"entbehrlich")=COUNTA($H$87:$H$87),"entbehrlich",IF(COUNTIF($H$87:$H$87,"verwiesen")=COUNTA($H$87:$H$87),"verwiesen",IF(COUNTIF($H$87:$H$87,"nein")+COUNTIF($H$87:$H$87,"entbehrlich")=COUNTA($H$87:$H$87),"nein",IF(COUNTIF($H$87:$H$87,"ja")+COUNTIF($H$87:$H$87,"entbehrlich")+COUNTIF($H$87:$H$87,"verwiesen")=COUNTA($H$87:$H$87),"ja","teilweise"))))))</f>
        <v/>
      </c>
      <c r="I86" s="11" t="n"/>
      <c r="J86" s="11" t="n"/>
      <c r="K86" s="11" t="n"/>
      <c r="L86" s="11" t="n"/>
      <c r="M86" s="11" t="inlineStr"/>
      <c r="N86" s="12" t="inlineStr"/>
      <c r="O86" s="11" t="inlineStr"/>
      <c r="P86" s="12" t="inlineStr">
        <is>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is>
      </c>
      <c r="Q86" s="11" t="inlineStr">
        <is>
          <t>Einkäufe</t>
        </is>
      </c>
      <c r="R86" s="11" t="inlineStr">
        <is>
          <t>Beschaffungskriterien</t>
        </is>
      </c>
      <c r="S86" s="12" t="inlineStr">
        <is>
          <t>die Übereinstimmung mit Compliance-Verpflichtungen</t>
        </is>
      </c>
      <c r="T86" s="12" t="inlineStr">
        <is>
          <t>G 0.20 – Informationen oder Produkte aus unzuverlässiger Quelle</t>
        </is>
      </c>
      <c r="U86" s="11" t="n">
        <v>3</v>
      </c>
      <c r="V86" s="11" t="n">
        <v>1</v>
      </c>
      <c r="W86" s="11" t="n">
        <v>1</v>
      </c>
      <c r="X86" s="11" t="n">
        <v>1</v>
      </c>
      <c r="Y86" s="11" t="n">
        <v>1</v>
      </c>
    </row>
    <row r="87">
      <c r="A87" s="11" t="inlineStr">
        <is>
          <t>BES.5.3</t>
        </is>
      </c>
      <c r="B87" s="12" t="inlineStr">
        <is>
          <t>Compliance-Verpflichtungen</t>
        </is>
      </c>
      <c r="C87" s="11" t="inlineStr">
        <is>
          <t>BES.5.3</t>
        </is>
      </c>
      <c r="D87" s="11" t="inlineStr">
        <is>
          <t>Standard-Anforderungen</t>
        </is>
      </c>
      <c r="E87" s="12" t="inlineStr">
        <is>
          <t>Beschaffungsmanagement für Einkäufe SOLLTE die Übereinstimmung mit Compliance-Verpflichtungen vereinbaren.</t>
        </is>
      </c>
      <c r="F87" s="14" t="n"/>
      <c r="G87" s="14" t="n"/>
      <c r="H87" s="14" t="inlineStr">
        <is>
          <t>unbearbeitet</t>
        </is>
      </c>
      <c r="I87" s="14" t="n"/>
      <c r="J87" s="14" t="n"/>
      <c r="K87" s="14" t="n"/>
      <c r="L87" s="15" t="n"/>
      <c r="M87" s="11" t="inlineStr"/>
      <c r="N87" s="12" t="inlineStr"/>
      <c r="O87" s="11" t="inlineStr"/>
      <c r="P87" s="12" t="inlineStr">
        <is>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is>
      </c>
      <c r="Q87" s="11" t="inlineStr">
        <is>
          <t>Einkäufe</t>
        </is>
      </c>
      <c r="R87" s="11" t="inlineStr">
        <is>
          <t>Beschaffungskriterien</t>
        </is>
      </c>
      <c r="S87" s="12" t="inlineStr">
        <is>
          <t>die Übereinstimmung mit Compliance-Verpflichtungen</t>
        </is>
      </c>
      <c r="T87" s="12" t="inlineStr">
        <is>
          <t>G 0.20 – Informationen oder Produkte aus unzuverlässiger Quelle</t>
        </is>
      </c>
      <c r="U87" s="11" t="n">
        <v>3</v>
      </c>
      <c r="V87" s="11" t="n">
        <v>1</v>
      </c>
      <c r="W87" s="11" t="n">
        <v>1</v>
      </c>
      <c r="X87" s="11" t="n">
        <v>1</v>
      </c>
      <c r="Y87" s="11" t="n">
        <v>1</v>
      </c>
    </row>
    <row r="88">
      <c r="A88" s="9" t="inlineStr">
        <is>
          <t>BES.5.4</t>
        </is>
      </c>
      <c r="B88" s="10" t="inlineStr">
        <is>
          <t>Informationssicherheitskontrollmechanismen</t>
        </is>
      </c>
      <c r="C88" s="11" t="n"/>
      <c r="D88" s="11" t="inlineStr">
        <is>
          <t>Standard-Anforderungen</t>
        </is>
      </c>
      <c r="E88" s="12" t="inlineStr">
        <is>
          <t>Gesamt:</t>
        </is>
      </c>
      <c r="F88" s="11" t="n"/>
      <c r="G88" s="11" t="n"/>
      <c r="H88" s="13">
        <f>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
      </c>
      <c r="I88" s="11" t="n"/>
      <c r="J88" s="11" t="n"/>
      <c r="K88" s="11" t="n"/>
      <c r="L88" s="11" t="n"/>
      <c r="M88" s="11" t="inlineStr"/>
      <c r="N88" s="12" t="inlineStr"/>
      <c r="O88" s="11" t="inlineStr"/>
      <c r="P88" s="12" t="inlineStr">
        <is>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is>
      </c>
      <c r="Q88" s="11" t="inlineStr">
        <is>
          <t>Einkäufe</t>
        </is>
      </c>
      <c r="R88" s="11" t="inlineStr">
        <is>
          <t>Beschaffungskriterien</t>
        </is>
      </c>
      <c r="S88" s="12" t="inlineStr">
        <is>
          <t>Informationssicherheitskontrollmechanismen</t>
        </is>
      </c>
      <c r="T88" s="12" t="inlineStr">
        <is>
          <t>G 0.20 – Informationen oder Produkte aus unzuverlässiger Quelle</t>
        </is>
      </c>
      <c r="U88" s="11" t="n">
        <v>4</v>
      </c>
      <c r="V88" s="11" t="n">
        <v>1</v>
      </c>
      <c r="W88" s="11" t="n">
        <v>1</v>
      </c>
      <c r="X88" s="11" t="n">
        <v>1</v>
      </c>
      <c r="Y88" s="11" t="n">
        <v>1</v>
      </c>
    </row>
    <row r="89">
      <c r="A89" s="11" t="inlineStr">
        <is>
          <t>BES.5.4</t>
        </is>
      </c>
      <c r="B89" s="12" t="inlineStr">
        <is>
          <t>Informationssicherheitskontrollmechanismen</t>
        </is>
      </c>
      <c r="C89" s="11" t="inlineStr">
        <is>
          <t>BES.5.4</t>
        </is>
      </c>
      <c r="D89" s="11" t="inlineStr">
        <is>
          <t>Standard-Anforderungen</t>
        </is>
      </c>
      <c r="E89" s="12" t="inlineStr">
        <is>
          <t>Beschaffungsmanagement für Einkäufe SOLLTE Informationssicherheitskontrollmechanismen vereinbaren.</t>
        </is>
      </c>
      <c r="F89" s="14" t="n"/>
      <c r="G89" s="14" t="n"/>
      <c r="H89" s="14" t="inlineStr">
        <is>
          <t>unbearbeitet</t>
        </is>
      </c>
      <c r="I89" s="14" t="n"/>
      <c r="J89" s="14" t="n"/>
      <c r="K89" s="14" t="n"/>
      <c r="L89" s="15" t="n"/>
      <c r="M89" s="11" t="inlineStr"/>
      <c r="N89" s="12" t="inlineStr"/>
      <c r="O89" s="11" t="inlineStr"/>
      <c r="P89" s="12" t="inlineStr">
        <is>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is>
      </c>
      <c r="Q89" s="11" t="inlineStr">
        <is>
          <t>Einkäufe</t>
        </is>
      </c>
      <c r="R89" s="11" t="inlineStr">
        <is>
          <t>Beschaffungskriterien</t>
        </is>
      </c>
      <c r="S89" s="12" t="inlineStr">
        <is>
          <t>Informationssicherheitskontrollmechanismen</t>
        </is>
      </c>
      <c r="T89" s="12" t="inlineStr">
        <is>
          <t>G 0.20 – Informationen oder Produkte aus unzuverlässiger Quelle</t>
        </is>
      </c>
      <c r="U89" s="11" t="n">
        <v>4</v>
      </c>
      <c r="V89" s="11" t="n">
        <v>1</v>
      </c>
      <c r="W89" s="11" t="n">
        <v>1</v>
      </c>
      <c r="X89" s="11" t="n">
        <v>1</v>
      </c>
      <c r="Y89" s="11" t="n">
        <v>1</v>
      </c>
    </row>
    <row r="90">
      <c r="A90" s="9" t="inlineStr">
        <is>
          <t>BES.5.5</t>
        </is>
      </c>
      <c r="B90" s="10" t="inlineStr">
        <is>
          <t>Nutzungsregelungen</t>
        </is>
      </c>
      <c r="C90" s="11" t="n"/>
      <c r="D90" s="11" t="inlineStr">
        <is>
          <t>Standard-Anforderungen</t>
        </is>
      </c>
      <c r="E90" s="12" t="inlineStr">
        <is>
          <t>Gesamt:</t>
        </is>
      </c>
      <c r="F90" s="11" t="n"/>
      <c r="G90" s="11" t="n"/>
      <c r="H90" s="13">
        <f>IF(OR(COUNTBLANK($H$91:$H$93)&gt;0,COUNTIF($H$91:$H$93,"unbearbeitet")=COUNTA($H$91:$H$93)),"Bitte Teilanforderungen ausfüllen",IF(COUNTIF($H$91:$H$93,"zu klären")&gt;0,"zu klären",IF(COUNTIF($H$91:$H$93,"entbehrlich")=COUNTA($H$91:$H$93),"entbehrlich",IF(COUNTIF($H$91:$H$93,"verwiesen")=COUNTA($H$91:$H$93),"verwiesen",IF(COUNTIF($H$91:$H$93,"nein")+COUNTIF($H$91:$H$93,"entbehrlich")=COUNTA($H$91:$H$93),"nein",IF(COUNTIF($H$91:$H$93,"ja")+COUNTIF($H$91:$H$93,"entbehrlich")+COUNTIF($H$91:$H$93,"verwiesen")=COUNTA($H$91:$H$93),"ja","teilweise"))))))</f>
        <v/>
      </c>
      <c r="I90" s="11" t="n"/>
      <c r="J90" s="11" t="n"/>
      <c r="K90" s="11" t="n"/>
      <c r="L90" s="11" t="n"/>
      <c r="M90" s="11" t="inlineStr"/>
      <c r="N90" s="12" t="inlineStr"/>
      <c r="O90" s="11" t="inlineStr"/>
      <c r="P90" s="12" t="inlineStr">
        <is>
          <t>Hierzu zählen z.B. Zugriffsregelungen und Regelungen darüber unter welchen Bedingungen (Ort, Zeit, etc.) Daten genutzt werden dürfen. Darüber hinaus gehören auch Regelungen dazu, wann eine Nutzung aus Sicht der Institution explizit nicht akzeptabel ist.</t>
        </is>
      </c>
      <c r="Q90" s="11" t="inlineStr">
        <is>
          <t>Dienstleistungen</t>
        </is>
      </c>
      <c r="R90" s="11" t="inlineStr">
        <is>
          <t>Beschaffungskriterien</t>
        </is>
      </c>
      <c r="S90" s="12" t="inlineStr">
        <is>
          <t>Regelungen zur Nutzung der Daten und damit verbundenen Assets</t>
        </is>
      </c>
      <c r="T90" s="12" t="inlineStr">
        <is>
          <t>G 0.20 – Informationen oder Produkte aus unzuverlässiger Quelle</t>
        </is>
      </c>
      <c r="U90" s="11" t="n">
        <v>3</v>
      </c>
      <c r="V90" s="11" t="n">
        <v>1</v>
      </c>
      <c r="W90" s="11" t="n">
        <v>1</v>
      </c>
      <c r="X90" s="11" t="n">
        <v>1</v>
      </c>
      <c r="Y90" s="11" t="n">
        <v>1</v>
      </c>
    </row>
    <row r="91">
      <c r="A91" s="11" t="inlineStr">
        <is>
          <t>BES.5.5</t>
        </is>
      </c>
      <c r="B91" s="12" t="inlineStr">
        <is>
          <t>Nutzungsregelungen</t>
        </is>
      </c>
      <c r="C91" s="11" t="inlineStr">
        <is>
          <t>BES.5.5</t>
        </is>
      </c>
      <c r="D91" s="11" t="inlineStr">
        <is>
          <t>Standard-Anforderungen</t>
        </is>
      </c>
      <c r="E91" s="12" t="inlineStr">
        <is>
          <t>Beschaffungsmanagement für Dienstleistungen SOLLTE Regelungen zur Nutzung der Daten und damit verbundenen Assets vereinbaren.</t>
        </is>
      </c>
      <c r="F91" s="14" t="n"/>
      <c r="G91" s="14" t="n"/>
      <c r="H91" s="14" t="inlineStr">
        <is>
          <t>unbearbeitet</t>
        </is>
      </c>
      <c r="I91" s="14" t="n"/>
      <c r="J91" s="14" t="n"/>
      <c r="K91" s="14" t="n"/>
      <c r="L91" s="15" t="n"/>
      <c r="M91" s="11" t="inlineStr"/>
      <c r="N91" s="12" t="inlineStr"/>
      <c r="O91" s="11" t="inlineStr"/>
      <c r="P91" s="12" t="inlineStr">
        <is>
          <t>Hierzu zählen z.B. Zugriffsregelungen und Regelungen darüber unter welchen Bedingungen (Ort, Zeit, etc.) Daten genutzt werden dürfen. Darüber hinaus gehören auch Regelungen dazu, wann eine Nutzung aus Sicht der Institution explizit nicht akzeptabel ist.</t>
        </is>
      </c>
      <c r="Q91" s="11" t="inlineStr">
        <is>
          <t>Dienstleistungen</t>
        </is>
      </c>
      <c r="R91" s="11" t="inlineStr">
        <is>
          <t>Beschaffungskriterien</t>
        </is>
      </c>
      <c r="S91" s="12" t="inlineStr">
        <is>
          <t>Regelungen zur Nutzung der Daten und damit verbundenen Assets</t>
        </is>
      </c>
      <c r="T91" s="12" t="inlineStr">
        <is>
          <t>G 0.20 – Informationen oder Produkte aus unzuverlässiger Quelle</t>
        </is>
      </c>
      <c r="U91" s="11" t="n">
        <v>3</v>
      </c>
      <c r="V91" s="11" t="n">
        <v>1</v>
      </c>
      <c r="W91" s="11" t="n">
        <v>1</v>
      </c>
      <c r="X91" s="11" t="n">
        <v>1</v>
      </c>
      <c r="Y91" s="11" t="n">
        <v>1</v>
      </c>
    </row>
    <row r="92">
      <c r="A92" s="11" t="inlineStr">
        <is>
          <t>BES.5.5</t>
        </is>
      </c>
      <c r="B92" s="12" t="inlineStr">
        <is>
          <t>Nutzungsregelungen</t>
        </is>
      </c>
      <c r="C92" s="11" t="inlineStr">
        <is>
          <t>BES.5.5.1</t>
        </is>
      </c>
      <c r="D92" s="11" t="inlineStr">
        <is>
          <t>Anforderungen bei erhöhtem Schutzbedarf</t>
        </is>
      </c>
      <c r="E92" s="12" t="inlineStr">
        <is>
          <t>Beschaffungsmanagement für Dienstleistungen KANN die Verarbeitung von Daten ausschließlich an von der Institution erlaubten Datenlokationen vereinbaren.</t>
        </is>
      </c>
      <c r="F92" s="14" t="n"/>
      <c r="G92" s="14" t="n"/>
      <c r="H92" s="14" t="inlineStr">
        <is>
          <t>unbearbeitet</t>
        </is>
      </c>
      <c r="I92" s="14" t="n"/>
      <c r="J92" s="14" t="n"/>
      <c r="K92" s="14" t="n"/>
      <c r="L92" s="15" t="n"/>
      <c r="M92" s="11" t="inlineStr"/>
      <c r="N92" s="12" t="inlineStr"/>
      <c r="O92" s="11" t="inlineStr"/>
      <c r="P92" s="12" t="inlineStr">
        <is>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is>
      </c>
      <c r="Q92" s="11" t="inlineStr">
        <is>
          <t>Dienstleistungen</t>
        </is>
      </c>
      <c r="R92" s="11" t="inlineStr">
        <is>
          <t>Beschaffungskriterien</t>
        </is>
      </c>
      <c r="S92" s="12" t="inlineStr">
        <is>
          <t>die Verarbeitung von Daten ausschließlich an von der Institution erlaubten Datenlokationen</t>
        </is>
      </c>
      <c r="T92" s="12" t="inlineStr">
        <is>
          <t>G 0.20 – Informationen oder Produkte aus unzuverlässiger Quelle</t>
        </is>
      </c>
      <c r="U92" s="11" t="n">
        <v>4</v>
      </c>
      <c r="V92" s="11" t="n">
        <v>1</v>
      </c>
      <c r="W92" s="11" t="n">
        <v>1</v>
      </c>
      <c r="X92" s="11" t="n">
        <v>1</v>
      </c>
      <c r="Y92" s="11" t="n">
        <v>1</v>
      </c>
    </row>
    <row r="93">
      <c r="A93" s="11" t="inlineStr">
        <is>
          <t>BES.5.5</t>
        </is>
      </c>
      <c r="B93" s="12" t="inlineStr">
        <is>
          <t>Nutzungsregelungen</t>
        </is>
      </c>
      <c r="C93" s="11" t="inlineStr">
        <is>
          <t>BES.5.5.2</t>
        </is>
      </c>
      <c r="D93" s="11" t="inlineStr">
        <is>
          <t>Standard-Anforderungen</t>
        </is>
      </c>
      <c r="E93" s="12" t="inlineStr">
        <is>
          <t>Beschaffungsmanagement für Dienstleistungen SOLLTE Regelungen zur Autorisierung der Zugriffsberechtigung für Personal des Lieferanten anhand von Kriterien vereinbaren.</t>
        </is>
      </c>
      <c r="F93" s="14" t="n"/>
      <c r="G93" s="14" t="n"/>
      <c r="H93" s="14" t="inlineStr">
        <is>
          <t>unbearbeitet</t>
        </is>
      </c>
      <c r="I93" s="14" t="n"/>
      <c r="J93" s="14" t="n"/>
      <c r="K93" s="14" t="n"/>
      <c r="L93" s="15" t="n"/>
      <c r="M93" s="11" t="inlineStr"/>
      <c r="N93" s="12" t="inlineStr"/>
      <c r="O93" s="11" t="inlineStr"/>
      <c r="P93" s="12" t="inlineStr">
        <is>
          <t>Dies kann beispielsweise durch eine explizite Liste der Personen oder Rollen des Zulieferers, welche berechtigt sind, die Informationen der Institution und andere zugehörige Vermögenswerte zu nutzen, umgesetzt werden.</t>
        </is>
      </c>
      <c r="Q93" s="11" t="inlineStr">
        <is>
          <t>Dienstleistungen</t>
        </is>
      </c>
      <c r="R93" s="11" t="inlineStr">
        <is>
          <t>Beschaffungskriterien</t>
        </is>
      </c>
      <c r="S93" s="12" t="inlineStr">
        <is>
          <t>Regelungen zur Autorisierung der Zugriffsberechtigung für Personal des Lieferanten</t>
        </is>
      </c>
      <c r="T93" s="12" t="inlineStr">
        <is>
          <t>G 0.20 – Informationen oder Produkte aus unzuverlässiger Quelle</t>
        </is>
      </c>
      <c r="U93" s="11" t="n">
        <v>4</v>
      </c>
      <c r="V93" s="11" t="n">
        <v>1</v>
      </c>
      <c r="W93" s="11" t="n">
        <v>1</v>
      </c>
      <c r="X93" s="11" t="n">
        <v>1</v>
      </c>
      <c r="Y93" s="11" t="n">
        <v>1</v>
      </c>
    </row>
    <row r="94">
      <c r="A94" s="9" t="inlineStr">
        <is>
          <t>BES.5.6</t>
        </is>
      </c>
      <c r="B94" s="10" t="inlineStr">
        <is>
          <t>Vergabe von Unteraufträgen</t>
        </is>
      </c>
      <c r="C94" s="11" t="n"/>
      <c r="D94" s="11" t="inlineStr">
        <is>
          <t>Standard-Anforderungen</t>
        </is>
      </c>
      <c r="E94" s="12" t="inlineStr">
        <is>
          <t>Gesamt:</t>
        </is>
      </c>
      <c r="F94" s="11" t="n"/>
      <c r="G94" s="11" t="n"/>
      <c r="H94" s="13">
        <f>IF(OR(COUNTBLANK($H$95:$H$98)&gt;0,COUNTIF($H$95:$H$98,"unbearbeitet")=COUNTA($H$95:$H$98)),"Bitte Teilanforderungen ausfüllen",IF(COUNTIF($H$95:$H$98,"zu klären")&gt;0,"zu klären",IF(COUNTIF($H$95:$H$98,"entbehrlich")=COUNTA($H$95:$H$98),"entbehrlich",IF(COUNTIF($H$95:$H$98,"verwiesen")=COUNTA($H$95:$H$98),"verwiesen",IF(COUNTIF($H$95:$H$98,"nein")+COUNTIF($H$95:$H$98,"entbehrlich")=COUNTA($H$95:$H$98),"nein",IF(COUNTIF($H$95:$H$98,"ja")+COUNTIF($H$95:$H$98,"entbehrlich")+COUNTIF($H$95:$H$98,"verwiesen")=COUNTA($H$95:$H$98),"ja","teilweise"))))))</f>
        <v/>
      </c>
      <c r="I94" s="11" t="n"/>
      <c r="J94" s="11" t="n"/>
      <c r="K94" s="11" t="n"/>
      <c r="L94" s="11" t="n"/>
      <c r="M94" s="11" t="inlineStr"/>
      <c r="N94" s="12" t="inlineStr"/>
      <c r="O94" s="11" t="inlineStr"/>
      <c r="P94" s="12" t="inlineStr">
        <is>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is>
      </c>
      <c r="Q94" s="11" t="inlineStr">
        <is>
          <t>Einkäufe</t>
        </is>
      </c>
      <c r="R94" s="11" t="inlineStr">
        <is>
          <t>Beschaffungskriterien</t>
        </is>
      </c>
      <c r="S94" s="12" t="inlineStr">
        <is>
          <t>Regelungen für die Vergabe von Unteraufträgen</t>
        </is>
      </c>
      <c r="T94" s="12" t="inlineStr">
        <is>
          <t>G 0.20 – Informationen oder Produkte aus unzuverlässiger Quelle</t>
        </is>
      </c>
      <c r="U94" s="11" t="n">
        <v>4</v>
      </c>
      <c r="V94" s="11" t="n">
        <v>1</v>
      </c>
      <c r="W94" s="11" t="n">
        <v>1</v>
      </c>
      <c r="X94" s="11" t="n">
        <v>1</v>
      </c>
      <c r="Y94" s="11" t="n">
        <v>1</v>
      </c>
    </row>
    <row r="95">
      <c r="A95" s="11" t="inlineStr">
        <is>
          <t>BES.5.6</t>
        </is>
      </c>
      <c r="B95" s="12" t="inlineStr">
        <is>
          <t>Vergabe von Unteraufträgen</t>
        </is>
      </c>
      <c r="C95" s="11" t="inlineStr">
        <is>
          <t>BES.5.6</t>
        </is>
      </c>
      <c r="D95" s="11" t="inlineStr">
        <is>
          <t>Standard-Anforderungen</t>
        </is>
      </c>
      <c r="E95" s="12" t="inlineStr">
        <is>
          <t>Beschaffungsmanagement für Einkäufe SOLLTE Regelungen für die Vergabe von Unteraufträgen vereinbaren.</t>
        </is>
      </c>
      <c r="F95" s="14" t="n"/>
      <c r="G95" s="14" t="n"/>
      <c r="H95" s="14" t="inlineStr">
        <is>
          <t>unbearbeitet</t>
        </is>
      </c>
      <c r="I95" s="14" t="n"/>
      <c r="J95" s="14" t="n"/>
      <c r="K95" s="14" t="n"/>
      <c r="L95" s="15" t="n"/>
      <c r="M95" s="11" t="inlineStr"/>
      <c r="N95" s="12" t="inlineStr"/>
      <c r="O95" s="11" t="inlineStr"/>
      <c r="P95" s="12" t="inlineStr">
        <is>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is>
      </c>
      <c r="Q95" s="11" t="inlineStr">
        <is>
          <t>Einkäufe</t>
        </is>
      </c>
      <c r="R95" s="11" t="inlineStr">
        <is>
          <t>Beschaffungskriterien</t>
        </is>
      </c>
      <c r="S95" s="12" t="inlineStr">
        <is>
          <t>Regelungen für die Vergabe von Unteraufträgen</t>
        </is>
      </c>
      <c r="T95" s="12" t="inlineStr">
        <is>
          <t>G 0.20 – Informationen oder Produkte aus unzuverlässiger Quelle</t>
        </is>
      </c>
      <c r="U95" s="11" t="n">
        <v>4</v>
      </c>
      <c r="V95" s="11" t="n">
        <v>1</v>
      </c>
      <c r="W95" s="11" t="n">
        <v>1</v>
      </c>
      <c r="X95" s="11" t="n">
        <v>1</v>
      </c>
      <c r="Y95" s="11" t="n">
        <v>1</v>
      </c>
    </row>
    <row r="96">
      <c r="A96" s="11" t="inlineStr">
        <is>
          <t>BES.5.6</t>
        </is>
      </c>
      <c r="B96" s="12" t="inlineStr">
        <is>
          <t>Vergabe von Unteraufträgen</t>
        </is>
      </c>
      <c r="C96" s="11" t="inlineStr">
        <is>
          <t>BES.5.6.1</t>
        </is>
      </c>
      <c r="D96" s="11" t="inlineStr">
        <is>
          <t>Standard-Anforderungen</t>
        </is>
      </c>
      <c r="E96" s="12" t="inlineStr">
        <is>
          <t>Beschaffungsmanagement für Einkäufe SOLLTE die Weitergabe der Beschaffungskriterien an Unterauftragnehmer vereinbaren.</t>
        </is>
      </c>
      <c r="F96" s="14" t="n"/>
      <c r="G96" s="14" t="n"/>
      <c r="H96" s="14" t="inlineStr">
        <is>
          <t>unbearbeitet</t>
        </is>
      </c>
      <c r="I96" s="14" t="n"/>
      <c r="J96" s="14" t="n"/>
      <c r="K96" s="14" t="n"/>
      <c r="L96" s="15" t="n"/>
      <c r="M96" s="11" t="inlineStr"/>
      <c r="N96" s="12" t="inlineStr"/>
      <c r="O96" s="11" t="inlineStr"/>
      <c r="P96" s="12" t="inlineStr">
        <is>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is>
      </c>
      <c r="Q96" s="11" t="inlineStr">
        <is>
          <t>Einkäufe</t>
        </is>
      </c>
      <c r="R96" s="11" t="inlineStr">
        <is>
          <t>Beschaffungskriterien</t>
        </is>
      </c>
      <c r="S96" s="12" t="inlineStr">
        <is>
          <t>die Weitergabe der Beschaffungskriterien an Unterauftragnehmer</t>
        </is>
      </c>
      <c r="T96" s="12" t="inlineStr">
        <is>
          <t>G 0.20 – Informationen oder Produkte aus unzuverlässiger Quelle</t>
        </is>
      </c>
      <c r="U96" s="11" t="n">
        <v>4</v>
      </c>
      <c r="V96" s="11" t="n">
        <v>1</v>
      </c>
      <c r="W96" s="11" t="n">
        <v>1</v>
      </c>
      <c r="X96" s="11" t="n">
        <v>1</v>
      </c>
      <c r="Y96" s="11" t="n">
        <v>1</v>
      </c>
    </row>
    <row r="97">
      <c r="A97" s="11" t="inlineStr">
        <is>
          <t>BES.5.6</t>
        </is>
      </c>
      <c r="B97" s="12" t="inlineStr">
        <is>
          <t>Vergabe von Unteraufträgen</t>
        </is>
      </c>
      <c r="C97" s="11" t="inlineStr">
        <is>
          <t>BES.5.6.2</t>
        </is>
      </c>
      <c r="D97" s="11" t="inlineStr">
        <is>
          <t>Anforderungen bei erhöhtem Schutzbedarf</t>
        </is>
      </c>
      <c r="E97" s="12" t="inlineStr">
        <is>
          <t>Beschaffungsmanagement für Einkäufe KANN die Autorisierung von Unterauftragnehmern durch den Auftraggeber vereinbaren.</t>
        </is>
      </c>
      <c r="F97" s="14" t="n"/>
      <c r="G97" s="14" t="n"/>
      <c r="H97" s="14" t="inlineStr">
        <is>
          <t>unbearbeitet</t>
        </is>
      </c>
      <c r="I97" s="14" t="n"/>
      <c r="J97" s="14" t="n"/>
      <c r="K97" s="14" t="n"/>
      <c r="L97" s="15" t="n"/>
      <c r="M97" s="11" t="inlineStr"/>
      <c r="N97" s="12" t="inlineStr"/>
      <c r="O97" s="11" t="inlineStr"/>
      <c r="P97" s="12" t="inlineStr">
        <is>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is>
      </c>
      <c r="Q97" s="11" t="inlineStr">
        <is>
          <t>Einkäufe</t>
        </is>
      </c>
      <c r="R97" s="11" t="inlineStr">
        <is>
          <t>Beschaffungskriterien</t>
        </is>
      </c>
      <c r="S97" s="12" t="inlineStr">
        <is>
          <t>die Autorisierung von Unterauftragnehmern durch den Auftraggeber</t>
        </is>
      </c>
      <c r="T97" s="12" t="inlineStr">
        <is>
          <t>G 0.20 – Informationen oder Produkte aus unzuverlässiger Quelle</t>
        </is>
      </c>
      <c r="U97" s="11" t="n">
        <v>5</v>
      </c>
      <c r="V97" s="11" t="n">
        <v>1</v>
      </c>
      <c r="W97" s="11" t="n">
        <v>1</v>
      </c>
      <c r="X97" s="11" t="n">
        <v>1</v>
      </c>
      <c r="Y97" s="11" t="n">
        <v>1</v>
      </c>
    </row>
    <row r="98">
      <c r="A98" s="11" t="inlineStr">
        <is>
          <t>BES.5.6</t>
        </is>
      </c>
      <c r="B98" s="12" t="inlineStr">
        <is>
          <t>Vergabe von Unteraufträgen</t>
        </is>
      </c>
      <c r="C98" s="11" t="inlineStr">
        <is>
          <t>BES.5.6.3</t>
        </is>
      </c>
      <c r="D98" s="11" t="inlineStr">
        <is>
          <t>Anforderungen bei erhöhtem Schutzbedarf</t>
        </is>
      </c>
      <c r="E98" s="12" t="inlineStr">
        <is>
          <t>Beschaffungsmanagement für IT-Produkte KANN die Nachverfolgbarkeit der gesamten Lieferkette bis zum Hersteller für kritische Komponenten vereinbaren.</t>
        </is>
      </c>
      <c r="F98" s="14" t="n"/>
      <c r="G98" s="14" t="n"/>
      <c r="H98" s="14" t="inlineStr">
        <is>
          <t>unbearbeitet</t>
        </is>
      </c>
      <c r="I98" s="14" t="n"/>
      <c r="J98" s="14" t="n"/>
      <c r="K98" s="14" t="n"/>
      <c r="L98" s="15" t="n"/>
      <c r="M98" s="11" t="inlineStr"/>
      <c r="N98" s="12" t="inlineStr"/>
      <c r="O98" s="11" t="inlineStr"/>
      <c r="P98" s="12" t="inlineStr">
        <is>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is>
      </c>
      <c r="Q98" s="11" t="inlineStr">
        <is>
          <t>IT-Produkte</t>
        </is>
      </c>
      <c r="R98" s="11" t="inlineStr">
        <is>
          <t>Beschaffungskriterien</t>
        </is>
      </c>
      <c r="S98" s="12" t="inlineStr">
        <is>
          <t>die Nachverfolgbarkeit der gesamten Lieferkette bis zum Hersteller</t>
        </is>
      </c>
      <c r="T98" s="12" t="inlineStr">
        <is>
          <t>G 0.20 – Informationen oder Produkte aus unzuverlässiger Quelle</t>
        </is>
      </c>
      <c r="U98" s="11" t="n">
        <v>5</v>
      </c>
      <c r="V98" s="11" t="n">
        <v>1</v>
      </c>
      <c r="W98" s="11" t="n">
        <v>1</v>
      </c>
      <c r="X98" s="11" t="n">
        <v>1</v>
      </c>
      <c r="Y98" s="11" t="n">
        <v>1</v>
      </c>
    </row>
    <row r="99">
      <c r="A99" s="9" t="inlineStr">
        <is>
          <t>BES.5.7</t>
        </is>
      </c>
      <c r="B99" s="10" t="inlineStr">
        <is>
          <t>Schulung</t>
        </is>
      </c>
      <c r="C99" s="11" t="n"/>
      <c r="D99" s="11" t="inlineStr">
        <is>
          <t>Anforderungen bei erhöhtem Schutzbedarf</t>
        </is>
      </c>
      <c r="E99" s="12" t="inlineStr">
        <is>
          <t>Gesamt:</t>
        </is>
      </c>
      <c r="F99" s="11" t="n"/>
      <c r="G99" s="11" t="n"/>
      <c r="H99" s="13">
        <f>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
      </c>
      <c r="I99" s="11" t="n"/>
      <c r="J99" s="11" t="n"/>
      <c r="K99" s="11" t="n"/>
      <c r="L99" s="11" t="n"/>
      <c r="M99" s="11" t="inlineStr"/>
      <c r="N99" s="12" t="inlineStr"/>
      <c r="O99" s="11" t="inlineStr"/>
      <c r="P99" s="12" t="inlineStr">
        <is>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is>
      </c>
      <c r="Q99" s="11" t="inlineStr">
        <is>
          <t>Einkäufe</t>
        </is>
      </c>
      <c r="R99" s="11" t="inlineStr">
        <is>
          <t>Beschaffungskriterien</t>
        </is>
      </c>
      <c r="S99" s="12" t="inlineStr">
        <is>
          <t>eine Schulung zur Nutzung gelieferter Sicherheitsmechanismen</t>
        </is>
      </c>
      <c r="T99" s="12" t="inlineStr">
        <is>
          <t>G 0.20 – Informationen oder Produkte aus unzuverlässiger Quelle</t>
        </is>
      </c>
      <c r="U99" s="11" t="n">
        <v>5</v>
      </c>
      <c r="V99" s="11" t="n">
        <v>1</v>
      </c>
      <c r="W99" s="11" t="n">
        <v>1</v>
      </c>
      <c r="X99" s="11" t="n">
        <v>1</v>
      </c>
      <c r="Y99" s="11" t="n">
        <v>1</v>
      </c>
    </row>
    <row r="100">
      <c r="A100" s="11" t="inlineStr">
        <is>
          <t>BES.5.7</t>
        </is>
      </c>
      <c r="B100" s="12" t="inlineStr">
        <is>
          <t>Schulung</t>
        </is>
      </c>
      <c r="C100" s="11" t="inlineStr">
        <is>
          <t>BES.5.7</t>
        </is>
      </c>
      <c r="D100" s="11" t="inlineStr">
        <is>
          <t>Anforderungen bei erhöhtem Schutzbedarf</t>
        </is>
      </c>
      <c r="E100" s="12" t="inlineStr">
        <is>
          <t>Beschaffungsmanagement für Einkäufe KANN eine Schulung zur Nutzung gelieferter Sicherheitsmechanismen vereinbaren.</t>
        </is>
      </c>
      <c r="F100" s="14" t="n"/>
      <c r="G100" s="14" t="n"/>
      <c r="H100" s="14" t="inlineStr">
        <is>
          <t>unbearbeitet</t>
        </is>
      </c>
      <c r="I100" s="14" t="n"/>
      <c r="J100" s="14" t="n"/>
      <c r="K100" s="14" t="n"/>
      <c r="L100" s="15" t="n"/>
      <c r="M100" s="11" t="inlineStr"/>
      <c r="N100" s="12" t="inlineStr"/>
      <c r="O100" s="11" t="inlineStr"/>
      <c r="P100" s="12" t="inlineStr">
        <is>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is>
      </c>
      <c r="Q100" s="11" t="inlineStr">
        <is>
          <t>Einkäufe</t>
        </is>
      </c>
      <c r="R100" s="11" t="inlineStr">
        <is>
          <t>Beschaffungskriterien</t>
        </is>
      </c>
      <c r="S100" s="12" t="inlineStr">
        <is>
          <t>eine Schulung zur Nutzung gelieferter Sicherheitsmechanismen</t>
        </is>
      </c>
      <c r="T100" s="12" t="inlineStr">
        <is>
          <t>G 0.20 – Informationen oder Produkte aus unzuverlässiger Quelle</t>
        </is>
      </c>
      <c r="U100" s="11" t="n">
        <v>5</v>
      </c>
      <c r="V100" s="11" t="n">
        <v>1</v>
      </c>
      <c r="W100" s="11" t="n">
        <v>1</v>
      </c>
      <c r="X100" s="11" t="n">
        <v>1</v>
      </c>
      <c r="Y100" s="11" t="n">
        <v>1</v>
      </c>
    </row>
    <row r="101">
      <c r="A101" s="9" t="inlineStr">
        <is>
          <t>BES.5.8</t>
        </is>
      </c>
      <c r="B101" s="10" t="inlineStr">
        <is>
          <t>Rechte für geistges Eigentum</t>
        </is>
      </c>
      <c r="C101" s="11" t="n"/>
      <c r="D101" s="11" t="inlineStr">
        <is>
          <t>Standard-Anforderungen</t>
        </is>
      </c>
      <c r="E101" s="12" t="inlineStr">
        <is>
          <t>Gesamt:</t>
        </is>
      </c>
      <c r="F101" s="11" t="n"/>
      <c r="G101" s="11" t="n"/>
      <c r="H101" s="13">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
      </c>
      <c r="I101" s="11" t="n"/>
      <c r="J101" s="11" t="n"/>
      <c r="K101" s="11" t="n"/>
      <c r="L101" s="11" t="n"/>
      <c r="M101" s="11" t="inlineStr"/>
      <c r="N101" s="12" t="inlineStr"/>
      <c r="O101" s="11" t="inlineStr"/>
      <c r="P101" s="12" t="inlineStr">
        <is>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is>
      </c>
      <c r="Q101" s="11" t="inlineStr">
        <is>
          <t>Dienstleistungen</t>
        </is>
      </c>
      <c r="R101" s="11" t="inlineStr">
        <is>
          <t>Beschaffungskriterien</t>
        </is>
      </c>
      <c r="S101" s="12" t="inlineStr">
        <is>
          <t>für geistiges Eigentum, das während der Vertragslaufzeit entwickelt wird, die Eigentumsrechte</t>
        </is>
      </c>
      <c r="T101" s="12" t="inlineStr">
        <is>
          <t>G 0.20 – Informationen oder Produkte aus unzuverlässiger Quelle</t>
        </is>
      </c>
      <c r="U101" s="11" t="n">
        <v>2</v>
      </c>
      <c r="V101" s="11" t="n">
        <v>1</v>
      </c>
      <c r="W101" s="11" t="n">
        <v>1</v>
      </c>
      <c r="X101" s="11" t="n">
        <v>1</v>
      </c>
      <c r="Y101" s="11" t="n">
        <v>1</v>
      </c>
    </row>
    <row r="102">
      <c r="A102" s="11" t="inlineStr">
        <is>
          <t>BES.5.8</t>
        </is>
      </c>
      <c r="B102" s="12" t="inlineStr">
        <is>
          <t>Rechte für geistges Eigentum</t>
        </is>
      </c>
      <c r="C102" s="11" t="inlineStr">
        <is>
          <t>BES.5.8</t>
        </is>
      </c>
      <c r="D102" s="11" t="inlineStr">
        <is>
          <t>Standard-Anforderungen</t>
        </is>
      </c>
      <c r="E102" s="12" t="inlineStr">
        <is>
          <t>Beschaffungsmanagement für Dienstleistungen SOLLTE für geistiges Eigentum, das während der Vertragslaufzeit entwickelt wird, die Eigentumsrechte vereinbaren.</t>
        </is>
      </c>
      <c r="F102" s="14" t="n"/>
      <c r="G102" s="14" t="n"/>
      <c r="H102" s="14" t="inlineStr">
        <is>
          <t>unbearbeitet</t>
        </is>
      </c>
      <c r="I102" s="14" t="n"/>
      <c r="J102" s="14" t="n"/>
      <c r="K102" s="14" t="n"/>
      <c r="L102" s="15" t="n"/>
      <c r="M102" s="11" t="inlineStr"/>
      <c r="N102" s="12" t="inlineStr"/>
      <c r="O102" s="11" t="inlineStr"/>
      <c r="P102" s="12" t="inlineStr">
        <is>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is>
      </c>
      <c r="Q102" s="11" t="inlineStr">
        <is>
          <t>Dienstleistungen</t>
        </is>
      </c>
      <c r="R102" s="11" t="inlineStr">
        <is>
          <t>Beschaffungskriterien</t>
        </is>
      </c>
      <c r="S102" s="12" t="inlineStr">
        <is>
          <t>für geistiges Eigentum, das während der Vertragslaufzeit entwickelt wird, die Eigentumsrechte</t>
        </is>
      </c>
      <c r="T102" s="12" t="inlineStr">
        <is>
          <t>G 0.20 – Informationen oder Produkte aus unzuverlässiger Quelle</t>
        </is>
      </c>
      <c r="U102" s="11" t="n">
        <v>2</v>
      </c>
      <c r="V102" s="11" t="n">
        <v>1</v>
      </c>
      <c r="W102" s="11" t="n">
        <v>1</v>
      </c>
      <c r="X102" s="11" t="n">
        <v>1</v>
      </c>
      <c r="Y102" s="11" t="n">
        <v>1</v>
      </c>
    </row>
    <row r="103">
      <c r="A103" s="9" t="inlineStr">
        <is>
          <t>BES.5.9</t>
        </is>
      </c>
      <c r="B103" s="10" t="inlineStr">
        <is>
          <t>Umgang mit Änderungen</t>
        </is>
      </c>
      <c r="C103" s="11" t="n"/>
      <c r="D103" s="11" t="inlineStr">
        <is>
          <t>Standard-Anforderungen</t>
        </is>
      </c>
      <c r="E103" s="12" t="inlineStr">
        <is>
          <t>Gesamt:</t>
        </is>
      </c>
      <c r="F103" s="11" t="n"/>
      <c r="G103" s="11" t="n"/>
      <c r="H103" s="13">
        <f>IF(OR(COUNTBLANK($H$104:$H$105)&gt;0,COUNTIF($H$104:$H$105,"unbearbeitet")=COUNTA($H$104:$H$105)),"Bitte Teilanforderungen ausfüllen",IF(COUNTIF($H$104:$H$105,"zu klären")&gt;0,"zu klären",IF(COUNTIF($H$104:$H$105,"entbehrlich")=COUNTA($H$104:$H$105),"entbehrlich",IF(COUNTIF($H$104:$H$105,"verwiesen")=COUNTA($H$104:$H$105),"verwiesen",IF(COUNTIF($H$104:$H$105,"nein")+COUNTIF($H$104:$H$105,"entbehrlich")=COUNTA($H$104:$H$105),"nein",IF(COUNTIF($H$104:$H$105,"ja")+COUNTIF($H$104:$H$105,"entbehrlich")+COUNTIF($H$104:$H$105,"verwiesen")=COUNTA($H$104:$H$105),"ja","teilweise"))))))</f>
        <v/>
      </c>
      <c r="I103" s="11" t="n"/>
      <c r="J103" s="11" t="n"/>
      <c r="K103" s="11" t="n"/>
      <c r="L103" s="11" t="n"/>
      <c r="M103" s="11" t="inlineStr"/>
      <c r="N103" s="12" t="inlineStr"/>
      <c r="O103" s="11" t="inlineStr"/>
      <c r="P103" s="12" t="inlineStr">
        <is>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is>
      </c>
      <c r="Q103" s="11" t="inlineStr">
        <is>
          <t>Dienstleistungen</t>
        </is>
      </c>
      <c r="R103" s="11" t="inlineStr">
        <is>
          <t>Beschaffungskriterien</t>
        </is>
      </c>
      <c r="S103" s="12" t="inlineStr">
        <is>
          <t>Regelungen für den Umgang mit Änderungen</t>
        </is>
      </c>
      <c r="T103" s="12" t="inlineStr">
        <is>
          <t>G 0.20 – Informationen oder Produkte aus unzuverlässiger Quelle</t>
        </is>
      </c>
      <c r="U103" s="11" t="n">
        <v>4</v>
      </c>
      <c r="V103" s="11" t="n">
        <v>1</v>
      </c>
      <c r="W103" s="11" t="n">
        <v>1</v>
      </c>
      <c r="X103" s="11" t="n">
        <v>1</v>
      </c>
      <c r="Y103" s="11" t="n">
        <v>1</v>
      </c>
    </row>
    <row r="104">
      <c r="A104" s="11" t="inlineStr">
        <is>
          <t>BES.5.9</t>
        </is>
      </c>
      <c r="B104" s="12" t="inlineStr">
        <is>
          <t>Umgang mit Änderungen</t>
        </is>
      </c>
      <c r="C104" s="11" t="inlineStr">
        <is>
          <t>BES.5.9</t>
        </is>
      </c>
      <c r="D104" s="11" t="inlineStr">
        <is>
          <t>Standard-Anforderungen</t>
        </is>
      </c>
      <c r="E104" s="12" t="inlineStr">
        <is>
          <t>Beschaffungsmanagement für Dienstleistungen SOLLTE Regelungen für den Umgang mit Änderungen vereinbaren.</t>
        </is>
      </c>
      <c r="F104" s="14" t="n"/>
      <c r="G104" s="14" t="n"/>
      <c r="H104" s="14" t="inlineStr">
        <is>
          <t>unbearbeitet</t>
        </is>
      </c>
      <c r="I104" s="14" t="n"/>
      <c r="J104" s="14" t="n"/>
      <c r="K104" s="14" t="n"/>
      <c r="L104" s="15" t="n"/>
      <c r="M104" s="11" t="inlineStr"/>
      <c r="N104" s="12" t="inlineStr"/>
      <c r="O104" s="11" t="inlineStr"/>
      <c r="P104" s="12" t="inlineStr">
        <is>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is>
      </c>
      <c r="Q104" s="11" t="inlineStr">
        <is>
          <t>Dienstleistungen</t>
        </is>
      </c>
      <c r="R104" s="11" t="inlineStr">
        <is>
          <t>Beschaffungskriterien</t>
        </is>
      </c>
      <c r="S104" s="12" t="inlineStr">
        <is>
          <t>Regelungen für den Umgang mit Änderungen</t>
        </is>
      </c>
      <c r="T104" s="12" t="inlineStr">
        <is>
          <t>G 0.20 – Informationen oder Produkte aus unzuverlässiger Quelle</t>
        </is>
      </c>
      <c r="U104" s="11" t="n">
        <v>4</v>
      </c>
      <c r="V104" s="11" t="n">
        <v>1</v>
      </c>
      <c r="W104" s="11" t="n">
        <v>1</v>
      </c>
      <c r="X104" s="11" t="n">
        <v>1</v>
      </c>
      <c r="Y104" s="11" t="n">
        <v>1</v>
      </c>
    </row>
    <row r="105">
      <c r="A105" s="11" t="inlineStr">
        <is>
          <t>BES.5.9</t>
        </is>
      </c>
      <c r="B105" s="12" t="inlineStr">
        <is>
          <t>Umgang mit Änderungen</t>
        </is>
      </c>
      <c r="C105" s="11" t="inlineStr">
        <is>
          <t>BES.5.9.1</t>
        </is>
      </c>
      <c r="D105" s="11" t="inlineStr">
        <is>
          <t>Anforderungen bei erhöhtem Schutzbedarf</t>
        </is>
      </c>
      <c r="E105" s="12" t="inlineStr">
        <is>
          <t>Beschaffungsmanagement für Dienstleistungen KANN die Autorisierung von Änderungen durch den Auftraggeber vereinbaren.</t>
        </is>
      </c>
      <c r="F105" s="14" t="n"/>
      <c r="G105" s="14" t="n"/>
      <c r="H105" s="14" t="inlineStr">
        <is>
          <t>unbearbeitet</t>
        </is>
      </c>
      <c r="I105" s="14" t="n"/>
      <c r="J105" s="14" t="n"/>
      <c r="K105" s="14" t="n"/>
      <c r="L105" s="15" t="n"/>
      <c r="M105" s="11" t="inlineStr"/>
      <c r="N105" s="12" t="inlineStr"/>
      <c r="O105" s="11" t="inlineStr"/>
      <c r="P105" s="12" t="inlineStr">
        <is>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is>
      </c>
      <c r="Q105" s="11" t="inlineStr">
        <is>
          <t>Dienstleistungen</t>
        </is>
      </c>
      <c r="R105" s="11" t="inlineStr">
        <is>
          <t>Beschaffungskriterien</t>
        </is>
      </c>
      <c r="S105" s="12" t="inlineStr">
        <is>
          <t>die Autorisierung von Änderungen durch den Auftraggeber</t>
        </is>
      </c>
      <c r="T105" s="12" t="inlineStr">
        <is>
          <t>G 0.20 – Informationen oder Produkte aus unzuverlässiger Quelle; G 0.18 – Fehlplanung oder fehlende Anpassung</t>
        </is>
      </c>
      <c r="U105" s="11" t="n">
        <v>5</v>
      </c>
      <c r="V105" s="11" t="n">
        <v>1</v>
      </c>
      <c r="W105" s="11" t="n">
        <v>1</v>
      </c>
      <c r="X105" s="11" t="n">
        <v>1</v>
      </c>
      <c r="Y105" s="11" t="n">
        <v>1</v>
      </c>
    </row>
    <row r="106">
      <c r="A106" s="9" t="inlineStr">
        <is>
          <t>BES.5.10</t>
        </is>
      </c>
      <c r="B106" s="10" t="inlineStr">
        <is>
          <t>Behandlung von Vorfällen</t>
        </is>
      </c>
      <c r="C106" s="11" t="n"/>
      <c r="D106" s="11" t="inlineStr">
        <is>
          <t>Standard-Anforderungen</t>
        </is>
      </c>
      <c r="E106" s="12" t="inlineStr">
        <is>
          <t>Gesamt:</t>
        </is>
      </c>
      <c r="F106" s="11" t="n"/>
      <c r="G106" s="11" t="n"/>
      <c r="H106" s="13">
        <f>IF(OR(COUNTBLANK($H$107:$H$113)&gt;0,COUNTIF($H$107:$H$113,"unbearbeitet")=COUNTA($H$107:$H$113)),"Bitte Teilanforderungen ausfüllen",IF(COUNTIF($H$107:$H$113,"zu klären")&gt;0,"zu klären",IF(COUNTIF($H$107:$H$113,"entbehrlich")=COUNTA($H$107:$H$113),"entbehrlich",IF(COUNTIF($H$107:$H$113,"verwiesen")=COUNTA($H$107:$H$113),"verwiesen",IF(COUNTIF($H$107:$H$113,"nein")+COUNTIF($H$107:$H$113,"entbehrlich")=COUNTA($H$107:$H$113),"nein",IF(COUNTIF($H$107:$H$113,"ja")+COUNTIF($H$107:$H$113,"entbehrlich")+COUNTIF($H$107:$H$113,"verwiesen")=COUNTA($H$107:$H$113),"ja","teilweise"))))))</f>
        <v/>
      </c>
      <c r="I106" s="11" t="n"/>
      <c r="J106" s="11" t="n"/>
      <c r="K106" s="11" t="n"/>
      <c r="L106" s="11" t="n"/>
      <c r="M106" s="11" t="inlineStr"/>
      <c r="N106" s="12" t="inlineStr"/>
      <c r="O106" s="11" t="inlineStr"/>
      <c r="P106" s="12" t="inlineStr">
        <is>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is>
      </c>
      <c r="Q106" s="11" t="inlineStr">
        <is>
          <t>Einkäufe</t>
        </is>
      </c>
      <c r="R106" s="11" t="inlineStr">
        <is>
          <t>Beschaffungskriterien</t>
        </is>
      </c>
      <c r="S106" s="12" t="inlineStr">
        <is>
          <t>Regelungen für die Behandlung von Vorfällen</t>
        </is>
      </c>
      <c r="T106" s="12" t="inlineStr">
        <is>
          <t>G 0.20 – Informationen oder Produkte aus unzuverlässiger Quelle; G 0.18 – Fehlplanung oder fehlende Anpassung</t>
        </is>
      </c>
      <c r="U106" s="11" t="n">
        <v>3</v>
      </c>
      <c r="V106" s="11" t="n">
        <v>1</v>
      </c>
      <c r="W106" s="11" t="n">
        <v>1</v>
      </c>
      <c r="X106" s="11" t="n">
        <v>1</v>
      </c>
      <c r="Y106" s="11" t="n">
        <v>1</v>
      </c>
    </row>
    <row r="107">
      <c r="A107" s="11" t="inlineStr">
        <is>
          <t>BES.5.10</t>
        </is>
      </c>
      <c r="B107" s="12" t="inlineStr">
        <is>
          <t>Behandlung von Vorfällen</t>
        </is>
      </c>
      <c r="C107" s="11" t="inlineStr">
        <is>
          <t>BES.5.10</t>
        </is>
      </c>
      <c r="D107" s="11" t="inlineStr">
        <is>
          <t>Standard-Anforderungen</t>
        </is>
      </c>
      <c r="E107" s="12" t="inlineStr">
        <is>
          <t>Beschaffungsmanagement für Einkäufe SOLLTE Regelungen für die Behandlung von Vorfällen vereinbaren.</t>
        </is>
      </c>
      <c r="F107" s="14" t="n"/>
      <c r="G107" s="14" t="n"/>
      <c r="H107" s="14" t="inlineStr">
        <is>
          <t>unbearbeitet</t>
        </is>
      </c>
      <c r="I107" s="14" t="n"/>
      <c r="J107" s="14" t="n"/>
      <c r="K107" s="14" t="n"/>
      <c r="L107" s="15" t="n"/>
      <c r="M107" s="11" t="inlineStr"/>
      <c r="N107" s="12" t="inlineStr"/>
      <c r="O107" s="11" t="inlineStr"/>
      <c r="P107" s="12" t="inlineStr">
        <is>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is>
      </c>
      <c r="Q107" s="11" t="inlineStr">
        <is>
          <t>Einkäufe</t>
        </is>
      </c>
      <c r="R107" s="11" t="inlineStr">
        <is>
          <t>Beschaffungskriterien</t>
        </is>
      </c>
      <c r="S107" s="12" t="inlineStr">
        <is>
          <t>Regelungen für die Behandlung von Vorfällen</t>
        </is>
      </c>
      <c r="T107" s="12" t="inlineStr">
        <is>
          <t>G 0.20 – Informationen oder Produkte aus unzuverlässiger Quelle; G 0.18 – Fehlplanung oder fehlende Anpassung</t>
        </is>
      </c>
      <c r="U107" s="11" t="n">
        <v>3</v>
      </c>
      <c r="V107" s="11" t="n">
        <v>1</v>
      </c>
      <c r="W107" s="11" t="n">
        <v>1</v>
      </c>
      <c r="X107" s="11" t="n">
        <v>1</v>
      </c>
      <c r="Y107" s="11" t="n">
        <v>1</v>
      </c>
    </row>
    <row r="108">
      <c r="A108" s="11" t="inlineStr">
        <is>
          <t>BES.5.10</t>
        </is>
      </c>
      <c r="B108" s="12" t="inlineStr">
        <is>
          <t>Behandlung von Vorfällen</t>
        </is>
      </c>
      <c r="C108" s="11" t="inlineStr">
        <is>
          <t>BES.5.10.1</t>
        </is>
      </c>
      <c r="D108" s="11" t="inlineStr">
        <is>
          <t>Standard-Anforderungen</t>
        </is>
      </c>
      <c r="E108" s="12" t="inlineStr">
        <is>
          <t>Beschaffungsmanagement für Einkäufe SOLLTE die Erreichbarkeit des Lieferanten über bestimmte Meldewege vereinbaren.</t>
        </is>
      </c>
      <c r="F108" s="14" t="n"/>
      <c r="G108" s="14" t="n"/>
      <c r="H108" s="14" t="inlineStr">
        <is>
          <t>unbearbeitet</t>
        </is>
      </c>
      <c r="I108" s="14" t="n"/>
      <c r="J108" s="14" t="n"/>
      <c r="K108" s="14" t="n"/>
      <c r="L108" s="15" t="n"/>
      <c r="M108" s="11" t="inlineStr"/>
      <c r="N108" s="12" t="inlineStr"/>
      <c r="O108" s="11" t="inlineStr"/>
      <c r="P108" s="12" t="inlineStr">
        <is>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is>
      </c>
      <c r="Q108" s="11" t="inlineStr">
        <is>
          <t>Einkäufe</t>
        </is>
      </c>
      <c r="R108" s="11" t="inlineStr">
        <is>
          <t>Beschaffungskriterien</t>
        </is>
      </c>
      <c r="S108" s="12" t="inlineStr">
        <is>
          <t>die Erreichbarkeit des Lieferanten über bestimmte Meldewege</t>
        </is>
      </c>
      <c r="T108" s="12" t="inlineStr">
        <is>
          <t>G 0.20 – Informationen oder Produkte aus unzuverlässiger Quelle</t>
        </is>
      </c>
      <c r="U108" s="11" t="n">
        <v>3</v>
      </c>
      <c r="V108" s="11" t="n">
        <v>1</v>
      </c>
      <c r="W108" s="11" t="n">
        <v>1</v>
      </c>
      <c r="X108" s="11" t="n">
        <v>1</v>
      </c>
      <c r="Y108" s="11" t="n">
        <v>1</v>
      </c>
    </row>
    <row r="109">
      <c r="A109" s="11" t="inlineStr">
        <is>
          <t>BES.5.10</t>
        </is>
      </c>
      <c r="B109" s="12" t="inlineStr">
        <is>
          <t>Behandlung von Vorfällen</t>
        </is>
      </c>
      <c r="C109" s="11" t="inlineStr">
        <is>
          <t>BES.5.10.2</t>
        </is>
      </c>
      <c r="D109" s="11" t="inlineStr">
        <is>
          <t>Standard-Anforderungen</t>
        </is>
      </c>
      <c r="E109" s="12" t="inlineStr">
        <is>
          <t>Beschaffungsmanagement für Einkäufe SOLLTE eine Verpflichtung zur unverzüglichen Information des Auftraggebers über ihn betreffende Vorfälle vereinbaren.</t>
        </is>
      </c>
      <c r="F109" s="14" t="n"/>
      <c r="G109" s="14" t="n"/>
      <c r="H109" s="14" t="inlineStr">
        <is>
          <t>unbearbeitet</t>
        </is>
      </c>
      <c r="I109" s="14" t="n"/>
      <c r="J109" s="14" t="n"/>
      <c r="K109" s="14" t="n"/>
      <c r="L109" s="15" t="n"/>
      <c r="M109" s="11" t="inlineStr"/>
      <c r="N109" s="12" t="inlineStr"/>
      <c r="O109" s="11" t="inlineStr"/>
      <c r="P109" s="12" t="inlineStr">
        <is>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is>
      </c>
      <c r="Q109" s="11" t="inlineStr">
        <is>
          <t>Einkäufe</t>
        </is>
      </c>
      <c r="R109" s="11" t="inlineStr">
        <is>
          <t>Beschaffungskriterien</t>
        </is>
      </c>
      <c r="S109" s="12" t="inlineStr">
        <is>
          <t>eine Verpflichtung zur unverzüglichen Information des Auftraggebers über ihn betreffende Vorfälle</t>
        </is>
      </c>
      <c r="T109" s="12" t="inlineStr">
        <is>
          <t>G 0.20 – Informationen oder Produkte aus unzuverlässiger Quelle</t>
        </is>
      </c>
      <c r="U109" s="11" t="n">
        <v>3</v>
      </c>
      <c r="V109" s="11" t="n">
        <v>1</v>
      </c>
      <c r="W109" s="11" t="n">
        <v>1</v>
      </c>
      <c r="X109" s="11" t="n">
        <v>1</v>
      </c>
      <c r="Y109" s="11" t="n">
        <v>1</v>
      </c>
    </row>
    <row r="110">
      <c r="A110" s="11" t="inlineStr">
        <is>
          <t>BES.5.10</t>
        </is>
      </c>
      <c r="B110" s="12" t="inlineStr">
        <is>
          <t>Behandlung von Vorfällen</t>
        </is>
      </c>
      <c r="C110" s="11" t="inlineStr">
        <is>
          <t>BES.5.10.3</t>
        </is>
      </c>
      <c r="D110" s="11" t="inlineStr">
        <is>
          <t>Standard-Anforderungen</t>
        </is>
      </c>
      <c r="E110" s="12" t="inlineStr">
        <is>
          <t>Beschaffungsmanagement für Einkäufe SOLLTE eine Verpflichtung für Lieferanten, die den Auftraggeber betreffende Schwachstelle zeitnah zu beheben, vereinbaren.</t>
        </is>
      </c>
      <c r="F110" s="14" t="n"/>
      <c r="G110" s="14" t="n"/>
      <c r="H110" s="14" t="inlineStr">
        <is>
          <t>unbearbeitet</t>
        </is>
      </c>
      <c r="I110" s="14" t="n"/>
      <c r="J110" s="14" t="n"/>
      <c r="K110" s="14" t="n"/>
      <c r="L110" s="15" t="n"/>
      <c r="M110" s="11" t="inlineStr"/>
      <c r="N110" s="12" t="inlineStr"/>
      <c r="O110" s="11" t="inlineStr"/>
      <c r="P110" s="12" t="inlineStr">
        <is>
          <t>Die Verpflichtung bezieht sich hierbei auf die gesamte Lebensdauer der Dienstleistungen oder Produkte. Je nach Vertrag kann die Behebung von Schwachstellen z.B. durch Sicherheitsupdates oder den Austausch von Komponenten gewährleistet werden.</t>
        </is>
      </c>
      <c r="Q110" s="11" t="inlineStr">
        <is>
          <t>Einkäufe</t>
        </is>
      </c>
      <c r="R110" s="11" t="inlineStr">
        <is>
          <t>Beschaffungskriterien</t>
        </is>
      </c>
      <c r="S110" s="12" t="inlineStr">
        <is>
          <t>eine Verpflichtung für Lieferanten, die den Auftraggeber betreffende Schwachstelle zeitnah zu beheben,</t>
        </is>
      </c>
      <c r="T110" s="12" t="inlineStr">
        <is>
          <t>G 0.20 – Informationen oder Produkte aus unzuverlässiger Quelle</t>
        </is>
      </c>
      <c r="U110" s="11" t="n">
        <v>3</v>
      </c>
      <c r="V110" s="11" t="n">
        <v>1</v>
      </c>
      <c r="W110" s="11" t="n">
        <v>1</v>
      </c>
      <c r="X110" s="11" t="n">
        <v>1</v>
      </c>
      <c r="Y110" s="11" t="n">
        <v>1</v>
      </c>
    </row>
    <row r="111">
      <c r="A111" s="11" t="inlineStr">
        <is>
          <t>BES.5.10</t>
        </is>
      </c>
      <c r="B111" s="12" t="inlineStr">
        <is>
          <t>Behandlung von Vorfällen</t>
        </is>
      </c>
      <c r="C111" s="11" t="inlineStr">
        <is>
          <t>BES.5.10.3.1</t>
        </is>
      </c>
      <c r="D111" s="11" t="inlineStr">
        <is>
          <t>Anforderungen bei erhöhtem Schutzbedarf</t>
        </is>
      </c>
      <c r="E111" s="12" t="inlineStr">
        <is>
          <t>Beschaffungsmanagement für IT-Produkte KANN einen Schwachstellenmeldeprozess nach einem anerkannten Standard vereinbaren.</t>
        </is>
      </c>
      <c r="F111" s="14" t="n"/>
      <c r="G111" s="14" t="n"/>
      <c r="H111" s="14" t="inlineStr">
        <is>
          <t>unbearbeitet</t>
        </is>
      </c>
      <c r="I111" s="14" t="n"/>
      <c r="J111" s="14" t="n"/>
      <c r="K111" s="14" t="n"/>
      <c r="L111" s="15" t="n"/>
      <c r="M111" s="11" t="inlineStr"/>
      <c r="N111" s="12" t="inlineStr"/>
      <c r="O111" s="11" t="inlineStr"/>
      <c r="P111" s="12" t="inlineStr">
        <is>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is>
      </c>
      <c r="Q111" s="11" t="inlineStr">
        <is>
          <t>IT-Produkte</t>
        </is>
      </c>
      <c r="R111" s="11" t="inlineStr">
        <is>
          <t>Beschaffungskriterien</t>
        </is>
      </c>
      <c r="S111" s="12" t="inlineStr">
        <is>
          <t>einen Schwachstellenmeldeprozess</t>
        </is>
      </c>
      <c r="T111" s="12" t="inlineStr">
        <is>
          <t>G 0.20 – Informationen oder Produkte aus unzuverlässiger Quelle</t>
        </is>
      </c>
      <c r="U111" s="11" t="n">
        <v>5</v>
      </c>
      <c r="V111" s="11" t="n">
        <v>1</v>
      </c>
      <c r="W111" s="11" t="n">
        <v>1</v>
      </c>
      <c r="X111" s="11" t="n">
        <v>1</v>
      </c>
      <c r="Y111" s="11" t="n">
        <v>1</v>
      </c>
    </row>
    <row r="112">
      <c r="A112" s="11" t="inlineStr">
        <is>
          <t>BES.5.10</t>
        </is>
      </c>
      <c r="B112" s="12" t="inlineStr">
        <is>
          <t>Behandlung von Vorfällen</t>
        </is>
      </c>
      <c r="C112" s="11" t="inlineStr">
        <is>
          <t>BES.5.10.4</t>
        </is>
      </c>
      <c r="D112" s="11" t="inlineStr">
        <is>
          <t>Anforderungen bei erhöhtem Schutzbedarf</t>
        </is>
      </c>
      <c r="E112" s="12" t="inlineStr">
        <is>
          <t>Beschaffungsmanagement für Einkäufe KANN Prozesse zur Lösung von Konflikten zwischen den Vertragsparteien vereinbaren.</t>
        </is>
      </c>
      <c r="F112" s="14" t="n"/>
      <c r="G112" s="14" t="n"/>
      <c r="H112" s="14" t="inlineStr">
        <is>
          <t>unbearbeitet</t>
        </is>
      </c>
      <c r="I112" s="14" t="n"/>
      <c r="J112" s="14" t="n"/>
      <c r="K112" s="14" t="n"/>
      <c r="L112" s="15" t="n"/>
      <c r="M112" s="11" t="inlineStr"/>
      <c r="N112" s="12" t="inlineStr"/>
      <c r="O112" s="11" t="inlineStr"/>
      <c r="P112" s="12" t="inlineStr">
        <is>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is>
      </c>
      <c r="Q112" s="11" t="inlineStr">
        <is>
          <t>Einkäufe</t>
        </is>
      </c>
      <c r="R112" s="11" t="inlineStr">
        <is>
          <t>Beschaffungskriterien</t>
        </is>
      </c>
      <c r="S112" s="12" t="inlineStr">
        <is>
          <t>Prozesse zur Lösung von Konflikten zwischen den Vertragsparteien</t>
        </is>
      </c>
      <c r="T112" s="12" t="inlineStr">
        <is>
          <t>G 0.20 – Informationen oder Produkte aus unzuverlässiger Quelle</t>
        </is>
      </c>
      <c r="U112" s="11" t="n">
        <v>5</v>
      </c>
      <c r="V112" s="11" t="n">
        <v>1</v>
      </c>
      <c r="W112" s="11" t="n">
        <v>1</v>
      </c>
      <c r="X112" s="11" t="n">
        <v>1</v>
      </c>
      <c r="Y112" s="11" t="n">
        <v>1</v>
      </c>
    </row>
    <row r="113">
      <c r="A113" s="11" t="inlineStr">
        <is>
          <t>BES.5.10</t>
        </is>
      </c>
      <c r="B113" s="12" t="inlineStr">
        <is>
          <t>Behandlung von Vorfällen</t>
        </is>
      </c>
      <c r="C113" s="11" t="inlineStr">
        <is>
          <t>BES.5.10.5</t>
        </is>
      </c>
      <c r="D113" s="11" t="inlineStr">
        <is>
          <t>Anforderungen bei erhöhtem Schutzbedarf</t>
        </is>
      </c>
      <c r="E113" s="12" t="inlineStr">
        <is>
          <t>Beschaffungsmanagement für Einkäufe KANN Abhilfemaßnahmen für den Fall von Verstößen durch den Lieferanten vereinbaren.</t>
        </is>
      </c>
      <c r="F113" s="14" t="n"/>
      <c r="G113" s="14" t="n"/>
      <c r="H113" s="14" t="inlineStr">
        <is>
          <t>unbearbeitet</t>
        </is>
      </c>
      <c r="I113" s="14" t="n"/>
      <c r="J113" s="14" t="n"/>
      <c r="K113" s="14" t="n"/>
      <c r="L113" s="15" t="n"/>
      <c r="M113" s="11" t="inlineStr"/>
      <c r="N113" s="12" t="inlineStr"/>
      <c r="O113" s="11" t="inlineStr"/>
      <c r="P113" s="12" t="inlineStr">
        <is>
          <t>Hierzu können Abhilfemaßnahmen wie die Abschaltung angreifbarer Systeme, die Information betroffener Personen sowie Entschädigungen für die betroffene Institution oder betroffene Dritte in einer festgelegten Höhe gehören.</t>
        </is>
      </c>
      <c r="Q113" s="11" t="inlineStr">
        <is>
          <t>Einkäufe</t>
        </is>
      </c>
      <c r="R113" s="11" t="inlineStr">
        <is>
          <t>Beschaffungskriterien</t>
        </is>
      </c>
      <c r="S113" s="12" t="inlineStr">
        <is>
          <t>Abhilfemaßnahmen</t>
        </is>
      </c>
      <c r="T113" s="12" t="inlineStr">
        <is>
          <t>G 0.20 – Informationen oder Produkte aus unzuverlässiger Quelle</t>
        </is>
      </c>
      <c r="U113" s="11" t="n">
        <v>5</v>
      </c>
      <c r="V113" s="11" t="n">
        <v>1</v>
      </c>
      <c r="W113" s="11" t="n">
        <v>1</v>
      </c>
      <c r="X113" s="11" t="n">
        <v>1</v>
      </c>
      <c r="Y113" s="11" t="n">
        <v>1</v>
      </c>
    </row>
    <row r="114">
      <c r="A114" s="9" t="inlineStr">
        <is>
          <t>BES.5.11</t>
        </is>
      </c>
      <c r="B114" s="10" t="inlineStr">
        <is>
          <t>Recht auf Audit</t>
        </is>
      </c>
      <c r="C114" s="11" t="n"/>
      <c r="D114" s="11" t="inlineStr">
        <is>
          <t>Standard-Anforderungen</t>
        </is>
      </c>
      <c r="E114" s="12" t="inlineStr">
        <is>
          <t>Gesamt:</t>
        </is>
      </c>
      <c r="F114" s="11" t="n"/>
      <c r="G114" s="11" t="n"/>
      <c r="H114" s="13">
        <f>IF(OR(COUNTBLANK($H$115:$H$115)&gt;0,COUNTIF($H$115:$H$115,"unbearbeitet")=COUNTA($H$115:$H$115)),"Bitte Teilanforderungen ausfüllen",IF(COUNTIF($H$115:$H$115,"zu klären")&gt;0,"zu klären",IF(COUNTIF($H$115:$H$115,"entbehrlich")=COUNTA($H$115:$H$115),"entbehrlich",IF(COUNTIF($H$115:$H$115,"verwiesen")=COUNTA($H$115:$H$115),"verwiesen",IF(COUNTIF($H$115:$H$115,"nein")+COUNTIF($H$115:$H$115,"entbehrlich")=COUNTA($H$115:$H$115),"nein",IF(COUNTIF($H$115:$H$115,"ja")+COUNTIF($H$115:$H$115,"entbehrlich")+COUNTIF($H$115:$H$115,"verwiesen")=COUNTA($H$115:$H$115),"ja","teilweise"))))))</f>
        <v/>
      </c>
      <c r="I114" s="11" t="n"/>
      <c r="J114" s="11" t="n"/>
      <c r="K114" s="11" t="n"/>
      <c r="L114" s="11" t="n"/>
      <c r="M114" s="11" t="inlineStr"/>
      <c r="N114" s="12" t="inlineStr"/>
      <c r="O114" s="11" t="inlineStr"/>
      <c r="P114" s="12" t="inlineStr">
        <is>
          <t>Je nach Vereinbarung kann die Umsetzung durch ein vom Auftraggeber durchgeführtes Audit, eine Revision (Second Party Audit) oder eine Auditierung durch Dritte (Third Party Audit), z.B. im Rahmen einer Zertifizierung, erfolgen.</t>
        </is>
      </c>
      <c r="Q114" s="11" t="inlineStr">
        <is>
          <t>Outsourcing</t>
        </is>
      </c>
      <c r="R114" s="11" t="inlineStr">
        <is>
          <t>Beschaffungskriterien</t>
        </is>
      </c>
      <c r="S114" s="12" t="inlineStr">
        <is>
          <t>ein Recht des Auftraggebers zur Überprüfung der Sicherheitsprozesse und -maßnahmen,</t>
        </is>
      </c>
      <c r="T114" s="12" t="inlineStr">
        <is>
          <t>G 0.29 – Verstoß gegen Gesetze oder Regelungen; G 0.20 – Informationen oder Produkte aus unzuverlässiger Quelle; G 0.18 – Fehlplanung oder fehlende Anpassung; G 0.37 – Abstreiten von Handlungen</t>
        </is>
      </c>
      <c r="U114" s="11" t="n">
        <v>4</v>
      </c>
      <c r="V114" s="11" t="n">
        <v>1</v>
      </c>
      <c r="W114" s="11" t="n">
        <v>1</v>
      </c>
      <c r="X114" s="11" t="n">
        <v>1</v>
      </c>
      <c r="Y114" s="11" t="n">
        <v>1</v>
      </c>
    </row>
    <row r="115">
      <c r="A115" s="11" t="inlineStr">
        <is>
          <t>BES.5.11</t>
        </is>
      </c>
      <c r="B115" s="12" t="inlineStr">
        <is>
          <t>Recht auf Audit</t>
        </is>
      </c>
      <c r="C115" s="11" t="inlineStr">
        <is>
          <t>BES.5.11</t>
        </is>
      </c>
      <c r="D115" s="11" t="inlineStr">
        <is>
          <t>Standard-Anforderungen</t>
        </is>
      </c>
      <c r="E115" s="12" t="inlineStr">
        <is>
          <t>Beschaffungsmanagement für Outsourcing SOLLTE ein Recht des Auftraggebers zur Überprüfung der Sicherheitsprozesse und -maßnahmen, die im Zusammenhang mit dem Vertrag stehen, vereinbaren.</t>
        </is>
      </c>
      <c r="F115" s="14" t="n"/>
      <c r="G115" s="14" t="n"/>
      <c r="H115" s="14" t="inlineStr">
        <is>
          <t>unbearbeitet</t>
        </is>
      </c>
      <c r="I115" s="14" t="n"/>
      <c r="J115" s="14" t="n"/>
      <c r="K115" s="14" t="n"/>
      <c r="L115" s="15" t="n"/>
      <c r="M115" s="11" t="inlineStr"/>
      <c r="N115" s="12" t="inlineStr"/>
      <c r="O115" s="11" t="inlineStr"/>
      <c r="P115" s="12" t="inlineStr">
        <is>
          <t>Je nach Vereinbarung kann die Umsetzung durch ein vom Auftraggeber durchgeführtes Audit, eine Revision (Second Party Audit) oder eine Auditierung durch Dritte (Third Party Audit), z.B. im Rahmen einer Zertifizierung, erfolgen.</t>
        </is>
      </c>
      <c r="Q115" s="11" t="inlineStr">
        <is>
          <t>Outsourcing</t>
        </is>
      </c>
      <c r="R115" s="11" t="inlineStr">
        <is>
          <t>Beschaffungskriterien</t>
        </is>
      </c>
      <c r="S115" s="12" t="inlineStr">
        <is>
          <t>ein Recht des Auftraggebers zur Überprüfung der Sicherheitsprozesse und -maßnahmen,</t>
        </is>
      </c>
      <c r="T115" s="12" t="inlineStr">
        <is>
          <t>G 0.29 – Verstoß gegen Gesetze oder Regelungen; G 0.20 – Informationen oder Produkte aus unzuverlässiger Quelle; G 0.18 – Fehlplanung oder fehlende Anpassung; G 0.37 – Abstreiten von Handlungen</t>
        </is>
      </c>
      <c r="U115" s="11" t="n">
        <v>4</v>
      </c>
      <c r="V115" s="11" t="n">
        <v>1</v>
      </c>
      <c r="W115" s="11" t="n">
        <v>1</v>
      </c>
      <c r="X115" s="11" t="n">
        <v>1</v>
      </c>
      <c r="Y115" s="11" t="n">
        <v>1</v>
      </c>
    </row>
    <row r="116">
      <c r="A116" s="9" t="inlineStr">
        <is>
          <t>BES.5.12</t>
        </is>
      </c>
      <c r="B116" s="10" t="inlineStr">
        <is>
          <t>Informationspflichten</t>
        </is>
      </c>
      <c r="C116" s="11" t="n"/>
      <c r="D116" s="11" t="inlineStr">
        <is>
          <t>Standard-Anforderungen</t>
        </is>
      </c>
      <c r="E116" s="12" t="inlineStr">
        <is>
          <t>Gesamt:</t>
        </is>
      </c>
      <c r="F116" s="11" t="n"/>
      <c r="G116" s="11" t="n"/>
      <c r="H116" s="13">
        <f>IF(OR(COUNTBLANK($H$117:$H$117)&gt;0,COUNTIF($H$117:$H$117,"unbearbeitet")=COUNTA($H$117:$H$117)),"Bitte Teilanforderungen ausfüllen",IF(COUNTIF($H$117:$H$117,"zu klären")&gt;0,"zu klären",IF(COUNTIF($H$117:$H$117,"entbehrlich")=COUNTA($H$117:$H$117),"entbehrlich",IF(COUNTIF($H$117:$H$117,"verwiesen")=COUNTA($H$117:$H$117),"verwiesen",IF(COUNTIF($H$117:$H$117,"nein")+COUNTIF($H$117:$H$117,"entbehrlich")=COUNTA($H$117:$H$117),"nein",IF(COUNTIF($H$117:$H$117,"ja")+COUNTIF($H$117:$H$117,"entbehrlich")+COUNTIF($H$117:$H$117,"verwiesen")=COUNTA($H$117:$H$117),"ja","teilweise"))))))</f>
        <v/>
      </c>
      <c r="I116" s="11" t="n"/>
      <c r="J116" s="11" t="n"/>
      <c r="K116" s="11" t="n"/>
      <c r="L116" s="11" t="n"/>
      <c r="M116" s="11" t="inlineStr"/>
      <c r="N116" s="12" t="inlineStr"/>
      <c r="O116" s="11" t="inlineStr"/>
      <c r="P116" s="12" t="inlineStr">
        <is>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is>
      </c>
      <c r="Q116" s="11" t="inlineStr">
        <is>
          <t>Dienstleistungen</t>
        </is>
      </c>
      <c r="R116" s="11" t="inlineStr">
        <is>
          <t>Beschaffungskriterien</t>
        </is>
      </c>
      <c r="S116" s="12" t="inlineStr">
        <is>
          <t>eine Pflicht des Lieferanten, den Auftraggeber regelmäßig über die Wirksamkeit der Sicherheitsmaßnahmen zu informieren,</t>
        </is>
      </c>
      <c r="T116" s="12" t="inlineStr">
        <is>
          <t>G 0.20 – Informationen oder Produkte aus unzuverlässiger Quelle</t>
        </is>
      </c>
      <c r="U116" s="11" t="n">
        <v>3</v>
      </c>
      <c r="V116" s="11" t="n">
        <v>1</v>
      </c>
      <c r="W116" s="11" t="n">
        <v>1</v>
      </c>
      <c r="X116" s="11" t="n">
        <v>1</v>
      </c>
      <c r="Y116" s="11" t="n">
        <v>1</v>
      </c>
    </row>
    <row r="117">
      <c r="A117" s="11" t="inlineStr">
        <is>
          <t>BES.5.12</t>
        </is>
      </c>
      <c r="B117" s="12" t="inlineStr">
        <is>
          <t>Informationspflichten</t>
        </is>
      </c>
      <c r="C117" s="11" t="inlineStr">
        <is>
          <t>BES.5.12</t>
        </is>
      </c>
      <c r="D117" s="11" t="inlineStr">
        <is>
          <t>Standard-Anforderungen</t>
        </is>
      </c>
      <c r="E117" s="12" t="inlineStr">
        <is>
          <t>Beschaffungsmanagement für Dienstleistungen SOLLTE eine Pflicht des Lieferanten, den Auftraggeber regelmäßig über die Wirksamkeit der Sicherheitsmaßnahmen zu informieren, vereinbaren.</t>
        </is>
      </c>
      <c r="F117" s="14" t="n"/>
      <c r="G117" s="14" t="n"/>
      <c r="H117" s="14" t="inlineStr">
        <is>
          <t>unbearbeitet</t>
        </is>
      </c>
      <c r="I117" s="14" t="n"/>
      <c r="J117" s="14" t="n"/>
      <c r="K117" s="14" t="n"/>
      <c r="L117" s="15" t="n"/>
      <c r="M117" s="11" t="inlineStr"/>
      <c r="N117" s="12" t="inlineStr"/>
      <c r="O117" s="11" t="inlineStr"/>
      <c r="P117" s="12" t="inlineStr">
        <is>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is>
      </c>
      <c r="Q117" s="11" t="inlineStr">
        <is>
          <t>Dienstleistungen</t>
        </is>
      </c>
      <c r="R117" s="11" t="inlineStr">
        <is>
          <t>Beschaffungskriterien</t>
        </is>
      </c>
      <c r="S117" s="12" t="inlineStr">
        <is>
          <t>eine Pflicht des Lieferanten, den Auftraggeber regelmäßig über die Wirksamkeit der Sicherheitsmaßnahmen zu informieren,</t>
        </is>
      </c>
      <c r="T117" s="12" t="inlineStr">
        <is>
          <t>G 0.20 – Informationen oder Produkte aus unzuverlässiger Quelle</t>
        </is>
      </c>
      <c r="U117" s="11" t="n">
        <v>3</v>
      </c>
      <c r="V117" s="11" t="n">
        <v>1</v>
      </c>
      <c r="W117" s="11" t="n">
        <v>1</v>
      </c>
      <c r="X117" s="11" t="n">
        <v>1</v>
      </c>
      <c r="Y117" s="11" t="n">
        <v>1</v>
      </c>
    </row>
    <row r="118">
      <c r="A118" s="9" t="inlineStr">
        <is>
          <t>BES.5.13</t>
        </is>
      </c>
      <c r="B118" s="10" t="inlineStr">
        <is>
          <t>Bereitstellung von Datensicherungen</t>
        </is>
      </c>
      <c r="C118" s="11" t="n"/>
      <c r="D118" s="11" t="inlineStr">
        <is>
          <t>Standard-Anforderungen</t>
        </is>
      </c>
      <c r="E118" s="12" t="inlineStr">
        <is>
          <t>Gesamt:</t>
        </is>
      </c>
      <c r="F118" s="11" t="n"/>
      <c r="G118" s="11" t="n"/>
      <c r="H118" s="13">
        <f>IF(OR(COUNTBLANK($H$119:$H$120)&gt;0,COUNTIF($H$119:$H$120,"unbearbeitet")=COUNTA($H$119:$H$120)),"Bitte Teilanforderungen ausfüllen",IF(COUNTIF($H$119:$H$120,"zu klären")&gt;0,"zu klären",IF(COUNTIF($H$119:$H$120,"entbehrlich")=COUNTA($H$119:$H$120),"entbehrlich",IF(COUNTIF($H$119:$H$120,"verwiesen")=COUNTA($H$119:$H$120),"verwiesen",IF(COUNTIF($H$119:$H$120,"nein")+COUNTIF($H$119:$H$120,"entbehrlich")=COUNTA($H$119:$H$120),"nein",IF(COUNTIF($H$119:$H$120,"ja")+COUNTIF($H$119:$H$120,"entbehrlich")+COUNTIF($H$119:$H$120,"verwiesen")=COUNTA($H$119:$H$120),"ja","teilweise"))))))</f>
        <v/>
      </c>
      <c r="I118" s="11" t="n"/>
      <c r="J118" s="11" t="n"/>
      <c r="K118" s="11" t="n"/>
      <c r="L118" s="11" t="n"/>
      <c r="M118" s="11" t="inlineStr"/>
      <c r="N118" s="12" t="inlineStr"/>
      <c r="O118" s="11" t="inlineStr"/>
      <c r="P118" s="12" t="inlineStr">
        <is>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is>
      </c>
      <c r="Q118" s="11" t="inlineStr">
        <is>
          <t>Dienstleistungen</t>
        </is>
      </c>
      <c r="R118" s="11" t="inlineStr">
        <is>
          <t>Beschaffungskriterien</t>
        </is>
      </c>
      <c r="S118" s="12" t="inlineStr">
        <is>
          <t>eine Verpflichtung des Lieferanten, Sicherungskopien regelmäßig bereitzustellen,</t>
        </is>
      </c>
      <c r="T118" s="12" t="inlineStr">
        <is>
          <t>G 0.20 – Informationen oder Produkte aus unzuverlässiger Quelle</t>
        </is>
      </c>
      <c r="U118" s="11" t="n">
        <v>3</v>
      </c>
      <c r="V118" s="11" t="n">
        <v>1</v>
      </c>
      <c r="W118" s="11" t="n">
        <v>1</v>
      </c>
      <c r="X118" s="11" t="n">
        <v>1</v>
      </c>
      <c r="Y118" s="11" t="n">
        <v>1</v>
      </c>
    </row>
    <row r="119">
      <c r="A119" s="11" t="inlineStr">
        <is>
          <t>BES.5.13</t>
        </is>
      </c>
      <c r="B119" s="12" t="inlineStr">
        <is>
          <t>Bereitstellung von Datensicherungen</t>
        </is>
      </c>
      <c r="C119" s="11" t="inlineStr">
        <is>
          <t>BES.5.13</t>
        </is>
      </c>
      <c r="D119" s="11" t="inlineStr">
        <is>
          <t>Standard-Anforderungen</t>
        </is>
      </c>
      <c r="E119" s="12" t="inlineStr">
        <is>
          <t>Beschaffungsmanagement für Dienstleistungen SOLLTE eine Verpflichtung des Lieferanten, Sicherungskopien regelmäßig bereitzustellen, vereinbaren.</t>
        </is>
      </c>
      <c r="F119" s="14" t="n"/>
      <c r="G119" s="14" t="n"/>
      <c r="H119" s="14" t="inlineStr">
        <is>
          <t>unbearbeitet</t>
        </is>
      </c>
      <c r="I119" s="14" t="n"/>
      <c r="J119" s="14" t="n"/>
      <c r="K119" s="14" t="n"/>
      <c r="L119" s="15" t="n"/>
      <c r="M119" s="11" t="inlineStr"/>
      <c r="N119" s="12" t="inlineStr"/>
      <c r="O119" s="11" t="inlineStr"/>
      <c r="P119" s="12" t="inlineStr">
        <is>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is>
      </c>
      <c r="Q119" s="11" t="inlineStr">
        <is>
          <t>Dienstleistungen</t>
        </is>
      </c>
      <c r="R119" s="11" t="inlineStr">
        <is>
          <t>Beschaffungskriterien</t>
        </is>
      </c>
      <c r="S119" s="12" t="inlineStr">
        <is>
          <t>eine Verpflichtung des Lieferanten, Sicherungskopien regelmäßig bereitzustellen,</t>
        </is>
      </c>
      <c r="T119" s="12" t="inlineStr">
        <is>
          <t>G 0.20 – Informationen oder Produkte aus unzuverlässiger Quelle</t>
        </is>
      </c>
      <c r="U119" s="11" t="n">
        <v>3</v>
      </c>
      <c r="V119" s="11" t="n">
        <v>1</v>
      </c>
      <c r="W119" s="11" t="n">
        <v>1</v>
      </c>
      <c r="X119" s="11" t="n">
        <v>1</v>
      </c>
      <c r="Y119" s="11" t="n">
        <v>1</v>
      </c>
    </row>
    <row r="120">
      <c r="A120" s="11" t="inlineStr">
        <is>
          <t>BES.5.13</t>
        </is>
      </c>
      <c r="B120" s="12" t="inlineStr">
        <is>
          <t>Bereitstellung von Datensicherungen</t>
        </is>
      </c>
      <c r="C120" s="11" t="inlineStr">
        <is>
          <t>BES.5.13.1</t>
        </is>
      </c>
      <c r="D120" s="11" t="inlineStr">
        <is>
          <t>Anforderungen bei erhöhtem Schutzbedarf</t>
        </is>
      </c>
      <c r="E120" s="12" t="inlineStr">
        <is>
          <t>Beschaffungsmanagement für Outsourcing KANN die Bereitstellung der beim Dienstleister verarbeiteten Daten in einem standardisierten Format vereinbaren.</t>
        </is>
      </c>
      <c r="F120" s="14" t="n"/>
      <c r="G120" s="14" t="n"/>
      <c r="H120" s="14" t="inlineStr">
        <is>
          <t>unbearbeitet</t>
        </is>
      </c>
      <c r="I120" s="14" t="n"/>
      <c r="J120" s="14" t="n"/>
      <c r="K120" s="14" t="n"/>
      <c r="L120" s="15" t="n"/>
      <c r="M120" s="11" t="inlineStr">
        <is>
          <t>Verfügbarkeit</t>
        </is>
      </c>
      <c r="N120" s="12" t="inlineStr"/>
      <c r="O120" s="11" t="inlineStr"/>
      <c r="P120" s="12" t="inlineStr">
        <is>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is>
      </c>
      <c r="Q120" s="11" t="inlineStr">
        <is>
          <t>Outsourcing</t>
        </is>
      </c>
      <c r="R120" s="11" t="inlineStr">
        <is>
          <t>Beschaffungskriterien</t>
        </is>
      </c>
      <c r="S120" s="12" t="inlineStr">
        <is>
          <t>die Bereitstellung der beim Dienstleister verarbeiteten Daten in einem standardisierten Format</t>
        </is>
      </c>
      <c r="T120" s="12" t="inlineStr">
        <is>
          <t>G 0.20 – Informationen oder Produkte aus unzuverlässiger Quelle; G 0.25 – Ausfall von Geräten oder Systemen</t>
        </is>
      </c>
      <c r="U120" s="11" t="n">
        <v>5</v>
      </c>
      <c r="V120" s="11" t="n">
        <v>1</v>
      </c>
      <c r="W120" s="11" t="n">
        <v>1</v>
      </c>
      <c r="X120" s="11" t="n">
        <v>2</v>
      </c>
      <c r="Y120" s="11" t="n">
        <v>1</v>
      </c>
    </row>
    <row r="121">
      <c r="A121" s="9" t="inlineStr">
        <is>
          <t>BES.5.14</t>
        </is>
      </c>
      <c r="B121" s="10" t="inlineStr">
        <is>
          <t>Löschregeln</t>
        </is>
      </c>
      <c r="C121" s="11" t="n"/>
      <c r="D121" s="11" t="inlineStr">
        <is>
          <t>Standard-Anforderungen</t>
        </is>
      </c>
      <c r="E121" s="12" t="inlineStr">
        <is>
          <t>Gesamt:</t>
        </is>
      </c>
      <c r="F121" s="11" t="n"/>
      <c r="G121" s="11" t="n"/>
      <c r="H121" s="13">
        <f>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
      </c>
      <c r="I121" s="11" t="n"/>
      <c r="J121" s="11" t="n"/>
      <c r="K121" s="11" t="n"/>
      <c r="L121" s="11" t="n"/>
      <c r="M121" s="11" t="inlineStr"/>
      <c r="N121" s="12" t="inlineStr"/>
      <c r="O121" s="11" t="inlineStr"/>
      <c r="P121" s="12" t="inlineStr">
        <is>
          <t>Compliance-Verpflichtungen werden in der Praktik GC ermittelt. Die Umsetzung kann z.B. durch individuelle vertragliche Festlegung oder durch die Auswahl eines Dienstleisters, dessen Löschregelungen im Einklang mit den Compliance-Verpflichtungen stehen, erfolgen.</t>
        </is>
      </c>
      <c r="Q121" s="11" t="inlineStr">
        <is>
          <t>Outsourcing</t>
        </is>
      </c>
      <c r="R121" s="11" t="inlineStr">
        <is>
          <t>Beschaffungskriterien</t>
        </is>
      </c>
      <c r="S121" s="12" t="inlineStr">
        <is>
          <t>die Löschung von Daten während der Vertragslaufzeit im Einklang mit den Compliance-Verpflichtungen der Institution</t>
        </is>
      </c>
      <c r="T121" s="12" t="inlineStr">
        <is>
          <t>G 0.20 – Informationen oder Produkte aus unzuverlässiger Quelle</t>
        </is>
      </c>
      <c r="U121" s="11" t="n">
        <v>3</v>
      </c>
      <c r="V121" s="11" t="n">
        <v>1</v>
      </c>
      <c r="W121" s="11" t="n">
        <v>1</v>
      </c>
      <c r="X121" s="11" t="n">
        <v>1</v>
      </c>
      <c r="Y121" s="11" t="n">
        <v>1</v>
      </c>
    </row>
    <row r="122">
      <c r="A122" s="11" t="inlineStr">
        <is>
          <t>BES.5.14</t>
        </is>
      </c>
      <c r="B122" s="12" t="inlineStr">
        <is>
          <t>Löschregeln</t>
        </is>
      </c>
      <c r="C122" s="11" t="inlineStr">
        <is>
          <t>BES.5.14</t>
        </is>
      </c>
      <c r="D122" s="11" t="inlineStr">
        <is>
          <t>Standard-Anforderungen</t>
        </is>
      </c>
      <c r="E122" s="12" t="inlineStr">
        <is>
          <t>Beschaffungsmanagement für Outsourcing SOLLTE die Löschung von Daten während der Vertragslaufzeit im Einklang mit den Compliance-Verpflichtungen der Institution vereinbaren.</t>
        </is>
      </c>
      <c r="F122" s="14" t="n"/>
      <c r="G122" s="14" t="n"/>
      <c r="H122" s="14" t="inlineStr">
        <is>
          <t>unbearbeitet</t>
        </is>
      </c>
      <c r="I122" s="14" t="n"/>
      <c r="J122" s="14" t="n"/>
      <c r="K122" s="14" t="n"/>
      <c r="L122" s="15" t="n"/>
      <c r="M122" s="11" t="inlineStr"/>
      <c r="N122" s="12" t="inlineStr"/>
      <c r="O122" s="11" t="inlineStr"/>
      <c r="P122" s="12" t="inlineStr">
        <is>
          <t>Compliance-Verpflichtungen werden in der Praktik GC ermittelt. Die Umsetzung kann z.B. durch individuelle vertragliche Festlegung oder durch die Auswahl eines Dienstleisters, dessen Löschregelungen im Einklang mit den Compliance-Verpflichtungen stehen, erfolgen.</t>
        </is>
      </c>
      <c r="Q122" s="11" t="inlineStr">
        <is>
          <t>Outsourcing</t>
        </is>
      </c>
      <c r="R122" s="11" t="inlineStr">
        <is>
          <t>Beschaffungskriterien</t>
        </is>
      </c>
      <c r="S122" s="12" t="inlineStr">
        <is>
          <t>die Löschung von Daten während der Vertragslaufzeit im Einklang mit den Compliance-Verpflichtungen der Institution</t>
        </is>
      </c>
      <c r="T122" s="12" t="inlineStr">
        <is>
          <t>G 0.20 – Informationen oder Produkte aus unzuverlässiger Quelle</t>
        </is>
      </c>
      <c r="U122" s="11" t="n">
        <v>3</v>
      </c>
      <c r="V122" s="11" t="n">
        <v>1</v>
      </c>
      <c r="W122" s="11" t="n">
        <v>1</v>
      </c>
      <c r="X122" s="11" t="n">
        <v>1</v>
      </c>
      <c r="Y122" s="11" t="n">
        <v>1</v>
      </c>
    </row>
    <row r="123">
      <c r="A123" s="9" t="inlineStr">
        <is>
          <t>BES.6.1</t>
        </is>
      </c>
      <c r="B123" s="10" t="inlineStr">
        <is>
          <t>Entziehung der Zugangsberechtigungen</t>
        </is>
      </c>
      <c r="C123" s="11" t="n"/>
      <c r="D123" s="11" t="inlineStr">
        <is>
          <t>Standard-Anforderungen</t>
        </is>
      </c>
      <c r="E123" s="12" t="inlineStr">
        <is>
          <t>Gesamt:</t>
        </is>
      </c>
      <c r="F123" s="11" t="n"/>
      <c r="G123" s="11" t="n"/>
      <c r="H123" s="13">
        <f>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
      </c>
      <c r="I123" s="11" t="n"/>
      <c r="J123" s="11" t="n"/>
      <c r="K123" s="11" t="n"/>
      <c r="L123" s="11" t="n"/>
      <c r="M123" s="11" t="inlineStr"/>
      <c r="N123" s="12" t="inlineStr"/>
      <c r="O123" s="11" t="inlineStr"/>
      <c r="P123" s="12" t="inlineStr">
        <is>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is>
      </c>
      <c r="Q123" s="11" t="inlineStr">
        <is>
          <t>Dienstleistungen</t>
        </is>
      </c>
      <c r="R123" s="11" t="inlineStr">
        <is>
          <t>Beschaffungskriterien</t>
        </is>
      </c>
      <c r="S123" s="12" t="inlineStr">
        <is>
          <t>die Entziehung der für den Vertrag relevanten Zugangsberechtigungen</t>
        </is>
      </c>
      <c r="T123" s="12" t="inlineStr">
        <is>
          <t>G 0.20 – Informationen oder Produkte aus unzuverlässiger Quelle</t>
        </is>
      </c>
      <c r="U123" s="11" t="n">
        <v>2</v>
      </c>
      <c r="V123" s="11" t="n">
        <v>1</v>
      </c>
      <c r="W123" s="11" t="n">
        <v>1</v>
      </c>
      <c r="X123" s="11" t="n">
        <v>1</v>
      </c>
      <c r="Y123" s="11" t="n">
        <v>1</v>
      </c>
    </row>
    <row r="124">
      <c r="A124" s="11" t="inlineStr">
        <is>
          <t>BES.6.1</t>
        </is>
      </c>
      <c r="B124" s="12" t="inlineStr">
        <is>
          <t>Entziehung der Zugangsberechtigungen</t>
        </is>
      </c>
      <c r="C124" s="11" t="inlineStr">
        <is>
          <t>BES.6.1</t>
        </is>
      </c>
      <c r="D124" s="11" t="inlineStr">
        <is>
          <t>Standard-Anforderungen</t>
        </is>
      </c>
      <c r="E124" s="12" t="inlineStr">
        <is>
          <t>Beschaffungsmanagement für Dienstleistungen SOLLTE die Entziehung der für den Vertrag relevanten Zugangsberechtigungen für den Fall einer Kündigung vereinbaren.</t>
        </is>
      </c>
      <c r="F124" s="14" t="n"/>
      <c r="G124" s="14" t="n"/>
      <c r="H124" s="14" t="inlineStr">
        <is>
          <t>unbearbeitet</t>
        </is>
      </c>
      <c r="I124" s="14" t="n"/>
      <c r="J124" s="14" t="n"/>
      <c r="K124" s="14" t="n"/>
      <c r="L124" s="15" t="n"/>
      <c r="M124" s="11" t="inlineStr"/>
      <c r="N124" s="12" t="inlineStr"/>
      <c r="O124" s="11" t="inlineStr"/>
      <c r="P124" s="12" t="inlineStr">
        <is>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is>
      </c>
      <c r="Q124" s="11" t="inlineStr">
        <is>
          <t>Dienstleistungen</t>
        </is>
      </c>
      <c r="R124" s="11" t="inlineStr">
        <is>
          <t>Beschaffungskriterien</t>
        </is>
      </c>
      <c r="S124" s="12" t="inlineStr">
        <is>
          <t>die Entziehung der für den Vertrag relevanten Zugangsberechtigungen</t>
        </is>
      </c>
      <c r="T124" s="12" t="inlineStr">
        <is>
          <t>G 0.20 – Informationen oder Produkte aus unzuverlässiger Quelle</t>
        </is>
      </c>
      <c r="U124" s="11" t="n">
        <v>2</v>
      </c>
      <c r="V124" s="11" t="n">
        <v>1</v>
      </c>
      <c r="W124" s="11" t="n">
        <v>1</v>
      </c>
      <c r="X124" s="11" t="n">
        <v>1</v>
      </c>
      <c r="Y124" s="11" t="n">
        <v>1</v>
      </c>
    </row>
    <row r="125">
      <c r="A125" s="9" t="inlineStr">
        <is>
          <t>BES.6.2</t>
        </is>
      </c>
      <c r="B125" s="10" t="inlineStr">
        <is>
          <t>Löschung von Daten</t>
        </is>
      </c>
      <c r="C125" s="11" t="n"/>
      <c r="D125" s="11" t="inlineStr">
        <is>
          <t>Standard-Anforderungen</t>
        </is>
      </c>
      <c r="E125" s="12" t="inlineStr">
        <is>
          <t>Gesamt:</t>
        </is>
      </c>
      <c r="F125" s="11" t="n"/>
      <c r="G125" s="11" t="n"/>
      <c r="H125" s="13">
        <f>IF(OR(COUNTBLANK($H$126:$H$127)&gt;0,COUNTIF($H$126:$H$127,"unbearbeitet")=COUNTA($H$126:$H$127)),"Bitte Teilanforderungen ausfüllen",IF(COUNTIF($H$126:$H$127,"zu klären")&gt;0,"zu klären",IF(COUNTIF($H$126:$H$127,"entbehrlich")=COUNTA($H$126:$H$127),"entbehrlich",IF(COUNTIF($H$126:$H$127,"verwiesen")=COUNTA($H$126:$H$127),"verwiesen",IF(COUNTIF($H$126:$H$127,"nein")+COUNTIF($H$126:$H$127,"entbehrlich")=COUNTA($H$126:$H$127),"nein",IF(COUNTIF($H$126:$H$127,"ja")+COUNTIF($H$126:$H$127,"entbehrlich")+COUNTIF($H$126:$H$127,"verwiesen")=COUNTA($H$126:$H$127),"ja","teilweise"))))))</f>
        <v/>
      </c>
      <c r="I125" s="11" t="n"/>
      <c r="J125" s="11" t="n"/>
      <c r="K125" s="11" t="n"/>
      <c r="L125" s="11" t="n"/>
      <c r="M125" s="11" t="inlineStr"/>
      <c r="N125" s="12" t="inlineStr"/>
      <c r="O125" s="11" t="inlineStr"/>
      <c r="P125" s="12" t="inlineStr">
        <is>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is>
      </c>
      <c r="Q125" s="11" t="inlineStr">
        <is>
          <t>Dienstleistungen</t>
        </is>
      </c>
      <c r="R125" s="11" t="inlineStr">
        <is>
          <t>Beschaffungskriterien</t>
        </is>
      </c>
      <c r="S125" s="12" t="inlineStr">
        <is>
          <t>die Löschung aller beim Dienstleister vorhandenen Daten</t>
        </is>
      </c>
      <c r="T125" s="12" t="inlineStr">
        <is>
          <t>G 0.20 – Informationen oder Produkte aus unzuverlässiger Quelle</t>
        </is>
      </c>
      <c r="U125" s="11" t="n">
        <v>3</v>
      </c>
      <c r="V125" s="11" t="n">
        <v>1</v>
      </c>
      <c r="W125" s="11" t="n">
        <v>1</v>
      </c>
      <c r="X125" s="11" t="n">
        <v>1</v>
      </c>
      <c r="Y125" s="11" t="n">
        <v>1</v>
      </c>
    </row>
    <row r="126">
      <c r="A126" s="11" t="inlineStr">
        <is>
          <t>BES.6.2</t>
        </is>
      </c>
      <c r="B126" s="12" t="inlineStr">
        <is>
          <t>Löschung von Daten</t>
        </is>
      </c>
      <c r="C126" s="11" t="inlineStr">
        <is>
          <t>BES.6.2</t>
        </is>
      </c>
      <c r="D126" s="11" t="inlineStr">
        <is>
          <t>Standard-Anforderungen</t>
        </is>
      </c>
      <c r="E126" s="12" t="inlineStr">
        <is>
          <t>Beschaffungsmanagement für Dienstleistungen SOLLTE die Löschung aller beim Dienstleister vorhandenen Daten für den Fall einer Kündigung vereinbaren.</t>
        </is>
      </c>
      <c r="F126" s="14" t="n"/>
      <c r="G126" s="14" t="n"/>
      <c r="H126" s="14" t="inlineStr">
        <is>
          <t>unbearbeitet</t>
        </is>
      </c>
      <c r="I126" s="14" t="n"/>
      <c r="J126" s="14" t="n"/>
      <c r="K126" s="14" t="n"/>
      <c r="L126" s="15" t="n"/>
      <c r="M126" s="11" t="inlineStr"/>
      <c r="N126" s="12" t="inlineStr"/>
      <c r="O126" s="11" t="inlineStr"/>
      <c r="P126" s="12" t="inlineStr">
        <is>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is>
      </c>
      <c r="Q126" s="11" t="inlineStr">
        <is>
          <t>Dienstleistungen</t>
        </is>
      </c>
      <c r="R126" s="11" t="inlineStr">
        <is>
          <t>Beschaffungskriterien</t>
        </is>
      </c>
      <c r="S126" s="12" t="inlineStr">
        <is>
          <t>die Löschung aller beim Dienstleister vorhandenen Daten</t>
        </is>
      </c>
      <c r="T126" s="12" t="inlineStr">
        <is>
          <t>G 0.20 – Informationen oder Produkte aus unzuverlässiger Quelle</t>
        </is>
      </c>
      <c r="U126" s="11" t="n">
        <v>3</v>
      </c>
      <c r="V126" s="11" t="n">
        <v>1</v>
      </c>
      <c r="W126" s="11" t="n">
        <v>1</v>
      </c>
      <c r="X126" s="11" t="n">
        <v>1</v>
      </c>
      <c r="Y126" s="11" t="n">
        <v>1</v>
      </c>
    </row>
    <row r="127">
      <c r="A127" s="11" t="inlineStr">
        <is>
          <t>BES.6.2</t>
        </is>
      </c>
      <c r="B127" s="12" t="inlineStr">
        <is>
          <t>Löschung von Daten</t>
        </is>
      </c>
      <c r="C127" s="11" t="inlineStr">
        <is>
          <t>BES.6.2.1</t>
        </is>
      </c>
      <c r="D127" s="11" t="inlineStr">
        <is>
          <t>Anforderungen bei erhöhtem Schutzbedarf</t>
        </is>
      </c>
      <c r="E127" s="12" t="inlineStr">
        <is>
          <t>Beschaffungsmanagement für Dienstleistungen KANN ein Verfahren zur nicht wiederherstellbaren Löschung für den Fall einer Kündigung vereinbaren.</t>
        </is>
      </c>
      <c r="F127" s="14" t="n"/>
      <c r="G127" s="14" t="n"/>
      <c r="H127" s="14" t="inlineStr">
        <is>
          <t>unbearbeitet</t>
        </is>
      </c>
      <c r="I127" s="14" t="n"/>
      <c r="J127" s="14" t="n"/>
      <c r="K127" s="14" t="n"/>
      <c r="L127" s="15" t="n"/>
      <c r="M127" s="11" t="inlineStr"/>
      <c r="N127" s="12" t="inlineStr"/>
      <c r="O127" s="11" t="inlineStr"/>
      <c r="P127" s="12" t="inlineStr">
        <is>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is>
      </c>
      <c r="Q127" s="11" t="inlineStr">
        <is>
          <t>Dienstleistungen</t>
        </is>
      </c>
      <c r="R127" s="11" t="inlineStr">
        <is>
          <t>Beschaffungskriterien</t>
        </is>
      </c>
      <c r="S127" s="12" t="inlineStr">
        <is>
          <t>ein Verfahren zur nicht wiederherstellbaren Löschung</t>
        </is>
      </c>
      <c r="T127" s="12" t="inlineStr">
        <is>
          <t>G 0.20 – Informationen oder Produkte aus unzuverlässiger Quelle; G 0.18 – Fehlplanung oder fehlende Anpassung</t>
        </is>
      </c>
      <c r="U127" s="11" t="n">
        <v>5</v>
      </c>
      <c r="V127" s="11" t="n">
        <v>1</v>
      </c>
      <c r="W127" s="11" t="n">
        <v>1</v>
      </c>
      <c r="X127" s="11" t="n">
        <v>1</v>
      </c>
      <c r="Y127" s="11" t="n">
        <v>1</v>
      </c>
    </row>
    <row r="128">
      <c r="A128" s="9" t="inlineStr">
        <is>
          <t>BES.6.3</t>
        </is>
      </c>
      <c r="B128" s="10" t="inlineStr">
        <is>
          <t>Übertragbarkeit von Daten</t>
        </is>
      </c>
      <c r="C128" s="11" t="n"/>
      <c r="D128" s="11" t="inlineStr">
        <is>
          <t>Standard-Anforderungen</t>
        </is>
      </c>
      <c r="E128" s="12" t="inlineStr">
        <is>
          <t>Gesamt:</t>
        </is>
      </c>
      <c r="F128" s="11" t="n"/>
      <c r="G128" s="11" t="n"/>
      <c r="H128" s="13">
        <f>IF(OR(COUNTBLANK($H$129:$H$129)&gt;0,COUNTIF($H$129:$H$129,"unbearbeitet")=COUNTA($H$129:$H$129)),"Bitte Teilanforderungen ausfüllen",IF(COUNTIF($H$129:$H$129,"zu klären")&gt;0,"zu klären",IF(COUNTIF($H$129:$H$129,"entbehrlich")=COUNTA($H$129:$H$129),"entbehrlich",IF(COUNTIF($H$129:$H$129,"verwiesen")=COUNTA($H$129:$H$129),"verwiesen",IF(COUNTIF($H$129:$H$129,"nein")+COUNTIF($H$129:$H$129,"entbehrlich")=COUNTA($H$129:$H$129),"nein",IF(COUNTIF($H$129:$H$129,"ja")+COUNTIF($H$129:$H$129,"entbehrlich")+COUNTIF($H$129:$H$129,"verwiesen")=COUNTA($H$129:$H$129),"ja","teilweise"))))))</f>
        <v/>
      </c>
      <c r="I128" s="11" t="n"/>
      <c r="J128" s="11" t="n"/>
      <c r="K128" s="11" t="n"/>
      <c r="L128" s="11" t="n"/>
      <c r="M128" s="11" t="inlineStr"/>
      <c r="N128" s="12" t="inlineStr"/>
      <c r="O128" s="11" t="inlineStr"/>
      <c r="P128" s="12" t="inlineStr">
        <is>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is>
      </c>
      <c r="Q128" s="11" t="inlineStr">
        <is>
          <t>Dienstleistungen</t>
        </is>
      </c>
      <c r="R128" s="11" t="inlineStr">
        <is>
          <t>Beschaffungskriterien</t>
        </is>
      </c>
      <c r="S128" s="12" t="inlineStr">
        <is>
          <t>die Übertragbarkeit von Daten, Konfigurationen und der Funktionalität</t>
        </is>
      </c>
      <c r="T128" s="12" t="inlineStr">
        <is>
          <t>G 0.20 – Informationen oder Produkte aus unzuverlässiger Quelle</t>
        </is>
      </c>
      <c r="U128" s="11" t="n">
        <v>3</v>
      </c>
      <c r="V128" s="11" t="n">
        <v>1</v>
      </c>
      <c r="W128" s="11" t="n">
        <v>1</v>
      </c>
      <c r="X128" s="11" t="n">
        <v>1</v>
      </c>
      <c r="Y128" s="11" t="n">
        <v>1</v>
      </c>
    </row>
    <row r="129">
      <c r="A129" s="11" t="inlineStr">
        <is>
          <t>BES.6.3</t>
        </is>
      </c>
      <c r="B129" s="12" t="inlineStr">
        <is>
          <t>Übertragbarkeit von Daten</t>
        </is>
      </c>
      <c r="C129" s="11" t="inlineStr">
        <is>
          <t>BES.6.3</t>
        </is>
      </c>
      <c r="D129" s="11" t="inlineStr">
        <is>
          <t>Standard-Anforderungen</t>
        </is>
      </c>
      <c r="E129" s="12" t="inlineStr">
        <is>
          <t>Beschaffungsmanagement für Dienstleistungen SOLLTE die Übertragbarkeit von Daten, Konfigurationen und der Funktionalität für den Fall einer Kündigung vereinbaren.</t>
        </is>
      </c>
      <c r="F129" s="14" t="n"/>
      <c r="G129" s="14" t="n"/>
      <c r="H129" s="14" t="inlineStr">
        <is>
          <t>unbearbeitet</t>
        </is>
      </c>
      <c r="I129" s="14" t="n"/>
      <c r="J129" s="14" t="n"/>
      <c r="K129" s="14" t="n"/>
      <c r="L129" s="15" t="n"/>
      <c r="M129" s="11" t="inlineStr"/>
      <c r="N129" s="12" t="inlineStr"/>
      <c r="O129" s="11" t="inlineStr"/>
      <c r="P129" s="12" t="inlineStr">
        <is>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is>
      </c>
      <c r="Q129" s="11" t="inlineStr">
        <is>
          <t>Dienstleistungen</t>
        </is>
      </c>
      <c r="R129" s="11" t="inlineStr">
        <is>
          <t>Beschaffungskriterien</t>
        </is>
      </c>
      <c r="S129" s="12" t="inlineStr">
        <is>
          <t>die Übertragbarkeit von Daten, Konfigurationen und der Funktionalität</t>
        </is>
      </c>
      <c r="T129" s="12" t="inlineStr">
        <is>
          <t>G 0.20 – Informationen oder Produkte aus unzuverlässiger Quelle</t>
        </is>
      </c>
      <c r="U129" s="11" t="n">
        <v>3</v>
      </c>
      <c r="V129" s="11" t="n">
        <v>1</v>
      </c>
      <c r="W129" s="11" t="n">
        <v>1</v>
      </c>
      <c r="X129" s="11" t="n">
        <v>1</v>
      </c>
      <c r="Y129" s="11" t="n">
        <v>1</v>
      </c>
    </row>
    <row r="130">
      <c r="A130" s="9" t="inlineStr">
        <is>
          <t>BES.6.4</t>
        </is>
      </c>
      <c r="B130" s="10" t="inlineStr">
        <is>
          <t>Übertragung von Supportdienstleistungen</t>
        </is>
      </c>
      <c r="C130" s="11" t="n"/>
      <c r="D130" s="11" t="inlineStr">
        <is>
          <t>Anforderungen bei erhöhtem Schutzbedarf</t>
        </is>
      </c>
      <c r="E130" s="12" t="inlineStr">
        <is>
          <t>Gesamt:</t>
        </is>
      </c>
      <c r="F130" s="11" t="n"/>
      <c r="G130" s="11" t="n"/>
      <c r="H130" s="13">
        <f>IF(OR(COUNTBLANK($H$131:$H$131)&gt;0,COUNTIF($H$131:$H$131,"unbearbeitet")=COUNTA($H$131:$H$131)),"Bitte Teilanforderungen ausfüllen",IF(COUNTIF($H$131:$H$131,"zu klären")&gt;0,"zu klären",IF(COUNTIF($H$131:$H$131,"entbehrlich")=COUNTA($H$131:$H$131),"entbehrlich",IF(COUNTIF($H$131:$H$131,"verwiesen")=COUNTA($H$131:$H$131),"verwiesen",IF(COUNTIF($H$131:$H$131,"nein")+COUNTIF($H$131:$H$131,"entbehrlich")=COUNTA($H$131:$H$131),"nein",IF(COUNTIF($H$131:$H$131,"ja")+COUNTIF($H$131:$H$131,"entbehrlich")+COUNTIF($H$131:$H$131,"verwiesen")=COUNTA($H$131:$H$131),"ja","teilweise"))))))</f>
        <v/>
      </c>
      <c r="I130" s="11" t="n"/>
      <c r="J130" s="11" t="n"/>
      <c r="K130" s="11" t="n"/>
      <c r="L130" s="11" t="n"/>
      <c r="M130" s="11" t="inlineStr"/>
      <c r="N130" s="12" t="inlineStr"/>
      <c r="O130" s="11" t="inlineStr"/>
      <c r="P130" s="12" t="inlineStr">
        <is>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is>
      </c>
      <c r="Q130" s="11" t="inlineStr">
        <is>
          <t>Dienstleistungen</t>
        </is>
      </c>
      <c r="R130" s="11" t="inlineStr">
        <is>
          <t>Beschaffungskriterien</t>
        </is>
      </c>
      <c r="S130" s="12" t="inlineStr">
        <is>
          <t>die Übergabe der Supportdienstleistungen</t>
        </is>
      </c>
      <c r="T130" s="12" t="inlineStr">
        <is>
          <t>G 0.20 – Informationen oder Produkte aus unzuverlässiger Quelle</t>
        </is>
      </c>
      <c r="U130" s="11" t="n">
        <v>5</v>
      </c>
      <c r="V130" s="11" t="n">
        <v>1</v>
      </c>
      <c r="W130" s="11" t="n">
        <v>1</v>
      </c>
      <c r="X130" s="11" t="n">
        <v>1</v>
      </c>
      <c r="Y130" s="11" t="n">
        <v>1</v>
      </c>
    </row>
    <row r="131">
      <c r="A131" s="11" t="inlineStr">
        <is>
          <t>BES.6.4</t>
        </is>
      </c>
      <c r="B131" s="12" t="inlineStr">
        <is>
          <t>Übertragung von Supportdienstleistungen</t>
        </is>
      </c>
      <c r="C131" s="11" t="inlineStr">
        <is>
          <t>BES.6.4</t>
        </is>
      </c>
      <c r="D131" s="11" t="inlineStr">
        <is>
          <t>Anforderungen bei erhöhtem Schutzbedarf</t>
        </is>
      </c>
      <c r="E131" s="12" t="inlineStr">
        <is>
          <t>Beschaffungsmanagement für Dienstleistungen KANN die Übergabe der Supportdienstleistungen für den Fall einer Kündigung vereinbaren.</t>
        </is>
      </c>
      <c r="F131" s="14" t="n"/>
      <c r="G131" s="14" t="n"/>
      <c r="H131" s="14" t="inlineStr">
        <is>
          <t>unbearbeitet</t>
        </is>
      </c>
      <c r="I131" s="14" t="n"/>
      <c r="J131" s="14" t="n"/>
      <c r="K131" s="14" t="n"/>
      <c r="L131" s="15" t="n"/>
      <c r="M131" s="11" t="inlineStr"/>
      <c r="N131" s="12" t="inlineStr"/>
      <c r="O131" s="11" t="inlineStr"/>
      <c r="P131" s="12" t="inlineStr">
        <is>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is>
      </c>
      <c r="Q131" s="11" t="inlineStr">
        <is>
          <t>Dienstleistungen</t>
        </is>
      </c>
      <c r="R131" s="11" t="inlineStr">
        <is>
          <t>Beschaffungskriterien</t>
        </is>
      </c>
      <c r="S131" s="12" t="inlineStr">
        <is>
          <t>die Übergabe der Supportdienstleistungen</t>
        </is>
      </c>
      <c r="T131" s="12" t="inlineStr">
        <is>
          <t>G 0.20 – Informationen oder Produkte aus unzuverlässiger Quelle</t>
        </is>
      </c>
      <c r="U131" s="11" t="n">
        <v>5</v>
      </c>
      <c r="V131" s="11" t="n">
        <v>1</v>
      </c>
      <c r="W131" s="11" t="n">
        <v>1</v>
      </c>
      <c r="X131" s="11" t="n">
        <v>1</v>
      </c>
      <c r="Y131" s="11" t="n">
        <v>1</v>
      </c>
    </row>
    <row r="132">
      <c r="A132" s="9" t="inlineStr">
        <is>
          <t>BES.6.5</t>
        </is>
      </c>
      <c r="B132" s="10" t="inlineStr">
        <is>
          <t>Behandlung aufzubewahrender Aufzeichnungen</t>
        </is>
      </c>
      <c r="C132" s="11" t="n"/>
      <c r="D132" s="11" t="inlineStr">
        <is>
          <t>Standard-Anforderungen</t>
        </is>
      </c>
      <c r="E132" s="12" t="inlineStr">
        <is>
          <t>Gesamt:</t>
        </is>
      </c>
      <c r="F132" s="11" t="n"/>
      <c r="G132" s="11" t="n"/>
      <c r="H132" s="13">
        <f>IF(OR(COUNTBLANK($H$133:$H$133)&gt;0,COUNTIF($H$133:$H$133,"unbearbeitet")=COUNTA($H$133:$H$133)),"Bitte Teilanforderungen ausfüllen",IF(COUNTIF($H$133:$H$133,"zu klären")&gt;0,"zu klären",IF(COUNTIF($H$133:$H$133,"entbehrlich")=COUNTA($H$133:$H$133),"entbehrlich",IF(COUNTIF($H$133:$H$133,"verwiesen")=COUNTA($H$133:$H$133),"verwiesen",IF(COUNTIF($H$133:$H$133,"nein")+COUNTIF($H$133:$H$133,"entbehrlich")=COUNTA($H$133:$H$133),"nein",IF(COUNTIF($H$133:$H$133,"ja")+COUNTIF($H$133:$H$133,"entbehrlich")+COUNTIF($H$133:$H$133,"verwiesen")=COUNTA($H$133:$H$133),"ja","teilweise"))))))</f>
        <v/>
      </c>
      <c r="I132" s="11" t="n"/>
      <c r="J132" s="11" t="n"/>
      <c r="K132" s="11" t="n"/>
      <c r="L132" s="11" t="n"/>
      <c r="M132" s="11" t="inlineStr"/>
      <c r="N132" s="12" t="inlineStr"/>
      <c r="O132" s="11" t="inlineStr"/>
      <c r="P132" s="12" t="inlineStr">
        <is>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is>
      </c>
      <c r="Q132" s="11" t="inlineStr">
        <is>
          <t>Dienstleistungen</t>
        </is>
      </c>
      <c r="R132" s="11" t="inlineStr">
        <is>
          <t>Beschaffungskriterien</t>
        </is>
      </c>
      <c r="S132" s="12" t="inlineStr">
        <is>
          <t>Kontrollmechanismen zur Behandlung aufzubewahrender Aufzeichnungen</t>
        </is>
      </c>
      <c r="T132" s="12" t="inlineStr">
        <is>
          <t>G 0.20 – Informationen oder Produkte aus unzuverlässiger Quelle</t>
        </is>
      </c>
      <c r="U132" s="11" t="n">
        <v>4</v>
      </c>
      <c r="V132" s="11" t="n">
        <v>1</v>
      </c>
      <c r="W132" s="11" t="n">
        <v>1</v>
      </c>
      <c r="X132" s="11" t="n">
        <v>1</v>
      </c>
      <c r="Y132" s="11" t="n">
        <v>1</v>
      </c>
    </row>
    <row r="133">
      <c r="A133" s="11" t="inlineStr">
        <is>
          <t>BES.6.5</t>
        </is>
      </c>
      <c r="B133" s="12" t="inlineStr">
        <is>
          <t>Behandlung aufzubewahrender Aufzeichnungen</t>
        </is>
      </c>
      <c r="C133" s="11" t="inlineStr">
        <is>
          <t>BES.6.5</t>
        </is>
      </c>
      <c r="D133" s="11" t="inlineStr">
        <is>
          <t>Standard-Anforderungen</t>
        </is>
      </c>
      <c r="E133" s="12" t="inlineStr">
        <is>
          <t>Beschaffungsmanagement für Dienstleistungen SOLLTE Kontrollmechanismen zur Behandlung aufzubewahrender Aufzeichnungen für den Fall einer Kündigung vereinbaren.</t>
        </is>
      </c>
      <c r="F133" s="14" t="n"/>
      <c r="G133" s="14" t="n"/>
      <c r="H133" s="14" t="inlineStr">
        <is>
          <t>unbearbeitet</t>
        </is>
      </c>
      <c r="I133" s="14" t="n"/>
      <c r="J133" s="14" t="n"/>
      <c r="K133" s="14" t="n"/>
      <c r="L133" s="15" t="n"/>
      <c r="M133" s="11" t="inlineStr"/>
      <c r="N133" s="12" t="inlineStr"/>
      <c r="O133" s="11" t="inlineStr"/>
      <c r="P133" s="12" t="inlineStr">
        <is>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is>
      </c>
      <c r="Q133" s="11" t="inlineStr">
        <is>
          <t>Dienstleistungen</t>
        </is>
      </c>
      <c r="R133" s="11" t="inlineStr">
        <is>
          <t>Beschaffungskriterien</t>
        </is>
      </c>
      <c r="S133" s="12" t="inlineStr">
        <is>
          <t>Kontrollmechanismen zur Behandlung aufzubewahrender Aufzeichnungen</t>
        </is>
      </c>
      <c r="T133" s="12" t="inlineStr">
        <is>
          <t>G 0.20 – Informationen oder Produkte aus unzuverlässiger Quelle</t>
        </is>
      </c>
      <c r="U133" s="11" t="n">
        <v>4</v>
      </c>
      <c r="V133" s="11" t="n">
        <v>1</v>
      </c>
      <c r="W133" s="11" t="n">
        <v>1</v>
      </c>
      <c r="X133" s="11" t="n">
        <v>1</v>
      </c>
      <c r="Y133" s="11" t="n">
        <v>1</v>
      </c>
    </row>
    <row r="134">
      <c r="A134" s="9" t="inlineStr">
        <is>
          <t>BES.6.6</t>
        </is>
      </c>
      <c r="B134" s="10" t="inlineStr">
        <is>
          <t>Rückgewähr von Assets</t>
        </is>
      </c>
      <c r="C134" s="11" t="n"/>
      <c r="D134" s="11" t="inlineStr">
        <is>
          <t>Standard-Anforderungen</t>
        </is>
      </c>
      <c r="E134" s="12" t="inlineStr">
        <is>
          <t>Gesamt:</t>
        </is>
      </c>
      <c r="F134" s="11" t="n"/>
      <c r="G134" s="11" t="n"/>
      <c r="H134" s="13">
        <f>IF(OR(COUNTBLANK($H$135:$H$135)&gt;0,COUNTIF($H$135:$H$135,"unbearbeitet")=COUNTA($H$135:$H$135)),"Bitte Teilanforderungen ausfüllen",IF(COUNTIF($H$135:$H$135,"zu klären")&gt;0,"zu klären",IF(COUNTIF($H$135:$H$135,"entbehrlich")=COUNTA($H$135:$H$135),"entbehrlich",IF(COUNTIF($H$135:$H$135,"verwiesen")=COUNTA($H$135:$H$135),"verwiesen",IF(COUNTIF($H$135:$H$135,"nein")+COUNTIF($H$135:$H$135,"entbehrlich")=COUNTA($H$135:$H$135),"nein",IF(COUNTIF($H$135:$H$135,"ja")+COUNTIF($H$135:$H$135,"entbehrlich")+COUNTIF($H$135:$H$135,"verwiesen")=COUNTA($H$135:$H$135),"ja","teilweise"))))))</f>
        <v/>
      </c>
      <c r="I134" s="11" t="n"/>
      <c r="J134" s="11" t="n"/>
      <c r="K134" s="11" t="n"/>
      <c r="L134" s="11" t="n"/>
      <c r="M134" s="11" t="inlineStr"/>
      <c r="N134" s="12" t="inlineStr"/>
      <c r="O134" s="11" t="inlineStr"/>
      <c r="P134" s="12" t="inlineStr">
        <is>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is>
      </c>
      <c r="Q134" s="11" t="inlineStr">
        <is>
          <t>Dienstleistungen</t>
        </is>
      </c>
      <c r="R134" s="11" t="inlineStr">
        <is>
          <t>Beschaffungskriterien</t>
        </is>
      </c>
      <c r="S134" s="12" t="inlineStr">
        <is>
          <t>die Rückgewähr von Assets</t>
        </is>
      </c>
      <c r="T134" s="12" t="inlineStr">
        <is>
          <t>G 0.20 – Informationen oder Produkte aus unzuverlässiger Quelle</t>
        </is>
      </c>
      <c r="U134" s="11" t="n">
        <v>2</v>
      </c>
      <c r="V134" s="11" t="n">
        <v>1</v>
      </c>
      <c r="W134" s="11" t="n">
        <v>1</v>
      </c>
      <c r="X134" s="11" t="n">
        <v>1</v>
      </c>
      <c r="Y134" s="11" t="n">
        <v>1</v>
      </c>
    </row>
    <row r="135">
      <c r="A135" s="11" t="inlineStr">
        <is>
          <t>BES.6.6</t>
        </is>
      </c>
      <c r="B135" s="12" t="inlineStr">
        <is>
          <t>Rückgewähr von Assets</t>
        </is>
      </c>
      <c r="C135" s="11" t="inlineStr">
        <is>
          <t>BES.6.6</t>
        </is>
      </c>
      <c r="D135" s="11" t="inlineStr">
        <is>
          <t>Standard-Anforderungen</t>
        </is>
      </c>
      <c r="E135" s="12" t="inlineStr">
        <is>
          <t>Beschaffungsmanagement für Dienstleistungen SOLLTE die Rückgewähr von Assets für den Fall einer Kündigung vereinbaren.</t>
        </is>
      </c>
      <c r="F135" s="14" t="n"/>
      <c r="G135" s="14" t="n"/>
      <c r="H135" s="14" t="inlineStr">
        <is>
          <t>unbearbeitet</t>
        </is>
      </c>
      <c r="I135" s="14" t="n"/>
      <c r="J135" s="14" t="n"/>
      <c r="K135" s="14" t="n"/>
      <c r="L135" s="15" t="n"/>
      <c r="M135" s="11" t="inlineStr"/>
      <c r="N135" s="12" t="inlineStr"/>
      <c r="O135" s="11" t="inlineStr"/>
      <c r="P135" s="12" t="inlineStr">
        <is>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is>
      </c>
      <c r="Q135" s="11" t="inlineStr">
        <is>
          <t>Dienstleistungen</t>
        </is>
      </c>
      <c r="R135" s="11" t="inlineStr">
        <is>
          <t>Beschaffungskriterien</t>
        </is>
      </c>
      <c r="S135" s="12" t="inlineStr">
        <is>
          <t>die Rückgewähr von Assets</t>
        </is>
      </c>
      <c r="T135" s="12" t="inlineStr">
        <is>
          <t>G 0.20 – Informationen oder Produkte aus unzuverlässiger Quelle</t>
        </is>
      </c>
      <c r="U135" s="11" t="n">
        <v>2</v>
      </c>
      <c r="V135" s="11" t="n">
        <v>1</v>
      </c>
      <c r="W135" s="11" t="n">
        <v>1</v>
      </c>
      <c r="X135" s="11" t="n">
        <v>1</v>
      </c>
      <c r="Y135" s="11" t="n">
        <v>1</v>
      </c>
    </row>
    <row r="136">
      <c r="A136" s="9" t="inlineStr">
        <is>
          <t>BES.7.1</t>
        </is>
      </c>
      <c r="B136" s="10" t="inlineStr">
        <is>
          <t>Eingangskontrolle</t>
        </is>
      </c>
      <c r="C136" s="11" t="n"/>
      <c r="D136" s="11" t="inlineStr">
        <is>
          <t>Standard-Anforderungen</t>
        </is>
      </c>
      <c r="E136" s="12" t="inlineStr">
        <is>
          <t>Gesamt:</t>
        </is>
      </c>
      <c r="F136" s="11" t="n"/>
      <c r="G136" s="11" t="n"/>
      <c r="H136" s="13">
        <f>IF(OR(COUNTBLANK($H$137:$H$139)&gt;0,COUNTIF($H$137:$H$139,"unbearbeitet")=COUNTA($H$137:$H$139)),"Bitte Teilanforderungen ausfüllen",IF(COUNTIF($H$137:$H$139,"zu klären")&gt;0,"zu klären",IF(COUNTIF($H$137:$H$139,"entbehrlich")=COUNTA($H$137:$H$139),"entbehrlich",IF(COUNTIF($H$137:$H$139,"verwiesen")=COUNTA($H$137:$H$139),"verwiesen",IF(COUNTIF($H$137:$H$139,"nein")+COUNTIF($H$137:$H$139,"entbehrlich")=COUNTA($H$137:$H$139),"nein",IF(COUNTIF($H$137:$H$139,"ja")+COUNTIF($H$137:$H$139,"entbehrlich")+COUNTIF($H$137:$H$139,"verwiesen")=COUNTA($H$137:$H$139),"ja","teilweise"))))))</f>
        <v/>
      </c>
      <c r="I136" s="11" t="n"/>
      <c r="J136" s="11" t="n"/>
      <c r="K136" s="11" t="n"/>
      <c r="L136" s="11" t="n"/>
      <c r="M136" s="11" t="inlineStr"/>
      <c r="N136" s="12" t="inlineStr"/>
      <c r="O136" s="11" t="inlineStr"/>
      <c r="P136" s="12" t="inlineStr">
        <is>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is>
      </c>
      <c r="Q136" s="11" t="inlineStr">
        <is>
          <t>Einkäufe</t>
        </is>
      </c>
      <c r="R136" s="11" t="inlineStr">
        <is>
          <t>Abnahmeprotokoll</t>
        </is>
      </c>
      <c r="S136" s="12" t="inlineStr">
        <is>
          <t>erbrachte oder gelieferte Leistungen</t>
        </is>
      </c>
      <c r="T136" s="12" t="inlineStr">
        <is>
          <t>G 0.26 – Fehlfunktion von Geräten oder Systemen; G 0.18 – Fehlplanung oder fehlende Anpassung</t>
        </is>
      </c>
      <c r="U136" s="11" t="n">
        <v>3</v>
      </c>
      <c r="V136" s="11" t="n">
        <v>1</v>
      </c>
      <c r="W136" s="11" t="n">
        <v>1</v>
      </c>
      <c r="X136" s="11" t="n">
        <v>1</v>
      </c>
      <c r="Y136" s="11" t="n">
        <v>0</v>
      </c>
    </row>
    <row r="137">
      <c r="A137" s="11" t="inlineStr">
        <is>
          <t>BES.7.1</t>
        </is>
      </c>
      <c r="B137" s="12" t="inlineStr">
        <is>
          <t>Eingangskontrolle</t>
        </is>
      </c>
      <c r="C137" s="11" t="inlineStr">
        <is>
          <t>BES.7.1</t>
        </is>
      </c>
      <c r="D137" s="11" t="inlineStr">
        <is>
          <t>Standard-Anforderungen</t>
        </is>
      </c>
      <c r="E137" s="12" t="inlineStr">
        <is>
          <t>Beschaffungsmanagement für Einkäufe SOLLTE erbrachte oder gelieferte Leistungen anhand von Kriterien zur Akzeptanz vor der ersten Verwendung testen.</t>
        </is>
      </c>
      <c r="F137" s="14" t="n"/>
      <c r="G137" s="14" t="n"/>
      <c r="H137" s="14" t="inlineStr">
        <is>
          <t>unbearbeitet</t>
        </is>
      </c>
      <c r="I137" s="14" t="n"/>
      <c r="J137" s="14" t="n"/>
      <c r="K137" s="14" t="n"/>
      <c r="L137" s="15" t="n"/>
      <c r="M137" s="11" t="inlineStr"/>
      <c r="N137" s="12" t="inlineStr"/>
      <c r="O137" s="11" t="inlineStr"/>
      <c r="P137" s="12" t="inlineStr">
        <is>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is>
      </c>
      <c r="Q137" s="11" t="inlineStr">
        <is>
          <t>Einkäufe</t>
        </is>
      </c>
      <c r="R137" s="11" t="inlineStr">
        <is>
          <t>Abnahmeprotokoll</t>
        </is>
      </c>
      <c r="S137" s="12" t="inlineStr">
        <is>
          <t>erbrachte oder gelieferte Leistungen</t>
        </is>
      </c>
      <c r="T137" s="12" t="inlineStr">
        <is>
          <t>G 0.26 – Fehlfunktion von Geräten oder Systemen; G 0.18 – Fehlplanung oder fehlende Anpassung</t>
        </is>
      </c>
      <c r="U137" s="11" t="n">
        <v>3</v>
      </c>
      <c r="V137" s="11" t="n">
        <v>1</v>
      </c>
      <c r="W137" s="11" t="n">
        <v>1</v>
      </c>
      <c r="X137" s="11" t="n">
        <v>1</v>
      </c>
      <c r="Y137" s="11" t="n">
        <v>0</v>
      </c>
    </row>
    <row r="138">
      <c r="A138" s="11" t="inlineStr">
        <is>
          <t>BES.7.1</t>
        </is>
      </c>
      <c r="B138" s="12" t="inlineStr">
        <is>
          <t>Eingangskontrolle</t>
        </is>
      </c>
      <c r="C138" s="11" t="inlineStr">
        <is>
          <t>BES.7.1.1</t>
        </is>
      </c>
      <c r="D138" s="11" t="inlineStr">
        <is>
          <t>Standard-Anforderungen</t>
        </is>
      </c>
      <c r="E138" s="12" t="inlineStr">
        <is>
          <t>Beschaffungsmanagement für Outsourcing SOLLTE die Kompatibilität des Dienstes mit dem Informationsverbund im Hinblick auf die Schnittstellen, die Netzanbindung, das Administrationsmodell und das Datenmanagementmodell testen.</t>
        </is>
      </c>
      <c r="F138" s="14" t="n"/>
      <c r="G138" s="14" t="n"/>
      <c r="H138" s="14" t="inlineStr">
        <is>
          <t>unbearbeitet</t>
        </is>
      </c>
      <c r="I138" s="14" t="n"/>
      <c r="J138" s="14" t="n"/>
      <c r="K138" s="14" t="n"/>
      <c r="L138" s="15" t="n"/>
      <c r="M138" s="11" t="inlineStr"/>
      <c r="N138" s="12" t="inlineStr"/>
      <c r="O138" s="11" t="inlineStr"/>
      <c r="P138" s="12" t="inlineStr">
        <is>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is>
      </c>
      <c r="Q138" s="11" t="inlineStr">
        <is>
          <t>Outsourcing</t>
        </is>
      </c>
      <c r="R138" s="11" t="inlineStr">
        <is>
          <t>Abnahmeprotokoll</t>
        </is>
      </c>
      <c r="S138" s="12" t="inlineStr">
        <is>
          <t>die Kompatibilität des Dienstes mit dem Informationsverbund</t>
        </is>
      </c>
      <c r="T138" s="12" t="inlineStr">
        <is>
          <t>G 0.26 – Fehlfunktion von Geräten oder Systemen; G 0.18 – Fehlplanung oder fehlende Anpassung; G 0.28 – Software-Schwachstellen oder -Fehler</t>
        </is>
      </c>
      <c r="U138" s="11" t="n">
        <v>3</v>
      </c>
      <c r="V138" s="11" t="n">
        <v>1</v>
      </c>
      <c r="W138" s="11" t="n">
        <v>1</v>
      </c>
      <c r="X138" s="11" t="n">
        <v>1</v>
      </c>
      <c r="Y138" s="11" t="n">
        <v>0</v>
      </c>
    </row>
    <row r="139">
      <c r="A139" s="11" t="inlineStr">
        <is>
          <t>BES.7.1</t>
        </is>
      </c>
      <c r="B139" s="12" t="inlineStr">
        <is>
          <t>Eingangskontrolle</t>
        </is>
      </c>
      <c r="C139" s="11" t="inlineStr">
        <is>
          <t>BES.7.1.2</t>
        </is>
      </c>
      <c r="D139" s="11" t="inlineStr">
        <is>
          <t>Standard-Anforderungen</t>
        </is>
      </c>
      <c r="E139" s="12" t="inlineStr">
        <is>
          <t>Beschaffungsmanagement für Outsourcing SOLLTE die Umsetzung der geforderten Beschaffungskriterien für die Netzanbindung vor der Netzanbindung testen.</t>
        </is>
      </c>
      <c r="F139" s="14" t="n"/>
      <c r="G139" s="14" t="n"/>
      <c r="H139" s="14" t="inlineStr">
        <is>
          <t>unbearbeitet</t>
        </is>
      </c>
      <c r="I139" s="14" t="n"/>
      <c r="J139" s="14" t="n"/>
      <c r="K139" s="14" t="n"/>
      <c r="L139" s="15" t="n"/>
      <c r="M139" s="11" t="inlineStr"/>
      <c r="N139" s="12" t="inlineStr"/>
      <c r="O139" s="11" t="inlineStr"/>
      <c r="P139" s="12" t="inlineStr">
        <is>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is>
      </c>
      <c r="Q139" s="11" t="inlineStr">
        <is>
          <t>Outsourcing</t>
        </is>
      </c>
      <c r="R139" s="11" t="inlineStr">
        <is>
          <t>Abnahmeprotokoll</t>
        </is>
      </c>
      <c r="S139" s="12" t="inlineStr">
        <is>
          <t>die Umsetzung der geforderten Beschaffungskriterien für die Netzanbindung</t>
        </is>
      </c>
      <c r="T139" s="12" t="inlineStr">
        <is>
          <t>G 0.26 – Fehlfunktion von Geräten oder Systemen; G 0.18 – Fehlplanung oder fehlende Anpassung</t>
        </is>
      </c>
      <c r="U139" s="11" t="n">
        <v>3</v>
      </c>
      <c r="V139" s="11" t="n">
        <v>1</v>
      </c>
      <c r="W139" s="11" t="n">
        <v>1</v>
      </c>
      <c r="X139" s="11" t="n">
        <v>1</v>
      </c>
      <c r="Y139" s="11" t="n">
        <v>0</v>
      </c>
    </row>
    <row r="140">
      <c r="A140" s="9" t="inlineStr">
        <is>
          <t>BES.7.2</t>
        </is>
      </c>
      <c r="B140" s="10" t="inlineStr">
        <is>
          <t>Prozesse vor Netzanbindung</t>
        </is>
      </c>
      <c r="C140" s="11" t="n"/>
      <c r="D140" s="11" t="inlineStr">
        <is>
          <t>Standard-Anforderungen</t>
        </is>
      </c>
      <c r="E140" s="12" t="inlineStr">
        <is>
          <t>Gesamt:</t>
        </is>
      </c>
      <c r="F140" s="11" t="n"/>
      <c r="G140" s="11" t="n"/>
      <c r="H140" s="13">
        <f>IF(OR(COUNTBLANK($H$141:$H$141)&gt;0,COUNTIF($H$141:$H$141,"unbearbeitet")=COUNTA($H$141:$H$141)),"Bitte Teilanforderungen ausfüllen",IF(COUNTIF($H$141:$H$141,"zu klären")&gt;0,"zu klären",IF(COUNTIF($H$141:$H$141,"entbehrlich")=COUNTA($H$141:$H$141),"entbehrlich",IF(COUNTIF($H$141:$H$141,"verwiesen")=COUNTA($H$141:$H$141),"verwiesen",IF(COUNTIF($H$141:$H$141,"nein")+COUNTIF($H$141:$H$141,"entbehrlich")=COUNTA($H$141:$H$141),"nein",IF(COUNTIF($H$141:$H$141,"ja")+COUNTIF($H$141:$H$141,"entbehrlich")+COUNTIF($H$141:$H$141,"verwiesen")=COUNTA($H$141:$H$141),"ja","teilweise"))))))</f>
        <v/>
      </c>
      <c r="I140" s="11" t="n"/>
      <c r="J140" s="11" t="n"/>
      <c r="K140" s="11" t="n"/>
      <c r="L140" s="11" t="n"/>
      <c r="M140" s="11" t="inlineStr"/>
      <c r="N140" s="12" t="inlineStr"/>
      <c r="O140" s="11" t="inlineStr"/>
      <c r="P140" s="12" t="inlineStr">
        <is>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is>
      </c>
      <c r="Q140" s="11" t="inlineStr">
        <is>
          <t>Outsourcing</t>
        </is>
      </c>
      <c r="R140" s="11" t="inlineStr">
        <is>
          <t>Abnahmeprotokoll</t>
        </is>
      </c>
      <c r="S140" s="12" t="inlineStr">
        <is>
          <t>vor Anbindung des Datennetzes der Nutzenden an das Datennetz der Anbietenden alle sicherheitsrelevanten Maßnahmen</t>
        </is>
      </c>
      <c r="T140" s="12" t="inlineStr">
        <is>
          <t>G 0.18 – Fehlplanung oder fehlende Anpassung; G 0.26 – Fehlfunktion von Geräten oder Systemen; G 0.28 – Software-Schwachstellen oder -Fehler</t>
        </is>
      </c>
      <c r="U140" s="11" t="n">
        <v>3</v>
      </c>
      <c r="V140" s="11" t="n">
        <v>1</v>
      </c>
      <c r="W140" s="11" t="n">
        <v>1</v>
      </c>
      <c r="X140" s="11" t="n">
        <v>1</v>
      </c>
      <c r="Y140" s="11" t="n">
        <v>0</v>
      </c>
    </row>
    <row r="141">
      <c r="A141" s="11" t="inlineStr">
        <is>
          <t>BES.7.2</t>
        </is>
      </c>
      <c r="B141" s="12" t="inlineStr">
        <is>
          <t>Prozesse vor Netzanbindung</t>
        </is>
      </c>
      <c r="C141" s="11" t="inlineStr">
        <is>
          <t>BES.7.2</t>
        </is>
      </c>
      <c r="D141" s="11" t="inlineStr">
        <is>
          <t>Standard-Anforderungen</t>
        </is>
      </c>
      <c r="E141" s="12" t="inlineStr">
        <is>
          <t>Beschaffungsmanagement für Outsourcing SOLLTE vor Anbindung des Datennetzes der Nutzenden an das Datennetz der Anbietenden alle sicherheitsrelevanten Maßnahmen im Einklang mit den Regelungen und Verfahren des Managementsystems verankern.</t>
        </is>
      </c>
      <c r="F141" s="14" t="n"/>
      <c r="G141" s="14" t="n"/>
      <c r="H141" s="14" t="inlineStr">
        <is>
          <t>unbearbeitet</t>
        </is>
      </c>
      <c r="I141" s="14" t="n"/>
      <c r="J141" s="14" t="n"/>
      <c r="K141" s="14" t="n"/>
      <c r="L141" s="15" t="n"/>
      <c r="M141" s="11" t="inlineStr"/>
      <c r="N141" s="12" t="inlineStr"/>
      <c r="O141" s="11" t="inlineStr"/>
      <c r="P141" s="12" t="inlineStr">
        <is>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is>
      </c>
      <c r="Q141" s="11" t="inlineStr">
        <is>
          <t>Outsourcing</t>
        </is>
      </c>
      <c r="R141" s="11" t="inlineStr">
        <is>
          <t>Abnahmeprotokoll</t>
        </is>
      </c>
      <c r="S141" s="12" t="inlineStr">
        <is>
          <t>vor Anbindung des Datennetzes der Nutzenden an das Datennetz der Anbietenden alle sicherheitsrelevanten Maßnahmen</t>
        </is>
      </c>
      <c r="T141" s="12" t="inlineStr">
        <is>
          <t>G 0.18 – Fehlplanung oder fehlende Anpassung; G 0.26 – Fehlfunktion von Geräten oder Systemen; G 0.28 – Software-Schwachstellen oder -Fehler</t>
        </is>
      </c>
      <c r="U141" s="11" t="n">
        <v>3</v>
      </c>
      <c r="V141" s="11" t="n">
        <v>1</v>
      </c>
      <c r="W141" s="11" t="n">
        <v>1</v>
      </c>
      <c r="X141" s="11" t="n">
        <v>1</v>
      </c>
      <c r="Y141" s="11" t="n">
        <v>0</v>
      </c>
    </row>
    <row r="142">
      <c r="A142" s="9" t="inlineStr">
        <is>
          <t>BES.7.3</t>
        </is>
      </c>
      <c r="B142" s="10" t="inlineStr">
        <is>
          <t>Anhörung Prozessbeteiligter</t>
        </is>
      </c>
      <c r="C142" s="11" t="n"/>
      <c r="D142" s="11" t="inlineStr">
        <is>
          <t>Standard-Anforderungen</t>
        </is>
      </c>
      <c r="E142" s="12" t="inlineStr">
        <is>
          <t>Gesamt:</t>
        </is>
      </c>
      <c r="F142" s="11" t="n"/>
      <c r="G142" s="11" t="n"/>
      <c r="H142" s="13">
        <f>IF(OR(COUNTBLANK($H$143:$H$143)&gt;0,COUNTIF($H$143:$H$143,"unbearbeitet")=COUNTA($H$143:$H$143)),"Bitte Teilanforderungen ausfüllen",IF(COUNTIF($H$143:$H$143,"zu klären")&gt;0,"zu klären",IF(COUNTIF($H$143:$H$143,"entbehrlich")=COUNTA($H$143:$H$143),"entbehrlich",IF(COUNTIF($H$143:$H$143,"verwiesen")=COUNTA($H$143:$H$143),"verwiesen",IF(COUNTIF($H$143:$H$143,"nein")+COUNTIF($H$143:$H$143,"entbehrlich")=COUNTA($H$143:$H$143),"nein",IF(COUNTIF($H$143:$H$143,"ja")+COUNTIF($H$143:$H$143,"entbehrlich")+COUNTIF($H$143:$H$143,"verwiesen")=COUNTA($H$143:$H$143),"ja","teilweise"))))))</f>
        <v/>
      </c>
      <c r="I142" s="11" t="n"/>
      <c r="J142" s="11" t="n"/>
      <c r="K142" s="11" t="n"/>
      <c r="L142" s="11" t="n"/>
      <c r="M142" s="11" t="inlineStr"/>
      <c r="N142" s="12" t="inlineStr"/>
      <c r="O142" s="11" t="inlineStr"/>
      <c r="P142" s="12" t="inlineStr">
        <is>
          <t>Je nach Prozess können hierzu z.B. IT-Betriebspersonal oder Cybersicherheitsexperten der Institution oder von weiteren Dienstleistern, oder die Rechtsabteilung gehören.</t>
        </is>
      </c>
      <c r="Q142" s="11" t="inlineStr">
        <is>
          <t>Outsourcing</t>
        </is>
      </c>
      <c r="R142" s="11" t="inlineStr">
        <is>
          <t>Abnahmeprotokoll</t>
        </is>
      </c>
      <c r="S142" s="12" t="inlineStr">
        <is>
          <t>alle am ausgelagerten Prozess beteiligten Mitarbeiter oder Rollen</t>
        </is>
      </c>
      <c r="T142" s="12" t="inlineStr">
        <is>
          <t>G 0.18 – Fehlplanung oder fehlende Anpassung; G 0.26 – Fehlfunktion von Geräten oder Systemen</t>
        </is>
      </c>
      <c r="U142" s="11" t="n">
        <v>3</v>
      </c>
      <c r="V142" s="11" t="n">
        <v>1</v>
      </c>
      <c r="W142" s="11" t="n">
        <v>1</v>
      </c>
      <c r="X142" s="11" t="n">
        <v>1</v>
      </c>
      <c r="Y142" s="11" t="n">
        <v>0</v>
      </c>
    </row>
    <row r="143">
      <c r="A143" s="11" t="inlineStr">
        <is>
          <t>BES.7.3</t>
        </is>
      </c>
      <c r="B143" s="12" t="inlineStr">
        <is>
          <t>Anhörung Prozessbeteiligter</t>
        </is>
      </c>
      <c r="C143" s="11" t="inlineStr">
        <is>
          <t>BES.7.3</t>
        </is>
      </c>
      <c r="D143" s="11" t="inlineStr">
        <is>
          <t>Standard-Anforderungen</t>
        </is>
      </c>
      <c r="E143" s="12" t="inlineStr">
        <is>
          <t>Beschaffungsmanagement für Outsourcing SOLLTE alle am ausgelagerten Prozess beteiligten Mitarbeiter oder Rollen anhören.</t>
        </is>
      </c>
      <c r="F143" s="14" t="n"/>
      <c r="G143" s="14" t="n"/>
      <c r="H143" s="14" t="inlineStr">
        <is>
          <t>unbearbeitet</t>
        </is>
      </c>
      <c r="I143" s="14" t="n"/>
      <c r="J143" s="14" t="n"/>
      <c r="K143" s="14" t="n"/>
      <c r="L143" s="15" t="n"/>
      <c r="M143" s="11" t="inlineStr"/>
      <c r="N143" s="12" t="inlineStr"/>
      <c r="O143" s="11" t="inlineStr"/>
      <c r="P143" s="12" t="inlineStr">
        <is>
          <t>Je nach Prozess können hierzu z.B. IT-Betriebspersonal oder Cybersicherheitsexperten der Institution oder von weiteren Dienstleistern, oder die Rechtsabteilung gehören.</t>
        </is>
      </c>
      <c r="Q143" s="11" t="inlineStr">
        <is>
          <t>Outsourcing</t>
        </is>
      </c>
      <c r="R143" s="11" t="inlineStr">
        <is>
          <t>Abnahmeprotokoll</t>
        </is>
      </c>
      <c r="S143" s="12" t="inlineStr">
        <is>
          <t>alle am ausgelagerten Prozess beteiligten Mitarbeiter oder Rollen</t>
        </is>
      </c>
      <c r="T143" s="12" t="inlineStr">
        <is>
          <t>G 0.18 – Fehlplanung oder fehlende Anpassung; G 0.26 – Fehlfunktion von Geräten oder Systemen</t>
        </is>
      </c>
      <c r="U143" s="11" t="n">
        <v>3</v>
      </c>
      <c r="V143" s="11" t="n">
        <v>1</v>
      </c>
      <c r="W143" s="11" t="n">
        <v>1</v>
      </c>
      <c r="X143" s="11" t="n">
        <v>1</v>
      </c>
      <c r="Y143" s="11" t="n">
        <v>0</v>
      </c>
    </row>
    <row r="144">
      <c r="A144" s="9" t="inlineStr">
        <is>
          <t>BES.7.4</t>
        </is>
      </c>
      <c r="B144" s="10" t="inlineStr">
        <is>
          <t>Vollständigkeit der Unterlagen</t>
        </is>
      </c>
      <c r="C144" s="11" t="n"/>
      <c r="D144" s="11" t="inlineStr">
        <is>
          <t>Standard-Anforderungen</t>
        </is>
      </c>
      <c r="E144" s="12" t="inlineStr">
        <is>
          <t>Gesamt:</t>
        </is>
      </c>
      <c r="F144" s="11" t="n"/>
      <c r="G144" s="11" t="n"/>
      <c r="H144" s="13">
        <f>IF(OR(COUNTBLANK($H$145:$H$158)&gt;0,COUNTIF($H$145:$H$158,"unbearbeitet")=COUNTA($H$145:$H$158)),"Bitte Teilanforderungen ausfüllen",IF(COUNTIF($H$145:$H$158,"zu klären")&gt;0,"zu klären",IF(COUNTIF($H$145:$H$158,"entbehrlich")=COUNTA($H$145:$H$158),"entbehrlich",IF(COUNTIF($H$145:$H$158,"verwiesen")=COUNTA($H$145:$H$158),"verwiesen",IF(COUNTIF($H$145:$H$158,"nein")+COUNTIF($H$145:$H$158,"entbehrlich")=COUNTA($H$145:$H$158),"nein",IF(COUNTIF($H$145:$H$158,"ja")+COUNTIF($H$145:$H$158,"entbehrlich")+COUNTIF($H$145:$H$158,"verwiesen")=COUNTA($H$145:$H$158),"ja","teilweise"))))))</f>
        <v/>
      </c>
      <c r="I144" s="11" t="n"/>
      <c r="J144" s="11" t="n"/>
      <c r="K144" s="11" t="n"/>
      <c r="L144" s="11" t="n"/>
      <c r="M144" s="11" t="inlineStr"/>
      <c r="N144" s="12" t="inlineStr"/>
      <c r="O144" s="11" t="inlineStr"/>
      <c r="P144" s="12" t="inlineStr">
        <is>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is>
      </c>
      <c r="Q144" s="11" t="inlineStr">
        <is>
          <t>Einkäufe</t>
        </is>
      </c>
      <c r="R144" s="11" t="inlineStr">
        <is>
          <t>Abnahmeprotokoll</t>
        </is>
      </c>
      <c r="S144" s="12" t="inlineStr">
        <is>
          <t>Informationen, die für eine bestimmungsgemäße Verwendung im Informationsverbund erforderlich sind,</t>
        </is>
      </c>
      <c r="T144" s="12" t="inlineStr">
        <is>
          <t>G 0.26 – Fehlfunktion von Geräten oder Systemen; G 0.18 – Fehlplanung oder fehlende Anpassung</t>
        </is>
      </c>
      <c r="U144" s="11" t="n">
        <v>2</v>
      </c>
      <c r="V144" s="11" t="n">
        <v>1</v>
      </c>
      <c r="W144" s="11" t="n">
        <v>1</v>
      </c>
      <c r="X144" s="11" t="n">
        <v>1</v>
      </c>
      <c r="Y144" s="11" t="n">
        <v>0</v>
      </c>
    </row>
    <row r="145">
      <c r="A145" s="11" t="inlineStr">
        <is>
          <t>BES.7.4</t>
        </is>
      </c>
      <c r="B145" s="12" t="inlineStr">
        <is>
          <t>Vollständigkeit der Unterlagen</t>
        </is>
      </c>
      <c r="C145" s="11" t="inlineStr">
        <is>
          <t>BES.7.4</t>
        </is>
      </c>
      <c r="D145" s="11" t="inlineStr">
        <is>
          <t>Standard-Anforderungen</t>
        </is>
      </c>
      <c r="E145" s="12" t="inlineStr">
        <is>
          <t>Beschaffungsmanagement für Einkäufe SOLLTE Informationen, die für eine bestimmungsgemäße Verwendung im Informationsverbund erforderlich sind, dokumentieren.</t>
        </is>
      </c>
      <c r="F145" s="14" t="n"/>
      <c r="G145" s="14" t="n"/>
      <c r="H145" s="14" t="inlineStr">
        <is>
          <t>unbearbeitet</t>
        </is>
      </c>
      <c r="I145" s="14" t="n"/>
      <c r="J145" s="14" t="n"/>
      <c r="K145" s="14" t="n"/>
      <c r="L145" s="15" t="n"/>
      <c r="M145" s="11" t="inlineStr"/>
      <c r="N145" s="12" t="inlineStr"/>
      <c r="O145" s="11" t="inlineStr"/>
      <c r="P145" s="12" t="inlineStr">
        <is>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is>
      </c>
      <c r="Q145" s="11" t="inlineStr">
        <is>
          <t>Einkäufe</t>
        </is>
      </c>
      <c r="R145" s="11" t="inlineStr">
        <is>
          <t>Abnahmeprotokoll</t>
        </is>
      </c>
      <c r="S145" s="12" t="inlineStr">
        <is>
          <t>Informationen, die für eine bestimmungsgemäße Verwendung im Informationsverbund erforderlich sind,</t>
        </is>
      </c>
      <c r="T145" s="12" t="inlineStr">
        <is>
          <t>G 0.26 – Fehlfunktion von Geräten oder Systemen; G 0.18 – Fehlplanung oder fehlende Anpassung</t>
        </is>
      </c>
      <c r="U145" s="11" t="n">
        <v>2</v>
      </c>
      <c r="V145" s="11" t="n">
        <v>1</v>
      </c>
      <c r="W145" s="11" t="n">
        <v>1</v>
      </c>
      <c r="X145" s="11" t="n">
        <v>1</v>
      </c>
      <c r="Y145" s="11" t="n">
        <v>0</v>
      </c>
    </row>
    <row r="146">
      <c r="A146" s="11" t="inlineStr">
        <is>
          <t>BES.7.4</t>
        </is>
      </c>
      <c r="B146" s="12" t="inlineStr">
        <is>
          <t>Vollständigkeit der Unterlagen</t>
        </is>
      </c>
      <c r="C146" s="11" t="inlineStr">
        <is>
          <t>BES.7.4.1</t>
        </is>
      </c>
      <c r="D146" s="11" t="inlineStr">
        <is>
          <t>Standard-Anforderungen</t>
        </is>
      </c>
      <c r="E146" s="12" t="inlineStr">
        <is>
          <t>Beschaffungsmanagement für IT-Produkte SOLLTE eine Beschreibung der Sicherheitsarchitektur dokumentieren.</t>
        </is>
      </c>
      <c r="F146" s="14" t="n"/>
      <c r="G146" s="14" t="n"/>
      <c r="H146" s="14" t="inlineStr">
        <is>
          <t>unbearbeitet</t>
        </is>
      </c>
      <c r="I146" s="14" t="n"/>
      <c r="J146" s="14" t="n"/>
      <c r="K146" s="14" t="n"/>
      <c r="L146" s="15" t="n"/>
      <c r="M146" s="11" t="inlineStr"/>
      <c r="N146" s="12" t="inlineStr"/>
      <c r="O146" s="11" t="inlineStr"/>
      <c r="P146" s="12" t="inlineStr">
        <is>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is>
      </c>
      <c r="Q146" s="11" t="inlineStr">
        <is>
          <t>IT-Produkte</t>
        </is>
      </c>
      <c r="R146" s="11" t="inlineStr">
        <is>
          <t>Betriebshandbuch</t>
        </is>
      </c>
      <c r="S146" s="12" t="inlineStr">
        <is>
          <t>eine Beschreibung der Sicherheitsarchitektur</t>
        </is>
      </c>
      <c r="T146" s="12" t="inlineStr">
        <is>
          <t>G 0.18 – Fehlplanung oder fehlende Anpassung; G 0.26 – Fehlfunktion von Geräten oder Systemen; G 0.28 – Software-Schwachstellen oder -Fehler</t>
        </is>
      </c>
      <c r="U146" s="11" t="n">
        <v>3</v>
      </c>
      <c r="V146" s="11" t="n">
        <v>1</v>
      </c>
      <c r="W146" s="11" t="n">
        <v>1</v>
      </c>
      <c r="X146" s="11" t="n">
        <v>1</v>
      </c>
      <c r="Y146" s="11" t="n">
        <v>0</v>
      </c>
    </row>
    <row r="147">
      <c r="A147" s="11" t="inlineStr">
        <is>
          <t>BES.7.4</t>
        </is>
      </c>
      <c r="B147" s="12" t="inlineStr">
        <is>
          <t>Vollständigkeit der Unterlagen</t>
        </is>
      </c>
      <c r="C147" s="11" t="inlineStr">
        <is>
          <t>BES.7.4.2</t>
        </is>
      </c>
      <c r="D147" s="11" t="inlineStr">
        <is>
          <t>Standard-Anforderungen</t>
        </is>
      </c>
      <c r="E147" s="12" t="inlineStr">
        <is>
          <t>Beschaffungsmanagement für IT-Produkte SOLLTE eine Beschreibung der gelieferten Sicherheitsmechanismen dokumentieren.</t>
        </is>
      </c>
      <c r="F147" s="14" t="n"/>
      <c r="G147" s="14" t="n"/>
      <c r="H147" s="14" t="inlineStr">
        <is>
          <t>unbearbeitet</t>
        </is>
      </c>
      <c r="I147" s="14" t="n"/>
      <c r="J147" s="14" t="n"/>
      <c r="K147" s="14" t="n"/>
      <c r="L147" s="15" t="n"/>
      <c r="M147" s="11" t="inlineStr"/>
      <c r="N147" s="12" t="inlineStr"/>
      <c r="O147" s="11" t="inlineStr"/>
      <c r="P147" s="12" t="inlineStr">
        <is>
          <t>Hierzu zählt z.B. eine Information des Herstellers, dass die Verschlüsselung nach BSI TR-02102 erfolgt.</t>
        </is>
      </c>
      <c r="Q147" s="11" t="inlineStr">
        <is>
          <t>IT-Produkte</t>
        </is>
      </c>
      <c r="R147" s="11" t="inlineStr">
        <is>
          <t>Betriebshandbuch</t>
        </is>
      </c>
      <c r="S147" s="12" t="inlineStr">
        <is>
          <t>eine Beschreibung der gelieferten Sicherheitsmechanismen</t>
        </is>
      </c>
      <c r="T147" s="12" t="inlineStr">
        <is>
          <t>G 0.26 – Fehlfunktion von Geräten oder Systemen; G 0.18 – Fehlplanung oder fehlende Anpassung</t>
        </is>
      </c>
      <c r="U147" s="11" t="n">
        <v>4</v>
      </c>
      <c r="V147" s="11" t="n">
        <v>1</v>
      </c>
      <c r="W147" s="11" t="n">
        <v>1</v>
      </c>
      <c r="X147" s="11" t="n">
        <v>1</v>
      </c>
      <c r="Y147" s="11" t="n">
        <v>0</v>
      </c>
    </row>
    <row r="148">
      <c r="A148" s="11" t="inlineStr">
        <is>
          <t>BES.7.4</t>
        </is>
      </c>
      <c r="B148" s="12" t="inlineStr">
        <is>
          <t>Vollständigkeit der Unterlagen</t>
        </is>
      </c>
      <c r="C148" s="11" t="inlineStr">
        <is>
          <t>BES.7.4.3</t>
        </is>
      </c>
      <c r="D148" s="11" t="inlineStr">
        <is>
          <t>Standard-Anforderungen</t>
        </is>
      </c>
      <c r="E148" s="12" t="inlineStr">
        <is>
          <t>Beschaffungsmanagement für IT-Produkte SOLLTE eine vom Hersteller oder Lieferanten für den sicheren Betrieb empfohlene Konfiguration dokumentieren.</t>
        </is>
      </c>
      <c r="F148" s="14" t="n"/>
      <c r="G148" s="14" t="n"/>
      <c r="H148" s="14" t="inlineStr">
        <is>
          <t>unbearbeitet</t>
        </is>
      </c>
      <c r="I148" s="14" t="n"/>
      <c r="J148" s="14" t="n"/>
      <c r="K148" s="14" t="n"/>
      <c r="L148" s="15" t="n"/>
      <c r="M148" s="11" t="inlineStr"/>
      <c r="N148" s="12" t="inlineStr"/>
      <c r="O148" s="11" t="inlineStr"/>
      <c r="P148" s="12" t="inlineStr">
        <is>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is>
      </c>
      <c r="Q148" s="11" t="inlineStr">
        <is>
          <t>IT-Produkte</t>
        </is>
      </c>
      <c r="R148" s="11" t="inlineStr">
        <is>
          <t>Betriebshandbuch</t>
        </is>
      </c>
      <c r="S148" s="12" t="inlineStr">
        <is>
          <t>eine vom Hersteller oder Lieferanten für den sicheren Betrieb empfohlene Konfiguration</t>
        </is>
      </c>
      <c r="T148" s="12" t="inlineStr">
        <is>
          <t>G 0.28 – Software-Schwachstellen oder -Fehler; G 0.31 – Fehlerhafte Nutzung oder Administration von Geräten und Systemen; G 0.26 – Fehlfunktion von Geräten oder Systemen; G 0.18 – Fehlplanung oder fehlende Anpassung</t>
        </is>
      </c>
      <c r="U148" s="11" t="n">
        <v>3</v>
      </c>
      <c r="V148" s="11" t="n">
        <v>1</v>
      </c>
      <c r="W148" s="11" t="n">
        <v>1</v>
      </c>
      <c r="X148" s="11" t="n">
        <v>1</v>
      </c>
      <c r="Y148" s="11" t="n">
        <v>0</v>
      </c>
    </row>
    <row r="149">
      <c r="A149" s="11" t="inlineStr">
        <is>
          <t>BES.7.4</t>
        </is>
      </c>
      <c r="B149" s="12" t="inlineStr">
        <is>
          <t>Vollständigkeit der Unterlagen</t>
        </is>
      </c>
      <c r="C149" s="11" t="inlineStr">
        <is>
          <t>BES.7.4.4</t>
        </is>
      </c>
      <c r="D149" s="11" t="inlineStr">
        <is>
          <t>Standard-Anforderungen</t>
        </is>
      </c>
      <c r="E149" s="12" t="inlineStr">
        <is>
          <t>Beschaffungsmanagement für Einkäufe SOLLTE eine Beschreibung der verwendeten Hardware- und Softwarekomponenten dokumentieren.</t>
        </is>
      </c>
      <c r="F149" s="14" t="n"/>
      <c r="G149" s="14" t="n"/>
      <c r="H149" s="14" t="inlineStr">
        <is>
          <t>unbearbeitet</t>
        </is>
      </c>
      <c r="I149" s="14" t="n"/>
      <c r="J149" s="14" t="n"/>
      <c r="K149" s="14" t="n"/>
      <c r="L149" s="15" t="n"/>
      <c r="M149" s="11" t="inlineStr"/>
      <c r="N149" s="12" t="inlineStr">
        <is>
          <t>IND.1.A4-UA.2</t>
        </is>
      </c>
      <c r="O149" s="11" t="inlineStr">
        <is>
          <t>intersects-with</t>
        </is>
      </c>
      <c r="P149" s="12" t="inlineStr">
        <is>
          <t>Hierzu zählen Angaben zum Hersteller und der Leistungsfähigkeit und Zusammensetzung der verbauten Hardware- und Softwarekomponenten. Für die Softwarekomponenten kann die Beschreibung standardisiert nach BSI TR-03183-2 erfolgen.</t>
        </is>
      </c>
      <c r="Q149" s="11" t="inlineStr">
        <is>
          <t>Einkäufe</t>
        </is>
      </c>
      <c r="R149" s="11" t="inlineStr">
        <is>
          <t>Betriebshandbuch</t>
        </is>
      </c>
      <c r="S149" s="12" t="inlineStr">
        <is>
          <t>eine Beschreibung der verwendeten Hardware- und Softwarekomponenten</t>
        </is>
      </c>
      <c r="T149" s="12" t="inlineStr">
        <is>
          <t>G 0.18 – Fehlplanung oder fehlende Anpassung; G 0.26 – Fehlfunktion von Geräten oder Systemen; G 0.37 – Abstreiten von Handlungen</t>
        </is>
      </c>
      <c r="U149" s="11" t="n">
        <v>3</v>
      </c>
      <c r="V149" s="11" t="n">
        <v>1</v>
      </c>
      <c r="W149" s="11" t="n">
        <v>1</v>
      </c>
      <c r="X149" s="11" t="n">
        <v>1</v>
      </c>
      <c r="Y149" s="11" t="n">
        <v>0</v>
      </c>
    </row>
    <row r="150">
      <c r="A150" s="11" t="inlineStr">
        <is>
          <t>BES.7.4</t>
        </is>
      </c>
      <c r="B150" s="12" t="inlineStr">
        <is>
          <t>Vollständigkeit der Unterlagen</t>
        </is>
      </c>
      <c r="C150" s="11" t="inlineStr">
        <is>
          <t>BES.7.4.4.1</t>
        </is>
      </c>
      <c r="D150" s="11" t="inlineStr">
        <is>
          <t>Anforderungen bei erhöhtem Schutzbedarf</t>
        </is>
      </c>
      <c r="E150" s="12" t="inlineStr">
        <is>
          <t>Beschaffungsmanagement für IT-Produkte KANN für jede gelieferte Software die entsprechende Software Bill of Materials (SBOM) nach einem anerkannten Standard dokumentieren.</t>
        </is>
      </c>
      <c r="F150" s="14" t="n"/>
      <c r="G150" s="14" t="n"/>
      <c r="H150" s="14" t="inlineStr">
        <is>
          <t>unbearbeitet</t>
        </is>
      </c>
      <c r="I150" s="14" t="n"/>
      <c r="J150" s="14" t="n"/>
      <c r="K150" s="14" t="n"/>
      <c r="L150" s="15" t="n"/>
      <c r="M150" s="11" t="inlineStr"/>
      <c r="N150" s="12" t="inlineStr"/>
      <c r="O150" s="11" t="inlineStr"/>
      <c r="P150" s="12" t="inlineStr">
        <is>
          <t>Je nach Produkt können hierzu auch die Firmware, das Betriebssystem oder mehrere Softwarebestandteile einer Anwendung gehören. Ein anerkannter Standard für SBOM ist die BSI TR-03183-2.</t>
        </is>
      </c>
      <c r="Q150" s="11" t="inlineStr">
        <is>
          <t>IT-Produkte</t>
        </is>
      </c>
      <c r="R150" s="11" t="inlineStr">
        <is>
          <t>Betriebshandbuch</t>
        </is>
      </c>
      <c r="S150" s="12" t="inlineStr">
        <is>
          <t>für jede gelieferte Software die entsprechende Software Bill of Materials (SBOM)</t>
        </is>
      </c>
      <c r="T150" s="12" t="inlineStr">
        <is>
          <t>G 0.26 – Fehlfunktion von Geräten oder Systemen; G 0.18 – Fehlplanung oder fehlende Anpassung; G 0.28 – Software-Schwachstellen oder -Fehler</t>
        </is>
      </c>
      <c r="U150" s="11" t="n">
        <v>5</v>
      </c>
      <c r="V150" s="11" t="n">
        <v>1</v>
      </c>
      <c r="W150" s="11" t="n">
        <v>1</v>
      </c>
      <c r="X150" s="11" t="n">
        <v>1</v>
      </c>
      <c r="Y150" s="11" t="n">
        <v>0</v>
      </c>
    </row>
    <row r="151">
      <c r="A151" s="11" t="inlineStr">
        <is>
          <t>BES.7.4</t>
        </is>
      </c>
      <c r="B151" s="12" t="inlineStr">
        <is>
          <t>Vollständigkeit der Unterlagen</t>
        </is>
      </c>
      <c r="C151" s="11" t="inlineStr">
        <is>
          <t>BES.7.4.5</t>
        </is>
      </c>
      <c r="D151" s="11" t="inlineStr">
        <is>
          <t>Standard-Anforderungen</t>
        </is>
      </c>
      <c r="E151" s="12" t="inlineStr">
        <is>
          <t>Beschaffungsmanagement für IT-Produkte SOLLTE eine Liste der Internetserver, mit denen das IT-Produkt von sich aus Verbindung aufnimmt, mit Zweck der Verbindung, Zieladresse(n), Port-Nummern dokumentieren.</t>
        </is>
      </c>
      <c r="F151" s="14" t="n"/>
      <c r="G151" s="14" t="n"/>
      <c r="H151" s="14" t="inlineStr">
        <is>
          <t>unbearbeitet</t>
        </is>
      </c>
      <c r="I151" s="14" t="n"/>
      <c r="J151" s="14" t="n"/>
      <c r="K151" s="14" t="n"/>
      <c r="L151" s="15" t="n"/>
      <c r="M151" s="11" t="inlineStr"/>
      <c r="N151" s="12" t="inlineStr"/>
      <c r="O151" s="11" t="inlineStr"/>
      <c r="P151" s="12" t="inlineStr">
        <is>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is>
      </c>
      <c r="Q151" s="11" t="inlineStr">
        <is>
          <t>IT-Produkte</t>
        </is>
      </c>
      <c r="R151" s="11" t="inlineStr">
        <is>
          <t>Betriebshandbuch</t>
        </is>
      </c>
      <c r="S151" s="12" t="inlineStr">
        <is>
          <t>eine Liste der Internetserver, mit denen das IT-Produkt von sich aus Verbindung aufnimmt,</t>
        </is>
      </c>
      <c r="T151" s="12" t="inlineStr">
        <is>
          <t>G 0.26 – Fehlfunktion von Geräten oder Systemen; G 0.18 – Fehlplanung oder fehlende Anpassung; G 0.28 – Software-Schwachstellen oder -Fehler</t>
        </is>
      </c>
      <c r="U151" s="11" t="n">
        <v>4</v>
      </c>
      <c r="V151" s="11" t="n">
        <v>1</v>
      </c>
      <c r="W151" s="11" t="n">
        <v>1</v>
      </c>
      <c r="X151" s="11" t="n">
        <v>1</v>
      </c>
      <c r="Y151" s="11" t="n">
        <v>0</v>
      </c>
    </row>
    <row r="152">
      <c r="A152" s="11" t="inlineStr">
        <is>
          <t>BES.7.4</t>
        </is>
      </c>
      <c r="B152" s="12" t="inlineStr">
        <is>
          <t>Vollständigkeit der Unterlagen</t>
        </is>
      </c>
      <c r="C152" s="11" t="inlineStr">
        <is>
          <t>BES.7.4.6</t>
        </is>
      </c>
      <c r="D152" s="11" t="inlineStr">
        <is>
          <t>Standard-Anforderungen</t>
        </is>
      </c>
      <c r="E152" s="12" t="inlineStr">
        <is>
          <t>Beschaffungsmanagement für Dienstleistungen SOLLTE die Verteilung der Zuständigkeiten und deren Abgrenzung dokumentieren.</t>
        </is>
      </c>
      <c r="F152" s="14" t="n"/>
      <c r="G152" s="14" t="n"/>
      <c r="H152" s="14" t="inlineStr">
        <is>
          <t>unbearbeitet</t>
        </is>
      </c>
      <c r="I152" s="14" t="n"/>
      <c r="J152" s="14" t="n"/>
      <c r="K152" s="14" t="n"/>
      <c r="L152" s="15" t="n"/>
      <c r="M152" s="11" t="inlineStr"/>
      <c r="N152" s="12" t="inlineStr"/>
      <c r="O152" s="11" t="inlineStr"/>
      <c r="P152" s="12" t="inlineStr">
        <is>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is>
      </c>
      <c r="Q152" s="11" t="inlineStr">
        <is>
          <t>Dienstleistungen</t>
        </is>
      </c>
      <c r="R152" s="11" t="inlineStr">
        <is>
          <t>Auslagerungsregister</t>
        </is>
      </c>
      <c r="S152" s="12" t="inlineStr">
        <is>
          <t>die Verteilung der Zuständigkeiten und deren Abgrenzung</t>
        </is>
      </c>
      <c r="T152" s="12" t="inlineStr">
        <is>
          <t>G 0.18 – Fehlplanung oder fehlende Anpassung; G 0.26 – Fehlfunktion von Geräten oder Systemen</t>
        </is>
      </c>
      <c r="U152" s="11" t="n">
        <v>3</v>
      </c>
      <c r="V152" s="11" t="n">
        <v>1</v>
      </c>
      <c r="W152" s="11" t="n">
        <v>1</v>
      </c>
      <c r="X152" s="11" t="n">
        <v>1</v>
      </c>
      <c r="Y152" s="11" t="n">
        <v>0</v>
      </c>
    </row>
    <row r="153">
      <c r="A153" s="11" t="inlineStr">
        <is>
          <t>BES.7.4</t>
        </is>
      </c>
      <c r="B153" s="12" t="inlineStr">
        <is>
          <t>Vollständigkeit der Unterlagen</t>
        </is>
      </c>
      <c r="C153" s="11" t="inlineStr">
        <is>
          <t>BES.7.4.7</t>
        </is>
      </c>
      <c r="D153" s="11" t="inlineStr">
        <is>
          <t>Standard-Anforderungen</t>
        </is>
      </c>
      <c r="E153" s="12" t="inlineStr">
        <is>
          <t>Beschaffungsmanagement für Dienstleistungen SOLLTE die organisatorischen Schnittstellen des Dienstleisters dokumentieren.</t>
        </is>
      </c>
      <c r="F153" s="14" t="n"/>
      <c r="G153" s="14" t="n"/>
      <c r="H153" s="14" t="inlineStr">
        <is>
          <t>unbearbeitet</t>
        </is>
      </c>
      <c r="I153" s="14" t="n"/>
      <c r="J153" s="14" t="n"/>
      <c r="K153" s="14" t="n"/>
      <c r="L153" s="15" t="n"/>
      <c r="M153" s="11" t="inlineStr"/>
      <c r="N153" s="12" t="inlineStr"/>
      <c r="O153" s="11" t="inlineStr"/>
      <c r="P153" s="12" t="inlineStr">
        <is>
          <t>Beispielsweise Meldewege für Notfälle, Sicherheitsvorfälle, Eskalationsstufen.</t>
        </is>
      </c>
      <c r="Q153" s="11" t="inlineStr">
        <is>
          <t>Dienstleistungen</t>
        </is>
      </c>
      <c r="R153" s="11" t="inlineStr">
        <is>
          <t>Auslagerungsregister</t>
        </is>
      </c>
      <c r="S153" s="12" t="inlineStr">
        <is>
          <t>die organisatorischen Schnittstellen des Dienstleisters</t>
        </is>
      </c>
      <c r="T153" s="12" t="inlineStr">
        <is>
          <t>G 0.26 – Fehlfunktion von Geräten oder Systemen; G 0.18 – Fehlplanung oder fehlende Anpassung</t>
        </is>
      </c>
      <c r="U153" s="11" t="n">
        <v>2</v>
      </c>
      <c r="V153" s="11" t="n">
        <v>1</v>
      </c>
      <c r="W153" s="11" t="n">
        <v>1</v>
      </c>
      <c r="X153" s="11" t="n">
        <v>1</v>
      </c>
      <c r="Y153" s="11" t="n">
        <v>0</v>
      </c>
    </row>
    <row r="154">
      <c r="A154" s="11" t="inlineStr">
        <is>
          <t>BES.7.4</t>
        </is>
      </c>
      <c r="B154" s="12" t="inlineStr">
        <is>
          <t>Vollständigkeit der Unterlagen</t>
        </is>
      </c>
      <c r="C154" s="11" t="inlineStr">
        <is>
          <t>BES.7.4.8</t>
        </is>
      </c>
      <c r="D154" s="11" t="inlineStr">
        <is>
          <t>Standard-Anforderungen</t>
        </is>
      </c>
      <c r="E154" s="12" t="inlineStr">
        <is>
          <t>Beschaffungsmanagement für Dienstleistungen SOLLTE die vom Dienstleister bereitgestellten technischen Schnittstellen und deren Sicherheitsfunktionalität dokumentieren.</t>
        </is>
      </c>
      <c r="F154" s="14" t="n"/>
      <c r="G154" s="14" t="n"/>
      <c r="H154" s="14" t="inlineStr">
        <is>
          <t>unbearbeitet</t>
        </is>
      </c>
      <c r="I154" s="14" t="n"/>
      <c r="J154" s="14" t="n"/>
      <c r="K154" s="14" t="n"/>
      <c r="L154" s="15" t="n"/>
      <c r="M154" s="11" t="inlineStr"/>
      <c r="N154" s="12" t="inlineStr"/>
      <c r="O154" s="11" t="inlineStr"/>
      <c r="P154" s="12" t="inlineStr">
        <is>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is>
      </c>
      <c r="Q154" s="11" t="inlineStr">
        <is>
          <t>Dienstleistungen</t>
        </is>
      </c>
      <c r="R154" s="11" t="inlineStr">
        <is>
          <t>Auslagerungsregister</t>
        </is>
      </c>
      <c r="S154" s="12" t="inlineStr">
        <is>
          <t>die vom Dienstleister bereitgestellten technischen Schnittstellen und deren Sicherheitsfunktionalität</t>
        </is>
      </c>
      <c r="T154" s="12" t="inlineStr">
        <is>
          <t>G 0.26 – Fehlfunktion von Geräten oder Systemen; G 0.18 – Fehlplanung oder fehlende Anpassung</t>
        </is>
      </c>
      <c r="U154" s="11" t="n">
        <v>3</v>
      </c>
      <c r="V154" s="11" t="n">
        <v>1</v>
      </c>
      <c r="W154" s="11" t="n">
        <v>1</v>
      </c>
      <c r="X154" s="11" t="n">
        <v>1</v>
      </c>
      <c r="Y154" s="11" t="n">
        <v>0</v>
      </c>
    </row>
    <row r="155">
      <c r="A155" s="11" t="inlineStr">
        <is>
          <t>BES.7.4</t>
        </is>
      </c>
      <c r="B155" s="12" t="inlineStr">
        <is>
          <t>Vollständigkeit der Unterlagen</t>
        </is>
      </c>
      <c r="C155" s="11" t="inlineStr">
        <is>
          <t>BES.7.4.9</t>
        </is>
      </c>
      <c r="D155" s="11" t="inlineStr">
        <is>
          <t>Standard-Anforderungen</t>
        </is>
      </c>
      <c r="E155" s="12" t="inlineStr">
        <is>
          <t>Beschaffungsmanagement für Outsourcing SOLLTE Informationen über den Dienstleister, die Kritikalität des Prozesses, abgeschlossene Verträge und Vereinbarungen sowie Zeitpunkt und Inhalt von Änderungen an den Vereinbarungen nach Vertragsschluss dokumentieren.</t>
        </is>
      </c>
      <c r="F155" s="14" t="n"/>
      <c r="G155" s="14" t="n"/>
      <c r="H155" s="14" t="inlineStr">
        <is>
          <t>unbearbeitet</t>
        </is>
      </c>
      <c r="I155" s="14" t="n"/>
      <c r="J155" s="14" t="n"/>
      <c r="K155" s="14" t="n"/>
      <c r="L155" s="15" t="n"/>
      <c r="M155" s="11" t="inlineStr"/>
      <c r="N155" s="12" t="inlineStr"/>
      <c r="O155" s="11" t="inlineStr"/>
      <c r="P155" s="12" t="inlineStr">
        <is>
          <t>Hierzu genügt ein zentrales Auslagerungsregister, welches zu allen ausgelagerten Prozessen die geforderten Informationen enthält. Als Angaben zum Dienstleister gehören dessen Unternehmensbezeichnung und Erreichbarkeiten.</t>
        </is>
      </c>
      <c r="Q155" s="11" t="inlineStr">
        <is>
          <t>Outsourcing</t>
        </is>
      </c>
      <c r="R155" s="11" t="inlineStr">
        <is>
          <t>Auslagerungsregister</t>
        </is>
      </c>
      <c r="S155" s="12" t="inlineStr">
        <is>
          <t>Informationen über den Dienstleister, die Kritikalität des Prozesses, abgeschlossene Verträge und Vereinbarungen sowie Zeitpunkt und Inhalt von Änderungen an den Vereinbarungen</t>
        </is>
      </c>
      <c r="T155" s="12" t="inlineStr">
        <is>
          <t>G 0.26 – Fehlfunktion von Geräten oder Systemen; G 0.18 – Fehlplanung oder fehlende Anpassung</t>
        </is>
      </c>
      <c r="U155" s="11" t="n">
        <v>3</v>
      </c>
      <c r="V155" s="11" t="n">
        <v>1</v>
      </c>
      <c r="W155" s="11" t="n">
        <v>1</v>
      </c>
      <c r="X155" s="11" t="n">
        <v>1</v>
      </c>
      <c r="Y155" s="11" t="n">
        <v>0</v>
      </c>
    </row>
    <row r="156">
      <c r="A156" s="11" t="inlineStr">
        <is>
          <t>BES.7.4</t>
        </is>
      </c>
      <c r="B156" s="12" t="inlineStr">
        <is>
          <t>Vollständigkeit der Unterlagen</t>
        </is>
      </c>
      <c r="C156" s="11" t="inlineStr">
        <is>
          <t>BES.7.4.10</t>
        </is>
      </c>
      <c r="D156" s="11" t="inlineStr">
        <is>
          <t>Standard-Anforderungen</t>
        </is>
      </c>
      <c r="E156" s="12" t="inlineStr">
        <is>
          <t>Beschaffungsmanagement für Cloud-Dienste SOLLTE für jeden geplanten oder genutzten Cloud-Dienst ein Serviceprofil mit dem Namen des Services und des Anbieters dokumentieren.</t>
        </is>
      </c>
      <c r="F156" s="14" t="n"/>
      <c r="G156" s="14" t="n"/>
      <c r="H156" s="14" t="inlineStr">
        <is>
          <t>unbearbeitet</t>
        </is>
      </c>
      <c r="I156" s="14" t="n"/>
      <c r="J156" s="14" t="n"/>
      <c r="K156" s="14" t="n"/>
      <c r="L156" s="15" t="n"/>
      <c r="M156" s="11" t="inlineStr"/>
      <c r="N156" s="12" t="inlineStr"/>
      <c r="O156" s="11" t="inlineStr"/>
      <c r="P156" s="12" t="inlineStr">
        <is>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is>
      </c>
      <c r="Q156" s="11" t="inlineStr">
        <is>
          <t>Cloud-Dienste</t>
        </is>
      </c>
      <c r="R156" s="11" t="inlineStr">
        <is>
          <t>Auslagerungsregister</t>
        </is>
      </c>
      <c r="S156" s="12" t="inlineStr">
        <is>
          <t>für jeden geplanten oder genutzten Cloud-Dienst ein Serviceprofil</t>
        </is>
      </c>
      <c r="T156" s="12" t="inlineStr">
        <is>
          <t>G 0.26 – Fehlfunktion von Geräten oder Systemen; G 0.18 – Fehlplanung oder fehlende Anpassung</t>
        </is>
      </c>
      <c r="U156" s="11" t="n">
        <v>3</v>
      </c>
      <c r="V156" s="11" t="n">
        <v>1</v>
      </c>
      <c r="W156" s="11" t="n">
        <v>1</v>
      </c>
      <c r="X156" s="11" t="n">
        <v>1</v>
      </c>
      <c r="Y156" s="11" t="n">
        <v>0</v>
      </c>
    </row>
    <row r="157">
      <c r="A157" s="11" t="inlineStr">
        <is>
          <t>BES.7.4</t>
        </is>
      </c>
      <c r="B157" s="12" t="inlineStr">
        <is>
          <t>Vollständigkeit der Unterlagen</t>
        </is>
      </c>
      <c r="C157" s="11" t="inlineStr">
        <is>
          <t>BES.7.4.11</t>
        </is>
      </c>
      <c r="D157" s="11" t="inlineStr">
        <is>
          <t>Anforderungen bei erhöhtem Schutzbedarf</t>
        </is>
      </c>
      <c r="E157" s="12" t="inlineStr">
        <is>
          <t>Beschaffungsmanagement für Outsourcing KANN die beim Dienstleister implementierten Maßnahmen zur Mandantentrennung nach Vertragsschluss dokumentieren.</t>
        </is>
      </c>
      <c r="F157" s="14" t="n"/>
      <c r="G157" s="14" t="n"/>
      <c r="H157" s="14" t="inlineStr">
        <is>
          <t>unbearbeitet</t>
        </is>
      </c>
      <c r="I157" s="14" t="n"/>
      <c r="J157" s="14" t="n"/>
      <c r="K157" s="14" t="n"/>
      <c r="L157" s="15" t="n"/>
      <c r="M157" s="11" t="inlineStr"/>
      <c r="N157" s="12" t="inlineStr"/>
      <c r="O157" s="11" t="inlineStr"/>
      <c r="P157" s="12" t="inlineStr">
        <is>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is>
      </c>
      <c r="Q157" s="11" t="inlineStr">
        <is>
          <t>Outsourcing</t>
        </is>
      </c>
      <c r="R157" s="11" t="inlineStr">
        <is>
          <t>Betriebshandbuch</t>
        </is>
      </c>
      <c r="S157" s="12" t="inlineStr">
        <is>
          <t>die beim Dienstleister implementierten Maßnahmen zur Mandantentrennung</t>
        </is>
      </c>
      <c r="T157" s="12" t="inlineStr">
        <is>
          <t>G 0.18 – Fehlplanung oder fehlende Anpassung; G 0.26 – Fehlfunktion von Geräten oder Systemen; G 0.28 – Software-Schwachstellen oder -Fehler</t>
        </is>
      </c>
      <c r="U157" s="11" t="n">
        <v>4</v>
      </c>
      <c r="V157" s="11" t="n">
        <v>1</v>
      </c>
      <c r="W157" s="11" t="n">
        <v>1</v>
      </c>
      <c r="X157" s="11" t="n">
        <v>1</v>
      </c>
      <c r="Y157" s="11" t="n">
        <v>0</v>
      </c>
    </row>
    <row r="158">
      <c r="A158" s="11" t="inlineStr">
        <is>
          <t>BES.7.4</t>
        </is>
      </c>
      <c r="B158" s="12" t="inlineStr">
        <is>
          <t>Vollständigkeit der Unterlagen</t>
        </is>
      </c>
      <c r="C158" s="11" t="inlineStr">
        <is>
          <t>BES.7.4.12</t>
        </is>
      </c>
      <c r="D158" s="11" t="inlineStr">
        <is>
          <t>Anforderungen bei erhöhtem Schutzbedarf</t>
        </is>
      </c>
      <c r="E158" s="12" t="inlineStr">
        <is>
          <t>Beschaffungsmanagement für Cloud-Dienste KANN für jede gelieferte Software-as-a-Service (SaaS) die entsprechende Software Bill of Materials (SBOM) nach einem anerkannten Standard dokumentieren.</t>
        </is>
      </c>
      <c r="F158" s="14" t="n"/>
      <c r="G158" s="14" t="n"/>
      <c r="H158" s="14" t="inlineStr">
        <is>
          <t>unbearbeitet</t>
        </is>
      </c>
      <c r="I158" s="14" t="n"/>
      <c r="J158" s="14" t="n"/>
      <c r="K158" s="14" t="n"/>
      <c r="L158" s="15" t="n"/>
      <c r="M158" s="11" t="inlineStr"/>
      <c r="N158" s="12" t="inlineStr"/>
      <c r="O158" s="11" t="inlineStr"/>
      <c r="P158" s="12" t="inlineStr">
        <is>
          <t>Ein anerkannter Standard für SBOM ist die BSI TR-03183-2.</t>
        </is>
      </c>
      <c r="Q158" s="11" t="inlineStr">
        <is>
          <t>Cloud-Dienste</t>
        </is>
      </c>
      <c r="R158" s="11" t="inlineStr">
        <is>
          <t>Betriebshandbuch</t>
        </is>
      </c>
      <c r="S158" s="12" t="inlineStr">
        <is>
          <t>für jede gelieferte Software-as-a-Service (SaaS) die entsprechende Software Bill of Materials (SBOM)</t>
        </is>
      </c>
      <c r="T158" s="12" t="inlineStr">
        <is>
          <t>G 0.26 – Fehlfunktion von Geräten oder Systemen; G 0.18 – Fehlplanung oder fehlende Anpassung; G 0.28 – Software-Schwachstellen oder -Fehler</t>
        </is>
      </c>
      <c r="U158" s="11" t="n">
        <v>5</v>
      </c>
      <c r="V158" s="11" t="n">
        <v>1</v>
      </c>
      <c r="W158" s="11" t="n">
        <v>1</v>
      </c>
      <c r="X158" s="11" t="n">
        <v>1</v>
      </c>
      <c r="Y158" s="11" t="n">
        <v>0</v>
      </c>
    </row>
    <row r="159">
      <c r="A159" s="9" t="inlineStr">
        <is>
          <t>BES.8.1</t>
        </is>
      </c>
      <c r="B159" s="10" t="inlineStr">
        <is>
          <t>Bereithaltung alternativer Lieferanten</t>
        </is>
      </c>
      <c r="C159" s="11" t="n"/>
      <c r="D159" s="11" t="inlineStr">
        <is>
          <t>Anforderungen bei erhöhtem Schutzbedarf</t>
        </is>
      </c>
      <c r="E159" s="12" t="inlineStr">
        <is>
          <t>Gesamt:</t>
        </is>
      </c>
      <c r="F159" s="11" t="n"/>
      <c r="G159" s="11" t="n"/>
      <c r="H159" s="13">
        <f>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
      </c>
      <c r="I159" s="11" t="n"/>
      <c r="J159" s="11" t="n"/>
      <c r="K159" s="11" t="n"/>
      <c r="L159" s="11" t="n"/>
      <c r="M159" s="11" t="inlineStr">
        <is>
          <t>Verfügbarkeit</t>
        </is>
      </c>
      <c r="N159" s="12" t="inlineStr"/>
      <c r="O159" s="11" t="inlineStr"/>
      <c r="P159" s="12" t="inlineStr">
        <is>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is>
      </c>
      <c r="Q159" s="11" t="inlineStr">
        <is>
          <t>Einkäufe</t>
        </is>
      </c>
      <c r="R159" s="11" t="inlineStr">
        <is>
          <t>Prozess Beschaffung</t>
        </is>
      </c>
      <c r="S159" s="12" t="inlineStr">
        <is>
          <t>die Bereithaltung alternativer Lieferanten</t>
        </is>
      </c>
      <c r="T159" s="12" t="inlineStr">
        <is>
          <t>G 0.18 – Fehlplanung oder fehlende Anpassung; G 0.25 – Ausfall von Geräten oder Systemen</t>
        </is>
      </c>
      <c r="U159" s="11" t="n">
        <v>5</v>
      </c>
      <c r="V159" s="11" t="n">
        <v>1</v>
      </c>
      <c r="W159" s="11" t="n">
        <v>1</v>
      </c>
      <c r="X159" s="11" t="n">
        <v>2</v>
      </c>
      <c r="Y159" s="11" t="n">
        <v>0</v>
      </c>
    </row>
    <row r="160">
      <c r="A160" s="11" t="inlineStr">
        <is>
          <t>BES.8.1</t>
        </is>
      </c>
      <c r="B160" s="12" t="inlineStr">
        <is>
          <t>Bereithaltung alternativer Lieferanten</t>
        </is>
      </c>
      <c r="C160" s="11" t="inlineStr">
        <is>
          <t>BES.8.1</t>
        </is>
      </c>
      <c r="D160" s="11" t="inlineStr">
        <is>
          <t>Anforderungen bei erhöhtem Schutzbedarf</t>
        </is>
      </c>
      <c r="E160" s="12" t="inlineStr">
        <is>
          <t>Beschaffungsmanagement für Einkäufe KANN die Bereithaltung alternativer Lieferanten verankern.</t>
        </is>
      </c>
      <c r="F160" s="14" t="n"/>
      <c r="G160" s="14" t="n"/>
      <c r="H160" s="14" t="inlineStr">
        <is>
          <t>unbearbeitet</t>
        </is>
      </c>
      <c r="I160" s="14" t="n"/>
      <c r="J160" s="14" t="n"/>
      <c r="K160" s="14" t="n"/>
      <c r="L160" s="15" t="n"/>
      <c r="M160" s="11" t="inlineStr">
        <is>
          <t>Verfügbarkeit</t>
        </is>
      </c>
      <c r="N160" s="12" t="inlineStr"/>
      <c r="O160" s="11" t="inlineStr"/>
      <c r="P160" s="12" t="inlineStr">
        <is>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is>
      </c>
      <c r="Q160" s="11" t="inlineStr">
        <is>
          <t>Einkäufe</t>
        </is>
      </c>
      <c r="R160" s="11" t="inlineStr">
        <is>
          <t>Prozess Beschaffung</t>
        </is>
      </c>
      <c r="S160" s="12" t="inlineStr">
        <is>
          <t>die Bereithaltung alternativer Lieferanten</t>
        </is>
      </c>
      <c r="T160" s="12" t="inlineStr">
        <is>
          <t>G 0.18 – Fehlplanung oder fehlende Anpassung; G 0.25 – Ausfall von Geräten oder Systemen</t>
        </is>
      </c>
      <c r="U160" s="11" t="n">
        <v>5</v>
      </c>
      <c r="V160" s="11" t="n">
        <v>1</v>
      </c>
      <c r="W160" s="11" t="n">
        <v>1</v>
      </c>
      <c r="X160" s="11" t="n">
        <v>2</v>
      </c>
      <c r="Y160" s="11" t="n">
        <v>0</v>
      </c>
    </row>
    <row r="161">
      <c r="A161" s="9" t="inlineStr">
        <is>
          <t>BES.8.2</t>
        </is>
      </c>
      <c r="B161" s="10" t="inlineStr">
        <is>
          <t>Verfahren zur Übertragung von Geschäftsprozessen</t>
        </is>
      </c>
      <c r="C161" s="11" t="n"/>
      <c r="D161" s="11" t="inlineStr">
        <is>
          <t>Anforderungen bei erhöhtem Schutzbedarf</t>
        </is>
      </c>
      <c r="E161" s="12" t="inlineStr">
        <is>
          <t>Gesamt:</t>
        </is>
      </c>
      <c r="F161" s="11" t="n"/>
      <c r="G161" s="11" t="n"/>
      <c r="H161" s="13">
        <f>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
      </c>
      <c r="I161" s="11" t="n"/>
      <c r="J161" s="11" t="n"/>
      <c r="K161" s="11" t="n"/>
      <c r="L161" s="11" t="n"/>
      <c r="M161" s="11" t="inlineStr"/>
      <c r="N161" s="12" t="inlineStr"/>
      <c r="O161" s="11" t="inlineStr"/>
      <c r="P161" s="12" t="inlineStr">
        <is>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is>
      </c>
      <c r="Q161" s="11" t="inlineStr">
        <is>
          <t>Outsourcing</t>
        </is>
      </c>
      <c r="R161" s="11" t="inlineStr">
        <is>
          <t>Geschäftsprozesse</t>
        </is>
      </c>
      <c r="S161" s="12" t="inlineStr">
        <is>
          <t>Verfahren zur Übertragung von Geschäftsprozessen</t>
        </is>
      </c>
      <c r="T161" s="12" t="inlineStr">
        <is>
          <t>G 0.18 – Fehlplanung oder fehlende Anpassung</t>
        </is>
      </c>
      <c r="U161" s="11" t="n">
        <v>5</v>
      </c>
      <c r="V161" s="11" t="n">
        <v>1</v>
      </c>
      <c r="W161" s="11" t="n">
        <v>1</v>
      </c>
      <c r="X161" s="11" t="n">
        <v>1</v>
      </c>
      <c r="Y161" s="11" t="n">
        <v>0</v>
      </c>
    </row>
    <row r="162">
      <c r="A162" s="11" t="inlineStr">
        <is>
          <t>BES.8.2</t>
        </is>
      </c>
      <c r="B162" s="12" t="inlineStr">
        <is>
          <t>Verfahren zur Übertragung von Geschäftsprozessen</t>
        </is>
      </c>
      <c r="C162" s="11" t="inlineStr">
        <is>
          <t>BES.8.2</t>
        </is>
      </c>
      <c r="D162" s="11" t="inlineStr">
        <is>
          <t>Anforderungen bei erhöhtem Schutzbedarf</t>
        </is>
      </c>
      <c r="E162" s="12" t="inlineStr">
        <is>
          <t>Beschaffungsmanagement für Outsourcing KANN Verfahren zur Übertragung von Geschäftsprozessen für den Fall einer geplanten oder ungeplanten Beendigung des Vertrages verankern.</t>
        </is>
      </c>
      <c r="F162" s="14" t="n"/>
      <c r="G162" s="14" t="n"/>
      <c r="H162" s="14" t="inlineStr">
        <is>
          <t>unbearbeitet</t>
        </is>
      </c>
      <c r="I162" s="14" t="n"/>
      <c r="J162" s="14" t="n"/>
      <c r="K162" s="14" t="n"/>
      <c r="L162" s="15" t="n"/>
      <c r="M162" s="11" t="inlineStr"/>
      <c r="N162" s="12" t="inlineStr"/>
      <c r="O162" s="11" t="inlineStr"/>
      <c r="P162" s="12" t="inlineStr">
        <is>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is>
      </c>
      <c r="Q162" s="11" t="inlineStr">
        <is>
          <t>Outsourcing</t>
        </is>
      </c>
      <c r="R162" s="11" t="inlineStr">
        <is>
          <t>Geschäftsprozesse</t>
        </is>
      </c>
      <c r="S162" s="12" t="inlineStr">
        <is>
          <t>Verfahren zur Übertragung von Geschäftsprozessen</t>
        </is>
      </c>
      <c r="T162" s="12" t="inlineStr">
        <is>
          <t>G 0.18 – Fehlplanung oder fehlende Anpassung</t>
        </is>
      </c>
      <c r="U162" s="11" t="n">
        <v>5</v>
      </c>
      <c r="V162" s="11" t="n">
        <v>1</v>
      </c>
      <c r="W162" s="11" t="n">
        <v>1</v>
      </c>
      <c r="X162" s="11" t="n">
        <v>1</v>
      </c>
      <c r="Y162" s="11" t="n">
        <v>0</v>
      </c>
    </row>
    <row r="163">
      <c r="A163" s="9" t="inlineStr">
        <is>
          <t>BES.8.3</t>
        </is>
      </c>
      <c r="B163" s="10" t="inlineStr">
        <is>
          <t>Ressourcensouveränität</t>
        </is>
      </c>
      <c r="C163" s="11" t="n"/>
      <c r="D163" s="11" t="inlineStr">
        <is>
          <t>Anforderungen bei erhöhtem Schutzbedarf</t>
        </is>
      </c>
      <c r="E163" s="12" t="inlineStr">
        <is>
          <t>Gesamt:</t>
        </is>
      </c>
      <c r="F163" s="11" t="n"/>
      <c r="G163" s="11" t="n"/>
      <c r="H163" s="13">
        <f>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
      </c>
      <c r="I163" s="11" t="n"/>
      <c r="J163" s="11" t="n"/>
      <c r="K163" s="11" t="n"/>
      <c r="L163" s="11" t="n"/>
      <c r="M163" s="11" t="inlineStr"/>
      <c r="N163" s="12" t="inlineStr"/>
      <c r="O163" s="11" t="inlineStr"/>
      <c r="P163" s="12" t="inlineStr">
        <is>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is>
      </c>
      <c r="Q163" s="11" t="inlineStr">
        <is>
          <t>Outsourcing</t>
        </is>
      </c>
      <c r="R163" s="11" t="inlineStr">
        <is>
          <t>Geschäftsprozesse</t>
        </is>
      </c>
      <c r="S163" s="12" t="inlineStr">
        <is>
          <t>ausreichende interne Ressourcen</t>
        </is>
      </c>
      <c r="T163" s="12" t="inlineStr">
        <is>
          <t>G 0.18 – Fehlplanung oder fehlende Anpassung</t>
        </is>
      </c>
      <c r="U163" s="11" t="n">
        <v>4</v>
      </c>
      <c r="V163" s="11" t="n">
        <v>1</v>
      </c>
      <c r="W163" s="11" t="n">
        <v>1</v>
      </c>
      <c r="X163" s="11" t="n">
        <v>1</v>
      </c>
      <c r="Y163" s="11" t="n">
        <v>0</v>
      </c>
    </row>
    <row r="164">
      <c r="A164" s="11" t="inlineStr">
        <is>
          <t>BES.8.3</t>
        </is>
      </c>
      <c r="B164" s="12" t="inlineStr">
        <is>
          <t>Ressourcensouveränität</t>
        </is>
      </c>
      <c r="C164" s="11" t="inlineStr">
        <is>
          <t>BES.8.3</t>
        </is>
      </c>
      <c r="D164" s="11" t="inlineStr">
        <is>
          <t>Anforderungen bei erhöhtem Schutzbedarf</t>
        </is>
      </c>
      <c r="E164" s="12" t="inlineStr">
        <is>
          <t>Beschaffungsmanagement für Outsourcing KANN ausreichende interne Ressourcen für den Fall einer geplanten oder ungeplanten Beendigung des Vertrages zuweisen.</t>
        </is>
      </c>
      <c r="F164" s="14" t="n"/>
      <c r="G164" s="14" t="n"/>
      <c r="H164" s="14" t="inlineStr">
        <is>
          <t>unbearbeitet</t>
        </is>
      </c>
      <c r="I164" s="14" t="n"/>
      <c r="J164" s="14" t="n"/>
      <c r="K164" s="14" t="n"/>
      <c r="L164" s="15" t="n"/>
      <c r="M164" s="11" t="inlineStr"/>
      <c r="N164" s="12" t="inlineStr"/>
      <c r="O164" s="11" t="inlineStr"/>
      <c r="P164" s="12" t="inlineStr">
        <is>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is>
      </c>
      <c r="Q164" s="11" t="inlineStr">
        <is>
          <t>Outsourcing</t>
        </is>
      </c>
      <c r="R164" s="11" t="inlineStr">
        <is>
          <t>Geschäftsprozesse</t>
        </is>
      </c>
      <c r="S164" s="12" t="inlineStr">
        <is>
          <t>ausreichende interne Ressourcen</t>
        </is>
      </c>
      <c r="T164" s="12" t="inlineStr">
        <is>
          <t>G 0.18 – Fehlplanung oder fehlende Anpassung</t>
        </is>
      </c>
      <c r="U164" s="11" t="n">
        <v>4</v>
      </c>
      <c r="V164" s="11" t="n">
        <v>1</v>
      </c>
      <c r="W164" s="11" t="n">
        <v>1</v>
      </c>
      <c r="X164" s="11" t="n">
        <v>1</v>
      </c>
      <c r="Y164" s="11" t="n">
        <v>0</v>
      </c>
    </row>
    <row r="165">
      <c r="A165" s="9" t="inlineStr">
        <is>
          <t>BES.8.4</t>
        </is>
      </c>
      <c r="B165" s="10" t="inlineStr">
        <is>
          <t>Individuelle Implementierung kritischer Komponenten</t>
        </is>
      </c>
      <c r="C165" s="11" t="n"/>
      <c r="D165" s="11" t="inlineStr">
        <is>
          <t>Anforderungen bei erhöhtem Schutzbedarf</t>
        </is>
      </c>
      <c r="E165" s="12" t="inlineStr">
        <is>
          <t>Gesamt:</t>
        </is>
      </c>
      <c r="F165" s="11" t="n"/>
      <c r="G165" s="11" t="n"/>
      <c r="H165" s="13">
        <f>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
      </c>
      <c r="I165" s="11" t="n"/>
      <c r="J165" s="11" t="n"/>
      <c r="K165" s="11" t="n"/>
      <c r="L165" s="11" t="n"/>
      <c r="M165" s="11" t="inlineStr"/>
      <c r="N165" s="12" t="inlineStr"/>
      <c r="O165" s="11" t="inlineStr"/>
      <c r="P165" s="12" t="inlineStr">
        <is>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is>
      </c>
      <c r="Q165" s="11" t="inlineStr">
        <is>
          <t>IT-Produkte</t>
        </is>
      </c>
      <c r="R165" s="11" t="inlineStr">
        <is>
          <t>Beschaffungskriterien</t>
        </is>
      </c>
      <c r="S165" s="12" t="inlineStr">
        <is>
          <t>eine eigens für die Institution entwickelte Implementierung kritischer Komponenten</t>
        </is>
      </c>
      <c r="T165" s="12" t="inlineStr">
        <is>
          <t>G 0.18 – Fehlplanung oder fehlende Anpassung</t>
        </is>
      </c>
      <c r="U165" s="11" t="n">
        <v>5</v>
      </c>
      <c r="V165" s="11" t="n">
        <v>1</v>
      </c>
      <c r="W165" s="11" t="n">
        <v>1</v>
      </c>
      <c r="X165" s="11" t="n">
        <v>1</v>
      </c>
      <c r="Y165" s="11" t="n">
        <v>0</v>
      </c>
    </row>
    <row r="166">
      <c r="A166" s="11" t="inlineStr">
        <is>
          <t>BES.8.4</t>
        </is>
      </c>
      <c r="B166" s="12" t="inlineStr">
        <is>
          <t>Individuelle Implementierung kritischer Komponenten</t>
        </is>
      </c>
      <c r="C166" s="11" t="inlineStr">
        <is>
          <t>BES.8.4</t>
        </is>
      </c>
      <c r="D166" s="11" t="inlineStr">
        <is>
          <t>Anforderungen bei erhöhtem Schutzbedarf</t>
        </is>
      </c>
      <c r="E166" s="12" t="inlineStr">
        <is>
          <t>Beschaffungsmanagement für IT-Produkte KANN eine eigens für die Institution entwickelte Implementierung kritischer Komponenten vereinbaren.</t>
        </is>
      </c>
      <c r="F166" s="14" t="n"/>
      <c r="G166" s="14" t="n"/>
      <c r="H166" s="14" t="inlineStr">
        <is>
          <t>unbearbeitet</t>
        </is>
      </c>
      <c r="I166" s="14" t="n"/>
      <c r="J166" s="14" t="n"/>
      <c r="K166" s="14" t="n"/>
      <c r="L166" s="15" t="n"/>
      <c r="M166" s="11" t="inlineStr"/>
      <c r="N166" s="12" t="inlineStr"/>
      <c r="O166" s="11" t="inlineStr"/>
      <c r="P166" s="12" t="inlineStr">
        <is>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is>
      </c>
      <c r="Q166" s="11" t="inlineStr">
        <is>
          <t>IT-Produkte</t>
        </is>
      </c>
      <c r="R166" s="11" t="inlineStr">
        <is>
          <t>Beschaffungskriterien</t>
        </is>
      </c>
      <c r="S166" s="12" t="inlineStr">
        <is>
          <t>eine eigens für die Institution entwickelte Implementierung kritischer Komponenten</t>
        </is>
      </c>
      <c r="T166" s="12" t="inlineStr">
        <is>
          <t>G 0.18 – Fehlplanung oder fehlende Anpassung</t>
        </is>
      </c>
      <c r="U166" s="11" t="n">
        <v>5</v>
      </c>
      <c r="V166" s="11" t="n">
        <v>1</v>
      </c>
      <c r="W166" s="11" t="n">
        <v>1</v>
      </c>
      <c r="X166" s="11" t="n">
        <v>1</v>
      </c>
      <c r="Y166" s="11" t="n">
        <v>0</v>
      </c>
    </row>
    <row r="167">
      <c r="A167" s="9" t="inlineStr">
        <is>
          <t>BES.8.5</t>
        </is>
      </c>
      <c r="B167" s="10" t="inlineStr">
        <is>
          <t>Treuhand</t>
        </is>
      </c>
      <c r="C167" s="11" t="n"/>
      <c r="D167" s="11" t="inlineStr">
        <is>
          <t>Anforderungen bei erhöhtem Schutzbedarf</t>
        </is>
      </c>
      <c r="E167" s="12" t="inlineStr">
        <is>
          <t>Gesamt:</t>
        </is>
      </c>
      <c r="F167" s="11" t="n"/>
      <c r="G167" s="11" t="n"/>
      <c r="H167" s="13">
        <f>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
      </c>
      <c r="I167" s="11" t="n"/>
      <c r="J167" s="11" t="n"/>
      <c r="K167" s="11" t="n"/>
      <c r="L167" s="11" t="n"/>
      <c r="M167" s="11" t="inlineStr"/>
      <c r="N167" s="12" t="inlineStr"/>
      <c r="O167" s="11" t="inlineStr"/>
      <c r="P167" s="12" t="inlineStr">
        <is>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is>
      </c>
      <c r="Q167" s="11" t="inlineStr">
        <is>
          <t>Dienstleistungen</t>
        </is>
      </c>
      <c r="R167" s="11" t="inlineStr">
        <is>
          <t>Beschaffungskriterien</t>
        </is>
      </c>
      <c r="S167" s="12" t="inlineStr">
        <is>
          <t>ESCROW- bzw. Treuhandverträge</t>
        </is>
      </c>
      <c r="T167" s="12" t="inlineStr">
        <is>
          <t>G 0.18 – Fehlplanung oder fehlende Anpassung; G 0.29 – Verstoß gegen Gesetze oder Regelungen</t>
        </is>
      </c>
      <c r="U167" s="11" t="n">
        <v>5</v>
      </c>
      <c r="V167" s="11" t="n">
        <v>1</v>
      </c>
      <c r="W167" s="11" t="n">
        <v>1</v>
      </c>
      <c r="X167" s="11" t="n">
        <v>1</v>
      </c>
      <c r="Y167" s="11" t="n">
        <v>0</v>
      </c>
    </row>
    <row r="168">
      <c r="A168" s="11" t="inlineStr">
        <is>
          <t>BES.8.5</t>
        </is>
      </c>
      <c r="B168" s="12" t="inlineStr">
        <is>
          <t>Treuhand</t>
        </is>
      </c>
      <c r="C168" s="11" t="inlineStr">
        <is>
          <t>BES.8.5</t>
        </is>
      </c>
      <c r="D168" s="11" t="inlineStr">
        <is>
          <t>Anforderungen bei erhöhtem Schutzbedarf</t>
        </is>
      </c>
      <c r="E168" s="12" t="inlineStr">
        <is>
          <t>Beschaffungsmanagement für Dienstleistungen KANN ESCROW- bzw. Treuhandverträge vereinbaren.</t>
        </is>
      </c>
      <c r="F168" s="14" t="n"/>
      <c r="G168" s="14" t="n"/>
      <c r="H168" s="14" t="inlineStr">
        <is>
          <t>unbearbeitet</t>
        </is>
      </c>
      <c r="I168" s="14" t="n"/>
      <c r="J168" s="14" t="n"/>
      <c r="K168" s="14" t="n"/>
      <c r="L168" s="15" t="n"/>
      <c r="M168" s="11" t="inlineStr"/>
      <c r="N168" s="12" t="inlineStr"/>
      <c r="O168" s="11" t="inlineStr"/>
      <c r="P168" s="12" t="inlineStr">
        <is>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is>
      </c>
      <c r="Q168" s="11" t="inlineStr">
        <is>
          <t>Dienstleistungen</t>
        </is>
      </c>
      <c r="R168" s="11" t="inlineStr">
        <is>
          <t>Beschaffungskriterien</t>
        </is>
      </c>
      <c r="S168" s="12" t="inlineStr">
        <is>
          <t>ESCROW- bzw. Treuhandverträge</t>
        </is>
      </c>
      <c r="T168" s="12" t="inlineStr">
        <is>
          <t>G 0.18 – Fehlplanung oder fehlende Anpassung; G 0.29 – Verstoß gegen Gesetze oder Regelungen</t>
        </is>
      </c>
      <c r="U168" s="11" t="n">
        <v>5</v>
      </c>
      <c r="V168" s="11" t="n">
        <v>1</v>
      </c>
      <c r="W168" s="11" t="n">
        <v>1</v>
      </c>
      <c r="X168" s="11" t="n">
        <v>1</v>
      </c>
      <c r="Y168" s="11" t="n">
        <v>0</v>
      </c>
    </row>
  </sheetData>
  <autoFilter ref="A6:Y6"/>
  <conditionalFormatting sqref="H7:H168">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5 H17 H18 H20 H22 H24 H26 H27 H28 H29 H30 H31 H32 H33 H34 H35 H36 H38 H40 H42 H44 H46 H48 H50 H51 H52 H54 H56 H58 H60 H62 H64 H65 H66 H68 H69 H70 H71 H73 H75 H76 H77 H78 H79 H81 H83 H85 H87 H89 H91 H92 H93 H95 H96 H97 H98 H100 H102 H104 H105 H107 H108 H109 H110 H111 H112 H113 H115 H117 H119 H120 H122 H124 H126 H127 H129 H131 H133 H135 H137 H138 H139 H141 H143 H145 H146 H147 H148 H149 H150 H151 H152 H153 H154 H155 H156 H157 H158 H160 H162 H164 H166 H168"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129"/>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DET</t>
        </is>
      </c>
      <c r="B3" s="6" t="inlineStr">
        <is>
          <t>Detektion</t>
        </is>
      </c>
    </row>
    <row r="4">
      <c r="A4" s="3" t="inlineStr">
        <is>
          <t>Zielobjekte</t>
        </is>
      </c>
      <c r="B4" s="7">
        <f>IF('Praktiken'!D9="","",'Praktiken'!D9)</f>
        <v/>
      </c>
    </row>
    <row r="5">
      <c r="A5" s="3" t="inlineStr">
        <is>
          <t>Zuständig</t>
        </is>
      </c>
      <c r="B5" s="7">
        <f>IF('Praktiken'!S9="","",'Praktiken'!S9)</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DET.1.1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DER.1.A1-UA.1; DER.1.A1-UA.2; IND.1.A10-UA.6</t>
        </is>
      </c>
      <c r="O7" s="11" t="inlineStr">
        <is>
          <t>intersects-with; subset-of; subset-of</t>
        </is>
      </c>
      <c r="P7" s="12" t="inlineStr">
        <is>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is>
      </c>
      <c r="Q7" s="11" t="inlineStr"/>
      <c r="R7" s="11" t="inlineStr">
        <is>
          <t>Detektions-Konzept</t>
        </is>
      </c>
      <c r="S7" s="12" t="inlineStr">
        <is>
          <t>Verfahren und Regelungen zur Detektion von Sicherheitsvorfällen</t>
        </is>
      </c>
      <c r="T7" s="12" t="inlineStr">
        <is>
          <t>G 0.18 – Fehlplanung oder fehlende Anpassung; G 0.29 – Verstoß gegen Gesetze oder Regelungen</t>
        </is>
      </c>
      <c r="U7" s="11" t="n">
        <v>0</v>
      </c>
      <c r="V7" s="11" t="n">
        <v>1</v>
      </c>
      <c r="W7" s="11" t="n">
        <v>1</v>
      </c>
      <c r="X7" s="11" t="n">
        <v>1</v>
      </c>
      <c r="Y7" s="11" t="n">
        <v>0</v>
      </c>
    </row>
    <row r="8">
      <c r="A8" s="11" t="inlineStr">
        <is>
          <t>DET.1.1</t>
        </is>
      </c>
      <c r="B8" s="12" t="inlineStr">
        <is>
          <t>Verfahren und Regelungen</t>
        </is>
      </c>
      <c r="C8" s="11" t="inlineStr">
        <is>
          <t>DET.1.1.1</t>
        </is>
      </c>
      <c r="D8" s="11" t="inlineStr">
        <is>
          <t>Basis-Anforderungen</t>
        </is>
      </c>
      <c r="E8" s="12" t="inlineStr">
        <is>
          <t>Detektion MUSS die Verfahren und Regelungen dokumentieren.</t>
        </is>
      </c>
      <c r="F8" s="14" t="n"/>
      <c r="G8" s="14" t="n"/>
      <c r="H8" s="14" t="inlineStr">
        <is>
          <t>unbearbeitet</t>
        </is>
      </c>
      <c r="I8" s="14" t="n"/>
      <c r="J8" s="14" t="n"/>
      <c r="K8" s="14" t="n"/>
      <c r="L8" s="15" t="n"/>
      <c r="M8" s="11" t="inlineStr">
        <is>
          <t>Vertraulichkeit, Integrität</t>
        </is>
      </c>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t>
        </is>
      </c>
      <c r="U8" s="11" t="n">
        <v>0</v>
      </c>
      <c r="V8" s="11" t="n">
        <v>2</v>
      </c>
      <c r="W8" s="11" t="n">
        <v>2</v>
      </c>
      <c r="X8" s="11" t="n">
        <v>1</v>
      </c>
      <c r="Y8" s="11" t="n">
        <v>1</v>
      </c>
    </row>
    <row r="9">
      <c r="A9" s="11" t="inlineStr">
        <is>
          <t>DET.1.1</t>
        </is>
      </c>
      <c r="B9" s="12" t="inlineStr">
        <is>
          <t>Verfahren und Regelungen</t>
        </is>
      </c>
      <c r="C9" s="11" t="inlineStr">
        <is>
          <t>DET.1.1.2</t>
        </is>
      </c>
      <c r="D9" s="11" t="inlineStr">
        <is>
          <t>Basis-Anforderungen</t>
        </is>
      </c>
      <c r="E9" s="12" t="inlineStr">
        <is>
          <t>Detektion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t>
        </is>
      </c>
      <c r="U9" s="11" t="n">
        <v>0</v>
      </c>
      <c r="V9" s="11" t="n">
        <v>1</v>
      </c>
      <c r="W9" s="11" t="n">
        <v>1</v>
      </c>
      <c r="X9" s="11" t="n">
        <v>1</v>
      </c>
      <c r="Y9" s="11" t="n">
        <v>0</v>
      </c>
    </row>
    <row r="10">
      <c r="A10" s="11" t="inlineStr">
        <is>
          <t>DET.1.1</t>
        </is>
      </c>
      <c r="B10" s="12" t="inlineStr">
        <is>
          <t>Verfahren und Regelungen</t>
        </is>
      </c>
      <c r="C10" s="11" t="inlineStr">
        <is>
          <t>DET.1.1.3</t>
        </is>
      </c>
      <c r="D10" s="11" t="inlineStr">
        <is>
          <t>Basis-Anforderungen</t>
        </is>
      </c>
      <c r="E10" s="12" t="inlineStr">
        <is>
          <t>Detektion MUSS die zuständigen Personen oder Rollen über die Verfahren und Regelungen informieren.</t>
        </is>
      </c>
      <c r="F10" s="14" t="n"/>
      <c r="G10" s="14" t="n"/>
      <c r="H10" s="14" t="inlineStr">
        <is>
          <t>unbearbeitet</t>
        </is>
      </c>
      <c r="I10" s="14" t="n"/>
      <c r="J10" s="14" t="n"/>
      <c r="K10" s="14" t="n"/>
      <c r="L10" s="15" t="n"/>
      <c r="M10" s="11" t="inlineStr"/>
      <c r="N10" s="12" t="inlineStr">
        <is>
          <t>DER.1.A1-UA.3; SYS.4.3.A1-UA.1</t>
        </is>
      </c>
      <c r="O10" s="11" t="inlineStr">
        <is>
          <t>superset-of; subset-of</t>
        </is>
      </c>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1</v>
      </c>
      <c r="X10" s="11" t="n">
        <v>1</v>
      </c>
      <c r="Y10" s="11" t="n">
        <v>0</v>
      </c>
    </row>
    <row r="11">
      <c r="A11" s="9" t="inlineStr">
        <is>
          <t>DET.1.2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is>
          <t>Verfügbarkeit</t>
        </is>
      </c>
      <c r="N11" s="12" t="inlineStr">
        <is>
          <t>DER.1.A1-UA.5</t>
        </is>
      </c>
      <c r="O11" s="11" t="inlineStr">
        <is>
          <t>equivalent-to</t>
        </is>
      </c>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 G 0.27 – Ressourcenmangel; G 0.29 – Verstoß gegen Gesetze oder Regelungen</t>
        </is>
      </c>
      <c r="U11" s="11" t="n">
        <v>0</v>
      </c>
      <c r="V11" s="11" t="n">
        <v>1</v>
      </c>
      <c r="W11" s="11" t="n">
        <v>1</v>
      </c>
      <c r="X11" s="11" t="n">
        <v>2</v>
      </c>
      <c r="Y11" s="11" t="n">
        <v>0</v>
      </c>
    </row>
    <row r="12">
      <c r="A12" s="11" t="inlineStr">
        <is>
          <t>DET.1.2</t>
        </is>
      </c>
      <c r="B12" s="12" t="inlineStr">
        <is>
          <t>Regelmäßige Überprüfung</t>
        </is>
      </c>
      <c r="C12" s="11" t="inlineStr">
        <is>
          <t>DET.1.2</t>
        </is>
      </c>
      <c r="D12" s="11" t="inlineStr">
        <is>
          <t>Basis-Anforderungen</t>
        </is>
      </c>
      <c r="E12" s="12" t="inlineStr">
        <is>
          <t>Detektion MUSS die Verfahren und Regelungen regelmäßig und anlassbezogen auf Aktualität überprüfen.</t>
        </is>
      </c>
      <c r="F12" s="14" t="n"/>
      <c r="G12" s="14" t="n"/>
      <c r="H12" s="14" t="inlineStr">
        <is>
          <t>unbearbeitet</t>
        </is>
      </c>
      <c r="I12" s="14" t="n"/>
      <c r="J12" s="14" t="n"/>
      <c r="K12" s="14" t="n"/>
      <c r="L12" s="15" t="n"/>
      <c r="M12" s="11" t="inlineStr">
        <is>
          <t>Verfügbarkeit</t>
        </is>
      </c>
      <c r="N12" s="12" t="inlineStr">
        <is>
          <t>DER.1.A1-UA.5</t>
        </is>
      </c>
      <c r="O12" s="11" t="inlineStr">
        <is>
          <t>equivalent-to</t>
        </is>
      </c>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 G 0.27 – Ressourcenmangel; G 0.29 – Verstoß gegen Gesetze oder Regelungen</t>
        </is>
      </c>
      <c r="U12" s="11" t="n">
        <v>0</v>
      </c>
      <c r="V12" s="11" t="n">
        <v>1</v>
      </c>
      <c r="W12" s="11" t="n">
        <v>1</v>
      </c>
      <c r="X12" s="11" t="n">
        <v>2</v>
      </c>
      <c r="Y12" s="11" t="n">
        <v>0</v>
      </c>
    </row>
    <row r="13">
      <c r="A13" s="9" t="inlineStr">
        <is>
          <t>DET.2.1</t>
        </is>
      </c>
      <c r="B13" s="10" t="inlineStr">
        <is>
          <t>Meldeverfahren</t>
        </is>
      </c>
      <c r="C13" s="11" t="n"/>
      <c r="D13" s="11" t="inlineStr">
        <is>
          <t>Standard-Anforderungen</t>
        </is>
      </c>
      <c r="E13" s="12" t="inlineStr">
        <is>
          <t>Gesamt:</t>
        </is>
      </c>
      <c r="F13" s="11" t="n"/>
      <c r="G13" s="11" t="n"/>
      <c r="H13" s="13">
        <f>IF(OR(COUNTBLANK($H$14:$H$17)&gt;0,COUNTIF($H$14:$H$17,"unbearbeitet")=COUNTA($H$14:$H$17)),"Bitte Teilanforderungen ausfüllen",IF(COUNTIF($H$14:$H$17,"zu klären")&gt;0,"zu klären",IF(COUNTIF($H$14:$H$17,"entbehrlich")=COUNTA($H$14:$H$17),"entbehrlich",IF(COUNTIF($H$14:$H$17,"verwiesen")=COUNTA($H$14:$H$17),"verwiesen",IF(COUNTIF($H$14:$H$17,"nein")+COUNTIF($H$14:$H$17,"entbehrlich")=COUNTA($H$14:$H$17),"nein",IF(COUNTIF($H$14:$H$17,"ja")+COUNTIF($H$14:$H$17,"entbehrlich")+COUNTIF($H$14:$H$17,"verwiesen")=COUNTA($H$14:$H$17),"ja","teilweise"))))))</f>
        <v/>
      </c>
      <c r="I13" s="11" t="n"/>
      <c r="J13" s="11" t="n"/>
      <c r="K13" s="11" t="n"/>
      <c r="L13" s="11" t="n"/>
      <c r="M13" s="11" t="inlineStr"/>
      <c r="N13" s="12" t="inlineStr">
        <is>
          <t>DER.1.A3-UA.1; DER.2.1.A9-UA.2; DER.2.1.A9-UA.5; IND.1.A10-UA.6</t>
        </is>
      </c>
      <c r="O13" s="11" t="inlineStr">
        <is>
          <t>intersects-with; subset-of; equivalent-to; superset-of</t>
        </is>
      </c>
      <c r="P13" s="12" t="inlineStr">
        <is>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is>
      </c>
      <c r="Q13" s="11" t="inlineStr"/>
      <c r="R13" s="11" t="inlineStr">
        <is>
          <t>Arbeitsanweisung</t>
        </is>
      </c>
      <c r="S13" s="12" t="inlineStr">
        <is>
          <t>ein Meldeverfahren</t>
        </is>
      </c>
      <c r="T13" s="12" t="inlineStr">
        <is>
          <t>G 0.18 – Fehlplanung oder fehlende Anpassung; G 0.29 – Verstoß gegen Gesetze oder Regelungen; G 0.20 – Informationen oder Produkte aus unzuverlässiger Quelle; G 0.47 – Schädliche Seiteneffekte IT-gestützter Angriffe</t>
        </is>
      </c>
      <c r="U13" s="11" t="n">
        <v>2</v>
      </c>
      <c r="V13" s="11" t="n">
        <v>1</v>
      </c>
      <c r="W13" s="11" t="n">
        <v>1</v>
      </c>
      <c r="X13" s="11" t="n">
        <v>1</v>
      </c>
      <c r="Y13" s="11" t="n">
        <v>1</v>
      </c>
    </row>
    <row r="14">
      <c r="A14" s="11" t="inlineStr">
        <is>
          <t>DET.2.1</t>
        </is>
      </c>
      <c r="B14" s="12" t="inlineStr">
        <is>
          <t>Meldeverfahren</t>
        </is>
      </c>
      <c r="C14" s="11" t="inlineStr">
        <is>
          <t>DET.2.1</t>
        </is>
      </c>
      <c r="D14" s="11" t="inlineStr">
        <is>
          <t>Standard-Anforderungen</t>
        </is>
      </c>
      <c r="E14" s="12" t="inlineStr">
        <is>
          <t>Detektion SOLLTE ein Meldeverfahren verankern.</t>
        </is>
      </c>
      <c r="F14" s="14" t="n"/>
      <c r="G14" s="14" t="n"/>
      <c r="H14" s="14" t="inlineStr">
        <is>
          <t>unbearbeitet</t>
        </is>
      </c>
      <c r="I14" s="14" t="n"/>
      <c r="J14" s="14" t="n"/>
      <c r="K14" s="14" t="n"/>
      <c r="L14" s="15" t="n"/>
      <c r="M14" s="11" t="inlineStr"/>
      <c r="N14" s="12" t="inlineStr">
        <is>
          <t>DER.1.A3-UA.1; DER.2.1.A9-UA.2; DER.2.1.A9-UA.5; IND.1.A10-UA.6</t>
        </is>
      </c>
      <c r="O14" s="11" t="inlineStr">
        <is>
          <t>intersects-with; subset-of; equivalent-to; superset-of</t>
        </is>
      </c>
      <c r="P14" s="12" t="inlineStr">
        <is>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is>
      </c>
      <c r="Q14" s="11" t="inlineStr"/>
      <c r="R14" s="11" t="inlineStr">
        <is>
          <t>Arbeitsanweisung</t>
        </is>
      </c>
      <c r="S14" s="12" t="inlineStr">
        <is>
          <t>ein Meldeverfahren</t>
        </is>
      </c>
      <c r="T14" s="12" t="inlineStr">
        <is>
          <t>G 0.18 – Fehlplanung oder fehlende Anpassung; G 0.29 – Verstoß gegen Gesetze oder Regelungen; G 0.20 – Informationen oder Produkte aus unzuverlässiger Quelle; G 0.47 – Schädliche Seiteneffekte IT-gestützter Angriffe</t>
        </is>
      </c>
      <c r="U14" s="11" t="n">
        <v>2</v>
      </c>
      <c r="V14" s="11" t="n">
        <v>1</v>
      </c>
      <c r="W14" s="11" t="n">
        <v>1</v>
      </c>
      <c r="X14" s="11" t="n">
        <v>1</v>
      </c>
      <c r="Y14" s="11" t="n">
        <v>1</v>
      </c>
    </row>
    <row r="15">
      <c r="A15" s="11" t="inlineStr">
        <is>
          <t>DET.2.1</t>
        </is>
      </c>
      <c r="B15" s="12" t="inlineStr">
        <is>
          <t>Meldeverfahren</t>
        </is>
      </c>
      <c r="C15" s="11" t="inlineStr">
        <is>
          <t>DET.2.1.1</t>
        </is>
      </c>
      <c r="D15" s="11" t="inlineStr">
        <is>
          <t>Standard-Anforderungen</t>
        </is>
      </c>
      <c r="E15" s="12" t="inlineStr">
        <is>
          <t>Detektion SOLLTE Regelungen für Sofortmaßnahmen durch Nutzende verankern.</t>
        </is>
      </c>
      <c r="F15" s="14" t="n"/>
      <c r="G15" s="14" t="n"/>
      <c r="H15" s="14" t="inlineStr">
        <is>
          <t>unbearbeitet</t>
        </is>
      </c>
      <c r="I15" s="14" t="n"/>
      <c r="J15" s="14" t="n"/>
      <c r="K15" s="14" t="n"/>
      <c r="L15" s="15" t="n"/>
      <c r="M15" s="11" t="inlineStr">
        <is>
          <t>Verfügbarkeit</t>
        </is>
      </c>
      <c r="N15" s="12" t="inlineStr">
        <is>
          <t>IND.1.A10-UA.6</t>
        </is>
      </c>
      <c r="O15" s="11" t="inlineStr">
        <is>
          <t>superset-of</t>
        </is>
      </c>
      <c r="P15" s="12" t="inlineStr">
        <is>
          <t>Beispiele für Sofortmaßnahmen sind der sofortige Stopp weiterer Tätigkeiten an betroffenen Systemen, die Dokumentation von Beobachtungen oder zu meldende Informationen (W-Fragen). Hierfür kann die IT-Notfallkarte „Verhalten bei IT-Notfällen“ des BSI genutzt werden.</t>
        </is>
      </c>
      <c r="Q15" s="11" t="inlineStr"/>
      <c r="R15" s="11" t="inlineStr">
        <is>
          <t>Arbeitsanweisung</t>
        </is>
      </c>
      <c r="S15" s="12" t="inlineStr">
        <is>
          <t>Regelungen für Sofortmaßnahmen durch Nutzende</t>
        </is>
      </c>
      <c r="T15" s="12" t="inlineStr">
        <is>
          <t>G 0.39 – Schadprogramme; G 0.41 – Sabotage; G 0.47 – Schädliche Seiteneffekte IT-gestützter Angriffe; G 0.25 – Ausfall von Geräten oder Systemen</t>
        </is>
      </c>
      <c r="U15" s="11" t="n">
        <v>2</v>
      </c>
      <c r="V15" s="11" t="n">
        <v>1</v>
      </c>
      <c r="W15" s="11" t="n">
        <v>1</v>
      </c>
      <c r="X15" s="11" t="n">
        <v>2</v>
      </c>
      <c r="Y15" s="11" t="n">
        <v>0</v>
      </c>
    </row>
    <row r="16">
      <c r="A16" s="11" t="inlineStr">
        <is>
          <t>DET.2.1</t>
        </is>
      </c>
      <c r="B16" s="12" t="inlineStr">
        <is>
          <t>Meldeverfahren</t>
        </is>
      </c>
      <c r="C16" s="11" t="inlineStr">
        <is>
          <t>DET.2.1.2</t>
        </is>
      </c>
      <c r="D16" s="11" t="inlineStr">
        <is>
          <t>Standard-Anforderungen</t>
        </is>
      </c>
      <c r="E16" s="12" t="inlineStr">
        <is>
          <t>Detektion SOLLTE Meldeformulare für Vorfallsmeldungen installieren.</t>
        </is>
      </c>
      <c r="F16" s="14" t="n"/>
      <c r="G16" s="14" t="n"/>
      <c r="H16" s="14" t="inlineStr">
        <is>
          <t>unbearbeitet</t>
        </is>
      </c>
      <c r="I16" s="14" t="n"/>
      <c r="J16" s="14" t="n"/>
      <c r="K16" s="14" t="n"/>
      <c r="L16" s="15" t="n"/>
      <c r="M16" s="11" t="inlineStr">
        <is>
          <t>Verfügbarkeit</t>
        </is>
      </c>
      <c r="N16" s="12" t="inlineStr">
        <is>
          <t>APP.3.2.A20-UA.3; DER.2.1.A20-UA.1</t>
        </is>
      </c>
      <c r="O16" s="11" t="inlineStr">
        <is>
          <t>intersects-with; intersects-with</t>
        </is>
      </c>
      <c r="P16" s="12" t="inlineStr">
        <is>
          <t>Die Angabe des Meldezeitpunktes oder der Name des Meldenden, kann auch durch ein Formular automatisch ausgefüllt werden.</t>
        </is>
      </c>
      <c r="Q16" s="11" t="inlineStr"/>
      <c r="R16" s="11" t="inlineStr">
        <is>
          <t>Detektions-Konzept</t>
        </is>
      </c>
      <c r="S16" s="12" t="inlineStr">
        <is>
          <t>Meldeformulare</t>
        </is>
      </c>
      <c r="T16" s="12" t="inlineStr">
        <is>
          <t>G 0.39 – Schadprogramme; G 0.41 – Sabotage; G 0.47 – Schädliche Seiteneffekte IT-gestützter Angriffe</t>
        </is>
      </c>
      <c r="U16" s="11" t="n">
        <v>4</v>
      </c>
      <c r="V16" s="11" t="n">
        <v>1</v>
      </c>
      <c r="W16" s="11" t="n">
        <v>1</v>
      </c>
      <c r="X16" s="11" t="n">
        <v>2</v>
      </c>
      <c r="Y16" s="11" t="n">
        <v>0</v>
      </c>
    </row>
    <row r="17">
      <c r="A17" s="11" t="inlineStr">
        <is>
          <t>DET.2.1</t>
        </is>
      </c>
      <c r="B17" s="12" t="inlineStr">
        <is>
          <t>Meldeverfahren</t>
        </is>
      </c>
      <c r="C17" s="11" t="inlineStr">
        <is>
          <t>DET.2.1.3</t>
        </is>
      </c>
      <c r="D17" s="11" t="inlineStr">
        <is>
          <t>Standard-Anforderungen</t>
        </is>
      </c>
      <c r="E17" s="12" t="inlineStr">
        <is>
          <t>Detektion SOLLTE ein Verfahren für Rückmeldungen verankern.</t>
        </is>
      </c>
      <c r="F17" s="14" t="n"/>
      <c r="G17" s="14" t="n"/>
      <c r="H17" s="14" t="inlineStr">
        <is>
          <t>unbearbeitet</t>
        </is>
      </c>
      <c r="I17" s="14" t="n"/>
      <c r="J17" s="14" t="n"/>
      <c r="K17" s="14" t="n"/>
      <c r="L17" s="15" t="n"/>
      <c r="M17" s="11" t="inlineStr">
        <is>
          <t>Verfügbarkeit</t>
        </is>
      </c>
      <c r="N17" s="12" t="inlineStr">
        <is>
          <t>DER.2.1.A9-UA.5</t>
        </is>
      </c>
      <c r="O17" s="11" t="inlineStr">
        <is>
          <t>superset-of</t>
        </is>
      </c>
      <c r="P17" s="12" t="inlineStr">
        <is>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is>
      </c>
      <c r="Q17" s="11" t="inlineStr"/>
      <c r="R17" s="11" t="inlineStr">
        <is>
          <t>Detektions-Konzept</t>
        </is>
      </c>
      <c r="S17" s="12" t="inlineStr">
        <is>
          <t>ein Verfahren für Rückmeldungen</t>
        </is>
      </c>
      <c r="T17" s="12" t="inlineStr">
        <is>
          <t>G 0.29 – Verstoß gegen Gesetze oder Regelungen; G 0.18 – Fehlplanung oder fehlende Anpassung; G 0.33 – Personalausfall; G 0.47 – Schädliche Seiteneffekte IT-gestützter Angriffe</t>
        </is>
      </c>
      <c r="U17" s="11" t="n">
        <v>4</v>
      </c>
      <c r="V17" s="11" t="n">
        <v>1</v>
      </c>
      <c r="W17" s="11" t="n">
        <v>1</v>
      </c>
      <c r="X17" s="11" t="n">
        <v>2</v>
      </c>
      <c r="Y17" s="11" t="n">
        <v>0</v>
      </c>
    </row>
    <row r="18">
      <c r="A18" s="9" t="inlineStr">
        <is>
          <t>DET.2.2</t>
        </is>
      </c>
      <c r="B18" s="10" t="inlineStr">
        <is>
          <t>Security Operations Center</t>
        </is>
      </c>
      <c r="C18" s="11" t="n"/>
      <c r="D18" s="11" t="inlineStr">
        <is>
          <t>Anforderungen bei erhöhtem Schutzbedarf</t>
        </is>
      </c>
      <c r="E18" s="12" t="inlineStr">
        <is>
          <t>Gesamt:</t>
        </is>
      </c>
      <c r="F18" s="11" t="n"/>
      <c r="G18" s="11" t="n"/>
      <c r="H18" s="13">
        <f>IF(OR(COUNTBLANK($H$19:$H$19)&gt;0,COUNTIF($H$19:$H$19,"unbearbeitet")=COUNTA($H$19:$H$19)),"Bitte Teilanforderungen ausfüllen",IF(COUNTIF($H$19:$H$19,"zu klären")&gt;0,"zu klären",IF(COUNTIF($H$19:$H$19,"entbehrlich")=COUNTA($H$19:$H$19),"entbehrlich",IF(COUNTIF($H$19:$H$19,"verwiesen")=COUNTA($H$19:$H$19),"verwiesen",IF(COUNTIF($H$19:$H$19,"nein")+COUNTIF($H$19:$H$19,"entbehrlich")=COUNTA($H$19:$H$19),"nein",IF(COUNTIF($H$19:$H$19,"ja")+COUNTIF($H$19:$H$19,"entbehrlich")+COUNTIF($H$19:$H$19,"verwiesen")=COUNTA($H$19:$H$19),"ja","teilweise"))))))</f>
        <v/>
      </c>
      <c r="I18" s="11" t="n"/>
      <c r="J18" s="11" t="n"/>
      <c r="K18" s="11" t="n"/>
      <c r="L18" s="11" t="n"/>
      <c r="M18" s="11" t="inlineStr">
        <is>
          <t>Verfügbarkeit</t>
        </is>
      </c>
      <c r="N18" s="12" t="inlineStr">
        <is>
          <t>DER.2.1.A20-UA.1; DER.2.1.A20-UA.4; DER.2.1.A21-UA.6; DER.2.1.A21-UA.8; DER.2.1.A21-UA.9</t>
        </is>
      </c>
      <c r="O18" s="11" t="inlineStr">
        <is>
          <t>subset-of; intersects-with; subset-of; subset-of; subset-of</t>
        </is>
      </c>
      <c r="P18" s="12" t="inlineStr">
        <is>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is>
      </c>
      <c r="Q18" s="11" t="inlineStr"/>
      <c r="R18" s="11" t="inlineStr">
        <is>
          <t>Detektions-Konzept</t>
        </is>
      </c>
      <c r="S18" s="12" t="inlineStr">
        <is>
          <t>die Erkennung, Beurteilung und initiale Behandlung von Vorfällen</t>
        </is>
      </c>
      <c r="T18" s="12" t="inlineStr">
        <is>
          <t>G 0.29 – Verstoß gegen Gesetze oder Regelungen; G 0.18 – Fehlplanung oder fehlende Anpassung; G 0.33 – Personalausfall; G 0.20 – Informationen oder Produkte aus unzuverlässiger Quelle</t>
        </is>
      </c>
      <c r="U18" s="11" t="n">
        <v>4</v>
      </c>
      <c r="V18" s="11" t="n">
        <v>1</v>
      </c>
      <c r="W18" s="11" t="n">
        <v>1</v>
      </c>
      <c r="X18" s="11" t="n">
        <v>2</v>
      </c>
      <c r="Y18" s="11" t="n">
        <v>1</v>
      </c>
    </row>
    <row r="19">
      <c r="A19" s="11" t="inlineStr">
        <is>
          <t>DET.2.2</t>
        </is>
      </c>
      <c r="B19" s="12" t="inlineStr">
        <is>
          <t>Security Operations Center</t>
        </is>
      </c>
      <c r="C19" s="11" t="inlineStr">
        <is>
          <t>DET.2.2</t>
        </is>
      </c>
      <c r="D19" s="11" t="inlineStr">
        <is>
          <t>Anforderungen bei erhöhtem Schutzbedarf</t>
        </is>
      </c>
      <c r="E19" s="12" t="inlineStr">
        <is>
          <t>Detektion KANN die Erkennung, Beurteilung und initiale Behandlung von Vorfällen dediziertem Personal zuweisen.</t>
        </is>
      </c>
      <c r="F19" s="14" t="n"/>
      <c r="G19" s="14" t="n"/>
      <c r="H19" s="14" t="inlineStr">
        <is>
          <t>unbearbeitet</t>
        </is>
      </c>
      <c r="I19" s="14" t="n"/>
      <c r="J19" s="14" t="n"/>
      <c r="K19" s="14" t="n"/>
      <c r="L19" s="15" t="n"/>
      <c r="M19" s="11" t="inlineStr">
        <is>
          <t>Verfügbarkeit</t>
        </is>
      </c>
      <c r="N19" s="12" t="inlineStr">
        <is>
          <t>DER.2.1.A20-UA.1; DER.2.1.A20-UA.4; DER.2.1.A21-UA.6; DER.2.1.A21-UA.8; DER.2.1.A21-UA.9</t>
        </is>
      </c>
      <c r="O19" s="11" t="inlineStr">
        <is>
          <t>subset-of; intersects-with; subset-of; subset-of; subset-of</t>
        </is>
      </c>
      <c r="P19" s="12" t="inlineStr">
        <is>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is>
      </c>
      <c r="Q19" s="11" t="inlineStr"/>
      <c r="R19" s="11" t="inlineStr">
        <is>
          <t>Detektions-Konzept</t>
        </is>
      </c>
      <c r="S19" s="12" t="inlineStr">
        <is>
          <t>die Erkennung, Beurteilung und initiale Behandlung von Vorfällen</t>
        </is>
      </c>
      <c r="T19" s="12" t="inlineStr">
        <is>
          <t>G 0.29 – Verstoß gegen Gesetze oder Regelungen; G 0.18 – Fehlplanung oder fehlende Anpassung; G 0.33 – Personalausfall; G 0.20 – Informationen oder Produkte aus unzuverlässiger Quelle</t>
        </is>
      </c>
      <c r="U19" s="11" t="n">
        <v>4</v>
      </c>
      <c r="V19" s="11" t="n">
        <v>1</v>
      </c>
      <c r="W19" s="11" t="n">
        <v>1</v>
      </c>
      <c r="X19" s="11" t="n">
        <v>2</v>
      </c>
      <c r="Y19" s="11" t="n">
        <v>1</v>
      </c>
    </row>
    <row r="20">
      <c r="A20" s="9" t="inlineStr">
        <is>
          <t>DET.2.3</t>
        </is>
      </c>
      <c r="B20" s="10" t="inlineStr">
        <is>
          <t>Ständiger Bereitschaftsdienst</t>
        </is>
      </c>
      <c r="C20" s="11" t="n"/>
      <c r="D20" s="11" t="inlineStr">
        <is>
          <t>Anforderungen bei erhöhtem Schutzbedarf</t>
        </is>
      </c>
      <c r="E20" s="12" t="inlineStr">
        <is>
          <t>Gesamt:</t>
        </is>
      </c>
      <c r="F20" s="11" t="n"/>
      <c r="G20" s="11" t="n"/>
      <c r="H20" s="13">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
      </c>
      <c r="I20" s="11" t="n"/>
      <c r="J20" s="11" t="n"/>
      <c r="K20" s="11" t="n"/>
      <c r="L20" s="11" t="n"/>
      <c r="M20" s="11" t="inlineStr">
        <is>
          <t>Verfügbarkeit</t>
        </is>
      </c>
      <c r="N20" s="12" t="inlineStr">
        <is>
          <t>DER.1.A6-UA.4; DER.2.1.A20-UA.2</t>
        </is>
      </c>
      <c r="O20" s="11" t="inlineStr">
        <is>
          <t>superset-of; intersects-with</t>
        </is>
      </c>
      <c r="P20" s="12" t="inlineStr">
        <is>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is>
      </c>
      <c r="Q20" s="11" t="inlineStr"/>
      <c r="R20" s="11" t="inlineStr">
        <is>
          <t>Detektions-Konzept</t>
        </is>
      </c>
      <c r="S20" s="12" t="inlineStr">
        <is>
          <t>einen ständigen Bereitschaftsdienst</t>
        </is>
      </c>
      <c r="T20" s="12" t="inlineStr">
        <is>
          <t>G 0.27 – Ressourcenmangel; G 0.23 – Unbefugtes Eindringen in IT-Systeme; G 0.41 – Sabotage; G 0.47 – Schädliche Seiteneffekte IT-gestützter Angriffe</t>
        </is>
      </c>
      <c r="U20" s="11" t="n">
        <v>5</v>
      </c>
      <c r="V20" s="11" t="n">
        <v>1</v>
      </c>
      <c r="W20" s="11" t="n">
        <v>1</v>
      </c>
      <c r="X20" s="11" t="n">
        <v>2</v>
      </c>
      <c r="Y20" s="11" t="n">
        <v>0</v>
      </c>
    </row>
    <row r="21">
      <c r="A21" s="11" t="inlineStr">
        <is>
          <t>DET.2.3</t>
        </is>
      </c>
      <c r="B21" s="12" t="inlineStr">
        <is>
          <t>Ständiger Bereitschaftsdienst</t>
        </is>
      </c>
      <c r="C21" s="11" t="inlineStr">
        <is>
          <t>DET.2.3</t>
        </is>
      </c>
      <c r="D21" s="11" t="inlineStr">
        <is>
          <t>Anforderungen bei erhöhtem Schutzbedarf</t>
        </is>
      </c>
      <c r="E21" s="12" t="inlineStr">
        <is>
          <t>Detektion KANN einen ständigen Bereitschaftsdienst verankern.</t>
        </is>
      </c>
      <c r="F21" s="14" t="n"/>
      <c r="G21" s="14" t="n"/>
      <c r="H21" s="14" t="inlineStr">
        <is>
          <t>unbearbeitet</t>
        </is>
      </c>
      <c r="I21" s="14" t="n"/>
      <c r="J21" s="14" t="n"/>
      <c r="K21" s="14" t="n"/>
      <c r="L21" s="15" t="n"/>
      <c r="M21" s="11" t="inlineStr">
        <is>
          <t>Verfügbarkeit</t>
        </is>
      </c>
      <c r="N21" s="12" t="inlineStr">
        <is>
          <t>DER.1.A6-UA.4; DER.2.1.A20-UA.2</t>
        </is>
      </c>
      <c r="O21" s="11" t="inlineStr">
        <is>
          <t>superset-of; intersects-with</t>
        </is>
      </c>
      <c r="P21" s="12" t="inlineStr">
        <is>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is>
      </c>
      <c r="Q21" s="11" t="inlineStr"/>
      <c r="R21" s="11" t="inlineStr">
        <is>
          <t>Detektions-Konzept</t>
        </is>
      </c>
      <c r="S21" s="12" t="inlineStr">
        <is>
          <t>einen ständigen Bereitschaftsdienst</t>
        </is>
      </c>
      <c r="T21" s="12" t="inlineStr">
        <is>
          <t>G 0.27 – Ressourcenmangel; G 0.23 – Unbefugtes Eindringen in IT-Systeme; G 0.41 – Sabotage; G 0.47 – Schädliche Seiteneffekte IT-gestützter Angriffe</t>
        </is>
      </c>
      <c r="U21" s="11" t="n">
        <v>5</v>
      </c>
      <c r="V21" s="11" t="n">
        <v>1</v>
      </c>
      <c r="W21" s="11" t="n">
        <v>1</v>
      </c>
      <c r="X21" s="11" t="n">
        <v>2</v>
      </c>
      <c r="Y21" s="11" t="n">
        <v>0</v>
      </c>
    </row>
    <row r="22">
      <c r="A22" s="9" t="inlineStr">
        <is>
          <t>DET.3.1</t>
        </is>
      </c>
      <c r="B22" s="10" t="inlineStr">
        <is>
          <t>Protokollierung sicherheitsrelevanter Ereignisse</t>
        </is>
      </c>
      <c r="C22" s="11" t="n"/>
      <c r="D22" s="11" t="inlineStr">
        <is>
          <t>Standard-Anforderungen</t>
        </is>
      </c>
      <c r="E22" s="12" t="inlineStr">
        <is>
          <t>Gesamt:</t>
        </is>
      </c>
      <c r="F22" s="11" t="n"/>
      <c r="G22" s="11" t="n"/>
      <c r="H22" s="13">
        <f>IF(OR(COUNTBLANK($H$23:$H$35)&gt;0,COUNTIF($H$23:$H$35,"unbearbeitet")=COUNTA($H$23:$H$35)),"Bitte Teilanforderungen ausfüllen",IF(COUNTIF($H$23:$H$35,"zu klären")&gt;0,"zu klären",IF(COUNTIF($H$23:$H$35,"entbehrlich")=COUNTA($H$23:$H$35),"entbehrlich",IF(COUNTIF($H$23:$H$35,"verwiesen")=COUNTA($H$23:$H$35),"verwiesen",IF(COUNTIF($H$23:$H$35,"nein")+COUNTIF($H$23:$H$35,"entbehrlich")=COUNTA($H$23:$H$35),"nein",IF(COUNTIF($H$23:$H$35,"ja")+COUNTIF($H$23:$H$35,"entbehrlich")+COUNTIF($H$23:$H$35,"verwiesen")=COUNTA($H$23:$H$35),"ja","teilweise"))))))</f>
        <v/>
      </c>
      <c r="I22" s="11" t="n"/>
      <c r="J22" s="11" t="n"/>
      <c r="K22" s="11" t="n"/>
      <c r="L22" s="11" t="n"/>
      <c r="M22" s="11" t="inlineStr">
        <is>
          <t>Vertraulichkeit, Integrität</t>
        </is>
      </c>
      <c r="N22" s="12" t="inlineStr">
        <is>
          <t>DER.1.A5-UA.1; IND.1.A10-UA.1; IND.1.A10-UA.2; IND.1.A10-UA.3; INF.13.A21-UA.1; INF.13.A21-UA.2; NET.1.2.A26-UA.1; NET.1.2.A7-UA.1; NET.3.4.A16-UA.2; OPS.1.1.5.A3-UA.1; SYS.1.1.A10-UA.1; SYS.4.4.A18-UA.1</t>
        </is>
      </c>
      <c r="O22" s="11" t="inlineStr">
        <is>
          <t>intersects-with; subset-of; superset-of; intersects-with; subset-of; equal-to; subset-of; subset-of; subset-of; superset-of; superset-of; subset-of</t>
        </is>
      </c>
      <c r="P22" s="12" t="inlineStr">
        <is>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is>
      </c>
      <c r="Q22" s="11" t="inlineStr">
        <is>
          <t>Anwendungen</t>
        </is>
      </c>
      <c r="R22" s="11" t="inlineStr">
        <is>
          <t>Detektions-Konzept</t>
        </is>
      </c>
      <c r="S22" s="12" t="inlineStr">
        <is>
          <t>Sicherheitsrelevante Ereignisse</t>
        </is>
      </c>
      <c r="T22" s="12" t="inlineStr">
        <is>
          <t>G 0.37 – Abstreiten von Handlungen; G 0.32 – Missbrauch von Berechtigungen; G 0.29 – Verstoß gegen Gesetze oder Regelungen</t>
        </is>
      </c>
      <c r="U22" s="11" t="n">
        <v>2</v>
      </c>
      <c r="V22" s="11" t="n">
        <v>2</v>
      </c>
      <c r="W22" s="11" t="n">
        <v>2</v>
      </c>
      <c r="X22" s="11" t="n">
        <v>1</v>
      </c>
      <c r="Y22" s="11" t="n">
        <v>1</v>
      </c>
    </row>
    <row r="23">
      <c r="A23" s="11" t="inlineStr">
        <is>
          <t>DET.3.1</t>
        </is>
      </c>
      <c r="B23" s="12" t="inlineStr">
        <is>
          <t>Protokollierung sicherheitsrelevanter Ereignisse</t>
        </is>
      </c>
      <c r="C23" s="11" t="inlineStr">
        <is>
          <t>DET.3.1</t>
        </is>
      </c>
      <c r="D23" s="11" t="inlineStr">
        <is>
          <t>Standard-Anforderungen</t>
        </is>
      </c>
      <c r="E23" s="12" t="inlineStr">
        <is>
          <t>Detektion für Anwendungen SOLLTE Sicherheitsrelevante Ereignisse mindestens für eine bestimmte Frist protokollieren.</t>
        </is>
      </c>
      <c r="F23" s="14" t="n"/>
      <c r="G23" s="14" t="n"/>
      <c r="H23" s="14" t="inlineStr">
        <is>
          <t>unbearbeitet</t>
        </is>
      </c>
      <c r="I23" s="14" t="n"/>
      <c r="J23" s="14" t="n"/>
      <c r="K23" s="14" t="n"/>
      <c r="L23" s="15" t="n"/>
      <c r="M23" s="11" t="inlineStr">
        <is>
          <t>Vertraulichkeit, Integrität</t>
        </is>
      </c>
      <c r="N23" s="12" t="inlineStr">
        <is>
          <t>DER.1.A5-UA.1; IND.1.A10-UA.1; IND.1.A10-UA.2; IND.1.A10-UA.3; INF.13.A21-UA.1; INF.13.A21-UA.2; NET.1.2.A26-UA.1; NET.1.2.A7-UA.1; NET.3.4.A16-UA.2; OPS.1.1.5.A3-UA.1; SYS.1.1.A10-UA.1; SYS.4.4.A18-UA.1</t>
        </is>
      </c>
      <c r="O23" s="11" t="inlineStr">
        <is>
          <t>intersects-with; subset-of; superset-of; intersects-with; subset-of; equal-to; subset-of; subset-of; subset-of; superset-of; superset-of; subset-of</t>
        </is>
      </c>
      <c r="P23" s="12" t="inlineStr">
        <is>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is>
      </c>
      <c r="Q23" s="11" t="inlineStr">
        <is>
          <t>Anwendungen</t>
        </is>
      </c>
      <c r="R23" s="11" t="inlineStr">
        <is>
          <t>Detektions-Konzept</t>
        </is>
      </c>
      <c r="S23" s="12" t="inlineStr">
        <is>
          <t>Sicherheitsrelevante Ereignisse</t>
        </is>
      </c>
      <c r="T23" s="12" t="inlineStr">
        <is>
          <t>G 0.37 – Abstreiten von Handlungen; G 0.32 – Missbrauch von Berechtigungen; G 0.29 – Verstoß gegen Gesetze oder Regelungen</t>
        </is>
      </c>
      <c r="U23" s="11" t="n">
        <v>2</v>
      </c>
      <c r="V23" s="11" t="n">
        <v>2</v>
      </c>
      <c r="W23" s="11" t="n">
        <v>2</v>
      </c>
      <c r="X23" s="11" t="n">
        <v>1</v>
      </c>
      <c r="Y23" s="11" t="n">
        <v>1</v>
      </c>
    </row>
    <row r="24">
      <c r="A24" s="11" t="inlineStr">
        <is>
          <t>DET.3.1</t>
        </is>
      </c>
      <c r="B24" s="12" t="inlineStr">
        <is>
          <t>Protokollierung sicherheitsrelevanter Ereignisse</t>
        </is>
      </c>
      <c r="C24" s="11" t="inlineStr">
        <is>
          <t>DET.3.1.1</t>
        </is>
      </c>
      <c r="D24" s="11" t="inlineStr">
        <is>
          <t>Standard-Anforderungen</t>
        </is>
      </c>
      <c r="E24" s="12" t="inlineStr">
        <is>
          <t>Detektion für IT-Systeme SOLLTE Authentifizierungen bei Erfolg und Fehlschlag protokollieren.</t>
        </is>
      </c>
      <c r="F24" s="14" t="n"/>
      <c r="G24" s="14" t="n"/>
      <c r="H24" s="14" t="inlineStr">
        <is>
          <t>unbearbeitet</t>
        </is>
      </c>
      <c r="I24" s="14" t="n"/>
      <c r="J24" s="14" t="n"/>
      <c r="K24" s="14" t="n"/>
      <c r="L24" s="15" t="n"/>
      <c r="M24" s="11" t="inlineStr">
        <is>
          <t>Vertraulichkeit, Integrität</t>
        </is>
      </c>
      <c r="N24" s="12" t="inlineStr">
        <is>
          <t>APP.3.2.A4-UA.1; NET.1.2.A7-UA.1; SYS.1.1.A10-UA.1</t>
        </is>
      </c>
      <c r="O24" s="11" t="inlineStr">
        <is>
          <t>intersects-with; superset-of; superset-of</t>
        </is>
      </c>
      <c r="P24" s="12" t="inlineStr">
        <is>
          <t>Relevant sind dabei z.B. die lokale Anmeldung, Anmeldung und Zugriffe auf Schnittstellen des Systems über das Netz, oder auch die physische Authentifizierung an einem Zutrittskontrollsystem.</t>
        </is>
      </c>
      <c r="Q24" s="11" t="inlineStr">
        <is>
          <t>IT-Systeme</t>
        </is>
      </c>
      <c r="R24" s="11" t="inlineStr">
        <is>
          <t>Audit Log</t>
        </is>
      </c>
      <c r="S24" s="12" t="inlineStr">
        <is>
          <t>Authentifizierungen</t>
        </is>
      </c>
      <c r="T24" s="12" t="inlineStr">
        <is>
          <t>G 0.37 – Abstreiten von Handlungen; G 0.27 – Ressourcenmangel; G 0.23 – Unbefugtes Eindringen in IT-Systeme</t>
        </is>
      </c>
      <c r="U24" s="11" t="n">
        <v>3</v>
      </c>
      <c r="V24" s="11" t="n">
        <v>2</v>
      </c>
      <c r="W24" s="11" t="n">
        <v>2</v>
      </c>
      <c r="X24" s="11" t="n">
        <v>1</v>
      </c>
      <c r="Y24" s="11" t="n">
        <v>1</v>
      </c>
    </row>
    <row r="25">
      <c r="A25" s="11" t="inlineStr">
        <is>
          <t>DET.3.1</t>
        </is>
      </c>
      <c r="B25" s="12" t="inlineStr">
        <is>
          <t>Protokollierung sicherheitsrelevanter Ereignisse</t>
        </is>
      </c>
      <c r="C25" s="11" t="inlineStr">
        <is>
          <t>DET.3.1.2</t>
        </is>
      </c>
      <c r="D25" s="11" t="inlineStr">
        <is>
          <t>Standard-Anforderungen</t>
        </is>
      </c>
      <c r="E25" s="12" t="inlineStr">
        <is>
          <t>Detektion für IT-Systeme SOLLTE ausgeführte Kommandozeilenbefehle protokollieren.</t>
        </is>
      </c>
      <c r="F25" s="14" t="n"/>
      <c r="G25" s="14" t="n"/>
      <c r="H25" s="14" t="inlineStr">
        <is>
          <t>unbearbeitet</t>
        </is>
      </c>
      <c r="I25" s="14" t="n"/>
      <c r="J25" s="14" t="n"/>
      <c r="K25" s="14" t="n"/>
      <c r="L25" s="15" t="n"/>
      <c r="M25" s="11" t="inlineStr"/>
      <c r="N25" s="12" t="inlineStr">
        <is>
          <t>SYS.1.2.3.A7-UA.1; SYS.2.2.3.A22-UA.2; SYS.2.3.A1-UA.2</t>
        </is>
      </c>
      <c r="O25" s="11" t="inlineStr">
        <is>
          <t>subset-of; subset-of; subset-of</t>
        </is>
      </c>
      <c r="P25" s="12" t="inlineStr">
        <is>
          <t>Angreifer nutzen Kommandozeilenfunktionen wie Bash oder Windows PowerShell, um mit Bordmitteln schädliche Befehle auszuführen. Hier sind vor allem Living-off-the-Land-Binaries (LOLBins) und Nutzlasten (Malware Payloads) zu nennen.</t>
        </is>
      </c>
      <c r="Q25" s="11" t="inlineStr">
        <is>
          <t>IT-Systeme</t>
        </is>
      </c>
      <c r="R25" s="11" t="inlineStr">
        <is>
          <t>Audit Log</t>
        </is>
      </c>
      <c r="S25" s="12" t="inlineStr">
        <is>
          <t>ausgeführte Kommandozeilenbefehle</t>
        </is>
      </c>
      <c r="T25" s="12" t="inlineStr">
        <is>
          <t>G 0.31 – Fehlerhafte Nutzung oder Administration von Geräten und Systemen; G 0.32 – Missbrauch von Berechtigungen; G 0.30 – Unberechtigte Nutzung oder Administration von Geräten und Systemen</t>
        </is>
      </c>
      <c r="U25" s="11" t="n">
        <v>3</v>
      </c>
      <c r="V25" s="11" t="n">
        <v>1</v>
      </c>
      <c r="W25" s="11" t="n">
        <v>1</v>
      </c>
      <c r="X25" s="11" t="n">
        <v>1</v>
      </c>
      <c r="Y25" s="11" t="n">
        <v>1</v>
      </c>
    </row>
    <row r="26">
      <c r="A26" s="11" t="inlineStr">
        <is>
          <t>DET.3.1</t>
        </is>
      </c>
      <c r="B26" s="12" t="inlineStr">
        <is>
          <t>Protokollierung sicherheitsrelevanter Ereignisse</t>
        </is>
      </c>
      <c r="C26" s="11" t="inlineStr">
        <is>
          <t>DET.3.1.3</t>
        </is>
      </c>
      <c r="D26" s="11" t="inlineStr">
        <is>
          <t>Standard-Anforderungen</t>
        </is>
      </c>
      <c r="E26" s="12" t="inlineStr">
        <is>
          <t>Detektion für IT-Systeme SOLLTE das Anschließen von Peripheriegeräten protokollieren.</t>
        </is>
      </c>
      <c r="F26" s="14" t="n"/>
      <c r="G26" s="14" t="n"/>
      <c r="H26" s="14" t="inlineStr">
        <is>
          <t>unbearbeitet</t>
        </is>
      </c>
      <c r="I26" s="14" t="n"/>
      <c r="J26" s="14" t="n"/>
      <c r="K26" s="14" t="n"/>
      <c r="L26" s="15" t="n"/>
      <c r="M26" s="11" t="inlineStr">
        <is>
          <t>Vertraulichkeit, Integrität</t>
        </is>
      </c>
      <c r="N26" s="12" t="inlineStr">
        <is>
          <t>IND.1.A10-UA.3; OPS.1.1.5.A3-UA.1; OPS.1.1.5.A6-UA.3; SYS.1.1.A10-UA.1; SYS.1.9.A13-UA.2</t>
        </is>
      </c>
      <c r="O26" s="11" t="inlineStr">
        <is>
          <t>superset-of; superset-of; superset-of; superset-of; intersects-with</t>
        </is>
      </c>
      <c r="P26" s="12" t="inlineStr">
        <is>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is>
      </c>
      <c r="Q26" s="11" t="inlineStr">
        <is>
          <t>IT-Systeme</t>
        </is>
      </c>
      <c r="R26" s="11" t="inlineStr">
        <is>
          <t>Audit Log</t>
        </is>
      </c>
      <c r="S26" s="12" t="inlineStr">
        <is>
          <t>das Anschließen von Peripheriegeräten</t>
        </is>
      </c>
      <c r="T26" s="12" t="inlineStr">
        <is>
          <t>G 0.37 – Abstreiten von Handlungen; G 0.18 – Fehlplanung oder fehlende Anpassung; G 0.23 – Unbefugtes Eindringen in IT-Systeme</t>
        </is>
      </c>
      <c r="U26" s="11" t="n">
        <v>3</v>
      </c>
      <c r="V26" s="11" t="n">
        <v>2</v>
      </c>
      <c r="W26" s="11" t="n">
        <v>2</v>
      </c>
      <c r="X26" s="11" t="n">
        <v>1</v>
      </c>
      <c r="Y26" s="11" t="n">
        <v>1</v>
      </c>
    </row>
    <row r="27">
      <c r="A27" s="11" t="inlineStr">
        <is>
          <t>DET.3.1</t>
        </is>
      </c>
      <c r="B27" s="12" t="inlineStr">
        <is>
          <t>Protokollierung sicherheitsrelevanter Ereignisse</t>
        </is>
      </c>
      <c r="C27" s="11" t="inlineStr">
        <is>
          <t>DET.3.1.4</t>
        </is>
      </c>
      <c r="D27" s="11" t="inlineStr">
        <is>
          <t>Standard-Anforderungen</t>
        </is>
      </c>
      <c r="E27" s="12" t="inlineStr">
        <is>
          <t>Detektion für IT-Systeme SOLLTE Fehlermeldungen des Systems protokollieren.</t>
        </is>
      </c>
      <c r="F27" s="14" t="n"/>
      <c r="G27" s="14" t="n"/>
      <c r="H27" s="14" t="inlineStr">
        <is>
          <t>unbearbeitet</t>
        </is>
      </c>
      <c r="I27" s="14" t="n"/>
      <c r="J27" s="14" t="n"/>
      <c r="K27" s="14" t="n"/>
      <c r="L27" s="15" t="n"/>
      <c r="M27" s="11" t="inlineStr">
        <is>
          <t>Vertraulichkeit, Integrität</t>
        </is>
      </c>
      <c r="N27" s="12" t="inlineStr">
        <is>
          <t>APP.3.2.A4-UA.1; APP.3.3.A14-UA.1; NET.1.2.A26-UA.3; NET.3.1.A7-UA.1; OPS.1.1.7.A15-UA.5; SYS.1.1.A10-UA.1</t>
        </is>
      </c>
      <c r="O27" s="11" t="inlineStr">
        <is>
          <t>superset-of; intersects-with; intersects-with; intersects-with; superset-of; superset-of</t>
        </is>
      </c>
      <c r="P27" s="12" t="inlineStr">
        <is>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is>
      </c>
      <c r="Q27" s="11" t="inlineStr">
        <is>
          <t>IT-Systeme</t>
        </is>
      </c>
      <c r="R27" s="11" t="inlineStr">
        <is>
          <t>Audit Log</t>
        </is>
      </c>
      <c r="S27" s="12" t="inlineStr">
        <is>
          <t>Fehlermeldungen des Systems</t>
        </is>
      </c>
      <c r="T27" s="12" t="inlineStr">
        <is>
          <t>G 0.37 – Abstreiten von Handlungen; G 0.23 – Unbefugtes Eindringen in IT-Systeme; G 0.26 – Fehlfunktion von Geräten oder Systemen; G 0.18 – Fehlplanung oder fehlende Anpassung</t>
        </is>
      </c>
      <c r="U27" s="11" t="n">
        <v>3</v>
      </c>
      <c r="V27" s="11" t="n">
        <v>2</v>
      </c>
      <c r="W27" s="11" t="n">
        <v>2</v>
      </c>
      <c r="X27" s="11" t="n">
        <v>1</v>
      </c>
      <c r="Y27" s="11" t="n">
        <v>1</v>
      </c>
    </row>
    <row r="28">
      <c r="A28" s="11" t="inlineStr">
        <is>
          <t>DET.3.1</t>
        </is>
      </c>
      <c r="B28" s="12" t="inlineStr">
        <is>
          <t>Protokollierung sicherheitsrelevanter Ereignisse</t>
        </is>
      </c>
      <c r="C28" s="11" t="inlineStr">
        <is>
          <t>DET.3.1.5</t>
        </is>
      </c>
      <c r="D28" s="11" t="inlineStr">
        <is>
          <t>Anforderungen bei erhöhtem Schutzbedarf</t>
        </is>
      </c>
      <c r="E28" s="12" t="inlineStr">
        <is>
          <t>Detektion für IT-Systeme KANN Störungen der Netzerreichbarkeit protokollieren.</t>
        </is>
      </c>
      <c r="F28" s="14" t="n"/>
      <c r="G28" s="14" t="n"/>
      <c r="H28" s="14" t="inlineStr">
        <is>
          <t>unbearbeitet</t>
        </is>
      </c>
      <c r="I28" s="14" t="n"/>
      <c r="J28" s="14" t="n"/>
      <c r="K28" s="14" t="n"/>
      <c r="L28" s="15" t="n"/>
      <c r="M28" s="11" t="inlineStr"/>
      <c r="N28" s="12" t="inlineStr">
        <is>
          <t>NET.1.2.A26-UA.3; NET.1.2.A7-UA.1; NET.3.1.A7-UA.1; OPS.1.1.5.A3-UA.1; SYS.1.1.A10-UA.1</t>
        </is>
      </c>
      <c r="O28" s="11" t="inlineStr">
        <is>
          <t>intersects-with; superset-of; intersects-with; intersects-with; superset-of</t>
        </is>
      </c>
      <c r="P28" s="12" t="inlineStr">
        <is>
          <t>Eine Störung der Netzerreichbarkeit kann ein Indiz für Überlastungen, Fehler oder Angriffe im Netz sein. Wann eine Störung vorliegt, kann anhand von Schwellwerten, z.B. durch das Ausbleiben eines regelmäßigen Heartbeat-Paketes, getestet werden.</t>
        </is>
      </c>
      <c r="Q28" s="11" t="inlineStr">
        <is>
          <t>IT-Systeme</t>
        </is>
      </c>
      <c r="R28" s="11" t="inlineStr">
        <is>
          <t>Audit Log</t>
        </is>
      </c>
      <c r="S28" s="12" t="inlineStr">
        <is>
          <t>Störungen der Netzerreichbarkeit</t>
        </is>
      </c>
      <c r="T28" s="12" t="inlineStr">
        <is>
          <t>G 0.37 – Abstreiten von Handlungen; G 0.23 – Unbefugtes Eindringen in IT-Systeme; G 0.29 – Verstoß gegen Gesetze oder Regelungen</t>
        </is>
      </c>
      <c r="U28" s="11" t="n">
        <v>3</v>
      </c>
      <c r="V28" s="11" t="n">
        <v>1</v>
      </c>
      <c r="W28" s="11" t="n">
        <v>1</v>
      </c>
      <c r="X28" s="11" t="n">
        <v>1</v>
      </c>
      <c r="Y28" s="11" t="n">
        <v>1</v>
      </c>
    </row>
    <row r="29">
      <c r="A29" s="11" t="inlineStr">
        <is>
          <t>DET.3.1</t>
        </is>
      </c>
      <c r="B29" s="12" t="inlineStr">
        <is>
          <t>Protokollierung sicherheitsrelevanter Ereignisse</t>
        </is>
      </c>
      <c r="C29" s="11" t="inlineStr">
        <is>
          <t>DET.3.1.6</t>
        </is>
      </c>
      <c r="D29" s="11" t="inlineStr">
        <is>
          <t>Anforderungen bei erhöhtem Schutzbedarf</t>
        </is>
      </c>
      <c r="E29" s="12" t="inlineStr">
        <is>
          <t>Detektion für IT-Systeme KANN bestimmte systemspezifische Ereignisse protokollieren.</t>
        </is>
      </c>
      <c r="F29" s="14" t="n"/>
      <c r="G29" s="14" t="n"/>
      <c r="H29" s="14" t="inlineStr">
        <is>
          <t>unbearbeitet</t>
        </is>
      </c>
      <c r="I29" s="14" t="n"/>
      <c r="J29" s="14" t="n"/>
      <c r="K29" s="14" t="n"/>
      <c r="L29" s="15" t="n"/>
      <c r="M29" s="11" t="inlineStr">
        <is>
          <t>Vertraulichkeit, Integrität</t>
        </is>
      </c>
      <c r="N29" s="12" t="inlineStr">
        <is>
          <t>DER.1.A15-UA.3; OPS.1.1.5.A11-UA.1; SYS.1.9.A13-UA.2</t>
        </is>
      </c>
      <c r="O29" s="11" t="inlineStr">
        <is>
          <t>superset-of; equivalent-to; subset-of</t>
        </is>
      </c>
      <c r="P29" s="12" t="inlineStr">
        <is>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is>
      </c>
      <c r="Q29" s="11" t="inlineStr">
        <is>
          <t>IT-Systeme</t>
        </is>
      </c>
      <c r="R29" s="11" t="inlineStr">
        <is>
          <t>Audit Log</t>
        </is>
      </c>
      <c r="S29" s="12" t="inlineStr">
        <is>
          <t>{{bestimmte systemspezifische Ereignisse}}</t>
        </is>
      </c>
      <c r="T29" s="12" t="inlineStr">
        <is>
          <t>G 0.37 – Abstreiten von Handlungen; G 0.23 – Unbefugtes Eindringen in IT-Systeme; G 0.29 – Verstoß gegen Gesetze oder Regelungen</t>
        </is>
      </c>
      <c r="U29" s="11" t="n">
        <v>5</v>
      </c>
      <c r="V29" s="11" t="n">
        <v>2</v>
      </c>
      <c r="W29" s="11" t="n">
        <v>2</v>
      </c>
      <c r="X29" s="11" t="n">
        <v>1</v>
      </c>
      <c r="Y29" s="11" t="n">
        <v>1</v>
      </c>
    </row>
    <row r="30">
      <c r="A30" s="11" t="inlineStr">
        <is>
          <t>DET.3.1</t>
        </is>
      </c>
      <c r="B30" s="12" t="inlineStr">
        <is>
          <t>Protokollierung sicherheitsrelevanter Ereignisse</t>
        </is>
      </c>
      <c r="C30" s="11" t="inlineStr">
        <is>
          <t>DET.3.1.7</t>
        </is>
      </c>
      <c r="D30" s="11" t="inlineStr">
        <is>
          <t>Standard-Anforderungen</t>
        </is>
      </c>
      <c r="E30" s="12" t="inlineStr">
        <is>
          <t>Detektion für Anwendungen SOLLTE zu jedem sicherheitsrelevanten Ereignis mindestens Zeitpunkt, die Quelle und das Zielobjekt protokollieren.</t>
        </is>
      </c>
      <c r="F30" s="14" t="n"/>
      <c r="G30" s="14" t="n"/>
      <c r="H30" s="14" t="inlineStr">
        <is>
          <t>unbearbeitet</t>
        </is>
      </c>
      <c r="I30" s="14" t="n"/>
      <c r="J30" s="14" t="n"/>
      <c r="K30" s="14" t="n"/>
      <c r="L30" s="15" t="n"/>
      <c r="M30" s="11" t="inlineStr"/>
      <c r="N30" s="12" t="inlineStr">
        <is>
          <t>INF.13.A21-UA.4; NET.3.2.A9-UA.3; OPS.1.1.5.A1-UA.3</t>
        </is>
      </c>
      <c r="O30" s="11" t="inlineStr">
        <is>
          <t>subset-of; subset-of; superset-of</t>
        </is>
      </c>
      <c r="P30" s="12" t="inlineStr">
        <is>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is>
      </c>
      <c r="Q30" s="11" t="inlineStr">
        <is>
          <t>Anwendungen</t>
        </is>
      </c>
      <c r="R30" s="11" t="inlineStr">
        <is>
          <t>Audit Log</t>
        </is>
      </c>
      <c r="S30" s="12" t="inlineStr">
        <is>
          <t>zu jedem sicherheitsrelevanten Ereignis</t>
        </is>
      </c>
      <c r="T30" s="12" t="inlineStr">
        <is>
          <t>G 0.37 – Abstreiten von Handlungen; G 0.18 – Fehlplanung oder fehlende Anpassung</t>
        </is>
      </c>
      <c r="U30" s="11" t="n">
        <v>5</v>
      </c>
      <c r="V30" s="11" t="n">
        <v>1</v>
      </c>
      <c r="W30" s="11" t="n">
        <v>1</v>
      </c>
      <c r="X30" s="11" t="n">
        <v>1</v>
      </c>
      <c r="Y30" s="11" t="n">
        <v>1</v>
      </c>
    </row>
    <row r="31">
      <c r="A31" s="11" t="inlineStr">
        <is>
          <t>DET.3.1</t>
        </is>
      </c>
      <c r="B31" s="12" t="inlineStr">
        <is>
          <t>Protokollierung sicherheitsrelevanter Ereignisse</t>
        </is>
      </c>
      <c r="C31" s="11" t="inlineStr">
        <is>
          <t>DET.3.1.8</t>
        </is>
      </c>
      <c r="D31" s="11" t="inlineStr">
        <is>
          <t>Standard-Anforderungen</t>
        </is>
      </c>
      <c r="E31" s="12" t="inlineStr">
        <is>
          <t>Detektion für Anwendungen SOLLTE privilegierte Ereignisse einschließlich der Aktivierung, Deaktivierung oder Blockierung privilegierter Funktionen protokollieren.</t>
        </is>
      </c>
      <c r="F31" s="14" t="n"/>
      <c r="G31" s="14" t="n"/>
      <c r="H31" s="14" t="inlineStr">
        <is>
          <t>unbearbeitet</t>
        </is>
      </c>
      <c r="I31" s="14" t="n"/>
      <c r="J31" s="14" t="n"/>
      <c r="K31" s="14" t="n"/>
      <c r="L31" s="15" t="n"/>
      <c r="M31" s="11" t="inlineStr">
        <is>
          <t>Vertraulichkeit, Integrität</t>
        </is>
      </c>
      <c r="N31" s="12" t="inlineStr">
        <is>
          <t>IND.1.A15-UA.3; SYS.1.1.A10-UA.1; SYS.1.9.A13-UA.2; SYS.2.5.A16-UA.2; SYS.4.3.A3-UA.1</t>
        </is>
      </c>
      <c r="O31" s="11" t="inlineStr">
        <is>
          <t>equivalent-to; superset-of; intersects-with; intersects-with; subset-of</t>
        </is>
      </c>
      <c r="P31" s="12" t="inlineStr">
        <is>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is>
      </c>
      <c r="Q31" s="11" t="inlineStr">
        <is>
          <t>Anwendungen</t>
        </is>
      </c>
      <c r="R31" s="11" t="inlineStr">
        <is>
          <t>Audit Log</t>
        </is>
      </c>
      <c r="S31" s="12" t="inlineStr">
        <is>
          <t>privilegierte Ereignisse</t>
        </is>
      </c>
      <c r="T31" s="12" t="inlineStr">
        <is>
          <t>G 0.37 – Abstreiten von Handlungen; G 0.23 – Unbefugtes Eindringen in IT-Systeme; G 0.29 – Verstoß gegen Gesetze oder Regelungen</t>
        </is>
      </c>
      <c r="U31" s="11" t="n">
        <v>2</v>
      </c>
      <c r="V31" s="11" t="n">
        <v>2</v>
      </c>
      <c r="W31" s="11" t="n">
        <v>2</v>
      </c>
      <c r="X31" s="11" t="n">
        <v>1</v>
      </c>
      <c r="Y31" s="11" t="n">
        <v>1</v>
      </c>
    </row>
    <row r="32">
      <c r="A32" s="11" t="inlineStr">
        <is>
          <t>DET.3.1</t>
        </is>
      </c>
      <c r="B32" s="12" t="inlineStr">
        <is>
          <t>Protokollierung sicherheitsrelevanter Ereignisse</t>
        </is>
      </c>
      <c r="C32" s="11" t="inlineStr">
        <is>
          <t>DET.3.1.9</t>
        </is>
      </c>
      <c r="D32" s="11" t="inlineStr">
        <is>
          <t>Standard-Anforderungen</t>
        </is>
      </c>
      <c r="E32" s="12" t="inlineStr">
        <is>
          <t>Detektion für Anwendungen SOLLTE Fehlermeldungen der Anwendung protokollieren.</t>
        </is>
      </c>
      <c r="F32" s="14" t="n"/>
      <c r="G32" s="14" t="n"/>
      <c r="H32" s="14" t="inlineStr">
        <is>
          <t>unbearbeitet</t>
        </is>
      </c>
      <c r="I32" s="14" t="n"/>
      <c r="J32" s="14" t="n"/>
      <c r="K32" s="14" t="n"/>
      <c r="L32" s="15" t="n"/>
      <c r="M32" s="11" t="inlineStr"/>
      <c r="N32" s="12" t="inlineStr">
        <is>
          <t>APP.3.2.A4-UA.1; CON.10.A13-UA.2; DER.1.A5-UA.1; NET.1.2.A7-UA.1; SYS.1.1.A10-UA.1</t>
        </is>
      </c>
      <c r="O32" s="11" t="inlineStr">
        <is>
          <t>superset-of; intersects-with; superset-of; superset-of; intersects-with</t>
        </is>
      </c>
      <c r="P32" s="12" t="inlineStr">
        <is>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is>
      </c>
      <c r="Q32" s="11" t="inlineStr">
        <is>
          <t>Anwendungen</t>
        </is>
      </c>
      <c r="R32" s="11" t="inlineStr">
        <is>
          <t>Audit Log</t>
        </is>
      </c>
      <c r="S32" s="12" t="inlineStr">
        <is>
          <t>Fehlermeldungen der Anwendung</t>
        </is>
      </c>
      <c r="T32" s="12" t="inlineStr">
        <is>
          <t>G 0.37 – Abstreiten von Handlungen; G 0.23 – Unbefugtes Eindringen in IT-Systeme; G 0.32 – Missbrauch von Berechtigungen</t>
        </is>
      </c>
      <c r="U32" s="11" t="n">
        <v>3</v>
      </c>
      <c r="V32" s="11" t="n">
        <v>1</v>
      </c>
      <c r="W32" s="11" t="n">
        <v>1</v>
      </c>
      <c r="X32" s="11" t="n">
        <v>1</v>
      </c>
      <c r="Y32" s="11" t="n">
        <v>1</v>
      </c>
    </row>
    <row r="33">
      <c r="A33" s="11" t="inlineStr">
        <is>
          <t>DET.3.1</t>
        </is>
      </c>
      <c r="B33" s="12" t="inlineStr">
        <is>
          <t>Protokollierung sicherheitsrelevanter Ereignisse</t>
        </is>
      </c>
      <c r="C33" s="11" t="inlineStr">
        <is>
          <t>DET.3.1.10</t>
        </is>
      </c>
      <c r="D33" s="11" t="inlineStr">
        <is>
          <t>Anforderungen bei erhöhtem Schutzbedarf</t>
        </is>
      </c>
      <c r="E33" s="12" t="inlineStr">
        <is>
          <t>Detektion für Anwendungen KANN eine Nutzungsstatistik protokollieren.</t>
        </is>
      </c>
      <c r="F33" s="14" t="n"/>
      <c r="G33" s="14" t="n"/>
      <c r="H33" s="14" t="inlineStr">
        <is>
          <t>unbearbeitet</t>
        </is>
      </c>
      <c r="I33" s="14" t="n"/>
      <c r="J33" s="14" t="n"/>
      <c r="K33" s="14" t="n"/>
      <c r="L33" s="15" t="n"/>
      <c r="M33" s="11" t="inlineStr"/>
      <c r="N33" s="12" t="inlineStr">
        <is>
          <t>APP.3.2.A4-UA.1; APP.3.6.A15-UA.3; DER.1.A13-UA.2; OPS.1.1.5.A11-UA.1</t>
        </is>
      </c>
      <c r="O33" s="11" t="inlineStr">
        <is>
          <t>subset-of; subset-of; subset-of; superset-of</t>
        </is>
      </c>
      <c r="P33" s="12" t="inlineStr">
        <is>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is>
      </c>
      <c r="Q33" s="11" t="inlineStr">
        <is>
          <t>Anwendungen</t>
        </is>
      </c>
      <c r="R33" s="11" t="inlineStr">
        <is>
          <t>Audit Log</t>
        </is>
      </c>
      <c r="S33" s="12" t="inlineStr">
        <is>
          <t>eine Nutzungsstatistik</t>
        </is>
      </c>
      <c r="T33" s="12" t="inlineStr">
        <is>
          <t>G 0.37 – Abstreiten von Handlungen; G 0.23 – Unbefugtes Eindringen in IT-Systeme; G 0.29 – Verstoß gegen Gesetze oder Regelungen; G 0.27 – Ressourcenmangel</t>
        </is>
      </c>
      <c r="U33" s="11" t="n">
        <v>4</v>
      </c>
      <c r="V33" s="11" t="n">
        <v>1</v>
      </c>
      <c r="W33" s="11" t="n">
        <v>1</v>
      </c>
      <c r="X33" s="11" t="n">
        <v>1</v>
      </c>
      <c r="Y33" s="11" t="n">
        <v>1</v>
      </c>
    </row>
    <row r="34">
      <c r="A34" s="11" t="inlineStr">
        <is>
          <t>DET.3.1</t>
        </is>
      </c>
      <c r="B34" s="12" t="inlineStr">
        <is>
          <t>Protokollierung sicherheitsrelevanter Ereignisse</t>
        </is>
      </c>
      <c r="C34" s="11" t="inlineStr">
        <is>
          <t>DET.3.1.11</t>
        </is>
      </c>
      <c r="D34" s="11" t="inlineStr">
        <is>
          <t>Anforderungen bei erhöhtem Schutzbedarf</t>
        </is>
      </c>
      <c r="E34" s="12" t="inlineStr">
        <is>
          <t>Detektion für Anwendungen KANN bestimmte anwendungsspezifische Ereignisse protokollieren.</t>
        </is>
      </c>
      <c r="F34" s="14" t="n"/>
      <c r="G34" s="14" t="n"/>
      <c r="H34" s="14" t="inlineStr">
        <is>
          <t>unbearbeitet</t>
        </is>
      </c>
      <c r="I34" s="14" t="n"/>
      <c r="J34" s="14" t="n"/>
      <c r="K34" s="14" t="n"/>
      <c r="L34" s="15" t="n"/>
      <c r="M34" s="11" t="inlineStr">
        <is>
          <t>Integrität</t>
        </is>
      </c>
      <c r="N34" s="12" t="inlineStr">
        <is>
          <t>OPS.1.1.2.A18-UA.1; OPS.1.1.5.A1-UA.4; OPS.1.1.5.A11-UA.1</t>
        </is>
      </c>
      <c r="O34" s="11" t="inlineStr">
        <is>
          <t>subset-of; intersects-with; superset-of</t>
        </is>
      </c>
      <c r="P34" s="12" t="inlineStr">
        <is>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is>
      </c>
      <c r="Q34" s="11" t="inlineStr">
        <is>
          <t>Anwendungen</t>
        </is>
      </c>
      <c r="R34" s="11" t="inlineStr">
        <is>
          <t>Audit Log</t>
        </is>
      </c>
      <c r="S34" s="12" t="inlineStr">
        <is>
          <t>{{bestimmte anwendungsspezifische Ereignisse}}</t>
        </is>
      </c>
      <c r="T34" s="12" t="inlineStr">
        <is>
          <t>G 0.37 – Abstreiten von Handlungen; G 0.23 – Unbefugtes Eindringen in IT-Systeme; G 0.32 – Missbrauch von Berechtigungen; G 0.46 – Integritätsverlust schützenswerter Informationen</t>
        </is>
      </c>
      <c r="U34" s="11" t="n">
        <v>4</v>
      </c>
      <c r="V34" s="11" t="n">
        <v>1</v>
      </c>
      <c r="W34" s="11" t="n">
        <v>2</v>
      </c>
      <c r="X34" s="11" t="n">
        <v>1</v>
      </c>
      <c r="Y34" s="11" t="n">
        <v>1</v>
      </c>
    </row>
    <row r="35">
      <c r="A35" s="11" t="inlineStr">
        <is>
          <t>DET.3.1</t>
        </is>
      </c>
      <c r="B35" s="12" t="inlineStr">
        <is>
          <t>Protokollierung sicherheitsrelevanter Ereignisse</t>
        </is>
      </c>
      <c r="C35" s="11" t="inlineStr">
        <is>
          <t>DET.3.1.12</t>
        </is>
      </c>
      <c r="D35" s="11" t="inlineStr">
        <is>
          <t>Anforderungen bei erhöhtem Schutzbedarf</t>
        </is>
      </c>
      <c r="E35" s="12" t="inlineStr">
        <is>
          <t>Detektion für Daten KANN die Verarbeitung von Daten protokollieren.</t>
        </is>
      </c>
      <c r="F35" s="14" t="n"/>
      <c r="G35" s="14" t="n"/>
      <c r="H35" s="14" t="inlineStr">
        <is>
          <t>unbearbeitet</t>
        </is>
      </c>
      <c r="I35" s="14" t="n"/>
      <c r="J35" s="14" t="n"/>
      <c r="K35" s="14" t="n"/>
      <c r="L35" s="15" t="n"/>
      <c r="M35" s="11" t="inlineStr"/>
      <c r="N35" s="12" t="inlineStr">
        <is>
          <t>APP.3.2.A4-UA.1; IND.1.A10-UA.3; INF.13.A21-UA.4; NET.4.1.A5-UA.2; OPS.1.1.5.A11-UA.1; SYS.1.1.A10-UA.1</t>
        </is>
      </c>
      <c r="O35" s="11" t="inlineStr">
        <is>
          <t>intersects-with; superset-of; intersects-with; superset-of; superset-of; superset-of</t>
        </is>
      </c>
      <c r="P35" s="12" t="inlineStr">
        <is>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is>
      </c>
      <c r="Q35" s="11" t="inlineStr">
        <is>
          <t>Daten</t>
        </is>
      </c>
      <c r="R35" s="11" t="inlineStr">
        <is>
          <t>Audit Log</t>
        </is>
      </c>
      <c r="S35" s="12" t="inlineStr">
        <is>
          <t>die Verarbeitung von Daten</t>
        </is>
      </c>
      <c r="T35" s="12" t="inlineStr">
        <is>
          <t>G 0.37 – Abstreiten von Handlungen</t>
        </is>
      </c>
      <c r="U35" s="11" t="n">
        <v>5</v>
      </c>
      <c r="V35" s="11" t="n">
        <v>1</v>
      </c>
      <c r="W35" s="11" t="n">
        <v>1</v>
      </c>
      <c r="X35" s="11" t="n">
        <v>0</v>
      </c>
      <c r="Y35" s="11" t="n">
        <v>1</v>
      </c>
    </row>
    <row r="36">
      <c r="A36" s="9" t="inlineStr">
        <is>
          <t>DET.3.2</t>
        </is>
      </c>
      <c r="B36" s="10" t="inlineStr">
        <is>
          <t>Integration von Cloud-Diensten</t>
        </is>
      </c>
      <c r="C36" s="11" t="n"/>
      <c r="D36" s="11" t="inlineStr">
        <is>
          <t>Anforderungen bei erhöhtem Schutzbedarf</t>
        </is>
      </c>
      <c r="E36" s="12" t="inlineStr">
        <is>
          <t>Gesamt:</t>
        </is>
      </c>
      <c r="F36" s="11" t="n"/>
      <c r="G36" s="11" t="n"/>
      <c r="H36" s="13">
        <f>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
      </c>
      <c r="I36" s="11" t="n"/>
      <c r="J36" s="11" t="n"/>
      <c r="K36" s="11" t="n"/>
      <c r="L36" s="11" t="n"/>
      <c r="M36" s="11" t="inlineStr">
        <is>
          <t>Vertraulichkeit</t>
        </is>
      </c>
      <c r="N36" s="12" t="inlineStr">
        <is>
          <t>APP.1.4.A8-UA.3; APP.5.4.A4-UA.5; DER.2.2.A9-UA.1; OPS.1.1.5.A9-UA.1</t>
        </is>
      </c>
      <c r="O36" s="11" t="inlineStr">
        <is>
          <t>subset-of; intersects-with; intersects-with; superset-of</t>
        </is>
      </c>
      <c r="P36" s="12" t="inlineStr">
        <is>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is>
      </c>
      <c r="Q36" s="11" t="inlineStr">
        <is>
          <t>Cloud-Dienste</t>
        </is>
      </c>
      <c r="R36" s="11" t="inlineStr">
        <is>
          <t>Audit Log</t>
        </is>
      </c>
      <c r="S36" s="12" t="inlineStr">
        <is>
          <t>Ereignisse in der Cloud</t>
        </is>
      </c>
      <c r="T36" s="12" t="inlineStr">
        <is>
          <t>G 0.14 – Ausspähen von Informationen (Spionage); G 0.23 – Unbefugtes Eindringen in IT-Systeme; G 0.18 – Fehlplanung oder fehlende Anpassung</t>
        </is>
      </c>
      <c r="U36" s="11" t="n">
        <v>5</v>
      </c>
      <c r="V36" s="11" t="n">
        <v>2</v>
      </c>
      <c r="W36" s="11" t="n">
        <v>1</v>
      </c>
      <c r="X36" s="11" t="n">
        <v>1</v>
      </c>
      <c r="Y36" s="11" t="n">
        <v>0</v>
      </c>
    </row>
    <row r="37">
      <c r="A37" s="11" t="inlineStr">
        <is>
          <t>DET.3.2</t>
        </is>
      </c>
      <c r="B37" s="12" t="inlineStr">
        <is>
          <t>Integration von Cloud-Diensten</t>
        </is>
      </c>
      <c r="C37" s="11" t="inlineStr">
        <is>
          <t>DET.3.2</t>
        </is>
      </c>
      <c r="D37" s="11" t="inlineStr">
        <is>
          <t>Anforderungen bei erhöhtem Schutzbedarf</t>
        </is>
      </c>
      <c r="E37" s="12" t="inlineStr">
        <is>
          <t>Detektion für Cloud-Dienste KANN Ereignisse in der Cloud im Audit Log der Institution protokollieren.</t>
        </is>
      </c>
      <c r="F37" s="14" t="n"/>
      <c r="G37" s="14" t="n"/>
      <c r="H37" s="14" t="inlineStr">
        <is>
          <t>unbearbeitet</t>
        </is>
      </c>
      <c r="I37" s="14" t="n"/>
      <c r="J37" s="14" t="n"/>
      <c r="K37" s="14" t="n"/>
      <c r="L37" s="15" t="n"/>
      <c r="M37" s="11" t="inlineStr">
        <is>
          <t>Vertraulichkeit</t>
        </is>
      </c>
      <c r="N37" s="12" t="inlineStr">
        <is>
          <t>APP.1.4.A8-UA.3; APP.5.4.A4-UA.5; DER.2.2.A9-UA.1; OPS.1.1.5.A9-UA.1</t>
        </is>
      </c>
      <c r="O37" s="11" t="inlineStr">
        <is>
          <t>subset-of; intersects-with; intersects-with; superset-of</t>
        </is>
      </c>
      <c r="P37" s="12" t="inlineStr">
        <is>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is>
      </c>
      <c r="Q37" s="11" t="inlineStr">
        <is>
          <t>Cloud-Dienste</t>
        </is>
      </c>
      <c r="R37" s="11" t="inlineStr">
        <is>
          <t>Audit Log</t>
        </is>
      </c>
      <c r="S37" s="12" t="inlineStr">
        <is>
          <t>Ereignisse in der Cloud</t>
        </is>
      </c>
      <c r="T37" s="12" t="inlineStr">
        <is>
          <t>G 0.14 – Ausspähen von Informationen (Spionage); G 0.23 – Unbefugtes Eindringen in IT-Systeme; G 0.18 – Fehlplanung oder fehlende Anpassung</t>
        </is>
      </c>
      <c r="U37" s="11" t="n">
        <v>5</v>
      </c>
      <c r="V37" s="11" t="n">
        <v>2</v>
      </c>
      <c r="W37" s="11" t="n">
        <v>1</v>
      </c>
      <c r="X37" s="11" t="n">
        <v>1</v>
      </c>
      <c r="Y37" s="11" t="n">
        <v>0</v>
      </c>
    </row>
    <row r="38">
      <c r="A38" s="9" t="inlineStr">
        <is>
          <t>DET.3.3</t>
        </is>
      </c>
      <c r="B38" s="10" t="inlineStr">
        <is>
          <t>Filterung nicht benötigter Inhalte</t>
        </is>
      </c>
      <c r="C38" s="11" t="n"/>
      <c r="D38" s="11" t="inlineStr">
        <is>
          <t>Anforderungen bei erhöhtem Schutzbedarf</t>
        </is>
      </c>
      <c r="E38" s="12" t="inlineStr">
        <is>
          <t>Gesamt:</t>
        </is>
      </c>
      <c r="F38" s="11" t="n"/>
      <c r="G38" s="11" t="n"/>
      <c r="H38" s="13">
        <f>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
      </c>
      <c r="I38" s="11" t="n"/>
      <c r="J38" s="11" t="n"/>
      <c r="K38" s="11" t="n"/>
      <c r="L38" s="11" t="n"/>
      <c r="M38" s="11" t="inlineStr">
        <is>
          <t>Integrität</t>
        </is>
      </c>
      <c r="N38" s="12" t="inlineStr">
        <is>
          <t>APP.3.3.A14-UA.2; OPS.1.2.2.A8-UA.3</t>
        </is>
      </c>
      <c r="O38" s="11" t="inlineStr">
        <is>
          <t>intersects-with; intersects-with</t>
        </is>
      </c>
      <c r="P38" s="12" t="inlineStr">
        <is>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is>
      </c>
      <c r="Q38" s="11" t="inlineStr"/>
      <c r="R38" s="11" t="inlineStr">
        <is>
          <t>Detektions-Konzept</t>
        </is>
      </c>
      <c r="S38" s="12" t="inlineStr">
        <is>
          <t>die Protokollierung nicht benötigter Inhalte</t>
        </is>
      </c>
      <c r="T38" s="12" t="inlineStr">
        <is>
          <t>G 0.37 – Abstreiten von Handlungen; G 0.26 – Fehlfunktion von Geräten oder Systemen; G 0.18 – Fehlplanung oder fehlende Anpassung; G 0.46 – Integritätsverlust schützenswerter Informationen</t>
        </is>
      </c>
      <c r="U38" s="11" t="n">
        <v>5</v>
      </c>
      <c r="V38" s="11" t="n">
        <v>1</v>
      </c>
      <c r="W38" s="11" t="n">
        <v>2</v>
      </c>
      <c r="X38" s="11" t="n">
        <v>1</v>
      </c>
      <c r="Y38" s="11" t="n">
        <v>1</v>
      </c>
    </row>
    <row r="39">
      <c r="A39" s="11" t="inlineStr">
        <is>
          <t>DET.3.3</t>
        </is>
      </c>
      <c r="B39" s="12" t="inlineStr">
        <is>
          <t>Filterung nicht benötigter Inhalte</t>
        </is>
      </c>
      <c r="C39" s="11" t="inlineStr">
        <is>
          <t>DET.3.3</t>
        </is>
      </c>
      <c r="D39" s="11" t="inlineStr">
        <is>
          <t>Anforderungen bei erhöhtem Schutzbedarf</t>
        </is>
      </c>
      <c r="E39" s="12" t="inlineStr">
        <is>
          <t>Detektion KANN die Protokollierung nicht benötigter Inhalte anhand von Kriterien einschränken.</t>
        </is>
      </c>
      <c r="F39" s="14" t="n"/>
      <c r="G39" s="14" t="n"/>
      <c r="H39" s="14" t="inlineStr">
        <is>
          <t>unbearbeitet</t>
        </is>
      </c>
      <c r="I39" s="14" t="n"/>
      <c r="J39" s="14" t="n"/>
      <c r="K39" s="14" t="n"/>
      <c r="L39" s="15" t="n"/>
      <c r="M39" s="11" t="inlineStr">
        <is>
          <t>Integrität</t>
        </is>
      </c>
      <c r="N39" s="12" t="inlineStr">
        <is>
          <t>APP.3.3.A14-UA.2; OPS.1.2.2.A8-UA.3</t>
        </is>
      </c>
      <c r="O39" s="11" t="inlineStr">
        <is>
          <t>intersects-with; intersects-with</t>
        </is>
      </c>
      <c r="P39" s="12" t="inlineStr">
        <is>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is>
      </c>
      <c r="Q39" s="11" t="inlineStr"/>
      <c r="R39" s="11" t="inlineStr">
        <is>
          <t>Detektions-Konzept</t>
        </is>
      </c>
      <c r="S39" s="12" t="inlineStr">
        <is>
          <t>die Protokollierung nicht benötigter Inhalte</t>
        </is>
      </c>
      <c r="T39" s="12" t="inlineStr">
        <is>
          <t>G 0.37 – Abstreiten von Handlungen; G 0.26 – Fehlfunktion von Geräten oder Systemen; G 0.18 – Fehlplanung oder fehlende Anpassung; G 0.46 – Integritätsverlust schützenswerter Informationen</t>
        </is>
      </c>
      <c r="U39" s="11" t="n">
        <v>5</v>
      </c>
      <c r="V39" s="11" t="n">
        <v>1</v>
      </c>
      <c r="W39" s="11" t="n">
        <v>2</v>
      </c>
      <c r="X39" s="11" t="n">
        <v>1</v>
      </c>
      <c r="Y39" s="11" t="n">
        <v>1</v>
      </c>
    </row>
    <row r="40">
      <c r="A40" s="9" t="inlineStr">
        <is>
          <t>DET.3.4</t>
        </is>
      </c>
      <c r="B40" s="10" t="inlineStr">
        <is>
          <t>Speicherkapazität</t>
        </is>
      </c>
      <c r="C40" s="11" t="n"/>
      <c r="D40" s="11" t="inlineStr">
        <is>
          <t>Standard-Anforderungen</t>
        </is>
      </c>
      <c r="E40" s="12" t="inlineStr">
        <is>
          <t>Gesamt:</t>
        </is>
      </c>
      <c r="F40" s="11" t="n"/>
      <c r="G40" s="11" t="n"/>
      <c r="H40" s="13">
        <f>IF(OR(COUNTBLANK($H$41:$H$41)&gt;0,COUNTIF($H$41:$H$41,"unbearbeitet")=COUNTA($H$41:$H$41)),"Bitte Teilanforderungen ausfüllen",IF(COUNTIF($H$41:$H$41,"zu klären")&gt;0,"zu klären",IF(COUNTIF($H$41:$H$41,"entbehrlich")=COUNTA($H$41:$H$41),"entbehrlich",IF(COUNTIF($H$41:$H$41,"verwiesen")=COUNTA($H$41:$H$41),"verwiesen",IF(COUNTIF($H$41:$H$41,"nein")+COUNTIF($H$41:$H$41,"entbehrlich")=COUNTA($H$41:$H$41),"nein",IF(COUNTIF($H$41:$H$41,"ja")+COUNTIF($H$41:$H$41,"entbehrlich")+COUNTIF($H$41:$H$41,"verwiesen")=COUNTA($H$41:$H$41),"ja","teilweise"))))))</f>
        <v/>
      </c>
      <c r="I40" s="11" t="n"/>
      <c r="J40" s="11" t="n"/>
      <c r="K40" s="11" t="n"/>
      <c r="L40" s="11" t="n"/>
      <c r="M40" s="11" t="inlineStr">
        <is>
          <t>Integrität</t>
        </is>
      </c>
      <c r="N40" s="12" t="inlineStr">
        <is>
          <t>IND.1.A15-UA.4; NET.1.2.A35-UA.1; OPS.1.1.2.A28-UA.3; OPS.1.1.5.A10-UA.1; OPS.1.1.5.A5-UA.5; OPS.1.1.5.A9-UA.6; SYS.4.5.A11-UA.1; SYS.4.5.A11-UA.2</t>
        </is>
      </c>
      <c r="O40" s="11" t="inlineStr">
        <is>
          <t>subset-of; equivalent-to; subset-of; subset-of; equivalent-to; subset-of; subset-of; subset-of</t>
        </is>
      </c>
      <c r="P40" s="12" t="inlineStr">
        <is>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is>
      </c>
      <c r="Q40" s="11" t="inlineStr"/>
      <c r="R40" s="11" t="inlineStr">
        <is>
          <t>Detektions-Konzept</t>
        </is>
      </c>
      <c r="S40" s="12" t="inlineStr">
        <is>
          <t>den für die Protokollierung zur Verfügung stehenden Speicherplatz</t>
        </is>
      </c>
      <c r="T40" s="12" t="inlineStr">
        <is>
          <t>G 0.37 – Abstreiten von Handlungen; G 0.32 – Missbrauch von Berechtigungen; G 0.46 – Integritätsverlust schützenswerter Informationen</t>
        </is>
      </c>
      <c r="U40" s="11" t="n">
        <v>4</v>
      </c>
      <c r="V40" s="11" t="n">
        <v>1</v>
      </c>
      <c r="W40" s="11" t="n">
        <v>2</v>
      </c>
      <c r="X40" s="11" t="n">
        <v>1</v>
      </c>
      <c r="Y40" s="11" t="n">
        <v>0</v>
      </c>
    </row>
    <row r="41">
      <c r="A41" s="11" t="inlineStr">
        <is>
          <t>DET.3.4</t>
        </is>
      </c>
      <c r="B41" s="12" t="inlineStr">
        <is>
          <t>Speicherkapazität</t>
        </is>
      </c>
      <c r="C41" s="11" t="inlineStr">
        <is>
          <t>DET.3.4</t>
        </is>
      </c>
      <c r="D41" s="11" t="inlineStr">
        <is>
          <t>Standard-Anforderungen</t>
        </is>
      </c>
      <c r="E41" s="12" t="inlineStr">
        <is>
          <t>Detektion SOLLTE den für die Protokollierung zur Verfügung stehenden Speicherplatz bei Erreichen eines bestimmten Schwellwertes oder regelmäßig überprüfen.</t>
        </is>
      </c>
      <c r="F41" s="14" t="n"/>
      <c r="G41" s="14" t="n"/>
      <c r="H41" s="14" t="inlineStr">
        <is>
          <t>unbearbeitet</t>
        </is>
      </c>
      <c r="I41" s="14" t="n"/>
      <c r="J41" s="14" t="n"/>
      <c r="K41" s="14" t="n"/>
      <c r="L41" s="15" t="n"/>
      <c r="M41" s="11" t="inlineStr">
        <is>
          <t>Integrität</t>
        </is>
      </c>
      <c r="N41" s="12" t="inlineStr">
        <is>
          <t>IND.1.A15-UA.4; NET.1.2.A35-UA.1; OPS.1.1.2.A28-UA.3; OPS.1.1.5.A10-UA.1; OPS.1.1.5.A5-UA.5; OPS.1.1.5.A9-UA.6; SYS.4.5.A11-UA.1; SYS.4.5.A11-UA.2</t>
        </is>
      </c>
      <c r="O41" s="11" t="inlineStr">
        <is>
          <t>subset-of; equivalent-to; subset-of; subset-of; equivalent-to; subset-of; subset-of; subset-of</t>
        </is>
      </c>
      <c r="P41" s="12" t="inlineStr">
        <is>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is>
      </c>
      <c r="Q41" s="11" t="inlineStr"/>
      <c r="R41" s="11" t="inlineStr">
        <is>
          <t>Detektions-Konzept</t>
        </is>
      </c>
      <c r="S41" s="12" t="inlineStr">
        <is>
          <t>den für die Protokollierung zur Verfügung stehenden Speicherplatz</t>
        </is>
      </c>
      <c r="T41" s="12" t="inlineStr">
        <is>
          <t>G 0.37 – Abstreiten von Handlungen; G 0.32 – Missbrauch von Berechtigungen; G 0.46 – Integritätsverlust schützenswerter Informationen</t>
        </is>
      </c>
      <c r="U41" s="11" t="n">
        <v>4</v>
      </c>
      <c r="V41" s="11" t="n">
        <v>1</v>
      </c>
      <c r="W41" s="11" t="n">
        <v>2</v>
      </c>
      <c r="X41" s="11" t="n">
        <v>1</v>
      </c>
      <c r="Y41" s="11" t="n">
        <v>0</v>
      </c>
    </row>
    <row r="42">
      <c r="A42" s="9" t="inlineStr">
        <is>
          <t>DET.3.5</t>
        </is>
      </c>
      <c r="B42" s="10" t="inlineStr">
        <is>
          <t>Revisionssicherheit</t>
        </is>
      </c>
      <c r="C42" s="11" t="n"/>
      <c r="D42" s="11" t="inlineStr">
        <is>
          <t>Standard-Anforderungen</t>
        </is>
      </c>
      <c r="E42" s="12" t="inlineStr">
        <is>
          <t>Gesamt:</t>
        </is>
      </c>
      <c r="F42" s="11" t="n"/>
      <c r="G42" s="11" t="n"/>
      <c r="H42" s="13">
        <f>IF(OR(COUNTBLANK($H$43:$H$43)&gt;0,COUNTIF($H$43:$H$43,"unbearbeitet")=COUNTA($H$43:$H$43)),"Bitte Teilanforderungen ausfüllen",IF(COUNTIF($H$43:$H$43,"zu klären")&gt;0,"zu klären",IF(COUNTIF($H$43:$H$43,"entbehrlich")=COUNTA($H$43:$H$43),"entbehrlich",IF(COUNTIF($H$43:$H$43,"verwiesen")=COUNTA($H$43:$H$43),"verwiesen",IF(COUNTIF($H$43:$H$43,"nein")+COUNTIF($H$43:$H$43,"entbehrlich")=COUNTA($H$43:$H$43),"nein",IF(COUNTIF($H$43:$H$43,"ja")+COUNTIF($H$43:$H$43,"entbehrlich")+COUNTIF($H$43:$H$43,"verwiesen")=COUNTA($H$43:$H$43),"ja","teilweise"))))))</f>
        <v/>
      </c>
      <c r="I42" s="11" t="n"/>
      <c r="J42" s="11" t="n"/>
      <c r="K42" s="11" t="n"/>
      <c r="L42" s="11" t="n"/>
      <c r="M42" s="11" t="inlineStr">
        <is>
          <t>Vertraulichkeit, Integrität</t>
        </is>
      </c>
      <c r="N42" s="12" t="inlineStr">
        <is>
          <t>DER.2.2.A14-UA.1; DER.2.2.A5-UA.1; NET.1.2.A35-UA.1</t>
        </is>
      </c>
      <c r="O42" s="11" t="inlineStr">
        <is>
          <t>intersects-with; subset-of; subset-of</t>
        </is>
      </c>
      <c r="P42" s="12" t="inlineStr">
        <is>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is>
      </c>
      <c r="Q42" s="11" t="inlineStr"/>
      <c r="R42" s="11" t="inlineStr">
        <is>
          <t>Detektions-Konzept</t>
        </is>
      </c>
      <c r="S42" s="12" t="inlineStr">
        <is>
          <t>Änderungen am Audit Log</t>
        </is>
      </c>
      <c r="T42" s="12" t="inlineStr">
        <is>
          <t>G 0.18 – Fehlplanung oder fehlende Anpassung; G 0.37 – Abstreiten von Handlungen</t>
        </is>
      </c>
      <c r="U42" s="11" t="n">
        <v>4</v>
      </c>
      <c r="V42" s="11" t="n">
        <v>2</v>
      </c>
      <c r="W42" s="11" t="n">
        <v>2</v>
      </c>
      <c r="X42" s="11" t="n">
        <v>1</v>
      </c>
      <c r="Y42" s="11" t="n">
        <v>0</v>
      </c>
    </row>
    <row r="43">
      <c r="A43" s="11" t="inlineStr">
        <is>
          <t>DET.3.5</t>
        </is>
      </c>
      <c r="B43" s="12" t="inlineStr">
        <is>
          <t>Revisionssicherheit</t>
        </is>
      </c>
      <c r="C43" s="11" t="inlineStr">
        <is>
          <t>DET.3.5</t>
        </is>
      </c>
      <c r="D43" s="11" t="inlineStr">
        <is>
          <t>Standard-Anforderungen</t>
        </is>
      </c>
      <c r="E43" s="12" t="inlineStr">
        <is>
          <t>Detektion SOLLTE Änderungen am Audit Log revisionssicher dokumentieren.</t>
        </is>
      </c>
      <c r="F43" s="14" t="n"/>
      <c r="G43" s="14" t="n"/>
      <c r="H43" s="14" t="inlineStr">
        <is>
          <t>unbearbeitet</t>
        </is>
      </c>
      <c r="I43" s="14" t="n"/>
      <c r="J43" s="14" t="n"/>
      <c r="K43" s="14" t="n"/>
      <c r="L43" s="15" t="n"/>
      <c r="M43" s="11" t="inlineStr">
        <is>
          <t>Vertraulichkeit, Integrität</t>
        </is>
      </c>
      <c r="N43" s="12" t="inlineStr">
        <is>
          <t>DER.2.2.A14-UA.1; DER.2.2.A5-UA.1; NET.1.2.A35-UA.1</t>
        </is>
      </c>
      <c r="O43" s="11" t="inlineStr">
        <is>
          <t>intersects-with; subset-of; subset-of</t>
        </is>
      </c>
      <c r="P43" s="12" t="inlineStr">
        <is>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is>
      </c>
      <c r="Q43" s="11" t="inlineStr"/>
      <c r="R43" s="11" t="inlineStr">
        <is>
          <t>Detektions-Konzept</t>
        </is>
      </c>
      <c r="S43" s="12" t="inlineStr">
        <is>
          <t>Änderungen am Audit Log</t>
        </is>
      </c>
      <c r="T43" s="12" t="inlineStr">
        <is>
          <t>G 0.18 – Fehlplanung oder fehlende Anpassung; G 0.37 – Abstreiten von Handlungen</t>
        </is>
      </c>
      <c r="U43" s="11" t="n">
        <v>4</v>
      </c>
      <c r="V43" s="11" t="n">
        <v>2</v>
      </c>
      <c r="W43" s="11" t="n">
        <v>2</v>
      </c>
      <c r="X43" s="11" t="n">
        <v>1</v>
      </c>
      <c r="Y43" s="11" t="n">
        <v>0</v>
      </c>
    </row>
    <row r="44">
      <c r="A44" s="9" t="inlineStr">
        <is>
          <t>DET.3.6</t>
        </is>
      </c>
      <c r="B44" s="10" t="inlineStr">
        <is>
          <t>Unbestreitbarkeit</t>
        </is>
      </c>
      <c r="C44" s="11" t="n"/>
      <c r="D44" s="11" t="inlineStr">
        <is>
          <t>Anforderungen bei erhöhtem Schutzbedarf</t>
        </is>
      </c>
      <c r="E44" s="12" t="inlineStr">
        <is>
          <t>Gesamt:</t>
        </is>
      </c>
      <c r="F44" s="11" t="n"/>
      <c r="G44" s="11" t="n"/>
      <c r="H44" s="13">
        <f>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
      </c>
      <c r="I44" s="11" t="n"/>
      <c r="J44" s="11" t="n"/>
      <c r="K44" s="11" t="n"/>
      <c r="L44" s="11" t="n"/>
      <c r="M44" s="11" t="inlineStr">
        <is>
          <t>Vertraulichkeit, Integrität</t>
        </is>
      </c>
      <c r="N44" s="12" t="inlineStr"/>
      <c r="O44" s="11" t="inlineStr"/>
      <c r="P44" s="12" t="inlineStr">
        <is>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is>
      </c>
      <c r="Q44" s="11" t="inlineStr">
        <is>
          <t>Daten</t>
        </is>
      </c>
      <c r="R44" s="11" t="inlineStr">
        <is>
          <t>Detektions-Konzept</t>
        </is>
      </c>
      <c r="S44" s="12" t="inlineStr">
        <is>
          <t>Nachweise für den Zusammenhang {{bestimter Ereignisse}} mit {{einer bestimmten Person oder Rolle}}</t>
        </is>
      </c>
      <c r="T44" s="12" t="inlineStr">
        <is>
          <t>G 0.37 – Abstreiten von Handlungen; G 0.23 – Unbefugtes Eindringen in IT-Systeme; G 0.32 – Missbrauch von Berechtigungen; G 0.46 – Integritätsverlust schützenswerter Informationen</t>
        </is>
      </c>
      <c r="U44" s="11" t="n">
        <v>3</v>
      </c>
      <c r="V44" s="11" t="n">
        <v>2</v>
      </c>
      <c r="W44" s="11" t="n">
        <v>2</v>
      </c>
      <c r="X44" s="11" t="n">
        <v>1</v>
      </c>
      <c r="Y44" s="11" t="n">
        <v>1</v>
      </c>
    </row>
    <row r="45">
      <c r="A45" s="11" t="inlineStr">
        <is>
          <t>DET.3.6</t>
        </is>
      </c>
      <c r="B45" s="12" t="inlineStr">
        <is>
          <t>Unbestreitbarkeit</t>
        </is>
      </c>
      <c r="C45" s="11" t="inlineStr">
        <is>
          <t>DET.3.6</t>
        </is>
      </c>
      <c r="D45" s="11" t="inlineStr">
        <is>
          <t>Anforderungen bei erhöhtem Schutzbedarf</t>
        </is>
      </c>
      <c r="E45" s="12" t="inlineStr">
        <is>
          <t>Detektion für Daten KANN Nachweise für den Zusammenhang bestimter Ereignisse mit einer bestimmten Person oder Rolle dokumentieren.</t>
        </is>
      </c>
      <c r="F45" s="14" t="n"/>
      <c r="G45" s="14" t="n"/>
      <c r="H45" s="14" t="inlineStr">
        <is>
          <t>unbearbeitet</t>
        </is>
      </c>
      <c r="I45" s="14" t="n"/>
      <c r="J45" s="14" t="n"/>
      <c r="K45" s="14" t="n"/>
      <c r="L45" s="15" t="n"/>
      <c r="M45" s="11" t="inlineStr">
        <is>
          <t>Vertraulichkeit, Integrität</t>
        </is>
      </c>
      <c r="N45" s="12" t="inlineStr"/>
      <c r="O45" s="11" t="inlineStr"/>
      <c r="P45" s="12" t="inlineStr">
        <is>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is>
      </c>
      <c r="Q45" s="11" t="inlineStr">
        <is>
          <t>Daten</t>
        </is>
      </c>
      <c r="R45" s="11" t="inlineStr">
        <is>
          <t>Detektions-Konzept</t>
        </is>
      </c>
      <c r="S45" s="12" t="inlineStr">
        <is>
          <t>Nachweise für den Zusammenhang {{bestimter Ereignisse}} mit {{einer bestimmten Person oder Rolle}}</t>
        </is>
      </c>
      <c r="T45" s="12" t="inlineStr">
        <is>
          <t>G 0.37 – Abstreiten von Handlungen; G 0.23 – Unbefugtes Eindringen in IT-Systeme; G 0.32 – Missbrauch von Berechtigungen; G 0.46 – Integritätsverlust schützenswerter Informationen</t>
        </is>
      </c>
      <c r="U45" s="11" t="n">
        <v>3</v>
      </c>
      <c r="V45" s="11" t="n">
        <v>2</v>
      </c>
      <c r="W45" s="11" t="n">
        <v>2</v>
      </c>
      <c r="X45" s="11" t="n">
        <v>1</v>
      </c>
      <c r="Y45" s="11" t="n">
        <v>1</v>
      </c>
    </row>
    <row r="46">
      <c r="A46" s="9" t="inlineStr">
        <is>
          <t>DET.4.1</t>
        </is>
      </c>
      <c r="B46" s="10" t="inlineStr">
        <is>
          <t>Überwachung der Protokollierung</t>
        </is>
      </c>
      <c r="C46" s="11" t="n"/>
      <c r="D46" s="11" t="inlineStr">
        <is>
          <t>Standard-Anforderungen</t>
        </is>
      </c>
      <c r="E46" s="12" t="inlineStr">
        <is>
          <t>Gesamt:</t>
        </is>
      </c>
      <c r="F46" s="11" t="n"/>
      <c r="G46" s="11" t="n"/>
      <c r="H46" s="13">
        <f>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
      </c>
      <c r="I46" s="11" t="n"/>
      <c r="J46" s="11" t="n"/>
      <c r="K46" s="11" t="n"/>
      <c r="L46" s="11" t="n"/>
      <c r="M46" s="11" t="inlineStr"/>
      <c r="N46" s="12" t="inlineStr">
        <is>
          <t>APP.4.2.A32-UA.1; DER.1.A14-UA.2; DER.1.A6-UA.1; IND.1.A10-UA.2; OPS.1.1.5.A3-UA.4</t>
        </is>
      </c>
      <c r="O46" s="11" t="inlineStr">
        <is>
          <t>subset-of; intersects-with; superset-of; superset-of; superset-of</t>
        </is>
      </c>
      <c r="P46" s="12" t="inlineStr">
        <is>
          <t>Zu den Kriterien kann beispielsweise die Aktivierung oder Deaktkvierung des Loggings auf Systemen, sowie die Datenmenge eingehender Logs in einem bestimmten Zeitraum gehören.</t>
        </is>
      </c>
      <c r="Q46" s="11" t="inlineStr"/>
      <c r="R46" s="11" t="inlineStr">
        <is>
          <t>Detektions-Konzept</t>
        </is>
      </c>
      <c r="S46" s="12" t="inlineStr">
        <is>
          <t>die Funktionsfähigkeit der Protokollierung</t>
        </is>
      </c>
      <c r="T46" s="12" t="inlineStr">
        <is>
          <t>G 0.32 – Missbrauch von Berechtigungen; G 0.37 – Abstreiten von Handlungen; G 0.27 – Ressourcenmangel</t>
        </is>
      </c>
      <c r="U46" s="11" t="n">
        <v>4</v>
      </c>
      <c r="V46" s="11" t="n">
        <v>1</v>
      </c>
      <c r="W46" s="11" t="n">
        <v>1</v>
      </c>
      <c r="X46" s="11" t="n">
        <v>1</v>
      </c>
      <c r="Y46" s="11" t="n">
        <v>1</v>
      </c>
    </row>
    <row r="47">
      <c r="A47" s="11" t="inlineStr">
        <is>
          <t>DET.4.1</t>
        </is>
      </c>
      <c r="B47" s="12" t="inlineStr">
        <is>
          <t>Überwachung der Protokollierung</t>
        </is>
      </c>
      <c r="C47" s="11" t="inlineStr">
        <is>
          <t>DET.4.1</t>
        </is>
      </c>
      <c r="D47" s="11" t="inlineStr">
        <is>
          <t>Standard-Anforderungen</t>
        </is>
      </c>
      <c r="E47" s="12" t="inlineStr">
        <is>
          <t>Detektion SOLLTE die Funktionsfähigkeit der Protokollierung überwachen.</t>
        </is>
      </c>
      <c r="F47" s="14" t="n"/>
      <c r="G47" s="14" t="n"/>
      <c r="H47" s="14" t="inlineStr">
        <is>
          <t>unbearbeitet</t>
        </is>
      </c>
      <c r="I47" s="14" t="n"/>
      <c r="J47" s="14" t="n"/>
      <c r="K47" s="14" t="n"/>
      <c r="L47" s="15" t="n"/>
      <c r="M47" s="11" t="inlineStr"/>
      <c r="N47" s="12" t="inlineStr">
        <is>
          <t>APP.4.2.A32-UA.1; DER.1.A14-UA.2; DER.1.A6-UA.1; IND.1.A10-UA.2; OPS.1.1.5.A3-UA.4</t>
        </is>
      </c>
      <c r="O47" s="11" t="inlineStr">
        <is>
          <t>subset-of; intersects-with; superset-of; superset-of; superset-of</t>
        </is>
      </c>
      <c r="P47" s="12" t="inlineStr">
        <is>
          <t>Zu den Kriterien kann beispielsweise die Aktivierung oder Deaktkvierung des Loggings auf Systemen, sowie die Datenmenge eingehender Logs in einem bestimmten Zeitraum gehören.</t>
        </is>
      </c>
      <c r="Q47" s="11" t="inlineStr"/>
      <c r="R47" s="11" t="inlineStr">
        <is>
          <t>Detektions-Konzept</t>
        </is>
      </c>
      <c r="S47" s="12" t="inlineStr">
        <is>
          <t>die Funktionsfähigkeit der Protokollierung</t>
        </is>
      </c>
      <c r="T47" s="12" t="inlineStr">
        <is>
          <t>G 0.32 – Missbrauch von Berechtigungen; G 0.37 – Abstreiten von Handlungen; G 0.27 – Ressourcenmangel</t>
        </is>
      </c>
      <c r="U47" s="11" t="n">
        <v>4</v>
      </c>
      <c r="V47" s="11" t="n">
        <v>1</v>
      </c>
      <c r="W47" s="11" t="n">
        <v>1</v>
      </c>
      <c r="X47" s="11" t="n">
        <v>1</v>
      </c>
      <c r="Y47" s="11" t="n">
        <v>1</v>
      </c>
    </row>
    <row r="48">
      <c r="A48" s="9" t="inlineStr">
        <is>
          <t>DET.4.2</t>
        </is>
      </c>
      <c r="B48" s="10" t="inlineStr">
        <is>
          <t>Automatische Angriffserkennung</t>
        </is>
      </c>
      <c r="C48" s="11" t="n"/>
      <c r="D48" s="11" t="inlineStr">
        <is>
          <t>Standard-Anforderungen</t>
        </is>
      </c>
      <c r="E48" s="12" t="inlineStr">
        <is>
          <t>Gesamt:</t>
        </is>
      </c>
      <c r="F48" s="11" t="n"/>
      <c r="G48" s="11" t="n"/>
      <c r="H48" s="13">
        <f>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
      </c>
      <c r="I48" s="11" t="n"/>
      <c r="J48" s="11" t="n"/>
      <c r="K48" s="11" t="n"/>
      <c r="L48" s="11" t="n"/>
      <c r="M48" s="11" t="inlineStr">
        <is>
          <t>Vertraulichkeit, Integrität</t>
        </is>
      </c>
      <c r="N48" s="12" t="inlineStr">
        <is>
          <t>DER.1.A17-UA.1; DER.1.A17-UA.2; SYS.1.1.A27-UA.1; SYS.1.9.A19-UA.3; SYS.2.5.A17-UA.3; SYS.4.4.A17-UA.1</t>
        </is>
      </c>
      <c r="O48" s="11" t="inlineStr">
        <is>
          <t>superset-of; equivalent-to; subset-of; superset-of; superset-of; subset-of</t>
        </is>
      </c>
      <c r="P48" s="12" t="inlineStr">
        <is>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is>
      </c>
      <c r="Q48" s="11" t="inlineStr">
        <is>
          <t>IT-Systeme</t>
        </is>
      </c>
      <c r="R48" s="11" t="inlineStr">
        <is>
          <t>Detektions-Konzept</t>
        </is>
      </c>
      <c r="S48" s="12" t="inlineStr">
        <is>
          <t>diese auf Anzeichen für Angriffe</t>
        </is>
      </c>
      <c r="T48" s="12" t="inlineStr">
        <is>
          <t>G 0.39 – Schadprogramme; G 0.23 – Unbefugtes Eindringen in IT-Systeme; G 0.32 – Missbrauch von Berechtigungen</t>
        </is>
      </c>
      <c r="U48" s="11" t="n">
        <v>5</v>
      </c>
      <c r="V48" s="11" t="n">
        <v>2</v>
      </c>
      <c r="W48" s="11" t="n">
        <v>2</v>
      </c>
      <c r="X48" s="11" t="n">
        <v>1</v>
      </c>
      <c r="Y48" s="11" t="n">
        <v>0</v>
      </c>
    </row>
    <row r="49">
      <c r="A49" s="11" t="inlineStr">
        <is>
          <t>DET.4.2</t>
        </is>
      </c>
      <c r="B49" s="12" t="inlineStr">
        <is>
          <t>Automatische Angriffserkennung</t>
        </is>
      </c>
      <c r="C49" s="11" t="inlineStr">
        <is>
          <t>DET.4.2</t>
        </is>
      </c>
      <c r="D49" s="11" t="inlineStr">
        <is>
          <t>Standard-Anforderungen</t>
        </is>
      </c>
      <c r="E49" s="12" t="inlineStr">
        <is>
          <t>Detektion für IT-Systeme SOLLTE diese auf Anzeichen für Angriffe durch einen automatisierten Mechanismus überwachen.</t>
        </is>
      </c>
      <c r="F49" s="14" t="n"/>
      <c r="G49" s="14" t="n"/>
      <c r="H49" s="14" t="inlineStr">
        <is>
          <t>unbearbeitet</t>
        </is>
      </c>
      <c r="I49" s="14" t="n"/>
      <c r="J49" s="14" t="n"/>
      <c r="K49" s="14" t="n"/>
      <c r="L49" s="15" t="n"/>
      <c r="M49" s="11" t="inlineStr">
        <is>
          <t>Vertraulichkeit, Integrität</t>
        </is>
      </c>
      <c r="N49" s="12" t="inlineStr">
        <is>
          <t>DER.1.A17-UA.1; DER.1.A17-UA.2; SYS.1.1.A27-UA.1; SYS.1.9.A19-UA.3; SYS.2.5.A17-UA.3; SYS.4.4.A17-UA.1</t>
        </is>
      </c>
      <c r="O49" s="11" t="inlineStr">
        <is>
          <t>superset-of; equivalent-to; subset-of; superset-of; superset-of; subset-of</t>
        </is>
      </c>
      <c r="P49" s="12" t="inlineStr">
        <is>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is>
      </c>
      <c r="Q49" s="11" t="inlineStr">
        <is>
          <t>IT-Systeme</t>
        </is>
      </c>
      <c r="R49" s="11" t="inlineStr">
        <is>
          <t>Detektions-Konzept</t>
        </is>
      </c>
      <c r="S49" s="12" t="inlineStr">
        <is>
          <t>diese auf Anzeichen für Angriffe</t>
        </is>
      </c>
      <c r="T49" s="12" t="inlineStr">
        <is>
          <t>G 0.39 – Schadprogramme; G 0.23 – Unbefugtes Eindringen in IT-Systeme; G 0.32 – Missbrauch von Berechtigungen</t>
        </is>
      </c>
      <c r="U49" s="11" t="n">
        <v>5</v>
      </c>
      <c r="V49" s="11" t="n">
        <v>2</v>
      </c>
      <c r="W49" s="11" t="n">
        <v>2</v>
      </c>
      <c r="X49" s="11" t="n">
        <v>1</v>
      </c>
      <c r="Y49" s="11" t="n">
        <v>0</v>
      </c>
    </row>
    <row r="50">
      <c r="A50" s="9" t="inlineStr">
        <is>
          <t>DET.4.3</t>
        </is>
      </c>
      <c r="B50" s="10" t="inlineStr">
        <is>
          <t>Überwachung der Angriffserkennung</t>
        </is>
      </c>
      <c r="C50" s="11" t="n"/>
      <c r="D50" s="11" t="inlineStr">
        <is>
          <t>Standard-Anforderungen</t>
        </is>
      </c>
      <c r="E50" s="12" t="inlineStr">
        <is>
          <t>Gesamt:</t>
        </is>
      </c>
      <c r="F50" s="11" t="n"/>
      <c r="G50" s="11" t="n"/>
      <c r="H50" s="13">
        <f>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
      </c>
      <c r="I50" s="11" t="n"/>
      <c r="J50" s="11" t="n"/>
      <c r="K50" s="11" t="n"/>
      <c r="L50" s="11" t="n"/>
      <c r="M50" s="11" t="inlineStr"/>
      <c r="N50" s="12" t="inlineStr">
        <is>
          <t>NET.3.2.A23-UA.2</t>
        </is>
      </c>
      <c r="O50" s="11" t="inlineStr">
        <is>
          <t>subset-of</t>
        </is>
      </c>
      <c r="P50" s="12" t="inlineStr">
        <is>
          <t>Hierzu gehört insbesondere die Aktivierung oder Deaktivierung der Angriffserkennung, oder das Stoppen zugehöriger Dienste.</t>
        </is>
      </c>
      <c r="Q50" s="11" t="inlineStr"/>
      <c r="R50" s="11" t="inlineStr">
        <is>
          <t>Detektions-Konzept</t>
        </is>
      </c>
      <c r="S50" s="12" t="inlineStr">
        <is>
          <t>die Funktionsfähigkeit der automatisierten Angriffserkennung</t>
        </is>
      </c>
      <c r="T50" s="12" t="inlineStr">
        <is>
          <t>G 0.39 – Schadprogramme; G 0.32 – Missbrauch von Berechtigungen; G 0.28 – Software-Schwachstellen oder -Fehler</t>
        </is>
      </c>
      <c r="U50" s="11" t="n">
        <v>4</v>
      </c>
      <c r="V50" s="11" t="n">
        <v>1</v>
      </c>
      <c r="W50" s="11" t="n">
        <v>1</v>
      </c>
      <c r="X50" s="11" t="n">
        <v>1</v>
      </c>
      <c r="Y50" s="11" t="n">
        <v>0</v>
      </c>
    </row>
    <row r="51">
      <c r="A51" s="11" t="inlineStr">
        <is>
          <t>DET.4.3</t>
        </is>
      </c>
      <c r="B51" s="12" t="inlineStr">
        <is>
          <t>Überwachung der Angriffserkennung</t>
        </is>
      </c>
      <c r="C51" s="11" t="inlineStr">
        <is>
          <t>DET.4.3</t>
        </is>
      </c>
      <c r="D51" s="11" t="inlineStr">
        <is>
          <t>Standard-Anforderungen</t>
        </is>
      </c>
      <c r="E51" s="12" t="inlineStr">
        <is>
          <t>Detektion SOLLTE die Funktionsfähigkeit der automatisierten Angriffserkennung überwachen.</t>
        </is>
      </c>
      <c r="F51" s="14" t="n"/>
      <c r="G51" s="14" t="n"/>
      <c r="H51" s="14" t="inlineStr">
        <is>
          <t>unbearbeitet</t>
        </is>
      </c>
      <c r="I51" s="14" t="n"/>
      <c r="J51" s="14" t="n"/>
      <c r="K51" s="14" t="n"/>
      <c r="L51" s="15" t="n"/>
      <c r="M51" s="11" t="inlineStr"/>
      <c r="N51" s="12" t="inlineStr">
        <is>
          <t>NET.3.2.A23-UA.2</t>
        </is>
      </c>
      <c r="O51" s="11" t="inlineStr">
        <is>
          <t>subset-of</t>
        </is>
      </c>
      <c r="P51" s="12" t="inlineStr">
        <is>
          <t>Hierzu gehört insbesondere die Aktivierung oder Deaktivierung der Angriffserkennung, oder das Stoppen zugehöriger Dienste.</t>
        </is>
      </c>
      <c r="Q51" s="11" t="inlineStr"/>
      <c r="R51" s="11" t="inlineStr">
        <is>
          <t>Detektions-Konzept</t>
        </is>
      </c>
      <c r="S51" s="12" t="inlineStr">
        <is>
          <t>die Funktionsfähigkeit der automatisierten Angriffserkennung</t>
        </is>
      </c>
      <c r="T51" s="12" t="inlineStr">
        <is>
          <t>G 0.39 – Schadprogramme; G 0.32 – Missbrauch von Berechtigungen; G 0.28 – Software-Schwachstellen oder -Fehler</t>
        </is>
      </c>
      <c r="U51" s="11" t="n">
        <v>4</v>
      </c>
      <c r="V51" s="11" t="n">
        <v>1</v>
      </c>
      <c r="W51" s="11" t="n">
        <v>1</v>
      </c>
      <c r="X51" s="11" t="n">
        <v>1</v>
      </c>
      <c r="Y51" s="11" t="n">
        <v>0</v>
      </c>
    </row>
    <row r="52">
      <c r="A52" s="9" t="inlineStr">
        <is>
          <t>DET.4.4</t>
        </is>
      </c>
      <c r="B52" s="10" t="inlineStr">
        <is>
          <t>Änderungen an Sicherheitsrichtlinien</t>
        </is>
      </c>
      <c r="C52" s="11" t="n"/>
      <c r="D52" s="11" t="inlineStr">
        <is>
          <t>Standard-Anforderungen</t>
        </is>
      </c>
      <c r="E52" s="12" t="inlineStr">
        <is>
          <t>Gesamt:</t>
        </is>
      </c>
      <c r="F52" s="11" t="n"/>
      <c r="G52" s="11" t="n"/>
      <c r="H52" s="13">
        <f>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
      </c>
      <c r="I52" s="11" t="n"/>
      <c r="J52" s="11" t="n"/>
      <c r="K52" s="11" t="n"/>
      <c r="L52" s="11" t="n"/>
      <c r="M52" s="11" t="inlineStr"/>
      <c r="N52" s="12" t="inlineStr">
        <is>
          <t>APP.4.2.A30-UA.1; NET.3.2.A23-UA.2; NET.3.4.A12-UA.5; SYS.1.1.A10-UA.1</t>
        </is>
      </c>
      <c r="O52" s="11" t="inlineStr">
        <is>
          <t>subset-of; subset-of; intersects-with; superset-of</t>
        </is>
      </c>
      <c r="P52" s="12" t="inlineStr">
        <is>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is>
      </c>
      <c r="Q52" s="11" t="inlineStr"/>
      <c r="R52" s="11" t="inlineStr">
        <is>
          <t>Detektions-Konzept</t>
        </is>
      </c>
      <c r="S52" s="12" t="inlineStr">
        <is>
          <t>Änderungen an Sicherheitsrichtlinien</t>
        </is>
      </c>
      <c r="T52" s="12" t="inlineStr">
        <is>
          <t>G 0.39 – Schadprogramme; G 0.32 – Missbrauch von Berechtigungen; G 0.28 – Software-Schwachstellen oder -Fehler</t>
        </is>
      </c>
      <c r="U52" s="11" t="n">
        <v>3</v>
      </c>
      <c r="V52" s="11" t="n">
        <v>1</v>
      </c>
      <c r="W52" s="11" t="n">
        <v>1</v>
      </c>
      <c r="X52" s="11" t="n">
        <v>1</v>
      </c>
      <c r="Y52" s="11" t="n">
        <v>0</v>
      </c>
    </row>
    <row r="53">
      <c r="A53" s="11" t="inlineStr">
        <is>
          <t>DET.4.4</t>
        </is>
      </c>
      <c r="B53" s="12" t="inlineStr">
        <is>
          <t>Änderungen an Sicherheitsrichtlinien</t>
        </is>
      </c>
      <c r="C53" s="11" t="inlineStr">
        <is>
          <t>DET.4.4</t>
        </is>
      </c>
      <c r="D53" s="11" t="inlineStr">
        <is>
          <t>Standard-Anforderungen</t>
        </is>
      </c>
      <c r="E53" s="12" t="inlineStr">
        <is>
          <t>Detektion SOLLTE Änderungen an Sicherheitsrichtlinien einschließlich deren Aktivierung oder Deaktivierung überwachen.</t>
        </is>
      </c>
      <c r="F53" s="14" t="n"/>
      <c r="G53" s="14" t="n"/>
      <c r="H53" s="14" t="inlineStr">
        <is>
          <t>unbearbeitet</t>
        </is>
      </c>
      <c r="I53" s="14" t="n"/>
      <c r="J53" s="14" t="n"/>
      <c r="K53" s="14" t="n"/>
      <c r="L53" s="15" t="n"/>
      <c r="M53" s="11" t="inlineStr"/>
      <c r="N53" s="12" t="inlineStr">
        <is>
          <t>APP.4.2.A30-UA.1; NET.3.2.A23-UA.2; NET.3.4.A12-UA.5; SYS.1.1.A10-UA.1</t>
        </is>
      </c>
      <c r="O53" s="11" t="inlineStr">
        <is>
          <t>subset-of; subset-of; intersects-with; superset-of</t>
        </is>
      </c>
      <c r="P53" s="12" t="inlineStr">
        <is>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is>
      </c>
      <c r="Q53" s="11" t="inlineStr"/>
      <c r="R53" s="11" t="inlineStr">
        <is>
          <t>Detektions-Konzept</t>
        </is>
      </c>
      <c r="S53" s="12" t="inlineStr">
        <is>
          <t>Änderungen an Sicherheitsrichtlinien</t>
        </is>
      </c>
      <c r="T53" s="12" t="inlineStr">
        <is>
          <t>G 0.39 – Schadprogramme; G 0.32 – Missbrauch von Berechtigungen; G 0.28 – Software-Schwachstellen oder -Fehler</t>
        </is>
      </c>
      <c r="U53" s="11" t="n">
        <v>3</v>
      </c>
      <c r="V53" s="11" t="n">
        <v>1</v>
      </c>
      <c r="W53" s="11" t="n">
        <v>1</v>
      </c>
      <c r="X53" s="11" t="n">
        <v>1</v>
      </c>
      <c r="Y53" s="11" t="n">
        <v>0</v>
      </c>
    </row>
    <row r="54">
      <c r="A54" s="9" t="inlineStr">
        <is>
          <t>DET.4.5</t>
        </is>
      </c>
      <c r="B54" s="10" t="inlineStr">
        <is>
          <t>Unerwünschte Datenabflüsse</t>
        </is>
      </c>
      <c r="C54" s="11" t="n"/>
      <c r="D54" s="11" t="inlineStr">
        <is>
          <t>Anforderungen bei erhöhtem Schutzbedarf</t>
        </is>
      </c>
      <c r="E54" s="12" t="inlineStr">
        <is>
          <t>Gesamt:</t>
        </is>
      </c>
      <c r="F54" s="11" t="n"/>
      <c r="G54" s="11" t="n"/>
      <c r="H54" s="13">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
      </c>
      <c r="I54" s="11" t="n"/>
      <c r="J54" s="11" t="n"/>
      <c r="K54" s="11" t="n"/>
      <c r="L54" s="11" t="n"/>
      <c r="M54" s="11" t="inlineStr">
        <is>
          <t>Vertraulichkeit</t>
        </is>
      </c>
      <c r="N54" s="12" t="inlineStr">
        <is>
          <t>NET.1.1.A35-UA.1; SYS.1.1.A10-UA.1</t>
        </is>
      </c>
      <c r="O54" s="11" t="inlineStr">
        <is>
          <t>subset-of; superset-of</t>
        </is>
      </c>
      <c r="P54" s="12" t="inlineStr">
        <is>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is>
      </c>
      <c r="Q54" s="11" t="inlineStr"/>
      <c r="R54" s="11" t="inlineStr">
        <is>
          <t>Detektions-Konzept</t>
        </is>
      </c>
      <c r="S54" s="12" t="inlineStr">
        <is>
          <t>unerwünschte Datenabflüsse</t>
        </is>
      </c>
      <c r="T54" s="12" t="inlineStr">
        <is>
          <t>G 0.37 – Abstreiten von Handlungen; G 0.19 – Offenlegung schützenswerter Informationen</t>
        </is>
      </c>
      <c r="U54" s="11" t="n">
        <v>5</v>
      </c>
      <c r="V54" s="11" t="n">
        <v>2</v>
      </c>
      <c r="W54" s="11" t="n">
        <v>1</v>
      </c>
      <c r="X54" s="11" t="n">
        <v>1</v>
      </c>
      <c r="Y54" s="11" t="n">
        <v>1</v>
      </c>
    </row>
    <row r="55">
      <c r="A55" s="11" t="inlineStr">
        <is>
          <t>DET.4.5</t>
        </is>
      </c>
      <c r="B55" s="12" t="inlineStr">
        <is>
          <t>Unerwünschte Datenabflüsse</t>
        </is>
      </c>
      <c r="C55" s="11" t="inlineStr">
        <is>
          <t>DET.4.5</t>
        </is>
      </c>
      <c r="D55" s="11" t="inlineStr">
        <is>
          <t>Anforderungen bei erhöhtem Schutzbedarf</t>
        </is>
      </c>
      <c r="E55" s="12" t="inlineStr">
        <is>
          <t>Detektion KANN unerwünschte Datenabflüsse überwachen.</t>
        </is>
      </c>
      <c r="F55" s="14" t="n"/>
      <c r="G55" s="14" t="n"/>
      <c r="H55" s="14" t="inlineStr">
        <is>
          <t>unbearbeitet</t>
        </is>
      </c>
      <c r="I55" s="14" t="n"/>
      <c r="J55" s="14" t="n"/>
      <c r="K55" s="14" t="n"/>
      <c r="L55" s="15" t="n"/>
      <c r="M55" s="11" t="inlineStr">
        <is>
          <t>Vertraulichkeit</t>
        </is>
      </c>
      <c r="N55" s="12" t="inlineStr">
        <is>
          <t>NET.1.1.A35-UA.1; SYS.1.1.A10-UA.1</t>
        </is>
      </c>
      <c r="O55" s="11" t="inlineStr">
        <is>
          <t>subset-of; superset-of</t>
        </is>
      </c>
      <c r="P55" s="12" t="inlineStr">
        <is>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is>
      </c>
      <c r="Q55" s="11" t="inlineStr"/>
      <c r="R55" s="11" t="inlineStr">
        <is>
          <t>Detektions-Konzept</t>
        </is>
      </c>
      <c r="S55" s="12" t="inlineStr">
        <is>
          <t>unerwünschte Datenabflüsse</t>
        </is>
      </c>
      <c r="T55" s="12" t="inlineStr">
        <is>
          <t>G 0.37 – Abstreiten von Handlungen; G 0.19 – Offenlegung schützenswerter Informationen</t>
        </is>
      </c>
      <c r="U55" s="11" t="n">
        <v>5</v>
      </c>
      <c r="V55" s="11" t="n">
        <v>2</v>
      </c>
      <c r="W55" s="11" t="n">
        <v>1</v>
      </c>
      <c r="X55" s="11" t="n">
        <v>1</v>
      </c>
      <c r="Y55" s="11" t="n">
        <v>1</v>
      </c>
    </row>
    <row r="56">
      <c r="A56" s="9" t="inlineStr">
        <is>
          <t>DET.4.6</t>
        </is>
      </c>
      <c r="B56" s="10" t="inlineStr">
        <is>
          <t>Anomale Nutzung der Anwendung</t>
        </is>
      </c>
      <c r="C56" s="11" t="n"/>
      <c r="D56" s="11" t="inlineStr">
        <is>
          <t>Anforderungen bei erhöhtem Schutzbedarf</t>
        </is>
      </c>
      <c r="E56" s="12" t="inlineStr">
        <is>
          <t>Gesamt:</t>
        </is>
      </c>
      <c r="F56" s="11" t="n"/>
      <c r="G56" s="11" t="n"/>
      <c r="H56" s="13">
        <f>IF(OR(COUNTBLANK($H$57:$H$58)&gt;0,COUNTIF($H$57:$H$58,"unbearbeitet")=COUNTA($H$57:$H$58)),"Bitte Teilanforderungen ausfüllen",IF(COUNTIF($H$57:$H$58,"zu klären")&gt;0,"zu klären",IF(COUNTIF($H$57:$H$58,"entbehrlich")=COUNTA($H$57:$H$58),"entbehrlich",IF(COUNTIF($H$57:$H$58,"verwiesen")=COUNTA($H$57:$H$58),"verwiesen",IF(COUNTIF($H$57:$H$58,"nein")+COUNTIF($H$57:$H$58,"entbehrlich")=COUNTA($H$57:$H$58),"nein",IF(COUNTIF($H$57:$H$58,"ja")+COUNTIF($H$57:$H$58,"entbehrlich")+COUNTIF($H$57:$H$58,"verwiesen")=COUNTA($H$57:$H$58),"ja","teilweise"))))))</f>
        <v/>
      </c>
      <c r="I56" s="11" t="n"/>
      <c r="J56" s="11" t="n"/>
      <c r="K56" s="11" t="n"/>
      <c r="L56" s="11" t="n"/>
      <c r="M56" s="11" t="inlineStr">
        <is>
          <t>Vertraulichkeit, Integrität</t>
        </is>
      </c>
      <c r="N56" s="12" t="inlineStr">
        <is>
          <t>APP.4.3.A20-UA.5; CON.10.A6-UA.1; OPS.1.1.7.A25-UA.3; SYS.1.6.A24-UA.2; SYS.2.5.A17-UA.3</t>
        </is>
      </c>
      <c r="O56" s="11" t="inlineStr">
        <is>
          <t>subset-of; intersects-with; subset-of; intersects-with; equivalent-to</t>
        </is>
      </c>
      <c r="P56" s="12" t="inlineStr">
        <is>
          <t>Beispiele sind massenhafte Downloads von Dateiservern oder Cloud-Diensten, Datenbankabfragen die eine ungewöhnlich hohe Menge von Daten oder Einträgen, die unerreichbar sein sollen, zurückliefern, oder automatische E-Mail-Weiterleitungen an externe Domains.</t>
        </is>
      </c>
      <c r="Q56" s="11" t="inlineStr">
        <is>
          <t>Anwendungen</t>
        </is>
      </c>
      <c r="R56" s="11" t="inlineStr">
        <is>
          <t>Detektions-Konzept</t>
        </is>
      </c>
      <c r="S56" s="12" t="inlineStr">
        <is>
          <t>die Nutzung der Anwendung auf Anomalien</t>
        </is>
      </c>
      <c r="T56" s="12" t="inlineStr">
        <is>
          <t>G 0.32 – Missbrauch von Berechtigungen; G 0.28 – Software-Schwachstellen oder -Fehler; G 0.23 – Unbefugtes Eindringen in IT-Systeme</t>
        </is>
      </c>
      <c r="U56" s="11" t="n">
        <v>3</v>
      </c>
      <c r="V56" s="11" t="n">
        <v>2</v>
      </c>
      <c r="W56" s="11" t="n">
        <v>2</v>
      </c>
      <c r="X56" s="11" t="n">
        <v>1</v>
      </c>
      <c r="Y56" s="11" t="n">
        <v>0</v>
      </c>
    </row>
    <row r="57">
      <c r="A57" s="11" t="inlineStr">
        <is>
          <t>DET.4.6</t>
        </is>
      </c>
      <c r="B57" s="12" t="inlineStr">
        <is>
          <t>Anomale Nutzung der Anwendung</t>
        </is>
      </c>
      <c r="C57" s="11" t="inlineStr">
        <is>
          <t>DET.4.6</t>
        </is>
      </c>
      <c r="D57" s="11" t="inlineStr">
        <is>
          <t>Anforderungen bei erhöhtem Schutzbedarf</t>
        </is>
      </c>
      <c r="E57" s="12" t="inlineStr">
        <is>
          <t>Detektion für Anwendungen KANN die Nutzung der Anwendung auf Anomalien überwachen.</t>
        </is>
      </c>
      <c r="F57" s="14" t="n"/>
      <c r="G57" s="14" t="n"/>
      <c r="H57" s="14" t="inlineStr">
        <is>
          <t>unbearbeitet</t>
        </is>
      </c>
      <c r="I57" s="14" t="n"/>
      <c r="J57" s="14" t="n"/>
      <c r="K57" s="14" t="n"/>
      <c r="L57" s="15" t="n"/>
      <c r="M57" s="11" t="inlineStr">
        <is>
          <t>Vertraulichkeit, Integrität</t>
        </is>
      </c>
      <c r="N57" s="12" t="inlineStr">
        <is>
          <t>APP.4.3.A20-UA.5; CON.10.A6-UA.1; OPS.1.1.7.A25-UA.3; SYS.1.6.A24-UA.2; SYS.2.5.A17-UA.3</t>
        </is>
      </c>
      <c r="O57" s="11" t="inlineStr">
        <is>
          <t>subset-of; intersects-with; subset-of; intersects-with; equivalent-to</t>
        </is>
      </c>
      <c r="P57" s="12" t="inlineStr">
        <is>
          <t>Beispiele sind massenhafte Downloads von Dateiservern oder Cloud-Diensten, Datenbankabfragen die eine ungewöhnlich hohe Menge von Daten oder Einträgen, die unerreichbar sein sollen, zurückliefern, oder automatische E-Mail-Weiterleitungen an externe Domains.</t>
        </is>
      </c>
      <c r="Q57" s="11" t="inlineStr">
        <is>
          <t>Anwendungen</t>
        </is>
      </c>
      <c r="R57" s="11" t="inlineStr">
        <is>
          <t>Detektions-Konzept</t>
        </is>
      </c>
      <c r="S57" s="12" t="inlineStr">
        <is>
          <t>die Nutzung der Anwendung auf Anomalien</t>
        </is>
      </c>
      <c r="T57" s="12" t="inlineStr">
        <is>
          <t>G 0.32 – Missbrauch von Berechtigungen; G 0.28 – Software-Schwachstellen oder -Fehler; G 0.23 – Unbefugtes Eindringen in IT-Systeme</t>
        </is>
      </c>
      <c r="U57" s="11" t="n">
        <v>3</v>
      </c>
      <c r="V57" s="11" t="n">
        <v>2</v>
      </c>
      <c r="W57" s="11" t="n">
        <v>2</v>
      </c>
      <c r="X57" s="11" t="n">
        <v>1</v>
      </c>
      <c r="Y57" s="11" t="n">
        <v>0</v>
      </c>
    </row>
    <row r="58">
      <c r="A58" s="11" t="inlineStr">
        <is>
          <t>DET.4.6</t>
        </is>
      </c>
      <c r="B58" s="12" t="inlineStr">
        <is>
          <t>Anomale Nutzung der Anwendung</t>
        </is>
      </c>
      <c r="C58" s="11" t="inlineStr">
        <is>
          <t>DET.4.6.1</t>
        </is>
      </c>
      <c r="D58" s="11" t="inlineStr">
        <is>
          <t>Anforderungen bei erhöhtem Schutzbedarf</t>
        </is>
      </c>
      <c r="E58" s="12" t="inlineStr">
        <is>
          <t>Detektion für Verzeichnisdienste KANN das Verhalten von Zugangskonten überwachen.</t>
        </is>
      </c>
      <c r="F58" s="14" t="n"/>
      <c r="G58" s="14" t="n"/>
      <c r="H58" s="14" t="inlineStr">
        <is>
          <t>unbearbeitet</t>
        </is>
      </c>
      <c r="I58" s="14" t="n"/>
      <c r="J58" s="14" t="n"/>
      <c r="K58" s="14" t="n"/>
      <c r="L58" s="15" t="n"/>
      <c r="M58" s="11" t="inlineStr">
        <is>
          <t>Vertraulichkeit, Integrität</t>
        </is>
      </c>
      <c r="N58" s="12" t="inlineStr">
        <is>
          <t>OPS.1.1.7.A25-UA.3; SYS.2.1.A45-UA.1</t>
        </is>
      </c>
      <c r="O58" s="11" t="inlineStr">
        <is>
          <t>subset-of; superset-of</t>
        </is>
      </c>
      <c r="P58" s="12" t="inlineStr">
        <is>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is>
      </c>
      <c r="Q58" s="11" t="inlineStr">
        <is>
          <t>Verzeichnisdienste</t>
        </is>
      </c>
      <c r="R58" s="11" t="inlineStr">
        <is>
          <t>Detektions-Konzept</t>
        </is>
      </c>
      <c r="S58" s="12" t="inlineStr">
        <is>
          <t>das Verhalten von Zugangskonten</t>
        </is>
      </c>
      <c r="T58" s="12" t="inlineStr">
        <is>
          <t>G 0.32 – Missbrauch von Berechtigungen; G 0.39 – Schadprogramme; G 0.37 – Abstreiten von Handlungen</t>
        </is>
      </c>
      <c r="U58" s="11" t="n">
        <v>5</v>
      </c>
      <c r="V58" s="11" t="n">
        <v>2</v>
      </c>
      <c r="W58" s="11" t="n">
        <v>2</v>
      </c>
      <c r="X58" s="11" t="n">
        <v>1</v>
      </c>
      <c r="Y58" s="11" t="n">
        <v>1</v>
      </c>
    </row>
    <row r="59">
      <c r="A59" s="9" t="inlineStr">
        <is>
          <t>DET.4.7</t>
        </is>
      </c>
      <c r="B59" s="10" t="inlineStr">
        <is>
          <t>Auslaufen von Domains</t>
        </is>
      </c>
      <c r="C59" s="11" t="n"/>
      <c r="D59" s="11" t="inlineStr">
        <is>
          <t>Anforderungen bei erhöhtem Schutzbedarf</t>
        </is>
      </c>
      <c r="E59" s="12" t="inlineStr">
        <is>
          <t>Gesamt:</t>
        </is>
      </c>
      <c r="F59" s="11" t="n"/>
      <c r="G59" s="11" t="n"/>
      <c r="H59" s="13">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
      </c>
      <c r="I59" s="11" t="n"/>
      <c r="J59" s="11" t="n"/>
      <c r="K59" s="11" t="n"/>
      <c r="L59" s="11" t="n"/>
      <c r="M59" s="11" t="inlineStr">
        <is>
          <t>Verfügbarkeit</t>
        </is>
      </c>
      <c r="N59" s="12" t="inlineStr">
        <is>
          <t>APP.3.6.A7-UA.1; APP.3.6.A8-UA.1</t>
        </is>
      </c>
      <c r="O59" s="11" t="inlineStr">
        <is>
          <t>superset-of; superset-of</t>
        </is>
      </c>
      <c r="P59" s="12" t="inlineStr">
        <is>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is>
      </c>
      <c r="Q59" s="11" t="inlineStr">
        <is>
          <t>Webserver</t>
        </is>
      </c>
      <c r="R59" s="11" t="inlineStr">
        <is>
          <t>Detektions-Konzept</t>
        </is>
      </c>
      <c r="S59" s="12" t="inlineStr">
        <is>
          <t>das Auslaufen von Domains</t>
        </is>
      </c>
      <c r="T59" s="12" t="inlineStr">
        <is>
          <t>G 0.25 – Ausfall von Geräten oder Systemen; G 0.26 – Fehlfunktion von Geräten oder Systemen; G 0.27 – Ressourcenmangel</t>
        </is>
      </c>
      <c r="U59" s="11" t="n">
        <v>5</v>
      </c>
      <c r="V59" s="11" t="n">
        <v>1</v>
      </c>
      <c r="W59" s="11" t="n">
        <v>1</v>
      </c>
      <c r="X59" s="11" t="n">
        <v>2</v>
      </c>
      <c r="Y59" s="11" t="n">
        <v>0</v>
      </c>
    </row>
    <row r="60">
      <c r="A60" s="11" t="inlineStr">
        <is>
          <t>DET.4.7</t>
        </is>
      </c>
      <c r="B60" s="12" t="inlineStr">
        <is>
          <t>Auslaufen von Domains</t>
        </is>
      </c>
      <c r="C60" s="11" t="inlineStr">
        <is>
          <t>DET.4.7</t>
        </is>
      </c>
      <c r="D60" s="11" t="inlineStr">
        <is>
          <t>Anforderungen bei erhöhtem Schutzbedarf</t>
        </is>
      </c>
      <c r="E60" s="12" t="inlineStr">
        <is>
          <t>Detektion für Webserver KANN das Auslaufen von Domains überwachen.</t>
        </is>
      </c>
      <c r="F60" s="14" t="n"/>
      <c r="G60" s="14" t="n"/>
      <c r="H60" s="14" t="inlineStr">
        <is>
          <t>unbearbeitet</t>
        </is>
      </c>
      <c r="I60" s="14" t="n"/>
      <c r="J60" s="14" t="n"/>
      <c r="K60" s="14" t="n"/>
      <c r="L60" s="15" t="n"/>
      <c r="M60" s="11" t="inlineStr">
        <is>
          <t>Verfügbarkeit</t>
        </is>
      </c>
      <c r="N60" s="12" t="inlineStr">
        <is>
          <t>APP.3.6.A7-UA.1; APP.3.6.A8-UA.1</t>
        </is>
      </c>
      <c r="O60" s="11" t="inlineStr">
        <is>
          <t>superset-of; superset-of</t>
        </is>
      </c>
      <c r="P60" s="12" t="inlineStr">
        <is>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is>
      </c>
      <c r="Q60" s="11" t="inlineStr">
        <is>
          <t>Webserver</t>
        </is>
      </c>
      <c r="R60" s="11" t="inlineStr">
        <is>
          <t>Detektions-Konzept</t>
        </is>
      </c>
      <c r="S60" s="12" t="inlineStr">
        <is>
          <t>das Auslaufen von Domains</t>
        </is>
      </c>
      <c r="T60" s="12" t="inlineStr">
        <is>
          <t>G 0.25 – Ausfall von Geräten oder Systemen; G 0.26 – Fehlfunktion von Geräten oder Systemen; G 0.27 – Ressourcenmangel</t>
        </is>
      </c>
      <c r="U60" s="11" t="n">
        <v>5</v>
      </c>
      <c r="V60" s="11" t="n">
        <v>1</v>
      </c>
      <c r="W60" s="11" t="n">
        <v>1</v>
      </c>
      <c r="X60" s="11" t="n">
        <v>2</v>
      </c>
      <c r="Y60" s="11" t="n">
        <v>0</v>
      </c>
    </row>
    <row r="61">
      <c r="A61" s="9" t="inlineStr">
        <is>
          <t>DET.4.8</t>
        </is>
      </c>
      <c r="B61" s="10" t="inlineStr">
        <is>
          <t>Ausstellung neuer HTTPS-Zertifikate</t>
        </is>
      </c>
      <c r="C61" s="11" t="n"/>
      <c r="D61" s="11" t="inlineStr">
        <is>
          <t>Anforderungen bei erhöhtem Schutzbedarf</t>
        </is>
      </c>
      <c r="E61" s="12" t="inlineStr">
        <is>
          <t>Gesamt:</t>
        </is>
      </c>
      <c r="F61" s="11" t="n"/>
      <c r="G61" s="11" t="n"/>
      <c r="H61" s="13">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
      </c>
      <c r="I61" s="11" t="n"/>
      <c r="J61" s="11" t="n"/>
      <c r="K61" s="11" t="n"/>
      <c r="L61" s="11" t="n"/>
      <c r="M61" s="11" t="inlineStr">
        <is>
          <t>Vertraulichkeit</t>
        </is>
      </c>
      <c r="N61" s="12" t="inlineStr"/>
      <c r="O61" s="11" t="inlineStr"/>
      <c r="P61" s="12" t="inlineStr">
        <is>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is>
      </c>
      <c r="Q61" s="11" t="inlineStr">
        <is>
          <t>Webserver</t>
        </is>
      </c>
      <c r="R61" s="11" t="inlineStr">
        <is>
          <t>Detektions-Konzept</t>
        </is>
      </c>
      <c r="S61" s="12" t="inlineStr">
        <is>
          <t>die rechtzeitige Ausstellung neuer HTTPS-Zertifikate für Hostsysteme, die im Internet erreichbar sind,</t>
        </is>
      </c>
      <c r="T61" s="12" t="inlineStr">
        <is>
          <t>G 0.15 – Abhören</t>
        </is>
      </c>
      <c r="U61" s="11" t="n">
        <v>5</v>
      </c>
      <c r="V61" s="11" t="n">
        <v>2</v>
      </c>
      <c r="W61" s="11" t="n">
        <v>1</v>
      </c>
      <c r="X61" s="11" t="n">
        <v>1</v>
      </c>
      <c r="Y61" s="11" t="n">
        <v>0</v>
      </c>
    </row>
    <row r="62">
      <c r="A62" s="11" t="inlineStr">
        <is>
          <t>DET.4.8</t>
        </is>
      </c>
      <c r="B62" s="12" t="inlineStr">
        <is>
          <t>Ausstellung neuer HTTPS-Zertifikate</t>
        </is>
      </c>
      <c r="C62" s="11" t="inlineStr">
        <is>
          <t>DET.4.8</t>
        </is>
      </c>
      <c r="D62" s="11" t="inlineStr">
        <is>
          <t>Anforderungen bei erhöhtem Schutzbedarf</t>
        </is>
      </c>
      <c r="E62" s="12" t="inlineStr">
        <is>
          <t>Detektion für Webserver KANN die rechtzeitige Ausstellung neuer HTTPS-Zertifikate für Hostsysteme, die im Internet erreichbar sind, überwachen.</t>
        </is>
      </c>
      <c r="F62" s="14" t="n"/>
      <c r="G62" s="14" t="n"/>
      <c r="H62" s="14" t="inlineStr">
        <is>
          <t>unbearbeitet</t>
        </is>
      </c>
      <c r="I62" s="14" t="n"/>
      <c r="J62" s="14" t="n"/>
      <c r="K62" s="14" t="n"/>
      <c r="L62" s="15" t="n"/>
      <c r="M62" s="11" t="inlineStr">
        <is>
          <t>Vertraulichkeit</t>
        </is>
      </c>
      <c r="N62" s="12" t="inlineStr"/>
      <c r="O62" s="11" t="inlineStr"/>
      <c r="P62" s="12" t="inlineStr">
        <is>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is>
      </c>
      <c r="Q62" s="11" t="inlineStr">
        <is>
          <t>Webserver</t>
        </is>
      </c>
      <c r="R62" s="11" t="inlineStr">
        <is>
          <t>Detektions-Konzept</t>
        </is>
      </c>
      <c r="S62" s="12" t="inlineStr">
        <is>
          <t>die rechtzeitige Ausstellung neuer HTTPS-Zertifikate für Hostsysteme, die im Internet erreichbar sind,</t>
        </is>
      </c>
      <c r="T62" s="12" t="inlineStr">
        <is>
          <t>G 0.15 – Abhören</t>
        </is>
      </c>
      <c r="U62" s="11" t="n">
        <v>5</v>
      </c>
      <c r="V62" s="11" t="n">
        <v>2</v>
      </c>
      <c r="W62" s="11" t="n">
        <v>1</v>
      </c>
      <c r="X62" s="11" t="n">
        <v>1</v>
      </c>
      <c r="Y62" s="11" t="n">
        <v>0</v>
      </c>
    </row>
    <row r="63">
      <c r="A63" s="9" t="inlineStr">
        <is>
          <t>DET.4.9</t>
        </is>
      </c>
      <c r="B63" s="10" t="inlineStr">
        <is>
          <t>Manipulations-Checkup</t>
        </is>
      </c>
      <c r="C63" s="11" t="n"/>
      <c r="D63" s="11" t="inlineStr">
        <is>
          <t>Anforderungen bei erhöhtem Schutzbedarf</t>
        </is>
      </c>
      <c r="E63" s="12" t="inlineStr">
        <is>
          <t>Gesamt:</t>
        </is>
      </c>
      <c r="F63" s="11" t="n"/>
      <c r="G63" s="11" t="n"/>
      <c r="H63" s="13">
        <f>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
      </c>
      <c r="I63" s="11" t="n"/>
      <c r="J63" s="11" t="n"/>
      <c r="K63" s="11" t="n"/>
      <c r="L63" s="11" t="n"/>
      <c r="M63" s="11" t="inlineStr"/>
      <c r="N63" s="12" t="inlineStr">
        <is>
          <t>CON.1.A20-UA.1; IND.1.A17-UA.2; SYS.1.1.A27-UA.4; SYS.4.3.A16-UA.2</t>
        </is>
      </c>
      <c r="O63" s="11" t="inlineStr">
        <is>
          <t>subset-of; intersects-with; intersects-with; intersects-with</t>
        </is>
      </c>
      <c r="P63" s="12" t="inlineStr">
        <is>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is>
      </c>
      <c r="Q63" s="11" t="inlineStr">
        <is>
          <t>IT-Systeme</t>
        </is>
      </c>
      <c r="R63" s="11" t="inlineStr">
        <is>
          <t>Detektions-Konzept</t>
        </is>
      </c>
      <c r="S63" s="12" t="inlineStr">
        <is>
          <t>das System auf Manipulationsversuche</t>
        </is>
      </c>
      <c r="T63" s="12" t="inlineStr">
        <is>
          <t>G 0.23 – Unbefugtes Eindringen in IT-Systeme; G 0.39 – Schadprogramme; G 0.32 – Missbrauch von Berechtigungen; G 0.41 – Sabotage</t>
        </is>
      </c>
      <c r="U63" s="11" t="n">
        <v>5</v>
      </c>
      <c r="V63" s="11" t="n">
        <v>1</v>
      </c>
      <c r="W63" s="11" t="n">
        <v>1</v>
      </c>
      <c r="X63" s="11" t="n">
        <v>1</v>
      </c>
      <c r="Y63" s="11" t="n">
        <v>0</v>
      </c>
    </row>
    <row r="64">
      <c r="A64" s="11" t="inlineStr">
        <is>
          <t>DET.4.9</t>
        </is>
      </c>
      <c r="B64" s="12" t="inlineStr">
        <is>
          <t>Manipulations-Checkup</t>
        </is>
      </c>
      <c r="C64" s="11" t="inlineStr">
        <is>
          <t>DET.4.9</t>
        </is>
      </c>
      <c r="D64" s="11" t="inlineStr">
        <is>
          <t>Anforderungen bei erhöhtem Schutzbedarf</t>
        </is>
      </c>
      <c r="E64" s="12" t="inlineStr">
        <is>
          <t>Detektion für IT-Systeme KANN das System auf Manipulationsversuche regelmäßig überprüfen.</t>
        </is>
      </c>
      <c r="F64" s="14" t="n"/>
      <c r="G64" s="14" t="n"/>
      <c r="H64" s="14" t="inlineStr">
        <is>
          <t>unbearbeitet</t>
        </is>
      </c>
      <c r="I64" s="14" t="n"/>
      <c r="J64" s="14" t="n"/>
      <c r="K64" s="14" t="n"/>
      <c r="L64" s="15" t="n"/>
      <c r="M64" s="11" t="inlineStr"/>
      <c r="N64" s="12" t="inlineStr">
        <is>
          <t>CON.1.A20-UA.1; IND.1.A17-UA.2; SYS.1.1.A27-UA.4; SYS.4.3.A16-UA.2</t>
        </is>
      </c>
      <c r="O64" s="11" t="inlineStr">
        <is>
          <t>subset-of; intersects-with; intersects-with; intersects-with</t>
        </is>
      </c>
      <c r="P64" s="12" t="inlineStr">
        <is>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is>
      </c>
      <c r="Q64" s="11" t="inlineStr">
        <is>
          <t>IT-Systeme</t>
        </is>
      </c>
      <c r="R64" s="11" t="inlineStr">
        <is>
          <t>Detektions-Konzept</t>
        </is>
      </c>
      <c r="S64" s="12" t="inlineStr">
        <is>
          <t>das System auf Manipulationsversuche</t>
        </is>
      </c>
      <c r="T64" s="12" t="inlineStr">
        <is>
          <t>G 0.23 – Unbefugtes Eindringen in IT-Systeme; G 0.39 – Schadprogramme; G 0.32 – Missbrauch von Berechtigungen; G 0.41 – Sabotage</t>
        </is>
      </c>
      <c r="U64" s="11" t="n">
        <v>5</v>
      </c>
      <c r="V64" s="11" t="n">
        <v>1</v>
      </c>
      <c r="W64" s="11" t="n">
        <v>1</v>
      </c>
      <c r="X64" s="11" t="n">
        <v>1</v>
      </c>
      <c r="Y64" s="11" t="n">
        <v>0</v>
      </c>
    </row>
    <row r="65">
      <c r="A65" s="9" t="inlineStr">
        <is>
          <t>DET.4.10</t>
        </is>
      </c>
      <c r="B65" s="10" t="inlineStr">
        <is>
          <t>Host-basierte Köder</t>
        </is>
      </c>
      <c r="C65" s="11" t="n"/>
      <c r="D65" s="11" t="inlineStr">
        <is>
          <t>Anforderungen bei erhöhtem Schutzbedarf</t>
        </is>
      </c>
      <c r="E65" s="12" t="inlineStr">
        <is>
          <t>Gesamt:</t>
        </is>
      </c>
      <c r="F65" s="11" t="n"/>
      <c r="G65" s="11" t="n"/>
      <c r="H65" s="13">
        <f>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
      </c>
      <c r="I65" s="11" t="n"/>
      <c r="J65" s="11" t="n"/>
      <c r="K65" s="11" t="n"/>
      <c r="L65" s="11" t="n"/>
      <c r="M65" s="11" t="inlineStr"/>
      <c r="N65" s="12" t="inlineStr">
        <is>
          <t>SYS.1.1.A27-UA.1</t>
        </is>
      </c>
      <c r="O65" s="11" t="inlineStr">
        <is>
          <t>intersects-with</t>
        </is>
      </c>
      <c r="P65" s="12" t="inlineStr">
        <is>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is>
      </c>
      <c r="Q65" s="11" t="inlineStr">
        <is>
          <t>IT-Systeme</t>
        </is>
      </c>
      <c r="R65" s="11" t="inlineStr">
        <is>
          <t>Detektions-Konzept</t>
        </is>
      </c>
      <c r="S65" s="12" t="inlineStr">
        <is>
          <t>Host-basierte Köder</t>
        </is>
      </c>
      <c r="T65" s="12" t="inlineStr">
        <is>
          <t>G 0.21 – Manipulation von Hard- oder Software; G 0.23 – Unbefugtes Eindringen in IT-Systeme; G 0.40 – Verhinderung von Diensten (Denial of Service); G 0.32 – Missbrauch von Berechtigungen</t>
        </is>
      </c>
      <c r="U65" s="11" t="n">
        <v>5</v>
      </c>
      <c r="V65" s="11" t="n">
        <v>1</v>
      </c>
      <c r="W65" s="11" t="n">
        <v>1</v>
      </c>
      <c r="X65" s="11" t="n">
        <v>1</v>
      </c>
      <c r="Y65" s="11" t="n">
        <v>0</v>
      </c>
    </row>
    <row r="66">
      <c r="A66" s="11" t="inlineStr">
        <is>
          <t>DET.4.10</t>
        </is>
      </c>
      <c r="B66" s="12" t="inlineStr">
        <is>
          <t>Host-basierte Köder</t>
        </is>
      </c>
      <c r="C66" s="11" t="inlineStr">
        <is>
          <t>DET.4.10</t>
        </is>
      </c>
      <c r="D66" s="11" t="inlineStr">
        <is>
          <t>Anforderungen bei erhöhtem Schutzbedarf</t>
        </is>
      </c>
      <c r="E66" s="12" t="inlineStr">
        <is>
          <t>Detektion für IT-Systeme KANN Host-basierte Köder installieren.</t>
        </is>
      </c>
      <c r="F66" s="14" t="n"/>
      <c r="G66" s="14" t="n"/>
      <c r="H66" s="14" t="inlineStr">
        <is>
          <t>unbearbeitet</t>
        </is>
      </c>
      <c r="I66" s="14" t="n"/>
      <c r="J66" s="14" t="n"/>
      <c r="K66" s="14" t="n"/>
      <c r="L66" s="15" t="n"/>
      <c r="M66" s="11" t="inlineStr"/>
      <c r="N66" s="12" t="inlineStr">
        <is>
          <t>SYS.1.1.A27-UA.1</t>
        </is>
      </c>
      <c r="O66" s="11" t="inlineStr">
        <is>
          <t>intersects-with</t>
        </is>
      </c>
      <c r="P66" s="12" t="inlineStr">
        <is>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is>
      </c>
      <c r="Q66" s="11" t="inlineStr">
        <is>
          <t>IT-Systeme</t>
        </is>
      </c>
      <c r="R66" s="11" t="inlineStr">
        <is>
          <t>Detektions-Konzept</t>
        </is>
      </c>
      <c r="S66" s="12" t="inlineStr">
        <is>
          <t>Host-basierte Köder</t>
        </is>
      </c>
      <c r="T66" s="12" t="inlineStr">
        <is>
          <t>G 0.21 – Manipulation von Hard- oder Software; G 0.23 – Unbefugtes Eindringen in IT-Systeme; G 0.40 – Verhinderung von Diensten (Denial of Service); G 0.32 – Missbrauch von Berechtigungen</t>
        </is>
      </c>
      <c r="U66" s="11" t="n">
        <v>5</v>
      </c>
      <c r="V66" s="11" t="n">
        <v>1</v>
      </c>
      <c r="W66" s="11" t="n">
        <v>1</v>
      </c>
      <c r="X66" s="11" t="n">
        <v>1</v>
      </c>
      <c r="Y66" s="11" t="n">
        <v>0</v>
      </c>
    </row>
    <row r="67">
      <c r="A67" s="9" t="inlineStr">
        <is>
          <t>DET.4.11</t>
        </is>
      </c>
      <c r="B67" s="10" t="inlineStr">
        <is>
          <t>Anomalien in Netzen und am Perimeter</t>
        </is>
      </c>
      <c r="C67" s="11" t="n"/>
      <c r="D67" s="11" t="inlineStr">
        <is>
          <t>Standard-Anforderungen</t>
        </is>
      </c>
      <c r="E67" s="12" t="inlineStr">
        <is>
          <t>Gesamt:</t>
        </is>
      </c>
      <c r="F67" s="11" t="n"/>
      <c r="G67" s="11" t="n"/>
      <c r="H67" s="13">
        <f>IF(OR(COUNTBLANK($H$68:$H$71)&gt;0,COUNTIF($H$68:$H$71,"unbearbeitet")=COUNTA($H$68:$H$71)),"Bitte Teilanforderungen ausfüllen",IF(COUNTIF($H$68:$H$71,"zu klären")&gt;0,"zu klären",IF(COUNTIF($H$68:$H$71,"entbehrlich")=COUNTA($H$68:$H$71),"entbehrlich",IF(COUNTIF($H$68:$H$71,"verwiesen")=COUNTA($H$68:$H$71),"verwiesen",IF(COUNTIF($H$68:$H$71,"nein")+COUNTIF($H$68:$H$71,"entbehrlich")=COUNTA($H$68:$H$71),"nein",IF(COUNTIF($H$68:$H$71,"ja")+COUNTIF($H$68:$H$71,"entbehrlich")+COUNTIF($H$68:$H$71,"verwiesen")=COUNTA($H$68:$H$71),"ja","teilweise"))))))</f>
        <v/>
      </c>
      <c r="I67" s="11" t="n"/>
      <c r="J67" s="11" t="n"/>
      <c r="K67" s="11" t="n"/>
      <c r="L67" s="11" t="n"/>
      <c r="M67" s="11" t="inlineStr">
        <is>
          <t>Vertraulichkeit, Integrität</t>
        </is>
      </c>
      <c r="N67" s="12" t="inlineStr">
        <is>
          <t>DER.1.A9-UA.1; DER.1.A9-UA.4; NET.2.1.A13-UA.5; NET.3.1.A15-UA.1; SYS.2.5.A17-UA.3</t>
        </is>
      </c>
      <c r="O67" s="11" t="inlineStr">
        <is>
          <t>intersects-with; subset-of; subset-of; subset-of; subset-of</t>
        </is>
      </c>
      <c r="P67" s="12" t="inlineStr">
        <is>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is>
      </c>
      <c r="Q67" s="11" t="inlineStr">
        <is>
          <t>Netze</t>
        </is>
      </c>
      <c r="R67" s="11" t="inlineStr">
        <is>
          <t>Detektions-Konzept</t>
        </is>
      </c>
      <c r="S67" s="12" t="inlineStr">
        <is>
          <t>den Netzwerkverkehr auf Anomalien</t>
        </is>
      </c>
      <c r="T67" s="12" t="inlineStr">
        <is>
          <t>G 0.23 – Unbefugtes Eindringen in IT-Systeme; G 0.39 – Schadprogramme; G 0.32 – Missbrauch von Berechtigungen</t>
        </is>
      </c>
      <c r="U67" s="11" t="n">
        <v>5</v>
      </c>
      <c r="V67" s="11" t="n">
        <v>2</v>
      </c>
      <c r="W67" s="11" t="n">
        <v>2</v>
      </c>
      <c r="X67" s="11" t="n">
        <v>1</v>
      </c>
      <c r="Y67" s="11" t="n">
        <v>0</v>
      </c>
    </row>
    <row r="68">
      <c r="A68" s="11" t="inlineStr">
        <is>
          <t>DET.4.11</t>
        </is>
      </c>
      <c r="B68" s="12" t="inlineStr">
        <is>
          <t>Anomalien in Netzen und am Perimeter</t>
        </is>
      </c>
      <c r="C68" s="11" t="inlineStr">
        <is>
          <t>DET.4.11</t>
        </is>
      </c>
      <c r="D68" s="11" t="inlineStr">
        <is>
          <t>Standard-Anforderungen</t>
        </is>
      </c>
      <c r="E68" s="12" t="inlineStr">
        <is>
          <t>Detektion für Netze SOLLTE den Netzwerkverkehr auf Anomalien überwachen.</t>
        </is>
      </c>
      <c r="F68" s="14" t="n"/>
      <c r="G68" s="14" t="n"/>
      <c r="H68" s="14" t="inlineStr">
        <is>
          <t>unbearbeitet</t>
        </is>
      </c>
      <c r="I68" s="14" t="n"/>
      <c r="J68" s="14" t="n"/>
      <c r="K68" s="14" t="n"/>
      <c r="L68" s="15" t="n"/>
      <c r="M68" s="11" t="inlineStr">
        <is>
          <t>Vertraulichkeit, Integrität</t>
        </is>
      </c>
      <c r="N68" s="12" t="inlineStr">
        <is>
          <t>DER.1.A9-UA.1; DER.1.A9-UA.4; NET.2.1.A13-UA.5; NET.3.1.A15-UA.1; SYS.2.5.A17-UA.3</t>
        </is>
      </c>
      <c r="O68" s="11" t="inlineStr">
        <is>
          <t>intersects-with; subset-of; subset-of; subset-of; subset-of</t>
        </is>
      </c>
      <c r="P68" s="12" t="inlineStr">
        <is>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is>
      </c>
      <c r="Q68" s="11" t="inlineStr">
        <is>
          <t>Netze</t>
        </is>
      </c>
      <c r="R68" s="11" t="inlineStr">
        <is>
          <t>Detektions-Konzept</t>
        </is>
      </c>
      <c r="S68" s="12" t="inlineStr">
        <is>
          <t>den Netzwerkverkehr auf Anomalien</t>
        </is>
      </c>
      <c r="T68" s="12" t="inlineStr">
        <is>
          <t>G 0.23 – Unbefugtes Eindringen in IT-Systeme; G 0.39 – Schadprogramme; G 0.32 – Missbrauch von Berechtigungen</t>
        </is>
      </c>
      <c r="U68" s="11" t="n">
        <v>5</v>
      </c>
      <c r="V68" s="11" t="n">
        <v>2</v>
      </c>
      <c r="W68" s="11" t="n">
        <v>2</v>
      </c>
      <c r="X68" s="11" t="n">
        <v>1</v>
      </c>
      <c r="Y68" s="11" t="n">
        <v>0</v>
      </c>
    </row>
    <row r="69">
      <c r="A69" s="11" t="inlineStr">
        <is>
          <t>DET.4.11</t>
        </is>
      </c>
      <c r="B69" s="12" t="inlineStr">
        <is>
          <t>Anomalien in Netzen und am Perimeter</t>
        </is>
      </c>
      <c r="C69" s="11" t="inlineStr">
        <is>
          <t>DET.4.11.1</t>
        </is>
      </c>
      <c r="D69" s="11" t="inlineStr">
        <is>
          <t>Anforderungen bei erhöhtem Schutzbedarf</t>
        </is>
      </c>
      <c r="E69" s="12" t="inlineStr">
        <is>
          <t>Detektion für Externe Netzanschlüsse KANN Authentifizierungsversuche auf unauthorisierte Verbindungen regelmäßig überprüfen.</t>
        </is>
      </c>
      <c r="F69" s="14" t="n"/>
      <c r="G69" s="14" t="n"/>
      <c r="H69" s="14" t="inlineStr">
        <is>
          <t>unbearbeitet</t>
        </is>
      </c>
      <c r="I69" s="14" t="n"/>
      <c r="J69" s="14" t="n"/>
      <c r="K69" s="14" t="n"/>
      <c r="L69" s="15" t="n"/>
      <c r="M69" s="11" t="inlineStr">
        <is>
          <t>Vertraulichkeit, Integrität</t>
        </is>
      </c>
      <c r="N69" s="12" t="inlineStr">
        <is>
          <t>NET.1.2.A7-UA.1; NET.3.2.A2-UA.2; NET.3.3.A5-UA.1</t>
        </is>
      </c>
      <c r="O69" s="11" t="inlineStr">
        <is>
          <t>superset-of; superset-of; superset-of</t>
        </is>
      </c>
      <c r="P69" s="12" t="inlineStr">
        <is>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is>
      </c>
      <c r="Q69" s="11" t="inlineStr">
        <is>
          <t>Externe Netzanschlüsse</t>
        </is>
      </c>
      <c r="R69" s="11" t="inlineStr">
        <is>
          <t>Detektions-Konzept</t>
        </is>
      </c>
      <c r="S69" s="12" t="inlineStr">
        <is>
          <t>Authentifizierungsversuche auf unauthorisierte Verbindungen</t>
        </is>
      </c>
      <c r="T69" s="12" t="inlineStr">
        <is>
          <t>G 0.23 – Unbefugtes Eindringen in IT-Systeme; G 0.32 – Missbrauch von Berechtigungen</t>
        </is>
      </c>
      <c r="U69" s="11" t="n">
        <v>5</v>
      </c>
      <c r="V69" s="11" t="n">
        <v>2</v>
      </c>
      <c r="W69" s="11" t="n">
        <v>2</v>
      </c>
      <c r="X69" s="11" t="n">
        <v>1</v>
      </c>
      <c r="Y69" s="11" t="n">
        <v>0</v>
      </c>
    </row>
    <row r="70">
      <c r="A70" s="11" t="inlineStr">
        <is>
          <t>DET.4.11</t>
        </is>
      </c>
      <c r="B70" s="12" t="inlineStr">
        <is>
          <t>Anomalien in Netzen und am Perimeter</t>
        </is>
      </c>
      <c r="C70" s="11" t="inlineStr">
        <is>
          <t>DET.4.11.2</t>
        </is>
      </c>
      <c r="D70" s="11" t="inlineStr">
        <is>
          <t>Anforderungen bei erhöhtem Schutzbedarf</t>
        </is>
      </c>
      <c r="E70" s="12" t="inlineStr">
        <is>
          <t>Detektion für Netze KANN Netzwerk-Honeypots installieren.</t>
        </is>
      </c>
      <c r="F70" s="14" t="n"/>
      <c r="G70" s="14" t="n"/>
      <c r="H70" s="14" t="inlineStr">
        <is>
          <t>unbearbeitet</t>
        </is>
      </c>
      <c r="I70" s="14" t="n"/>
      <c r="J70" s="14" t="n"/>
      <c r="K70" s="14" t="n"/>
      <c r="L70" s="15" t="n"/>
      <c r="M70" s="11" t="inlineStr">
        <is>
          <t>Vertraulichkeit, Integrität</t>
        </is>
      </c>
      <c r="N70" s="12" t="inlineStr">
        <is>
          <t>DER.1.A9-UA.4</t>
        </is>
      </c>
      <c r="O70" s="11" t="inlineStr">
        <is>
          <t>intersects-with</t>
        </is>
      </c>
      <c r="P70" s="12" t="inlineStr">
        <is>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is>
      </c>
      <c r="Q70" s="11" t="inlineStr">
        <is>
          <t>Netze</t>
        </is>
      </c>
      <c r="R70" s="11" t="inlineStr">
        <is>
          <t>Detektions-Konzept</t>
        </is>
      </c>
      <c r="S70" s="12" t="inlineStr">
        <is>
          <t>Netzwerk-Honeypots</t>
        </is>
      </c>
      <c r="T70" s="12" t="inlineStr">
        <is>
          <t>G 0.23 – Unbefugtes Eindringen in IT-Systeme; G 0.39 – Schadprogramme</t>
        </is>
      </c>
      <c r="U70" s="11" t="n">
        <v>5</v>
      </c>
      <c r="V70" s="11" t="n">
        <v>2</v>
      </c>
      <c r="W70" s="11" t="n">
        <v>2</v>
      </c>
      <c r="X70" s="11" t="n">
        <v>1</v>
      </c>
      <c r="Y70" s="11" t="n">
        <v>0</v>
      </c>
    </row>
    <row r="71">
      <c r="A71" s="11" t="inlineStr">
        <is>
          <t>DET.4.11</t>
        </is>
      </c>
      <c r="B71" s="12" t="inlineStr">
        <is>
          <t>Anomalien in Netzen und am Perimeter</t>
        </is>
      </c>
      <c r="C71" s="11" t="inlineStr">
        <is>
          <t>DET.4.11.3</t>
        </is>
      </c>
      <c r="D71" s="11" t="inlineStr">
        <is>
          <t>Anforderungen bei erhöhtem Schutzbedarf</t>
        </is>
      </c>
      <c r="E71" s="12" t="inlineStr">
        <is>
          <t>Detektion für Netze KANN auf kritische Netzverkehrsflüsse anhand von Kriterien überwachen.</t>
        </is>
      </c>
      <c r="F71" s="14" t="n"/>
      <c r="G71" s="14" t="n"/>
      <c r="H71" s="14" t="inlineStr">
        <is>
          <t>unbearbeitet</t>
        </is>
      </c>
      <c r="I71" s="14" t="n"/>
      <c r="J71" s="14" t="n"/>
      <c r="K71" s="14" t="n"/>
      <c r="L71" s="15" t="n"/>
      <c r="M71" s="11" t="inlineStr">
        <is>
          <t>Vertraulichkeit, Integrität</t>
        </is>
      </c>
      <c r="N71" s="12" t="inlineStr">
        <is>
          <t>DER.1.A9-UA.1; NET.3.2.A9-UA.1</t>
        </is>
      </c>
      <c r="O71" s="11" t="inlineStr">
        <is>
          <t>intersects-with; intersects-with</t>
        </is>
      </c>
      <c r="P71" s="12" t="inlineStr">
        <is>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is>
      </c>
      <c r="Q71" s="11" t="inlineStr">
        <is>
          <t>Netze</t>
        </is>
      </c>
      <c r="R71" s="11" t="inlineStr">
        <is>
          <t>Audit Log</t>
        </is>
      </c>
      <c r="S71" s="12" t="inlineStr">
        <is>
          <t>auf kritische Netzverkehrsflüsse</t>
        </is>
      </c>
      <c r="T71" s="12" t="inlineStr">
        <is>
          <t>G 0.23 – Unbefugtes Eindringen in IT-Systeme; G 0.39 – Schadprogramme; G 0.37 – Abstreiten von Handlungen</t>
        </is>
      </c>
      <c r="U71" s="11" t="n">
        <v>5</v>
      </c>
      <c r="V71" s="11" t="n">
        <v>2</v>
      </c>
      <c r="W71" s="11" t="n">
        <v>2</v>
      </c>
      <c r="X71" s="11" t="n">
        <v>1</v>
      </c>
      <c r="Y71" s="11" t="n">
        <v>1</v>
      </c>
    </row>
    <row r="72">
      <c r="A72" s="9" t="inlineStr">
        <is>
          <t>DET.4.12</t>
        </is>
      </c>
      <c r="B72" s="10" t="inlineStr">
        <is>
          <t>Monitoring der Netzverfügbarkeit</t>
        </is>
      </c>
      <c r="C72" s="11" t="n"/>
      <c r="D72" s="11" t="inlineStr">
        <is>
          <t>Standard-Anforderungen</t>
        </is>
      </c>
      <c r="E72" s="12" t="inlineStr">
        <is>
          <t>Gesamt:</t>
        </is>
      </c>
      <c r="F72" s="11" t="n"/>
      <c r="G72" s="11" t="n"/>
      <c r="H72" s="13">
        <f>IF(OR(COUNTBLANK($H$73:$H$74)&gt;0,COUNTIF($H$73:$H$74,"unbearbeitet")=COUNTA($H$73:$H$74)),"Bitte Teilanforderungen ausfüllen",IF(COUNTIF($H$73:$H$74,"zu klären")&gt;0,"zu klären",IF(COUNTIF($H$73:$H$74,"entbehrlich")=COUNTA($H$73:$H$74),"entbehrlich",IF(COUNTIF($H$73:$H$74,"verwiesen")=COUNTA($H$73:$H$74),"verwiesen",IF(COUNTIF($H$73:$H$74,"nein")+COUNTIF($H$73:$H$74,"entbehrlich")=COUNTA($H$73:$H$74),"nein",IF(COUNTIF($H$73:$H$74,"ja")+COUNTIF($H$73:$H$74,"entbehrlich")+COUNTIF($H$73:$H$74,"verwiesen")=COUNTA($H$73:$H$74),"ja","teilweise"))))))</f>
        <v/>
      </c>
      <c r="I72" s="11" t="n"/>
      <c r="J72" s="11" t="n"/>
      <c r="K72" s="11" t="n"/>
      <c r="L72" s="11" t="n"/>
      <c r="M72" s="11" t="inlineStr">
        <is>
          <t>Verfügbarkeit</t>
        </is>
      </c>
      <c r="N72" s="12" t="inlineStr">
        <is>
          <t>NET.1.2.A25-UA.1; NET.1.2.A26-UA.3; OPS.1.1.1.A9-UA.4</t>
        </is>
      </c>
      <c r="O72" s="11" t="inlineStr">
        <is>
          <t>equivalent-to; superset-of; superset-of</t>
        </is>
      </c>
      <c r="P72" s="12" t="inlineStr">
        <is>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is>
      </c>
      <c r="Q72" s="11" t="inlineStr">
        <is>
          <t>Netze</t>
        </is>
      </c>
      <c r="R72" s="11" t="inlineStr">
        <is>
          <t>Detektions-Konzept</t>
        </is>
      </c>
      <c r="S72" s="12" t="inlineStr">
        <is>
          <t>die Verfügbarkeit des Netzes</t>
        </is>
      </c>
      <c r="T72" s="12" t="inlineStr">
        <is>
          <t>G 0.23 – Unbefugtes Eindringen in IT-Systeme; G 0.25 – Ausfall von Geräten oder Systemen; G 0.26 – Fehlfunktion von Geräten oder Systemen; G 0.27 – Ressourcenmangel</t>
        </is>
      </c>
      <c r="U72" s="11" t="n">
        <v>3</v>
      </c>
      <c r="V72" s="11" t="n">
        <v>1</v>
      </c>
      <c r="W72" s="11" t="n">
        <v>1</v>
      </c>
      <c r="X72" s="11" t="n">
        <v>2</v>
      </c>
      <c r="Y72" s="11" t="n">
        <v>0</v>
      </c>
    </row>
    <row r="73">
      <c r="A73" s="11" t="inlineStr">
        <is>
          <t>DET.4.12</t>
        </is>
      </c>
      <c r="B73" s="12" t="inlineStr">
        <is>
          <t>Monitoring der Netzverfügbarkeit</t>
        </is>
      </c>
      <c r="C73" s="11" t="inlineStr">
        <is>
          <t>DET.4.12</t>
        </is>
      </c>
      <c r="D73" s="11" t="inlineStr">
        <is>
          <t>Standard-Anforderungen</t>
        </is>
      </c>
      <c r="E73" s="12" t="inlineStr">
        <is>
          <t>Detektion für Netze SOLLTE die Verfügbarkeit des Netzes anhand von Schwellwerten überwachen.</t>
        </is>
      </c>
      <c r="F73" s="14" t="n"/>
      <c r="G73" s="14" t="n"/>
      <c r="H73" s="14" t="inlineStr">
        <is>
          <t>unbearbeitet</t>
        </is>
      </c>
      <c r="I73" s="14" t="n"/>
      <c r="J73" s="14" t="n"/>
      <c r="K73" s="14" t="n"/>
      <c r="L73" s="15" t="n"/>
      <c r="M73" s="11" t="inlineStr">
        <is>
          <t>Verfügbarkeit</t>
        </is>
      </c>
      <c r="N73" s="12" t="inlineStr">
        <is>
          <t>NET.1.2.A25-UA.1; NET.1.2.A26-UA.3; OPS.1.1.1.A9-UA.4</t>
        </is>
      </c>
      <c r="O73" s="11" t="inlineStr">
        <is>
          <t>equivalent-to; superset-of; superset-of</t>
        </is>
      </c>
      <c r="P73" s="12" t="inlineStr">
        <is>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is>
      </c>
      <c r="Q73" s="11" t="inlineStr">
        <is>
          <t>Netze</t>
        </is>
      </c>
      <c r="R73" s="11" t="inlineStr">
        <is>
          <t>Detektions-Konzept</t>
        </is>
      </c>
      <c r="S73" s="12" t="inlineStr">
        <is>
          <t>die Verfügbarkeit des Netzes</t>
        </is>
      </c>
      <c r="T73" s="12" t="inlineStr">
        <is>
          <t>G 0.23 – Unbefugtes Eindringen in IT-Systeme; G 0.25 – Ausfall von Geräten oder Systemen; G 0.26 – Fehlfunktion von Geräten oder Systemen; G 0.27 – Ressourcenmangel</t>
        </is>
      </c>
      <c r="U73" s="11" t="n">
        <v>3</v>
      </c>
      <c r="V73" s="11" t="n">
        <v>1</v>
      </c>
      <c r="W73" s="11" t="n">
        <v>1</v>
      </c>
      <c r="X73" s="11" t="n">
        <v>2</v>
      </c>
      <c r="Y73" s="11" t="n">
        <v>0</v>
      </c>
    </row>
    <row r="74">
      <c r="A74" s="11" t="inlineStr">
        <is>
          <t>DET.4.12</t>
        </is>
      </c>
      <c r="B74" s="12" t="inlineStr">
        <is>
          <t>Monitoring der Netzverfügbarkeit</t>
        </is>
      </c>
      <c r="C74" s="11" t="inlineStr">
        <is>
          <t>DET.4.12.1</t>
        </is>
      </c>
      <c r="D74" s="11" t="inlineStr">
        <is>
          <t>Anforderungen bei erhöhtem Schutzbedarf</t>
        </is>
      </c>
      <c r="E74" s="12" t="inlineStr">
        <is>
          <t>Detektion für Netze SOLLTE die Auslastung des Netzes anhand von Schwellwerten überwachen.</t>
        </is>
      </c>
      <c r="F74" s="14" t="n"/>
      <c r="G74" s="14" t="n"/>
      <c r="H74" s="14" t="inlineStr">
        <is>
          <t>unbearbeitet</t>
        </is>
      </c>
      <c r="I74" s="14" t="n"/>
      <c r="J74" s="14" t="n"/>
      <c r="K74" s="14" t="n"/>
      <c r="L74" s="15" t="n"/>
      <c r="M74" s="11" t="inlineStr">
        <is>
          <t>Verfügbarkeit</t>
        </is>
      </c>
      <c r="N74" s="12" t="inlineStr">
        <is>
          <t>NET.1.2.A25-UA.1; NET.1.2.A25-UA.2</t>
        </is>
      </c>
      <c r="O74" s="11" t="inlineStr">
        <is>
          <t>equivalent-to; subset-of</t>
        </is>
      </c>
      <c r="P74" s="12" t="inlineStr">
        <is>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is>
      </c>
      <c r="Q74" s="11" t="inlineStr">
        <is>
          <t>Netze</t>
        </is>
      </c>
      <c r="R74" s="11" t="inlineStr">
        <is>
          <t>Detektions-Konzept</t>
        </is>
      </c>
      <c r="S74" s="12" t="inlineStr">
        <is>
          <t>die Auslastung des Netzes</t>
        </is>
      </c>
      <c r="T74" s="12" t="inlineStr">
        <is>
          <t>G 0.25 – Ausfall von Geräten oder Systemen; G 0.26 – Fehlfunktion von Geräten oder Systemen; G 0.27 – Ressourcenmangel; G 0.18 – Fehlplanung oder fehlende Anpassung</t>
        </is>
      </c>
      <c r="U74" s="11" t="n">
        <v>4</v>
      </c>
      <c r="V74" s="11" t="n">
        <v>1</v>
      </c>
      <c r="W74" s="11" t="n">
        <v>1</v>
      </c>
      <c r="X74" s="11" t="n">
        <v>2</v>
      </c>
      <c r="Y74" s="11" t="n">
        <v>0</v>
      </c>
    </row>
    <row r="75">
      <c r="A75" s="9" t="inlineStr">
        <is>
          <t>DET.4.13</t>
        </is>
      </c>
      <c r="B75" s="10" t="inlineStr">
        <is>
          <t>Verfügbarkeit des Hostsystems</t>
        </is>
      </c>
      <c r="C75" s="11" t="n"/>
      <c r="D75" s="11" t="inlineStr">
        <is>
          <t>Standard-Anforderungen</t>
        </is>
      </c>
      <c r="E75" s="12" t="inlineStr">
        <is>
          <t>Gesamt:</t>
        </is>
      </c>
      <c r="F75" s="11" t="n"/>
      <c r="G75" s="11" t="n"/>
      <c r="H75" s="13">
        <f>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
      </c>
      <c r="I75" s="11" t="n"/>
      <c r="J75" s="11" t="n"/>
      <c r="K75" s="11" t="n"/>
      <c r="L75" s="11" t="n"/>
      <c r="M75" s="11" t="inlineStr">
        <is>
          <t>Verfügbarkeit</t>
        </is>
      </c>
      <c r="N75" s="12" t="inlineStr">
        <is>
          <t>APP.3.2.A18-UA.1; APP.4.2.A9-UA.3; OPS.1.1.7.A15-UA.2; SYS.1.1.A23-UA.2; SYS.1.5.A17-UA.1; SYS.1.9.A14-UA.2</t>
        </is>
      </c>
      <c r="O75" s="11" t="inlineStr">
        <is>
          <t>intersects-with; intersects-with; intersects-with; equivalent-to; intersects-with; intersects-with</t>
        </is>
      </c>
      <c r="P75" s="12" t="inlineStr">
        <is>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is>
      </c>
      <c r="Q75" s="11" t="inlineStr">
        <is>
          <t>Hostsysteme</t>
        </is>
      </c>
      <c r="R75" s="11" t="inlineStr">
        <is>
          <t>Detektions-Konzept</t>
        </is>
      </c>
      <c r="S75" s="12" t="inlineStr">
        <is>
          <t>die Netzerreichbarkeit</t>
        </is>
      </c>
      <c r="T75" s="12" t="inlineStr">
        <is>
          <t>G 0.25 – Ausfall von Geräten oder Systemen; G 0.27 – Ressourcenmangel; G 0.18 – Fehlplanung oder fehlende Anpassung; G 0.23 – Unbefugtes Eindringen in IT-Systeme</t>
        </is>
      </c>
      <c r="U75" s="11" t="n">
        <v>3</v>
      </c>
      <c r="V75" s="11" t="n">
        <v>1</v>
      </c>
      <c r="W75" s="11" t="n">
        <v>1</v>
      </c>
      <c r="X75" s="11" t="n">
        <v>2</v>
      </c>
      <c r="Y75" s="11" t="n">
        <v>0</v>
      </c>
    </row>
    <row r="76">
      <c r="A76" s="11" t="inlineStr">
        <is>
          <t>DET.4.13</t>
        </is>
      </c>
      <c r="B76" s="12" t="inlineStr">
        <is>
          <t>Verfügbarkeit des Hostsystems</t>
        </is>
      </c>
      <c r="C76" s="11" t="inlineStr">
        <is>
          <t>DET.4.13</t>
        </is>
      </c>
      <c r="D76" s="11" t="inlineStr">
        <is>
          <t>Standard-Anforderungen</t>
        </is>
      </c>
      <c r="E76" s="12" t="inlineStr">
        <is>
          <t>Detektion für Hostsysteme SOLLTE die Netzerreichbarkeit anhand von Schwellwerten überwachen.</t>
        </is>
      </c>
      <c r="F76" s="14" t="n"/>
      <c r="G76" s="14" t="n"/>
      <c r="H76" s="14" t="inlineStr">
        <is>
          <t>unbearbeitet</t>
        </is>
      </c>
      <c r="I76" s="14" t="n"/>
      <c r="J76" s="14" t="n"/>
      <c r="K76" s="14" t="n"/>
      <c r="L76" s="15" t="n"/>
      <c r="M76" s="11" t="inlineStr">
        <is>
          <t>Verfügbarkeit</t>
        </is>
      </c>
      <c r="N76" s="12" t="inlineStr">
        <is>
          <t>APP.3.2.A18-UA.1; APP.4.2.A9-UA.3; OPS.1.1.7.A15-UA.2; SYS.1.1.A23-UA.2; SYS.1.5.A17-UA.1; SYS.1.9.A14-UA.2</t>
        </is>
      </c>
      <c r="O76" s="11" t="inlineStr">
        <is>
          <t>intersects-with; intersects-with; intersects-with; equivalent-to; intersects-with; intersects-with</t>
        </is>
      </c>
      <c r="P76" s="12" t="inlineStr">
        <is>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is>
      </c>
      <c r="Q76" s="11" t="inlineStr">
        <is>
          <t>Hostsysteme</t>
        </is>
      </c>
      <c r="R76" s="11" t="inlineStr">
        <is>
          <t>Detektions-Konzept</t>
        </is>
      </c>
      <c r="S76" s="12" t="inlineStr">
        <is>
          <t>die Netzerreichbarkeit</t>
        </is>
      </c>
      <c r="T76" s="12" t="inlineStr">
        <is>
          <t>G 0.25 – Ausfall von Geräten oder Systemen; G 0.27 – Ressourcenmangel; G 0.18 – Fehlplanung oder fehlende Anpassung; G 0.23 – Unbefugtes Eindringen in IT-Systeme</t>
        </is>
      </c>
      <c r="U76" s="11" t="n">
        <v>3</v>
      </c>
      <c r="V76" s="11" t="n">
        <v>1</v>
      </c>
      <c r="W76" s="11" t="n">
        <v>1</v>
      </c>
      <c r="X76" s="11" t="n">
        <v>2</v>
      </c>
      <c r="Y76" s="11" t="n">
        <v>0</v>
      </c>
    </row>
    <row r="77">
      <c r="A77" s="9" t="inlineStr">
        <is>
          <t>DET.4.14</t>
        </is>
      </c>
      <c r="B77" s="10" t="inlineStr">
        <is>
          <t>Verfügbarkeit der Anwendung</t>
        </is>
      </c>
      <c r="C77" s="11" t="n"/>
      <c r="D77" s="11" t="inlineStr">
        <is>
          <t>Standard-Anforderungen</t>
        </is>
      </c>
      <c r="E77" s="12" t="inlineStr">
        <is>
          <t>Gesamt:</t>
        </is>
      </c>
      <c r="F77" s="11" t="n"/>
      <c r="G77" s="11" t="n"/>
      <c r="H77" s="13">
        <f>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
      </c>
      <c r="I77" s="11" t="n"/>
      <c r="J77" s="11" t="n"/>
      <c r="K77" s="11" t="n"/>
      <c r="L77" s="11" t="n"/>
      <c r="M77" s="11" t="inlineStr">
        <is>
          <t>Verfügbarkeit</t>
        </is>
      </c>
      <c r="N77" s="12" t="inlineStr">
        <is>
          <t>APP.3.2.A18-UA.1; APP.4.2.A9-UA.3; APP.5.4.A11-UA.4; OPS.1.1.7.A15-UA.2; SYS.1.1.A23-UA.1; SYS.1.9.A14-UA.2</t>
        </is>
      </c>
      <c r="O77" s="11" t="inlineStr">
        <is>
          <t>subset-of; subset-of; intersects-with; superset-of; intersects-with; subset-of</t>
        </is>
      </c>
      <c r="P77" s="12" t="inlineStr">
        <is>
          <t>Dabei wird die Erreichbarkeit des Dienstes der Anwendung selbst, z.B. auf den bereitstellenden Servern, nicht nur die Erreichbarkeit des Systems überwacht.</t>
        </is>
      </c>
      <c r="Q77" s="11" t="inlineStr">
        <is>
          <t>Anwendungen</t>
        </is>
      </c>
      <c r="R77" s="11" t="inlineStr">
        <is>
          <t>Detektions-Konzept</t>
        </is>
      </c>
      <c r="S77" s="12" t="inlineStr">
        <is>
          <t>die Netzerreichbarkeit</t>
        </is>
      </c>
      <c r="T77" s="12" t="inlineStr">
        <is>
          <t>G 0.25 – Ausfall von Geräten oder Systemen; G 0.27 – Ressourcenmangel; G 0.18 – Fehlplanung oder fehlende Anpassung; G 0.23 – Unbefugtes Eindringen in IT-Systeme</t>
        </is>
      </c>
      <c r="U77" s="11" t="n">
        <v>4</v>
      </c>
      <c r="V77" s="11" t="n">
        <v>1</v>
      </c>
      <c r="W77" s="11" t="n">
        <v>1</v>
      </c>
      <c r="X77" s="11" t="n">
        <v>2</v>
      </c>
      <c r="Y77" s="11" t="n">
        <v>0</v>
      </c>
    </row>
    <row r="78">
      <c r="A78" s="11" t="inlineStr">
        <is>
          <t>DET.4.14</t>
        </is>
      </c>
      <c r="B78" s="12" t="inlineStr">
        <is>
          <t>Verfügbarkeit der Anwendung</t>
        </is>
      </c>
      <c r="C78" s="11" t="inlineStr">
        <is>
          <t>DET.4.14</t>
        </is>
      </c>
      <c r="D78" s="11" t="inlineStr">
        <is>
          <t>Standard-Anforderungen</t>
        </is>
      </c>
      <c r="E78" s="12" t="inlineStr">
        <is>
          <t>Detektion für Anwendungen SOLLTE die Netzerreichbarkeit anhand von Schwellwerten überwachen.</t>
        </is>
      </c>
      <c r="F78" s="14" t="n"/>
      <c r="G78" s="14" t="n"/>
      <c r="H78" s="14" t="inlineStr">
        <is>
          <t>unbearbeitet</t>
        </is>
      </c>
      <c r="I78" s="14" t="n"/>
      <c r="J78" s="14" t="n"/>
      <c r="K78" s="14" t="n"/>
      <c r="L78" s="15" t="n"/>
      <c r="M78" s="11" t="inlineStr">
        <is>
          <t>Verfügbarkeit</t>
        </is>
      </c>
      <c r="N78" s="12" t="inlineStr">
        <is>
          <t>APP.3.2.A18-UA.1; APP.4.2.A9-UA.3; APP.5.4.A11-UA.4; OPS.1.1.7.A15-UA.2; SYS.1.1.A23-UA.1; SYS.1.9.A14-UA.2</t>
        </is>
      </c>
      <c r="O78" s="11" t="inlineStr">
        <is>
          <t>subset-of; subset-of; intersects-with; superset-of; intersects-with; subset-of</t>
        </is>
      </c>
      <c r="P78" s="12" t="inlineStr">
        <is>
          <t>Dabei wird die Erreichbarkeit des Dienstes der Anwendung selbst, z.B. auf den bereitstellenden Servern, nicht nur die Erreichbarkeit des Systems überwacht.</t>
        </is>
      </c>
      <c r="Q78" s="11" t="inlineStr">
        <is>
          <t>Anwendungen</t>
        </is>
      </c>
      <c r="R78" s="11" t="inlineStr">
        <is>
          <t>Detektions-Konzept</t>
        </is>
      </c>
      <c r="S78" s="12" t="inlineStr">
        <is>
          <t>die Netzerreichbarkeit</t>
        </is>
      </c>
      <c r="T78" s="12" t="inlineStr">
        <is>
          <t>G 0.25 – Ausfall von Geräten oder Systemen; G 0.27 – Ressourcenmangel; G 0.18 – Fehlplanung oder fehlende Anpassung; G 0.23 – Unbefugtes Eindringen in IT-Systeme</t>
        </is>
      </c>
      <c r="U78" s="11" t="n">
        <v>4</v>
      </c>
      <c r="V78" s="11" t="n">
        <v>1</v>
      </c>
      <c r="W78" s="11" t="n">
        <v>1</v>
      </c>
      <c r="X78" s="11" t="n">
        <v>2</v>
      </c>
      <c r="Y78" s="11" t="n">
        <v>0</v>
      </c>
    </row>
    <row r="79">
      <c r="A79" s="9" t="inlineStr">
        <is>
          <t>DET.4.15</t>
        </is>
      </c>
      <c r="B79" s="10" t="inlineStr">
        <is>
          <t>Ressourcenauslastung von Hostsystemen</t>
        </is>
      </c>
      <c r="C79" s="11" t="n"/>
      <c r="D79" s="11" t="inlineStr">
        <is>
          <t>Standard-Anforderungen</t>
        </is>
      </c>
      <c r="E79" s="12" t="inlineStr">
        <is>
          <t>Gesamt:</t>
        </is>
      </c>
      <c r="F79" s="11" t="n"/>
      <c r="G79" s="11" t="n"/>
      <c r="H79" s="13">
        <f>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
      </c>
      <c r="I79" s="11" t="n"/>
      <c r="J79" s="11" t="n"/>
      <c r="K79" s="11" t="n"/>
      <c r="L79" s="11" t="n"/>
      <c r="M79" s="11" t="inlineStr">
        <is>
          <t>Verfügbarkeit</t>
        </is>
      </c>
      <c r="N79" s="12" t="inlineStr">
        <is>
          <t>APP.3.6.A7-UA.2; OPS.1.1.7.A15-UA.2; OPS.1.2.2.A12-UA.1; SYS.1.5.A17-UA.2; SYS.1.7.A16-UA.2; SYS.1.9.A14-UA.2; SYS.2.5.A15-UA.2; SYS.2.6.A10-UA.2</t>
        </is>
      </c>
      <c r="O79" s="11" t="inlineStr">
        <is>
          <t>subset-of; superset-of; subset-of; subset-of; intersects-with; subset-of; subset-of; subset-of</t>
        </is>
      </c>
      <c r="P79" s="12" t="inlineStr">
        <is>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is>
      </c>
      <c r="Q79" s="11" t="inlineStr">
        <is>
          <t>Hostsysteme</t>
        </is>
      </c>
      <c r="R79" s="11" t="inlineStr">
        <is>
          <t>Detektions-Konzept</t>
        </is>
      </c>
      <c r="S79" s="12" t="inlineStr">
        <is>
          <t>die Ressourcenauslastung</t>
        </is>
      </c>
      <c r="T79" s="12" t="inlineStr">
        <is>
          <t>G 0.25 – Ausfall von Geräten oder Systemen; G 0.27 – Ressourcenmangel; G 0.18 – Fehlplanung oder fehlende Anpassung</t>
        </is>
      </c>
      <c r="U79" s="11" t="n">
        <v>3</v>
      </c>
      <c r="V79" s="11" t="n">
        <v>1</v>
      </c>
      <c r="W79" s="11" t="n">
        <v>1</v>
      </c>
      <c r="X79" s="11" t="n">
        <v>2</v>
      </c>
      <c r="Y79" s="11" t="n">
        <v>0</v>
      </c>
    </row>
    <row r="80">
      <c r="A80" s="11" t="inlineStr">
        <is>
          <t>DET.4.15</t>
        </is>
      </c>
      <c r="B80" s="12" t="inlineStr">
        <is>
          <t>Ressourcenauslastung von Hostsystemen</t>
        </is>
      </c>
      <c r="C80" s="11" t="inlineStr">
        <is>
          <t>DET.4.15</t>
        </is>
      </c>
      <c r="D80" s="11" t="inlineStr">
        <is>
          <t>Standard-Anforderungen</t>
        </is>
      </c>
      <c r="E80" s="12" t="inlineStr">
        <is>
          <t>Detektion für Hostsysteme SOLLTE die Ressourcenauslastung anhand von Schwellwerten überwachen.</t>
        </is>
      </c>
      <c r="F80" s="14" t="n"/>
      <c r="G80" s="14" t="n"/>
      <c r="H80" s="14" t="inlineStr">
        <is>
          <t>unbearbeitet</t>
        </is>
      </c>
      <c r="I80" s="14" t="n"/>
      <c r="J80" s="14" t="n"/>
      <c r="K80" s="14" t="n"/>
      <c r="L80" s="15" t="n"/>
      <c r="M80" s="11" t="inlineStr">
        <is>
          <t>Verfügbarkeit</t>
        </is>
      </c>
      <c r="N80" s="12" t="inlineStr">
        <is>
          <t>APP.3.6.A7-UA.2; OPS.1.1.7.A15-UA.2; OPS.1.2.2.A12-UA.1; SYS.1.5.A17-UA.2; SYS.1.7.A16-UA.2; SYS.1.9.A14-UA.2; SYS.2.5.A15-UA.2; SYS.2.6.A10-UA.2</t>
        </is>
      </c>
      <c r="O80" s="11" t="inlineStr">
        <is>
          <t>subset-of; superset-of; subset-of; subset-of; intersects-with; subset-of; subset-of; subset-of</t>
        </is>
      </c>
      <c r="P80" s="12" t="inlineStr">
        <is>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is>
      </c>
      <c r="Q80" s="11" t="inlineStr">
        <is>
          <t>Hostsysteme</t>
        </is>
      </c>
      <c r="R80" s="11" t="inlineStr">
        <is>
          <t>Detektions-Konzept</t>
        </is>
      </c>
      <c r="S80" s="12" t="inlineStr">
        <is>
          <t>die Ressourcenauslastung</t>
        </is>
      </c>
      <c r="T80" s="12" t="inlineStr">
        <is>
          <t>G 0.25 – Ausfall von Geräten oder Systemen; G 0.27 – Ressourcenmangel; G 0.18 – Fehlplanung oder fehlende Anpassung</t>
        </is>
      </c>
      <c r="U80" s="11" t="n">
        <v>3</v>
      </c>
      <c r="V80" s="11" t="n">
        <v>1</v>
      </c>
      <c r="W80" s="11" t="n">
        <v>1</v>
      </c>
      <c r="X80" s="11" t="n">
        <v>2</v>
      </c>
      <c r="Y80" s="11" t="n">
        <v>0</v>
      </c>
    </row>
    <row r="81">
      <c r="A81" s="9" t="inlineStr">
        <is>
          <t>DET.4.16</t>
        </is>
      </c>
      <c r="B81" s="10" t="inlineStr">
        <is>
          <t>Ressourcenauslastung der Server-Dienste</t>
        </is>
      </c>
      <c r="C81" s="11" t="n"/>
      <c r="D81" s="11" t="inlineStr">
        <is>
          <t>Anforderungen bei erhöhtem Schutzbedarf</t>
        </is>
      </c>
      <c r="E81" s="12" t="inlineStr">
        <is>
          <t>Gesamt:</t>
        </is>
      </c>
      <c r="F81" s="11" t="n"/>
      <c r="G81" s="11" t="n"/>
      <c r="H81" s="13">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
      </c>
      <c r="I81" s="11" t="n"/>
      <c r="J81" s="11" t="n"/>
      <c r="K81" s="11" t="n"/>
      <c r="L81" s="11" t="n"/>
      <c r="M81" s="11" t="inlineStr">
        <is>
          <t>Verfügbarkeit</t>
        </is>
      </c>
      <c r="N81" s="12" t="inlineStr">
        <is>
          <t>APP.3.6.A7-UA.2; SYS.1.1.A23-UA.1; SYS.1.1.A23-UA.2</t>
        </is>
      </c>
      <c r="O81" s="11" t="inlineStr">
        <is>
          <t>subset-of; superset-of; superset-of</t>
        </is>
      </c>
      <c r="P81" s="12" t="inlineStr">
        <is>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is>
      </c>
      <c r="Q81" s="11" t="inlineStr">
        <is>
          <t>Anwendungen</t>
        </is>
      </c>
      <c r="R81" s="11" t="inlineStr">
        <is>
          <t>Detektions-Konzept</t>
        </is>
      </c>
      <c r="S81" s="12" t="inlineStr">
        <is>
          <t>die Ressourcenauslastung der für die Anwendung verwendeten Server-Dienste</t>
        </is>
      </c>
      <c r="T81" s="12" t="inlineStr">
        <is>
          <t>G 0.27 – Ressourcenmangel; G 0.25 – Ausfall von Geräten oder Systemen; G 0.18 – Fehlplanung oder fehlende Anpassung</t>
        </is>
      </c>
      <c r="U81" s="11" t="n">
        <v>3</v>
      </c>
      <c r="V81" s="11" t="n">
        <v>1</v>
      </c>
      <c r="W81" s="11" t="n">
        <v>1</v>
      </c>
      <c r="X81" s="11" t="n">
        <v>2</v>
      </c>
      <c r="Y81" s="11" t="n">
        <v>0</v>
      </c>
    </row>
    <row r="82">
      <c r="A82" s="11" t="inlineStr">
        <is>
          <t>DET.4.16</t>
        </is>
      </c>
      <c r="B82" s="12" t="inlineStr">
        <is>
          <t>Ressourcenauslastung der Server-Dienste</t>
        </is>
      </c>
      <c r="C82" s="11" t="inlineStr">
        <is>
          <t>DET.4.16</t>
        </is>
      </c>
      <c r="D82" s="11" t="inlineStr">
        <is>
          <t>Anforderungen bei erhöhtem Schutzbedarf</t>
        </is>
      </c>
      <c r="E82" s="12" t="inlineStr">
        <is>
          <t>Detektion für Anwendungen KANN die Ressourcenauslastung der für die Anwendung verwendeten Server-Dienste anhand von Schwellwerten überwachen.</t>
        </is>
      </c>
      <c r="F82" s="14" t="n"/>
      <c r="G82" s="14" t="n"/>
      <c r="H82" s="14" t="inlineStr">
        <is>
          <t>unbearbeitet</t>
        </is>
      </c>
      <c r="I82" s="14" t="n"/>
      <c r="J82" s="14" t="n"/>
      <c r="K82" s="14" t="n"/>
      <c r="L82" s="15" t="n"/>
      <c r="M82" s="11" t="inlineStr">
        <is>
          <t>Verfügbarkeit</t>
        </is>
      </c>
      <c r="N82" s="12" t="inlineStr">
        <is>
          <t>APP.3.6.A7-UA.2; SYS.1.1.A23-UA.1; SYS.1.1.A23-UA.2</t>
        </is>
      </c>
      <c r="O82" s="11" t="inlineStr">
        <is>
          <t>subset-of; superset-of; superset-of</t>
        </is>
      </c>
      <c r="P82" s="12" t="inlineStr">
        <is>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is>
      </c>
      <c r="Q82" s="11" t="inlineStr">
        <is>
          <t>Anwendungen</t>
        </is>
      </c>
      <c r="R82" s="11" t="inlineStr">
        <is>
          <t>Detektions-Konzept</t>
        </is>
      </c>
      <c r="S82" s="12" t="inlineStr">
        <is>
          <t>die Ressourcenauslastung der für die Anwendung verwendeten Server-Dienste</t>
        </is>
      </c>
      <c r="T82" s="12" t="inlineStr">
        <is>
          <t>G 0.27 – Ressourcenmangel; G 0.25 – Ausfall von Geräten oder Systemen; G 0.18 – Fehlplanung oder fehlende Anpassung</t>
        </is>
      </c>
      <c r="U82" s="11" t="n">
        <v>3</v>
      </c>
      <c r="V82" s="11" t="n">
        <v>1</v>
      </c>
      <c r="W82" s="11" t="n">
        <v>1</v>
      </c>
      <c r="X82" s="11" t="n">
        <v>2</v>
      </c>
      <c r="Y82" s="11" t="n">
        <v>0</v>
      </c>
    </row>
    <row r="83">
      <c r="A83" s="9" t="inlineStr">
        <is>
          <t>DET.4.17</t>
        </is>
      </c>
      <c r="B83" s="10" t="inlineStr">
        <is>
          <t>Anwendungsbasiertes Kapazitätsmanagement</t>
        </is>
      </c>
      <c r="C83" s="11" t="n"/>
      <c r="D83" s="11" t="inlineStr">
        <is>
          <t>Anforderungen bei erhöhtem Schutzbedarf</t>
        </is>
      </c>
      <c r="E83" s="12" t="inlineStr">
        <is>
          <t>Gesamt:</t>
        </is>
      </c>
      <c r="F83" s="11" t="n"/>
      <c r="G83" s="11" t="n"/>
      <c r="H83" s="13">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
      </c>
      <c r="I83" s="11" t="n"/>
      <c r="J83" s="11" t="n"/>
      <c r="K83" s="11" t="n"/>
      <c r="L83" s="11" t="n"/>
      <c r="M83" s="11" t="inlineStr">
        <is>
          <t>Verfügbarkeit</t>
        </is>
      </c>
      <c r="N83" s="12" t="inlineStr">
        <is>
          <t>OPS.1.1.7.A15-UA.2; OPS.3.2.A14-UA.1; SYS.1.1.A23-UA.1</t>
        </is>
      </c>
      <c r="O83" s="11" t="inlineStr">
        <is>
          <t>intersects-with; intersects-with; intersects-with</t>
        </is>
      </c>
      <c r="P83" s="12" t="inlineStr">
        <is>
          <t>Hierbei kann nicht nur die aktuelle Auslastung einzelner Server, sondern die Auslastung der Anwendung insgesamt, auch über einen längeren Zeitverlauf inklusive Lastspitzen und Durchschnittswerten, betrachtet werden.</t>
        </is>
      </c>
      <c r="Q83" s="11" t="inlineStr">
        <is>
          <t>Anwendungen</t>
        </is>
      </c>
      <c r="R83" s="11" t="inlineStr">
        <is>
          <t>Detektions-Konzept</t>
        </is>
      </c>
      <c r="S83" s="12" t="inlineStr">
        <is>
          <t>die Ressourcenauslastung systemübergreifend</t>
        </is>
      </c>
      <c r="T83" s="12" t="inlineStr">
        <is>
          <t>G 0.27 – Ressourcenmangel; G 0.25 – Ausfall von Geräten oder Systemen; G 0.18 – Fehlplanung oder fehlende Anpassung</t>
        </is>
      </c>
      <c r="U83" s="11" t="n">
        <v>3</v>
      </c>
      <c r="V83" s="11" t="n">
        <v>1</v>
      </c>
      <c r="W83" s="11" t="n">
        <v>1</v>
      </c>
      <c r="X83" s="11" t="n">
        <v>2</v>
      </c>
      <c r="Y83" s="11" t="n">
        <v>0</v>
      </c>
    </row>
    <row r="84">
      <c r="A84" s="11" t="inlineStr">
        <is>
          <t>DET.4.17</t>
        </is>
      </c>
      <c r="B84" s="12" t="inlineStr">
        <is>
          <t>Anwendungsbasiertes Kapazitätsmanagement</t>
        </is>
      </c>
      <c r="C84" s="11" t="inlineStr">
        <is>
          <t>DET.4.17</t>
        </is>
      </c>
      <c r="D84" s="11" t="inlineStr">
        <is>
          <t>Anforderungen bei erhöhtem Schutzbedarf</t>
        </is>
      </c>
      <c r="E84" s="12" t="inlineStr">
        <is>
          <t>Detektion für Anwendungen KANN die Ressourcenauslastung systemübergreifend anhand von Schwellwerten überwachen.</t>
        </is>
      </c>
      <c r="F84" s="14" t="n"/>
      <c r="G84" s="14" t="n"/>
      <c r="H84" s="14" t="inlineStr">
        <is>
          <t>unbearbeitet</t>
        </is>
      </c>
      <c r="I84" s="14" t="n"/>
      <c r="J84" s="14" t="n"/>
      <c r="K84" s="14" t="n"/>
      <c r="L84" s="15" t="n"/>
      <c r="M84" s="11" t="inlineStr">
        <is>
          <t>Verfügbarkeit</t>
        </is>
      </c>
      <c r="N84" s="12" t="inlineStr">
        <is>
          <t>OPS.1.1.7.A15-UA.2; OPS.3.2.A14-UA.1; SYS.1.1.A23-UA.1</t>
        </is>
      </c>
      <c r="O84" s="11" t="inlineStr">
        <is>
          <t>intersects-with; intersects-with; intersects-with</t>
        </is>
      </c>
      <c r="P84" s="12" t="inlineStr">
        <is>
          <t>Hierbei kann nicht nur die aktuelle Auslastung einzelner Server, sondern die Auslastung der Anwendung insgesamt, auch über einen längeren Zeitverlauf inklusive Lastspitzen und Durchschnittswerten, betrachtet werden.</t>
        </is>
      </c>
      <c r="Q84" s="11" t="inlineStr">
        <is>
          <t>Anwendungen</t>
        </is>
      </c>
      <c r="R84" s="11" t="inlineStr">
        <is>
          <t>Detektions-Konzept</t>
        </is>
      </c>
      <c r="S84" s="12" t="inlineStr">
        <is>
          <t>die Ressourcenauslastung systemübergreifend</t>
        </is>
      </c>
      <c r="T84" s="12" t="inlineStr">
        <is>
          <t>G 0.27 – Ressourcenmangel; G 0.25 – Ausfall von Geräten oder Systemen; G 0.18 – Fehlplanung oder fehlende Anpassung</t>
        </is>
      </c>
      <c r="U84" s="11" t="n">
        <v>3</v>
      </c>
      <c r="V84" s="11" t="n">
        <v>1</v>
      </c>
      <c r="W84" s="11" t="n">
        <v>1</v>
      </c>
      <c r="X84" s="11" t="n">
        <v>2</v>
      </c>
      <c r="Y84" s="11" t="n">
        <v>0</v>
      </c>
    </row>
    <row r="85">
      <c r="A85" s="9" t="inlineStr">
        <is>
          <t>DET.4.18</t>
        </is>
      </c>
      <c r="B85" s="10" t="inlineStr">
        <is>
          <t>Öffentliche Blocklisten</t>
        </is>
      </c>
      <c r="C85" s="11" t="n"/>
      <c r="D85" s="11" t="inlineStr">
        <is>
          <t>Anforderungen bei erhöhtem Schutzbedarf</t>
        </is>
      </c>
      <c r="E85" s="12" t="inlineStr">
        <is>
          <t>Gesamt:</t>
        </is>
      </c>
      <c r="F85" s="11" t="n"/>
      <c r="G85" s="11" t="n"/>
      <c r="H85" s="13">
        <f>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
      </c>
      <c r="I85" s="11" t="n"/>
      <c r="J85" s="11" t="n"/>
      <c r="K85" s="11" t="n"/>
      <c r="L85" s="11" t="n"/>
      <c r="M85" s="11" t="inlineStr"/>
      <c r="N85" s="12" t="inlineStr">
        <is>
          <t>APP.5.3.A12-UA.1</t>
        </is>
      </c>
      <c r="O85" s="11" t="inlineStr">
        <is>
          <t>equivalent-to</t>
        </is>
      </c>
      <c r="P85" s="12" t="inlineStr">
        <is>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is>
      </c>
      <c r="Q85" s="11" t="inlineStr">
        <is>
          <t>E-Mail</t>
        </is>
      </c>
      <c r="R85" s="11" t="inlineStr">
        <is>
          <t>Detektions-Konzept</t>
        </is>
      </c>
      <c r="S85" s="12" t="inlineStr">
        <is>
          <t>öffentliche Blocklisten auf Einträge für eigene E-Mail-Server</t>
        </is>
      </c>
      <c r="T85" s="12" t="inlineStr">
        <is>
          <t>G 0.25 – Ausfall von Geräten oder Systemen</t>
        </is>
      </c>
      <c r="U85" s="11" t="n">
        <v>5</v>
      </c>
      <c r="V85" s="11" t="n">
        <v>0</v>
      </c>
      <c r="W85" s="11" t="n">
        <v>0</v>
      </c>
      <c r="X85" s="11" t="n">
        <v>1</v>
      </c>
      <c r="Y85" s="11" t="n">
        <v>0</v>
      </c>
    </row>
    <row r="86">
      <c r="A86" s="11" t="inlineStr">
        <is>
          <t>DET.4.18</t>
        </is>
      </c>
      <c r="B86" s="12" t="inlineStr">
        <is>
          <t>Öffentliche Blocklisten</t>
        </is>
      </c>
      <c r="C86" s="11" t="inlineStr">
        <is>
          <t>DET.4.18</t>
        </is>
      </c>
      <c r="D86" s="11" t="inlineStr">
        <is>
          <t>Anforderungen bei erhöhtem Schutzbedarf</t>
        </is>
      </c>
      <c r="E86" s="12" t="inlineStr">
        <is>
          <t>Detektion für E-Mail KANN öffentliche Blocklisten auf Einträge für eigene E-Mail-Server regelmäßig überprüfen.</t>
        </is>
      </c>
      <c r="F86" s="14" t="n"/>
      <c r="G86" s="14" t="n"/>
      <c r="H86" s="14" t="inlineStr">
        <is>
          <t>unbearbeitet</t>
        </is>
      </c>
      <c r="I86" s="14" t="n"/>
      <c r="J86" s="14" t="n"/>
      <c r="K86" s="14" t="n"/>
      <c r="L86" s="15" t="n"/>
      <c r="M86" s="11" t="inlineStr"/>
      <c r="N86" s="12" t="inlineStr">
        <is>
          <t>APP.5.3.A12-UA.1</t>
        </is>
      </c>
      <c r="O86" s="11" t="inlineStr">
        <is>
          <t>equivalent-to</t>
        </is>
      </c>
      <c r="P86" s="12" t="inlineStr">
        <is>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is>
      </c>
      <c r="Q86" s="11" t="inlineStr">
        <is>
          <t>E-Mail</t>
        </is>
      </c>
      <c r="R86" s="11" t="inlineStr">
        <is>
          <t>Detektions-Konzept</t>
        </is>
      </c>
      <c r="S86" s="12" t="inlineStr">
        <is>
          <t>öffentliche Blocklisten auf Einträge für eigene E-Mail-Server</t>
        </is>
      </c>
      <c r="T86" s="12" t="inlineStr">
        <is>
          <t>G 0.25 – Ausfall von Geräten oder Systemen</t>
        </is>
      </c>
      <c r="U86" s="11" t="n">
        <v>5</v>
      </c>
      <c r="V86" s="11" t="n">
        <v>0</v>
      </c>
      <c r="W86" s="11" t="n">
        <v>0</v>
      </c>
      <c r="X86" s="11" t="n">
        <v>1</v>
      </c>
      <c r="Y86" s="11" t="n">
        <v>0</v>
      </c>
    </row>
    <row r="87">
      <c r="A87" s="9" t="inlineStr">
        <is>
          <t>DET.4.19</t>
        </is>
      </c>
      <c r="B87" s="10" t="inlineStr">
        <is>
          <t>Unautorisierte Sendeanlagen</t>
        </is>
      </c>
      <c r="C87" s="11" t="n"/>
      <c r="D87" s="11" t="inlineStr">
        <is>
          <t>Anforderungen bei erhöhtem Schutzbedarf</t>
        </is>
      </c>
      <c r="E87" s="12" t="inlineStr">
        <is>
          <t>Gesamt:</t>
        </is>
      </c>
      <c r="F87" s="11" t="n"/>
      <c r="G87" s="11" t="n"/>
      <c r="H87" s="13">
        <f>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
      </c>
      <c r="I87" s="11" t="n"/>
      <c r="J87" s="11" t="n"/>
      <c r="K87" s="11" t="n"/>
      <c r="L87" s="11" t="n"/>
      <c r="M87" s="11" t="inlineStr">
        <is>
          <t>Vertraulichkeit, Integrität</t>
        </is>
      </c>
      <c r="N87" s="12" t="inlineStr">
        <is>
          <t>NET.2.1.A13-UA.2; NET.2.1.A18-UA.1; SYS.3.3.A15-UA.2</t>
        </is>
      </c>
      <c r="O87" s="11" t="inlineStr">
        <is>
          <t>subset-of; equivalent-to; intersects-with</t>
        </is>
      </c>
      <c r="P87" s="12" t="inlineStr">
        <is>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is>
      </c>
      <c r="Q87" s="11" t="inlineStr">
        <is>
          <t>Räume</t>
        </is>
      </c>
      <c r="R87" s="11" t="inlineStr">
        <is>
          <t>Detektions-Konzept</t>
        </is>
      </c>
      <c r="S87" s="12" t="inlineStr">
        <is>
          <t>diesen nach unautorisierten Sendeanlagen</t>
        </is>
      </c>
      <c r="T87" s="12" t="inlineStr">
        <is>
          <t>G 0.23 – Unbefugtes Eindringen in IT-Systeme; G 0.43 – Einspielen von Nachrichten; G 0.25 – Ausfall von Geräten oder Systemen</t>
        </is>
      </c>
      <c r="U87" s="11" t="n">
        <v>5</v>
      </c>
      <c r="V87" s="11" t="n">
        <v>2</v>
      </c>
      <c r="W87" s="11" t="n">
        <v>2</v>
      </c>
      <c r="X87" s="11" t="n">
        <v>1</v>
      </c>
      <c r="Y87" s="11" t="n">
        <v>1</v>
      </c>
    </row>
    <row r="88">
      <c r="A88" s="11" t="inlineStr">
        <is>
          <t>DET.4.19</t>
        </is>
      </c>
      <c r="B88" s="12" t="inlineStr">
        <is>
          <t>Unautorisierte Sendeanlagen</t>
        </is>
      </c>
      <c r="C88" s="11" t="inlineStr">
        <is>
          <t>DET.4.19</t>
        </is>
      </c>
      <c r="D88" s="11" t="inlineStr">
        <is>
          <t>Anforderungen bei erhöhtem Schutzbedarf</t>
        </is>
      </c>
      <c r="E88" s="12" t="inlineStr">
        <is>
          <t>Detektion für Räume KANN diesen nach unautorisierten Sendeanlagen durch einen automatisierten Mechanismus überwachen.</t>
        </is>
      </c>
      <c r="F88" s="14" t="n"/>
      <c r="G88" s="14" t="n"/>
      <c r="H88" s="14" t="inlineStr">
        <is>
          <t>unbearbeitet</t>
        </is>
      </c>
      <c r="I88" s="14" t="n"/>
      <c r="J88" s="14" t="n"/>
      <c r="K88" s="14" t="n"/>
      <c r="L88" s="15" t="n"/>
      <c r="M88" s="11" t="inlineStr">
        <is>
          <t>Vertraulichkeit, Integrität</t>
        </is>
      </c>
      <c r="N88" s="12" t="inlineStr">
        <is>
          <t>NET.2.1.A13-UA.2; NET.2.1.A18-UA.1; SYS.3.3.A15-UA.2</t>
        </is>
      </c>
      <c r="O88" s="11" t="inlineStr">
        <is>
          <t>subset-of; equivalent-to; intersects-with</t>
        </is>
      </c>
      <c r="P88" s="12" t="inlineStr">
        <is>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is>
      </c>
      <c r="Q88" s="11" t="inlineStr">
        <is>
          <t>Räume</t>
        </is>
      </c>
      <c r="R88" s="11" t="inlineStr">
        <is>
          <t>Detektions-Konzept</t>
        </is>
      </c>
      <c r="S88" s="12" t="inlineStr">
        <is>
          <t>diesen nach unautorisierten Sendeanlagen</t>
        </is>
      </c>
      <c r="T88" s="12" t="inlineStr">
        <is>
          <t>G 0.23 – Unbefugtes Eindringen in IT-Systeme; G 0.43 – Einspielen von Nachrichten; G 0.25 – Ausfall von Geräten oder Systemen</t>
        </is>
      </c>
      <c r="U88" s="11" t="n">
        <v>5</v>
      </c>
      <c r="V88" s="11" t="n">
        <v>2</v>
      </c>
      <c r="W88" s="11" t="n">
        <v>2</v>
      </c>
      <c r="X88" s="11" t="n">
        <v>1</v>
      </c>
      <c r="Y88" s="11" t="n">
        <v>1</v>
      </c>
    </row>
    <row r="89">
      <c r="A89" s="9" t="inlineStr">
        <is>
          <t>DET.5.1</t>
        </is>
      </c>
      <c r="B89" s="10" t="inlineStr">
        <is>
          <t>Zeitnahes Schwachstellenmanagement</t>
        </is>
      </c>
      <c r="C89" s="11" t="n"/>
      <c r="D89" s="11" t="inlineStr">
        <is>
          <t>Standard-Anforderungen</t>
        </is>
      </c>
      <c r="E89" s="12" t="inlineStr">
        <is>
          <t>Gesamt:</t>
        </is>
      </c>
      <c r="F89" s="11" t="n"/>
      <c r="G89" s="11" t="n"/>
      <c r="H89" s="13">
        <f>IF(OR(COUNTBLANK($H$90:$H$91)&gt;0,COUNTIF($H$90:$H$91,"unbearbeitet")=COUNTA($H$90:$H$91)),"Bitte Teilanforderungen ausfüllen",IF(COUNTIF($H$90:$H$91,"zu klären")&gt;0,"zu klären",IF(COUNTIF($H$90:$H$91,"entbehrlich")=COUNTA($H$90:$H$91),"entbehrlich",IF(COUNTIF($H$90:$H$91,"verwiesen")=COUNTA($H$90:$H$91),"verwiesen",IF(COUNTIF($H$90:$H$91,"nein")+COUNTIF($H$90:$H$91,"entbehrlich")=COUNTA($H$90:$H$91),"nein",IF(COUNTIF($H$90:$H$91,"ja")+COUNTIF($H$90:$H$91,"entbehrlich")+COUNTIF($H$90:$H$91,"verwiesen")=COUNTA($H$90:$H$91),"ja","teilweise"))))))</f>
        <v/>
      </c>
      <c r="I89" s="11" t="n"/>
      <c r="J89" s="11" t="n"/>
      <c r="K89" s="11" t="n"/>
      <c r="L89" s="11" t="n"/>
      <c r="M89" s="11" t="inlineStr">
        <is>
          <t>Vertraulichkeit, Integrität</t>
        </is>
      </c>
      <c r="N89" s="12" t="inlineStr">
        <is>
          <t>CON.1.A15-UA.2; IND.1.A12-UA.2; INF.13.A23-UA.4; OPS.1.1.1.A10-UA.1; OPS.1.1.1.A10-UA.2; OPS.1.1.1.A10-UA.3; OPS.1.1.1.A20-UA.1</t>
        </is>
      </c>
      <c r="O89" s="11" t="inlineStr">
        <is>
          <t>intersects-with; subset-of; subset-of; subset-of; subset-of; superset-of; subset-of</t>
        </is>
      </c>
      <c r="P89" s="12" t="inlineStr">
        <is>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is>
      </c>
      <c r="Q89" s="11" t="inlineStr"/>
      <c r="R89" s="11" t="inlineStr">
        <is>
          <t>Schwachstellenregister</t>
        </is>
      </c>
      <c r="S89" s="12" t="inlineStr">
        <is>
          <t>Verfahren und Regelungen zur Erkennung und Behandlung von Schwachstellen</t>
        </is>
      </c>
      <c r="T89" s="12" t="inlineStr">
        <is>
          <t>G 0.23 – Unbefugtes Eindringen in IT-Systeme; G 0.39 – Schadprogramme; G 0.18 – Fehlplanung oder fehlende Anpassung</t>
        </is>
      </c>
      <c r="U89" s="11" t="n">
        <v>4</v>
      </c>
      <c r="V89" s="11" t="n">
        <v>2</v>
      </c>
      <c r="W89" s="11" t="n">
        <v>2</v>
      </c>
      <c r="X89" s="11" t="n">
        <v>1</v>
      </c>
      <c r="Y89" s="11" t="n">
        <v>0</v>
      </c>
    </row>
    <row r="90">
      <c r="A90" s="11" t="inlineStr">
        <is>
          <t>DET.5.1</t>
        </is>
      </c>
      <c r="B90" s="12" t="inlineStr">
        <is>
          <t>Zeitnahes Schwachstellenmanagement</t>
        </is>
      </c>
      <c r="C90" s="11" t="inlineStr">
        <is>
          <t>DET.5.1</t>
        </is>
      </c>
      <c r="D90" s="11" t="inlineStr">
        <is>
          <t>Standard-Anforderungen</t>
        </is>
      </c>
      <c r="E90" s="12" t="inlineStr">
        <is>
          <t>Detektion SOLLTE Verfahren und Regelungen zur Erkennung und Behandlung von Schwachstellen verankern.</t>
        </is>
      </c>
      <c r="F90" s="14" t="n"/>
      <c r="G90" s="14" t="n"/>
      <c r="H90" s="14" t="inlineStr">
        <is>
          <t>unbearbeitet</t>
        </is>
      </c>
      <c r="I90" s="14" t="n"/>
      <c r="J90" s="14" t="n"/>
      <c r="K90" s="14" t="n"/>
      <c r="L90" s="15" t="n"/>
      <c r="M90" s="11" t="inlineStr">
        <is>
          <t>Vertraulichkeit, Integrität</t>
        </is>
      </c>
      <c r="N90" s="12" t="inlineStr">
        <is>
          <t>CON.1.A15-UA.2; IND.1.A12-UA.2; INF.13.A23-UA.4; OPS.1.1.1.A10-UA.1; OPS.1.1.1.A10-UA.2; OPS.1.1.1.A10-UA.3; OPS.1.1.1.A20-UA.1</t>
        </is>
      </c>
      <c r="O90" s="11" t="inlineStr">
        <is>
          <t>intersects-with; subset-of; subset-of; subset-of; subset-of; superset-of; subset-of</t>
        </is>
      </c>
      <c r="P90" s="12" t="inlineStr">
        <is>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is>
      </c>
      <c r="Q90" s="11" t="inlineStr"/>
      <c r="R90" s="11" t="inlineStr">
        <is>
          <t>Schwachstellenregister</t>
        </is>
      </c>
      <c r="S90" s="12" t="inlineStr">
        <is>
          <t>Verfahren und Regelungen zur Erkennung und Behandlung von Schwachstellen</t>
        </is>
      </c>
      <c r="T90" s="12" t="inlineStr">
        <is>
          <t>G 0.23 – Unbefugtes Eindringen in IT-Systeme; G 0.39 – Schadprogramme; G 0.18 – Fehlplanung oder fehlende Anpassung</t>
        </is>
      </c>
      <c r="U90" s="11" t="n">
        <v>4</v>
      </c>
      <c r="V90" s="11" t="n">
        <v>2</v>
      </c>
      <c r="W90" s="11" t="n">
        <v>2</v>
      </c>
      <c r="X90" s="11" t="n">
        <v>1</v>
      </c>
      <c r="Y90" s="11" t="n">
        <v>0</v>
      </c>
    </row>
    <row r="91">
      <c r="A91" s="11" t="inlineStr">
        <is>
          <t>DET.5.1</t>
        </is>
      </c>
      <c r="B91" s="12" t="inlineStr">
        <is>
          <t>Zeitnahes Schwachstellenmanagement</t>
        </is>
      </c>
      <c r="C91" s="11" t="inlineStr">
        <is>
          <t>DET.5.1.1</t>
        </is>
      </c>
      <c r="D91" s="11" t="inlineStr">
        <is>
          <t>Anforderungen bei erhöhtem Schutzbedarf</t>
        </is>
      </c>
      <c r="E91" s="12" t="inlineStr">
        <is>
          <t>Detektion KANN erkannte Schwachstellen anhand von risikobasierten Kriterien innerhalb einer Frist überprüfen.</t>
        </is>
      </c>
      <c r="F91" s="14" t="n"/>
      <c r="G91" s="14" t="n"/>
      <c r="H91" s="14" t="inlineStr">
        <is>
          <t>unbearbeitet</t>
        </is>
      </c>
      <c r="I91" s="14" t="n"/>
      <c r="J91" s="14" t="n"/>
      <c r="K91" s="14" t="n"/>
      <c r="L91" s="15" t="n"/>
      <c r="M91" s="11" t="inlineStr">
        <is>
          <t>Vertraulichkeit, Integrität</t>
        </is>
      </c>
      <c r="N91" s="12" t="inlineStr">
        <is>
          <t>OPS.1.1.1.A10-UA.4; OPS.1.1.1.A22-UA.3</t>
        </is>
      </c>
      <c r="O91" s="11" t="inlineStr">
        <is>
          <t>intersects-with; intersects-with</t>
        </is>
      </c>
      <c r="P91" s="12" t="inlineStr">
        <is>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is>
      </c>
      <c r="Q91" s="11" t="inlineStr"/>
      <c r="R91" s="11" t="inlineStr">
        <is>
          <t>Schwachstellenregister</t>
        </is>
      </c>
      <c r="S91" s="12" t="inlineStr">
        <is>
          <t>erkannte Schwachstellen</t>
        </is>
      </c>
      <c r="T91" s="12" t="inlineStr">
        <is>
          <t>G 0.28 – Software-Schwachstellen oder -Fehler; G 0.23 – Unbefugtes Eindringen in IT-Systeme; G 0.18 – Fehlplanung oder fehlende Anpassung</t>
        </is>
      </c>
      <c r="U91" s="11" t="n">
        <v>5</v>
      </c>
      <c r="V91" s="11" t="n">
        <v>2</v>
      </c>
      <c r="W91" s="11" t="n">
        <v>2</v>
      </c>
      <c r="X91" s="11" t="n">
        <v>1</v>
      </c>
      <c r="Y91" s="11" t="n">
        <v>0</v>
      </c>
    </row>
    <row r="92">
      <c r="A92" s="9" t="inlineStr">
        <is>
          <t>DET.5.2</t>
        </is>
      </c>
      <c r="B92" s="10" t="inlineStr">
        <is>
          <t>Schwachstellenregister</t>
        </is>
      </c>
      <c r="C92" s="11" t="n"/>
      <c r="D92" s="11" t="inlineStr">
        <is>
          <t>Standard-Anforderungen</t>
        </is>
      </c>
      <c r="E92" s="12" t="inlineStr">
        <is>
          <t>Gesamt:</t>
        </is>
      </c>
      <c r="F92" s="11" t="n"/>
      <c r="G92" s="11" t="n"/>
      <c r="H92" s="13">
        <f>IF(OR(COUNTBLANK($H$93:$H$93)&gt;0,COUNTIF($H$93:$H$93,"unbearbeitet")=COUNTA($H$93:$H$93)),"Bitte Teilanforderungen ausfüllen",IF(COUNTIF($H$93:$H$93,"zu klären")&gt;0,"zu klären",IF(COUNTIF($H$93:$H$93,"entbehrlich")=COUNTA($H$93:$H$93),"entbehrlich",IF(COUNTIF($H$93:$H$93,"verwiesen")=COUNTA($H$93:$H$93),"verwiesen",IF(COUNTIF($H$93:$H$93,"nein")+COUNTIF($H$93:$H$93,"entbehrlich")=COUNTA($H$93:$H$93),"nein",IF(COUNTIF($H$93:$H$93,"ja")+COUNTIF($H$93:$H$93,"entbehrlich")+COUNTIF($H$93:$H$93,"verwiesen")=COUNTA($H$93:$H$93),"ja","teilweise"))))))</f>
        <v/>
      </c>
      <c r="I92" s="11" t="n"/>
      <c r="J92" s="11" t="n"/>
      <c r="K92" s="11" t="n"/>
      <c r="L92" s="11" t="n"/>
      <c r="M92" s="11" t="inlineStr">
        <is>
          <t>Vertraulichkeit, Integrität</t>
        </is>
      </c>
      <c r="N92" s="12" t="inlineStr">
        <is>
          <t>IND.1.A12-UA.2; OPS.1.1.1.A10-UA.1; OPS.1.1.1.A20-UA.4</t>
        </is>
      </c>
      <c r="O92" s="11" t="inlineStr">
        <is>
          <t>intersects-with; equivalent-to; subset-of</t>
        </is>
      </c>
      <c r="P92" s="12" t="inlineStr">
        <is>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is>
      </c>
      <c r="Q92" s="11" t="inlineStr"/>
      <c r="R92" s="11" t="inlineStr">
        <is>
          <t>Schwachstellenregister</t>
        </is>
      </c>
      <c r="S92" s="12" t="inlineStr">
        <is>
          <t>Schwachstellen bei Entdeckung</t>
        </is>
      </c>
      <c r="T92" s="12" t="inlineStr">
        <is>
          <t>G 0.28 – Software-Schwachstellen oder -Fehler; G 0.23 – Unbefugtes Eindringen in IT-Systeme; G 0.18 – Fehlplanung oder fehlende Anpassung</t>
        </is>
      </c>
      <c r="U92" s="11" t="n">
        <v>3</v>
      </c>
      <c r="V92" s="11" t="n">
        <v>2</v>
      </c>
      <c r="W92" s="11" t="n">
        <v>2</v>
      </c>
      <c r="X92" s="11" t="n">
        <v>1</v>
      </c>
      <c r="Y92" s="11" t="n">
        <v>0</v>
      </c>
    </row>
    <row r="93">
      <c r="A93" s="11" t="inlineStr">
        <is>
          <t>DET.5.2</t>
        </is>
      </c>
      <c r="B93" s="12" t="inlineStr">
        <is>
          <t>Schwachstellenregister</t>
        </is>
      </c>
      <c r="C93" s="11" t="inlineStr">
        <is>
          <t>DET.5.2</t>
        </is>
      </c>
      <c r="D93" s="11" t="inlineStr">
        <is>
          <t>Standard-Anforderungen</t>
        </is>
      </c>
      <c r="E93" s="12" t="inlineStr">
        <is>
          <t>Detektion SOLLTE Schwachstellen bei Entdeckung inklusive betroffener Komponenten, Kritikalität und Status dokumentieren.</t>
        </is>
      </c>
      <c r="F93" s="14" t="n"/>
      <c r="G93" s="14" t="n"/>
      <c r="H93" s="14" t="inlineStr">
        <is>
          <t>unbearbeitet</t>
        </is>
      </c>
      <c r="I93" s="14" t="n"/>
      <c r="J93" s="14" t="n"/>
      <c r="K93" s="14" t="n"/>
      <c r="L93" s="15" t="n"/>
      <c r="M93" s="11" t="inlineStr">
        <is>
          <t>Vertraulichkeit, Integrität</t>
        </is>
      </c>
      <c r="N93" s="12" t="inlineStr">
        <is>
          <t>IND.1.A12-UA.2; OPS.1.1.1.A10-UA.1; OPS.1.1.1.A20-UA.4</t>
        </is>
      </c>
      <c r="O93" s="11" t="inlineStr">
        <is>
          <t>intersects-with; equivalent-to; subset-of</t>
        </is>
      </c>
      <c r="P93" s="12" t="inlineStr">
        <is>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is>
      </c>
      <c r="Q93" s="11" t="inlineStr"/>
      <c r="R93" s="11" t="inlineStr">
        <is>
          <t>Schwachstellenregister</t>
        </is>
      </c>
      <c r="S93" s="12" t="inlineStr">
        <is>
          <t>Schwachstellen bei Entdeckung</t>
        </is>
      </c>
      <c r="T93" s="12" t="inlineStr">
        <is>
          <t>G 0.28 – Software-Schwachstellen oder -Fehler; G 0.23 – Unbefugtes Eindringen in IT-Systeme; G 0.18 – Fehlplanung oder fehlende Anpassung</t>
        </is>
      </c>
      <c r="U93" s="11" t="n">
        <v>3</v>
      </c>
      <c r="V93" s="11" t="n">
        <v>2</v>
      </c>
      <c r="W93" s="11" t="n">
        <v>2</v>
      </c>
      <c r="X93" s="11" t="n">
        <v>1</v>
      </c>
      <c r="Y93" s="11" t="n">
        <v>0</v>
      </c>
    </row>
    <row r="94">
      <c r="A94" s="9" t="inlineStr">
        <is>
          <t>DET.5.3</t>
        </is>
      </c>
      <c r="B94" s="10" t="inlineStr">
        <is>
          <t>Schwachstellenscans</t>
        </is>
      </c>
      <c r="C94" s="11" t="n"/>
      <c r="D94" s="11" t="inlineStr">
        <is>
          <t>Standard-Anforderungen</t>
        </is>
      </c>
      <c r="E94" s="12" t="inlineStr">
        <is>
          <t>Gesamt:</t>
        </is>
      </c>
      <c r="F94" s="11" t="n"/>
      <c r="G94" s="11" t="n"/>
      <c r="H94" s="13">
        <f>IF(OR(COUNTBLANK($H$95:$H$98)&gt;0,COUNTIF($H$95:$H$98,"unbearbeitet")=COUNTA($H$95:$H$98)),"Bitte Teilanforderungen ausfüllen",IF(COUNTIF($H$95:$H$98,"zu klären")&gt;0,"zu klären",IF(COUNTIF($H$95:$H$98,"entbehrlich")=COUNTA($H$95:$H$98),"entbehrlich",IF(COUNTIF($H$95:$H$98,"verwiesen")=COUNTA($H$95:$H$98),"verwiesen",IF(COUNTIF($H$95:$H$98,"nein")+COUNTIF($H$95:$H$98,"entbehrlich")=COUNTA($H$95:$H$98),"nein",IF(COUNTIF($H$95:$H$98,"ja")+COUNTIF($H$95:$H$98,"entbehrlich")+COUNTIF($H$95:$H$98,"verwiesen")=COUNTA($H$95:$H$98),"ja","teilweise"))))))</f>
        <v/>
      </c>
      <c r="I94" s="11" t="n"/>
      <c r="J94" s="11" t="n"/>
      <c r="K94" s="11" t="n"/>
      <c r="L94" s="11" t="n"/>
      <c r="M94" s="11" t="inlineStr">
        <is>
          <t>Vertraulichkeit, Integrität</t>
        </is>
      </c>
      <c r="N94" s="12" t="inlineStr">
        <is>
          <t>IND.1.A12-UA.2; INF.13.A23-UA.4; INF.13.A23-UA.5; OPS.1.1.1.A20-UA.2; OPS.1.1.1.A22-UA.1</t>
        </is>
      </c>
      <c r="O94" s="11" t="inlineStr">
        <is>
          <t>superset-of; subset-of; subset-of; equivalent-to; equivalent-to</t>
        </is>
      </c>
      <c r="P94" s="12" t="inlineStr">
        <is>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is>
      </c>
      <c r="Q94" s="11" t="inlineStr"/>
      <c r="R94" s="11" t="inlineStr">
        <is>
          <t>Detektions-Konzept</t>
        </is>
      </c>
      <c r="S94" s="12" t="inlineStr">
        <is>
          <t>eine Vorgehensweise zum Scan nach Schwachstellen</t>
        </is>
      </c>
      <c r="T94" s="12" t="inlineStr">
        <is>
          <t>G 0.28 – Software-Schwachstellen oder -Fehler; G 0.23 – Unbefugtes Eindringen in IT-Systeme; G 0.18 – Fehlplanung oder fehlende Anpassung</t>
        </is>
      </c>
      <c r="U94" s="11" t="n">
        <v>3</v>
      </c>
      <c r="V94" s="11" t="n">
        <v>2</v>
      </c>
      <c r="W94" s="11" t="n">
        <v>2</v>
      </c>
      <c r="X94" s="11" t="n">
        <v>1</v>
      </c>
      <c r="Y94" s="11" t="n">
        <v>0</v>
      </c>
    </row>
    <row r="95">
      <c r="A95" s="11" t="inlineStr">
        <is>
          <t>DET.5.3</t>
        </is>
      </c>
      <c r="B95" s="12" t="inlineStr">
        <is>
          <t>Schwachstellenscans</t>
        </is>
      </c>
      <c r="C95" s="11" t="inlineStr">
        <is>
          <t>DET.5.3</t>
        </is>
      </c>
      <c r="D95" s="11" t="inlineStr">
        <is>
          <t>Standard-Anforderungen</t>
        </is>
      </c>
      <c r="E95" s="12" t="inlineStr">
        <is>
          <t>Detektion SOLLTE eine Vorgehensweise zum Scan nach Schwachstellen einschließlich deren Auswertung und Behandlung verankern.</t>
        </is>
      </c>
      <c r="F95" s="14" t="n"/>
      <c r="G95" s="14" t="n"/>
      <c r="H95" s="14" t="inlineStr">
        <is>
          <t>unbearbeitet</t>
        </is>
      </c>
      <c r="I95" s="14" t="n"/>
      <c r="J95" s="14" t="n"/>
      <c r="K95" s="14" t="n"/>
      <c r="L95" s="15" t="n"/>
      <c r="M95" s="11" t="inlineStr">
        <is>
          <t>Vertraulichkeit, Integrität</t>
        </is>
      </c>
      <c r="N95" s="12" t="inlineStr">
        <is>
          <t>IND.1.A12-UA.2; INF.13.A23-UA.4; INF.13.A23-UA.5; OPS.1.1.1.A20-UA.2; OPS.1.1.1.A22-UA.1</t>
        </is>
      </c>
      <c r="O95" s="11" t="inlineStr">
        <is>
          <t>superset-of; subset-of; subset-of; equivalent-to; equivalent-to</t>
        </is>
      </c>
      <c r="P95" s="12" t="inlineStr">
        <is>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is>
      </c>
      <c r="Q95" s="11" t="inlineStr"/>
      <c r="R95" s="11" t="inlineStr">
        <is>
          <t>Detektions-Konzept</t>
        </is>
      </c>
      <c r="S95" s="12" t="inlineStr">
        <is>
          <t>eine Vorgehensweise zum Scan nach Schwachstellen</t>
        </is>
      </c>
      <c r="T95" s="12" t="inlineStr">
        <is>
          <t>G 0.28 – Software-Schwachstellen oder -Fehler; G 0.23 – Unbefugtes Eindringen in IT-Systeme; G 0.18 – Fehlplanung oder fehlende Anpassung</t>
        </is>
      </c>
      <c r="U95" s="11" t="n">
        <v>3</v>
      </c>
      <c r="V95" s="11" t="n">
        <v>2</v>
      </c>
      <c r="W95" s="11" t="n">
        <v>2</v>
      </c>
      <c r="X95" s="11" t="n">
        <v>1</v>
      </c>
      <c r="Y95" s="11" t="n">
        <v>0</v>
      </c>
    </row>
    <row r="96">
      <c r="A96" s="11" t="inlineStr">
        <is>
          <t>DET.5.3</t>
        </is>
      </c>
      <c r="B96" s="12" t="inlineStr">
        <is>
          <t>Schwachstellenscans</t>
        </is>
      </c>
      <c r="C96" s="11" t="inlineStr">
        <is>
          <t>DET.5.3.1</t>
        </is>
      </c>
      <c r="D96" s="11" t="inlineStr">
        <is>
          <t>Standard-Anforderungen</t>
        </is>
      </c>
      <c r="E96" s="12" t="inlineStr">
        <is>
          <t>Detektion SOLLTE kritische Scans durch zuständige Personen oder Rollen autorisieren.</t>
        </is>
      </c>
      <c r="F96" s="14" t="n"/>
      <c r="G96" s="14" t="n"/>
      <c r="H96" s="14" t="inlineStr">
        <is>
          <t>unbearbeitet</t>
        </is>
      </c>
      <c r="I96" s="14" t="n"/>
      <c r="J96" s="14" t="n"/>
      <c r="K96" s="14" t="n"/>
      <c r="L96" s="15" t="n"/>
      <c r="M96" s="11" t="inlineStr"/>
      <c r="N96" s="12" t="inlineStr">
        <is>
          <t>INF.13.A23-UA.4; INF.13.A23-UA.5; INF.13.A23-UA.6; INF.13.A23-UA.8; ORP.5.A5-UA.1</t>
        </is>
      </c>
      <c r="O96" s="11" t="inlineStr">
        <is>
          <t>intersects-with; intersects-with; intersects-with; subset-of; superset-of</t>
        </is>
      </c>
      <c r="P96" s="12" t="inlineStr">
        <is>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is>
      </c>
      <c r="Q96" s="11" t="inlineStr"/>
      <c r="R96" s="11" t="inlineStr">
        <is>
          <t>Detektions-Konzept</t>
        </is>
      </c>
      <c r="S96" s="12" t="inlineStr">
        <is>
          <t>kritische Scans</t>
        </is>
      </c>
      <c r="T96" s="12" t="inlineStr">
        <is>
          <t>G 0.39 – Schadprogramme; G 0.18 – Fehlplanung oder fehlende Anpassung</t>
        </is>
      </c>
      <c r="U96" s="11" t="n">
        <v>4</v>
      </c>
      <c r="V96" s="11" t="n">
        <v>1</v>
      </c>
      <c r="W96" s="11" t="n">
        <v>1</v>
      </c>
      <c r="X96" s="11" t="n">
        <v>1</v>
      </c>
      <c r="Y96" s="11" t="n">
        <v>0</v>
      </c>
    </row>
    <row r="97">
      <c r="A97" s="11" t="inlineStr">
        <is>
          <t>DET.5.3</t>
        </is>
      </c>
      <c r="B97" s="12" t="inlineStr">
        <is>
          <t>Schwachstellenscans</t>
        </is>
      </c>
      <c r="C97" s="11" t="inlineStr">
        <is>
          <t>DET.5.3.2</t>
        </is>
      </c>
      <c r="D97" s="11" t="inlineStr">
        <is>
          <t>Anforderungen bei erhöhtem Schutzbedarf</t>
        </is>
      </c>
      <c r="E97" s="12" t="inlineStr">
        <is>
          <t>Detektion KANN Schwachstellen anhand eines Abgleichs mehrerer Scans miteinander überprüfen.</t>
        </is>
      </c>
      <c r="F97" s="14" t="n"/>
      <c r="G97" s="14" t="n"/>
      <c r="H97" s="14" t="inlineStr">
        <is>
          <t>unbearbeitet</t>
        </is>
      </c>
      <c r="I97" s="14" t="n"/>
      <c r="J97" s="14" t="n"/>
      <c r="K97" s="14" t="n"/>
      <c r="L97" s="15" t="n"/>
      <c r="M97" s="11" t="inlineStr">
        <is>
          <t>Vertraulichkeit, Integrität</t>
        </is>
      </c>
      <c r="N97" s="12" t="inlineStr">
        <is>
          <t>INF.13.A23-UA.4; INF.13.A23-UA.5; SYS.1.1.A24-UA.1</t>
        </is>
      </c>
      <c r="O97" s="11" t="inlineStr">
        <is>
          <t>intersects-with; intersects-with; intersects-with</t>
        </is>
      </c>
      <c r="P97" s="12" t="inlineStr">
        <is>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is>
      </c>
      <c r="Q97" s="11" t="inlineStr"/>
      <c r="R97" s="11" t="inlineStr">
        <is>
          <t>Detektions-Konzept</t>
        </is>
      </c>
      <c r="S97" s="12" t="inlineStr">
        <is>
          <t>Schwachstellen anhand eines Abgleichs mehrerer Scans miteinander</t>
        </is>
      </c>
      <c r="T97" s="12" t="inlineStr">
        <is>
          <t>G 0.28 – Software-Schwachstellen oder -Fehler; G 0.23 – Unbefugtes Eindringen in IT-Systeme</t>
        </is>
      </c>
      <c r="U97" s="11" t="n">
        <v>3</v>
      </c>
      <c r="V97" s="11" t="n">
        <v>2</v>
      </c>
      <c r="W97" s="11" t="n">
        <v>2</v>
      </c>
      <c r="X97" s="11" t="n">
        <v>1</v>
      </c>
      <c r="Y97" s="11" t="n">
        <v>0</v>
      </c>
    </row>
    <row r="98">
      <c r="A98" s="11" t="inlineStr">
        <is>
          <t>DET.5.3</t>
        </is>
      </c>
      <c r="B98" s="12" t="inlineStr">
        <is>
          <t>Schwachstellenscans</t>
        </is>
      </c>
      <c r="C98" s="11" t="inlineStr">
        <is>
          <t>DET.5.3.3</t>
        </is>
      </c>
      <c r="D98" s="11" t="inlineStr">
        <is>
          <t>Anforderungen bei erhöhtem Schutzbedarf</t>
        </is>
      </c>
      <c r="E98" s="12" t="inlineStr">
        <is>
          <t>Detektion KANN Schwachstellen in öffentlich erreichbaren Systemen oder Anwendungen anhand bekannter Anzeichen im Audit Log testen.</t>
        </is>
      </c>
      <c r="F98" s="14" t="n"/>
      <c r="G98" s="14" t="n"/>
      <c r="H98" s="14" t="inlineStr">
        <is>
          <t>unbearbeitet</t>
        </is>
      </c>
      <c r="I98" s="14" t="n"/>
      <c r="J98" s="14" t="n"/>
      <c r="K98" s="14" t="n"/>
      <c r="L98" s="15" t="n"/>
      <c r="M98" s="11" t="inlineStr">
        <is>
          <t>Vertraulichkeit, Integrität</t>
        </is>
      </c>
      <c r="N98" s="12" t="inlineStr">
        <is>
          <t>APP.4.3.A20-UA.5; IND.1.A12-UA.2; IND.1.A12-UA.5</t>
        </is>
      </c>
      <c r="O98" s="11" t="inlineStr">
        <is>
          <t>subset-of; superset-of; superset-of</t>
        </is>
      </c>
      <c r="P98" s="12" t="inlineStr">
        <is>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is>
      </c>
      <c r="Q98" s="11" t="inlineStr"/>
      <c r="R98" s="11" t="inlineStr">
        <is>
          <t>Detektions-Konzept</t>
        </is>
      </c>
      <c r="S98" s="12" t="inlineStr">
        <is>
          <t>Schwachstellen in öffentlich erreichbaren Systemen oder Anwendungen</t>
        </is>
      </c>
      <c r="T98" s="12" t="inlineStr">
        <is>
          <t>G 0.28 – Software-Schwachstellen oder -Fehler; G 0.18 – Fehlplanung oder fehlende Anpassung; G 0.23 – Unbefugtes Eindringen in IT-Systeme</t>
        </is>
      </c>
      <c r="U98" s="11" t="n">
        <v>3</v>
      </c>
      <c r="V98" s="11" t="n">
        <v>2</v>
      </c>
      <c r="W98" s="11" t="n">
        <v>2</v>
      </c>
      <c r="X98" s="11" t="n">
        <v>1</v>
      </c>
      <c r="Y98" s="11" t="n">
        <v>0</v>
      </c>
    </row>
    <row r="99">
      <c r="A99" s="9" t="inlineStr">
        <is>
          <t>DET.5.4</t>
        </is>
      </c>
      <c r="B99" s="10" t="inlineStr">
        <is>
          <t>Regelmäßige Penetrationstests</t>
        </is>
      </c>
      <c r="C99" s="11" t="n"/>
      <c r="D99" s="11" t="inlineStr">
        <is>
          <t>Anforderungen bei erhöhtem Schutzbedarf</t>
        </is>
      </c>
      <c r="E99" s="12" t="inlineStr">
        <is>
          <t>Gesamt:</t>
        </is>
      </c>
      <c r="F99" s="11" t="n"/>
      <c r="G99" s="11" t="n"/>
      <c r="H99" s="13">
        <f>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
      </c>
      <c r="I99" s="11" t="n"/>
      <c r="J99" s="11" t="n"/>
      <c r="K99" s="11" t="n"/>
      <c r="L99" s="11" t="n"/>
      <c r="M99" s="11" t="inlineStr"/>
      <c r="N99" s="12" t="inlineStr">
        <is>
          <t>APP.1.4.A15-UA.3; NET.3.2.A24-UA.2; OPS.1.1.1.A20-UA.2; OPS.1.1.1.A23-UA.1; OPS.1.1.6.A14-UA.1; SYS.1.1.A24-UA.1</t>
        </is>
      </c>
      <c r="O99" s="11" t="inlineStr">
        <is>
          <t>subset-of; intersects-with; superset-of; equivalent-to; superset-of; subset-of</t>
        </is>
      </c>
      <c r="P99" s="12" t="inlineStr">
        <is>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is>
      </c>
      <c r="Q99" s="11" t="inlineStr">
        <is>
          <t>IT-Systeme</t>
        </is>
      </c>
      <c r="R99" s="11" t="inlineStr">
        <is>
          <t>Detektions-Konzept</t>
        </is>
      </c>
      <c r="S99" s="12" t="inlineStr">
        <is>
          <t>die tatsächliche Abwehrfähigkeit</t>
        </is>
      </c>
      <c r="T99" s="12" t="inlineStr">
        <is>
          <t>G 0.23 – Unbefugtes Eindringen in IT-Systeme</t>
        </is>
      </c>
      <c r="U99" s="11" t="n">
        <v>5</v>
      </c>
      <c r="V99" s="11" t="n">
        <v>1</v>
      </c>
      <c r="W99" s="11" t="n">
        <v>1</v>
      </c>
      <c r="X99" s="11" t="n">
        <v>0</v>
      </c>
      <c r="Y99" s="11" t="n">
        <v>0</v>
      </c>
    </row>
    <row r="100">
      <c r="A100" s="11" t="inlineStr">
        <is>
          <t>DET.5.4</t>
        </is>
      </c>
      <c r="B100" s="12" t="inlineStr">
        <is>
          <t>Regelmäßige Penetrationstests</t>
        </is>
      </c>
      <c r="C100" s="11" t="inlineStr">
        <is>
          <t>DET.5.4</t>
        </is>
      </c>
      <c r="D100" s="11" t="inlineStr">
        <is>
          <t>Anforderungen bei erhöhtem Schutzbedarf</t>
        </is>
      </c>
      <c r="E100" s="12" t="inlineStr">
        <is>
          <t>Detektion für IT-Systeme KANN die tatsächliche Abwehrfähigkeit nach einer anerkannten Vorgehensweise regelmäßig überprüfen.</t>
        </is>
      </c>
      <c r="F100" s="14" t="n"/>
      <c r="G100" s="14" t="n"/>
      <c r="H100" s="14" t="inlineStr">
        <is>
          <t>unbearbeitet</t>
        </is>
      </c>
      <c r="I100" s="14" t="n"/>
      <c r="J100" s="14" t="n"/>
      <c r="K100" s="14" t="n"/>
      <c r="L100" s="15" t="n"/>
      <c r="M100" s="11" t="inlineStr"/>
      <c r="N100" s="12" t="inlineStr">
        <is>
          <t>APP.1.4.A15-UA.3; NET.3.2.A24-UA.2; OPS.1.1.1.A20-UA.2; OPS.1.1.1.A23-UA.1; OPS.1.1.6.A14-UA.1; SYS.1.1.A24-UA.1</t>
        </is>
      </c>
      <c r="O100" s="11" t="inlineStr">
        <is>
          <t>subset-of; intersects-with; superset-of; equivalent-to; superset-of; subset-of</t>
        </is>
      </c>
      <c r="P100" s="12" t="inlineStr">
        <is>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is>
      </c>
      <c r="Q100" s="11" t="inlineStr">
        <is>
          <t>IT-Systeme</t>
        </is>
      </c>
      <c r="R100" s="11" t="inlineStr">
        <is>
          <t>Detektions-Konzept</t>
        </is>
      </c>
      <c r="S100" s="12" t="inlineStr">
        <is>
          <t>die tatsächliche Abwehrfähigkeit</t>
        </is>
      </c>
      <c r="T100" s="12" t="inlineStr">
        <is>
          <t>G 0.23 – Unbefugtes Eindringen in IT-Systeme</t>
        </is>
      </c>
      <c r="U100" s="11" t="n">
        <v>5</v>
      </c>
      <c r="V100" s="11" t="n">
        <v>1</v>
      </c>
      <c r="W100" s="11" t="n">
        <v>1</v>
      </c>
      <c r="X100" s="11" t="n">
        <v>0</v>
      </c>
      <c r="Y100" s="11" t="n">
        <v>0</v>
      </c>
    </row>
    <row r="101">
      <c r="A101" s="9" t="inlineStr">
        <is>
          <t>DET.5.5</t>
        </is>
      </c>
      <c r="B101" s="10" t="inlineStr">
        <is>
          <t>Red Teaming</t>
        </is>
      </c>
      <c r="C101" s="11" t="n"/>
      <c r="D101" s="11" t="inlineStr">
        <is>
          <t>Anforderungen bei erhöhtem Schutzbedarf</t>
        </is>
      </c>
      <c r="E101" s="12" t="inlineStr">
        <is>
          <t>Gesamt:</t>
        </is>
      </c>
      <c r="F101" s="11" t="n"/>
      <c r="G101" s="11" t="n"/>
      <c r="H101" s="13">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
      </c>
      <c r="I101" s="11" t="n"/>
      <c r="J101" s="11" t="n"/>
      <c r="K101" s="11" t="n"/>
      <c r="L101" s="11" t="n"/>
      <c r="M101" s="11" t="inlineStr">
        <is>
          <t>Vertraulichkeit, Integrität</t>
        </is>
      </c>
      <c r="N101" s="12" t="inlineStr"/>
      <c r="O101" s="11" t="inlineStr"/>
      <c r="P101" s="12" t="inlineStr">
        <is>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is>
      </c>
      <c r="Q101" s="11" t="inlineStr">
        <is>
          <t>IT-Systeme</t>
        </is>
      </c>
      <c r="R101" s="11" t="inlineStr">
        <is>
          <t>Detektions-Konzept</t>
        </is>
      </c>
      <c r="S101" s="12" t="inlineStr">
        <is>
          <t>die tatsächliche Abwehrfähigkeit</t>
        </is>
      </c>
      <c r="T101" s="12" t="inlineStr">
        <is>
          <t>G 0.23 – Unbefugtes Eindringen in IT-Systeme; G 0.39 – Schadprogramme; G 0.28 – Software-Schwachstellen oder -Fehler</t>
        </is>
      </c>
      <c r="U101" s="11" t="n">
        <v>5</v>
      </c>
      <c r="V101" s="11" t="n">
        <v>2</v>
      </c>
      <c r="W101" s="11" t="n">
        <v>2</v>
      </c>
      <c r="X101" s="11" t="n">
        <v>1</v>
      </c>
      <c r="Y101" s="11" t="n">
        <v>0</v>
      </c>
    </row>
    <row r="102">
      <c r="A102" s="11" t="inlineStr">
        <is>
          <t>DET.5.5</t>
        </is>
      </c>
      <c r="B102" s="12" t="inlineStr">
        <is>
          <t>Red Teaming</t>
        </is>
      </c>
      <c r="C102" s="11" t="inlineStr">
        <is>
          <t>DET.5.5</t>
        </is>
      </c>
      <c r="D102" s="11" t="inlineStr">
        <is>
          <t>Anforderungen bei erhöhtem Schutzbedarf</t>
        </is>
      </c>
      <c r="E102" s="12" t="inlineStr">
        <is>
          <t>Detektion für IT-Systeme KANN die tatsächliche Abwehrfähigkeit regelmäßig durch unabhängig agierende Sicherheitsexperten überprüfen.</t>
        </is>
      </c>
      <c r="F102" s="14" t="n"/>
      <c r="G102" s="14" t="n"/>
      <c r="H102" s="14" t="inlineStr">
        <is>
          <t>unbearbeitet</t>
        </is>
      </c>
      <c r="I102" s="14" t="n"/>
      <c r="J102" s="14" t="n"/>
      <c r="K102" s="14" t="n"/>
      <c r="L102" s="15" t="n"/>
      <c r="M102" s="11" t="inlineStr">
        <is>
          <t>Vertraulichkeit, Integrität</t>
        </is>
      </c>
      <c r="N102" s="12" t="inlineStr"/>
      <c r="O102" s="11" t="inlineStr"/>
      <c r="P102" s="12" t="inlineStr">
        <is>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is>
      </c>
      <c r="Q102" s="11" t="inlineStr">
        <is>
          <t>IT-Systeme</t>
        </is>
      </c>
      <c r="R102" s="11" t="inlineStr">
        <is>
          <t>Detektions-Konzept</t>
        </is>
      </c>
      <c r="S102" s="12" t="inlineStr">
        <is>
          <t>die tatsächliche Abwehrfähigkeit</t>
        </is>
      </c>
      <c r="T102" s="12" t="inlineStr">
        <is>
          <t>G 0.23 – Unbefugtes Eindringen in IT-Systeme; G 0.39 – Schadprogramme; G 0.28 – Software-Schwachstellen oder -Fehler</t>
        </is>
      </c>
      <c r="U102" s="11" t="n">
        <v>5</v>
      </c>
      <c r="V102" s="11" t="n">
        <v>2</v>
      </c>
      <c r="W102" s="11" t="n">
        <v>2</v>
      </c>
      <c r="X102" s="11" t="n">
        <v>1</v>
      </c>
      <c r="Y102" s="11" t="n">
        <v>0</v>
      </c>
    </row>
    <row r="103">
      <c r="A103" s="9" t="inlineStr">
        <is>
          <t>DET.5.6</t>
        </is>
      </c>
      <c r="B103" s="10" t="inlineStr">
        <is>
          <t>Threat Hunting</t>
        </is>
      </c>
      <c r="C103" s="11" t="n"/>
      <c r="D103" s="11" t="inlineStr">
        <is>
          <t>Anforderungen bei erhöhtem Schutzbedarf</t>
        </is>
      </c>
      <c r="E103" s="12" t="inlineStr">
        <is>
          <t>Gesamt:</t>
        </is>
      </c>
      <c r="F103" s="11" t="n"/>
      <c r="G103" s="11" t="n"/>
      <c r="H103" s="13">
        <f>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
      </c>
      <c r="I103" s="11" t="n"/>
      <c r="J103" s="11" t="n"/>
      <c r="K103" s="11" t="n"/>
      <c r="L103" s="11" t="n"/>
      <c r="M103" s="11" t="inlineStr">
        <is>
          <t>Vertraulichkeit, Integrität</t>
        </is>
      </c>
      <c r="N103" s="12" t="inlineStr">
        <is>
          <t>APP.4.3.A20-UA.5; DER.2.1.A21-UA.7</t>
        </is>
      </c>
      <c r="O103" s="11" t="inlineStr">
        <is>
          <t>subset-of; intersects-with</t>
        </is>
      </c>
      <c r="P103" s="12" t="inlineStr">
        <is>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is>
      </c>
      <c r="Q103" s="11" t="inlineStr"/>
      <c r="R103" s="11" t="inlineStr">
        <is>
          <t>Detektions-Konzept</t>
        </is>
      </c>
      <c r="S103" s="12" t="inlineStr">
        <is>
          <t>den Informationsverbund durch Sicherheitsexperten auf Anzeichen für Angriffe</t>
        </is>
      </c>
      <c r="T103" s="12" t="inlineStr">
        <is>
          <t>G 0.23 – Unbefugtes Eindringen in IT-Systeme; G 0.39 – Schadprogramme</t>
        </is>
      </c>
      <c r="U103" s="11" t="n">
        <v>4</v>
      </c>
      <c r="V103" s="11" t="n">
        <v>2</v>
      </c>
      <c r="W103" s="11" t="n">
        <v>2</v>
      </c>
      <c r="X103" s="11" t="n">
        <v>1</v>
      </c>
      <c r="Y103" s="11" t="n">
        <v>0</v>
      </c>
    </row>
    <row r="104">
      <c r="A104" s="11" t="inlineStr">
        <is>
          <t>DET.5.6</t>
        </is>
      </c>
      <c r="B104" s="12" t="inlineStr">
        <is>
          <t>Threat Hunting</t>
        </is>
      </c>
      <c r="C104" s="11" t="inlineStr">
        <is>
          <t>DET.5.6</t>
        </is>
      </c>
      <c r="D104" s="11" t="inlineStr">
        <is>
          <t>Anforderungen bei erhöhtem Schutzbedarf</t>
        </is>
      </c>
      <c r="E104" s="12" t="inlineStr">
        <is>
          <t>Detektion KANN den Informationsverbund durch Sicherheitsexperten auf Anzeichen für Angriffe regelmäßig überprüfen.</t>
        </is>
      </c>
      <c r="F104" s="14" t="n"/>
      <c r="G104" s="14" t="n"/>
      <c r="H104" s="14" t="inlineStr">
        <is>
          <t>unbearbeitet</t>
        </is>
      </c>
      <c r="I104" s="14" t="n"/>
      <c r="J104" s="14" t="n"/>
      <c r="K104" s="14" t="n"/>
      <c r="L104" s="15" t="n"/>
      <c r="M104" s="11" t="inlineStr">
        <is>
          <t>Vertraulichkeit, Integrität</t>
        </is>
      </c>
      <c r="N104" s="12" t="inlineStr">
        <is>
          <t>APP.4.3.A20-UA.5; DER.2.1.A21-UA.7</t>
        </is>
      </c>
      <c r="O104" s="11" t="inlineStr">
        <is>
          <t>subset-of; intersects-with</t>
        </is>
      </c>
      <c r="P104" s="12" t="inlineStr">
        <is>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is>
      </c>
      <c r="Q104" s="11" t="inlineStr"/>
      <c r="R104" s="11" t="inlineStr">
        <is>
          <t>Detektions-Konzept</t>
        </is>
      </c>
      <c r="S104" s="12" t="inlineStr">
        <is>
          <t>den Informationsverbund durch Sicherheitsexperten auf Anzeichen für Angriffe</t>
        </is>
      </c>
      <c r="T104" s="12" t="inlineStr">
        <is>
          <t>G 0.23 – Unbefugtes Eindringen in IT-Systeme; G 0.39 – Schadprogramme</t>
        </is>
      </c>
      <c r="U104" s="11" t="n">
        <v>4</v>
      </c>
      <c r="V104" s="11" t="n">
        <v>2</v>
      </c>
      <c r="W104" s="11" t="n">
        <v>2</v>
      </c>
      <c r="X104" s="11" t="n">
        <v>1</v>
      </c>
      <c r="Y104" s="11" t="n">
        <v>0</v>
      </c>
    </row>
    <row r="105">
      <c r="A105" s="9" t="inlineStr">
        <is>
          <t>DET.5.7</t>
        </is>
      </c>
      <c r="B105" s="10" t="inlineStr">
        <is>
          <t>Analyse verdeckter Kanäle</t>
        </is>
      </c>
      <c r="C105" s="11" t="n"/>
      <c r="D105" s="11" t="inlineStr">
        <is>
          <t>Anforderungen bei erhöhtem Schutzbedarf</t>
        </is>
      </c>
      <c r="E105" s="12" t="inlineStr">
        <is>
          <t>Gesamt:</t>
        </is>
      </c>
      <c r="F105" s="11" t="n"/>
      <c r="G105" s="11" t="n"/>
      <c r="H105" s="13">
        <f>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
      </c>
      <c r="I105" s="11" t="n"/>
      <c r="J105" s="11" t="n"/>
      <c r="K105" s="11" t="n"/>
      <c r="L105" s="11" t="n"/>
      <c r="M105" s="11" t="inlineStr"/>
      <c r="N105" s="12" t="inlineStr">
        <is>
          <t>SYS.2.1.A45-UA.1; SYS.4.3.A18-UA.1</t>
        </is>
      </c>
      <c r="O105" s="11" t="inlineStr">
        <is>
          <t>subset-of; intersects-with</t>
        </is>
      </c>
      <c r="P105" s="12" t="inlineStr">
        <is>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is>
      </c>
      <c r="Q105" s="11" t="inlineStr"/>
      <c r="R105" s="11" t="inlineStr">
        <is>
          <t>Detektions-Konzept</t>
        </is>
      </c>
      <c r="S105" s="12" t="inlineStr">
        <is>
          <t>den Informationsverbund auf verdeckte Kommunikationskanäle</t>
        </is>
      </c>
      <c r="T105" s="12" t="inlineStr">
        <is>
          <t>G 0.39 – Schadprogramme</t>
        </is>
      </c>
      <c r="U105" s="11" t="n">
        <v>5</v>
      </c>
      <c r="V105" s="11" t="n">
        <v>1</v>
      </c>
      <c r="W105" s="11" t="n">
        <v>1</v>
      </c>
      <c r="X105" s="11" t="n">
        <v>1</v>
      </c>
      <c r="Y105" s="11" t="n">
        <v>0</v>
      </c>
    </row>
    <row r="106">
      <c r="A106" s="11" t="inlineStr">
        <is>
          <t>DET.5.7</t>
        </is>
      </c>
      <c r="B106" s="12" t="inlineStr">
        <is>
          <t>Analyse verdeckter Kanäle</t>
        </is>
      </c>
      <c r="C106" s="11" t="inlineStr">
        <is>
          <t>DET.5.7</t>
        </is>
      </c>
      <c r="D106" s="11" t="inlineStr">
        <is>
          <t>Anforderungen bei erhöhtem Schutzbedarf</t>
        </is>
      </c>
      <c r="E106" s="12" t="inlineStr">
        <is>
          <t>Detektion KANN den Informationsverbund auf verdeckte Kommunikationskanäle bei Sicherheitsvorfällen mit verdeckten Kanälen und regelmäßig überprüfen.</t>
        </is>
      </c>
      <c r="F106" s="14" t="n"/>
      <c r="G106" s="14" t="n"/>
      <c r="H106" s="14" t="inlineStr">
        <is>
          <t>unbearbeitet</t>
        </is>
      </c>
      <c r="I106" s="14" t="n"/>
      <c r="J106" s="14" t="n"/>
      <c r="K106" s="14" t="n"/>
      <c r="L106" s="15" t="n"/>
      <c r="M106" s="11" t="inlineStr"/>
      <c r="N106" s="12" t="inlineStr">
        <is>
          <t>SYS.2.1.A45-UA.1; SYS.4.3.A18-UA.1</t>
        </is>
      </c>
      <c r="O106" s="11" t="inlineStr">
        <is>
          <t>subset-of; intersects-with</t>
        </is>
      </c>
      <c r="P106" s="12" t="inlineStr">
        <is>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is>
      </c>
      <c r="Q106" s="11" t="inlineStr"/>
      <c r="R106" s="11" t="inlineStr">
        <is>
          <t>Detektions-Konzept</t>
        </is>
      </c>
      <c r="S106" s="12" t="inlineStr">
        <is>
          <t>den Informationsverbund auf verdeckte Kommunikationskanäle</t>
        </is>
      </c>
      <c r="T106" s="12" t="inlineStr">
        <is>
          <t>G 0.39 – Schadprogramme</t>
        </is>
      </c>
      <c r="U106" s="11" t="n">
        <v>5</v>
      </c>
      <c r="V106" s="11" t="n">
        <v>1</v>
      </c>
      <c r="W106" s="11" t="n">
        <v>1</v>
      </c>
      <c r="X106" s="11" t="n">
        <v>1</v>
      </c>
      <c r="Y106" s="11" t="n">
        <v>0</v>
      </c>
    </row>
    <row r="107">
      <c r="A107" s="9" t="inlineStr">
        <is>
          <t>DET.5.8</t>
        </is>
      </c>
      <c r="B107" s="10" t="inlineStr">
        <is>
          <t>Bedrohungsanalyse</t>
        </is>
      </c>
      <c r="C107" s="11" t="n"/>
      <c r="D107" s="11" t="inlineStr">
        <is>
          <t>Standard-Anforderungen</t>
        </is>
      </c>
      <c r="E107" s="12" t="inlineStr">
        <is>
          <t>Gesamt:</t>
        </is>
      </c>
      <c r="F107" s="11" t="n"/>
      <c r="G107" s="11" t="n"/>
      <c r="H107" s="13">
        <f>IF(OR(COUNTBLANK($H$108:$H$110)&gt;0,COUNTIF($H$108:$H$110,"unbearbeitet")=COUNTA($H$108:$H$110)),"Bitte Teilanforderungen ausfüllen",IF(COUNTIF($H$108:$H$110,"zu klären")&gt;0,"zu klären",IF(COUNTIF($H$108:$H$110,"entbehrlich")=COUNTA($H$108:$H$110),"entbehrlich",IF(COUNTIF($H$108:$H$110,"verwiesen")=COUNTA($H$108:$H$110),"verwiesen",IF(COUNTIF($H$108:$H$110,"nein")+COUNTIF($H$108:$H$110,"entbehrlich")=COUNTA($H$108:$H$110),"nein",IF(COUNTIF($H$108:$H$110,"ja")+COUNTIF($H$108:$H$110,"entbehrlich")+COUNTIF($H$108:$H$110,"verwiesen")=COUNTA($H$108:$H$110),"ja","teilweise"))))))</f>
        <v/>
      </c>
      <c r="I107" s="11" t="n"/>
      <c r="J107" s="11" t="n"/>
      <c r="K107" s="11" t="n"/>
      <c r="L107" s="11" t="n"/>
      <c r="M107" s="11" t="inlineStr"/>
      <c r="N107" s="12" t="inlineStr">
        <is>
          <t>CON.8.A21-UA.2; DER.1.A12-UA.1; DER.1.A12-UA.4</t>
        </is>
      </c>
      <c r="O107" s="11" t="inlineStr">
        <is>
          <t>subset-of; subset-of; subset-of</t>
        </is>
      </c>
      <c r="P107" s="12" t="inlineStr">
        <is>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is>
      </c>
      <c r="Q107" s="11" t="inlineStr"/>
      <c r="R107" s="11" t="inlineStr">
        <is>
          <t>Detektions-Konzept</t>
        </is>
      </c>
      <c r="S107" s="12" t="inlineStr">
        <is>
          <t>verfügbare Informationen zu Bedrohungen, die für den Informationsverbund relevant sind,</t>
        </is>
      </c>
      <c r="T107" s="12" t="inlineStr">
        <is>
          <t>G 0.29 – Verstoß gegen Gesetze oder Regelungen; G 0.18 – Fehlplanung oder fehlende Anpassung</t>
        </is>
      </c>
      <c r="U107" s="11" t="n">
        <v>5</v>
      </c>
      <c r="V107" s="11" t="n">
        <v>1</v>
      </c>
      <c r="W107" s="11" t="n">
        <v>1</v>
      </c>
      <c r="X107" s="11" t="n">
        <v>1</v>
      </c>
      <c r="Y107" s="11" t="n">
        <v>0</v>
      </c>
    </row>
    <row r="108">
      <c r="A108" s="11" t="inlineStr">
        <is>
          <t>DET.5.8</t>
        </is>
      </c>
      <c r="B108" s="12" t="inlineStr">
        <is>
          <t>Bedrohungsanalyse</t>
        </is>
      </c>
      <c r="C108" s="11" t="inlineStr">
        <is>
          <t>DET.5.8</t>
        </is>
      </c>
      <c r="D108" s="11" t="inlineStr">
        <is>
          <t>Standard-Anforderungen</t>
        </is>
      </c>
      <c r="E108" s="12" t="inlineStr">
        <is>
          <t>Detektion SOLLTE verfügbare Informationen zu Bedrohungen, die für den Informationsverbund relevant sind, regelmäßig überprüfen.</t>
        </is>
      </c>
      <c r="F108" s="14" t="n"/>
      <c r="G108" s="14" t="n"/>
      <c r="H108" s="14" t="inlineStr">
        <is>
          <t>unbearbeitet</t>
        </is>
      </c>
      <c r="I108" s="14" t="n"/>
      <c r="J108" s="14" t="n"/>
      <c r="K108" s="14" t="n"/>
      <c r="L108" s="15" t="n"/>
      <c r="M108" s="11" t="inlineStr"/>
      <c r="N108" s="12" t="inlineStr">
        <is>
          <t>CON.8.A21-UA.2; DER.1.A12-UA.1; DER.1.A12-UA.4</t>
        </is>
      </c>
      <c r="O108" s="11" t="inlineStr">
        <is>
          <t>subset-of; subset-of; subset-of</t>
        </is>
      </c>
      <c r="P108" s="12" t="inlineStr">
        <is>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is>
      </c>
      <c r="Q108" s="11" t="inlineStr"/>
      <c r="R108" s="11" t="inlineStr">
        <is>
          <t>Detektions-Konzept</t>
        </is>
      </c>
      <c r="S108" s="12" t="inlineStr">
        <is>
          <t>verfügbare Informationen zu Bedrohungen, die für den Informationsverbund relevant sind,</t>
        </is>
      </c>
      <c r="T108" s="12" t="inlineStr">
        <is>
          <t>G 0.29 – Verstoß gegen Gesetze oder Regelungen; G 0.18 – Fehlplanung oder fehlende Anpassung</t>
        </is>
      </c>
      <c r="U108" s="11" t="n">
        <v>5</v>
      </c>
      <c r="V108" s="11" t="n">
        <v>1</v>
      </c>
      <c r="W108" s="11" t="n">
        <v>1</v>
      </c>
      <c r="X108" s="11" t="n">
        <v>1</v>
      </c>
      <c r="Y108" s="11" t="n">
        <v>0</v>
      </c>
    </row>
    <row r="109">
      <c r="A109" s="11" t="inlineStr">
        <is>
          <t>DET.5.8</t>
        </is>
      </c>
      <c r="B109" s="12" t="inlineStr">
        <is>
          <t>Bedrohungsanalyse</t>
        </is>
      </c>
      <c r="C109" s="11" t="inlineStr">
        <is>
          <t>DET.5.8.1</t>
        </is>
      </c>
      <c r="D109" s="11" t="inlineStr">
        <is>
          <t>Anforderungen bei erhöhtem Schutzbedarf</t>
        </is>
      </c>
      <c r="E109" s="12" t="inlineStr">
        <is>
          <t>Detektion KANN öffentliche Quellen auf Hinweise zu eigenen Schwachstellen anhand von Kriterien zur Suche regelmäßig überprüfen.</t>
        </is>
      </c>
      <c r="F109" s="14" t="n"/>
      <c r="G109" s="14" t="n"/>
      <c r="H109" s="14" t="inlineStr">
        <is>
          <t>unbearbeitet</t>
        </is>
      </c>
      <c r="I109" s="14" t="n"/>
      <c r="J109" s="14" t="n"/>
      <c r="K109" s="14" t="n"/>
      <c r="L109" s="15" t="n"/>
      <c r="M109" s="11" t="inlineStr">
        <is>
          <t>Vertraulichkeit, Integrität</t>
        </is>
      </c>
      <c r="N109" s="12" t="inlineStr">
        <is>
          <t>DER.1.A12-UA.1; DER.1.A12-UA.3; IND.1.A12-UA.4</t>
        </is>
      </c>
      <c r="O109" s="11" t="inlineStr">
        <is>
          <t>equivalent-to; subset-of; subset-of</t>
        </is>
      </c>
      <c r="P109" s="12" t="inlineStr">
        <is>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is>
      </c>
      <c r="Q109" s="11" t="inlineStr"/>
      <c r="R109" s="11" t="inlineStr">
        <is>
          <t>Detektions-Konzept</t>
        </is>
      </c>
      <c r="S109" s="12" t="inlineStr">
        <is>
          <t>öffentliche Quellen auf Hinweise zu eigenen Schwachstellen</t>
        </is>
      </c>
      <c r="T109" s="12" t="inlineStr">
        <is>
          <t>G 0.29 – Verstoß gegen Gesetze oder Regelungen; G 0.18 – Fehlplanung oder fehlende Anpassung; G 0.28 – Software-Schwachstellen oder -Fehler; G 0.23 – Unbefugtes Eindringen in IT-Systeme</t>
        </is>
      </c>
      <c r="U109" s="11" t="n">
        <v>5</v>
      </c>
      <c r="V109" s="11" t="n">
        <v>2</v>
      </c>
      <c r="W109" s="11" t="n">
        <v>2</v>
      </c>
      <c r="X109" s="11" t="n">
        <v>1</v>
      </c>
      <c r="Y109" s="11" t="n">
        <v>0</v>
      </c>
    </row>
    <row r="110">
      <c r="A110" s="11" t="inlineStr">
        <is>
          <t>DET.5.8</t>
        </is>
      </c>
      <c r="B110" s="12" t="inlineStr">
        <is>
          <t>Bedrohungsanalyse</t>
        </is>
      </c>
      <c r="C110" s="11" t="inlineStr">
        <is>
          <t>DET.5.8.1.1</t>
        </is>
      </c>
      <c r="D110" s="11" t="inlineStr">
        <is>
          <t>Anforderungen bei erhöhtem Schutzbedarf</t>
        </is>
      </c>
      <c r="E110" s="12" t="inlineStr">
        <is>
          <t>Detektion KANN öffentliche Quellen automatisiert auf Hinweise zur unautorisierten Veröffentlichung vertraulicher Daten überwachen.</t>
        </is>
      </c>
      <c r="F110" s="14" t="n"/>
      <c r="G110" s="14" t="n"/>
      <c r="H110" s="14" t="inlineStr">
        <is>
          <t>unbearbeitet</t>
        </is>
      </c>
      <c r="I110" s="14" t="n"/>
      <c r="J110" s="14" t="n"/>
      <c r="K110" s="14" t="n"/>
      <c r="L110" s="15" t="n"/>
      <c r="M110" s="11" t="inlineStr"/>
      <c r="N110" s="12" t="inlineStr"/>
      <c r="O110" s="11" t="inlineStr"/>
      <c r="P110" s="12" t="inlineStr">
        <is>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is>
      </c>
      <c r="Q110" s="11" t="inlineStr"/>
      <c r="R110" s="11" t="inlineStr">
        <is>
          <t>Detektions-Konzept</t>
        </is>
      </c>
      <c r="S110" s="12" t="inlineStr">
        <is>
          <t>öffentliche Quellen automatisiert auf Hinweise zur unautorisierten Veröffentlichung vertraulicher Daten</t>
        </is>
      </c>
      <c r="T110" s="12" t="inlineStr">
        <is>
          <t>G 0.29 – Verstoß gegen Gesetze oder Regelungen</t>
        </is>
      </c>
      <c r="U110" s="11" t="n">
        <v>5</v>
      </c>
      <c r="V110" s="11" t="n">
        <v>1</v>
      </c>
      <c r="W110" s="11" t="n">
        <v>1</v>
      </c>
      <c r="X110" s="11" t="n">
        <v>1</v>
      </c>
      <c r="Y110" s="11" t="n">
        <v>0</v>
      </c>
    </row>
    <row r="111">
      <c r="A111" s="9" t="inlineStr">
        <is>
          <t>DET.5.9</t>
        </is>
      </c>
      <c r="B111" s="10" t="inlineStr">
        <is>
          <t>Externe Schwachstellenmeldungen</t>
        </is>
      </c>
      <c r="C111" s="11" t="n"/>
      <c r="D111" s="11" t="inlineStr">
        <is>
          <t>Standard-Anforderungen</t>
        </is>
      </c>
      <c r="E111" s="12" t="inlineStr">
        <is>
          <t>Gesamt:</t>
        </is>
      </c>
      <c r="F111" s="11" t="n"/>
      <c r="G111" s="11" t="n"/>
      <c r="H111" s="13">
        <f>IF(OR(COUNTBLANK($H$112:$H$113)&gt;0,COUNTIF($H$112:$H$113,"unbearbeitet")=COUNTA($H$112:$H$113)),"Bitte Teilanforderungen ausfüllen",IF(COUNTIF($H$112:$H$113,"zu klären")&gt;0,"zu klären",IF(COUNTIF($H$112:$H$113,"entbehrlich")=COUNTA($H$112:$H$113),"entbehrlich",IF(COUNTIF($H$112:$H$113,"verwiesen")=COUNTA($H$112:$H$113),"verwiesen",IF(COUNTIF($H$112:$H$113,"nein")+COUNTIF($H$112:$H$113,"entbehrlich")=COUNTA($H$112:$H$113),"nein",IF(COUNTIF($H$112:$H$113,"ja")+COUNTIF($H$112:$H$113,"entbehrlich")+COUNTIF($H$112:$H$113,"verwiesen")=COUNTA($H$112:$H$113),"ja","teilweise"))))))</f>
        <v/>
      </c>
      <c r="I111" s="11" t="n"/>
      <c r="J111" s="11" t="n"/>
      <c r="K111" s="11" t="n"/>
      <c r="L111" s="11" t="n"/>
      <c r="M111" s="11" t="inlineStr"/>
      <c r="N111" s="12" t="inlineStr">
        <is>
          <t>APP.3.2.A20-UA.3; APP.3.2.A20-UA.4</t>
        </is>
      </c>
      <c r="O111" s="11" t="inlineStr">
        <is>
          <t>subset-of; intersects-with</t>
        </is>
      </c>
      <c r="P111" s="12" t="inlineStr">
        <is>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is>
      </c>
      <c r="Q111" s="11" t="inlineStr"/>
      <c r="R111" s="11" t="inlineStr">
        <is>
          <t>Detektions-Konzept</t>
        </is>
      </c>
      <c r="S111" s="12" t="inlineStr">
        <is>
          <t>eine Vorgehensweise zur Entgegennahme und Behandlung von externen Schwachstellenmeldungen</t>
        </is>
      </c>
      <c r="T111" s="12" t="inlineStr">
        <is>
          <t>G 0.28 – Software-Schwachstellen oder -Fehler; G 0.23 – Unbefugtes Eindringen in IT-Systeme</t>
        </is>
      </c>
      <c r="U111" s="11" t="n">
        <v>4</v>
      </c>
      <c r="V111" s="11" t="n">
        <v>1</v>
      </c>
      <c r="W111" s="11" t="n">
        <v>1</v>
      </c>
      <c r="X111" s="11" t="n">
        <v>1</v>
      </c>
      <c r="Y111" s="11" t="n">
        <v>0</v>
      </c>
    </row>
    <row r="112">
      <c r="A112" s="11" t="inlineStr">
        <is>
          <t>DET.5.9</t>
        </is>
      </c>
      <c r="B112" s="12" t="inlineStr">
        <is>
          <t>Externe Schwachstellenmeldungen</t>
        </is>
      </c>
      <c r="C112" s="11" t="inlineStr">
        <is>
          <t>DET.5.9</t>
        </is>
      </c>
      <c r="D112" s="11" t="inlineStr">
        <is>
          <t>Standard-Anforderungen</t>
        </is>
      </c>
      <c r="E112" s="12" t="inlineStr">
        <is>
          <t>Detektion SOLLTE eine Vorgehensweise zur Entgegennahme und Behandlung von externen Schwachstellenmeldungen verankern.</t>
        </is>
      </c>
      <c r="F112" s="14" t="n"/>
      <c r="G112" s="14" t="n"/>
      <c r="H112" s="14" t="inlineStr">
        <is>
          <t>unbearbeitet</t>
        </is>
      </c>
      <c r="I112" s="14" t="n"/>
      <c r="J112" s="14" t="n"/>
      <c r="K112" s="14" t="n"/>
      <c r="L112" s="15" t="n"/>
      <c r="M112" s="11" t="inlineStr"/>
      <c r="N112" s="12" t="inlineStr">
        <is>
          <t>APP.3.2.A20-UA.3; APP.3.2.A20-UA.4</t>
        </is>
      </c>
      <c r="O112" s="11" t="inlineStr">
        <is>
          <t>subset-of; intersects-with</t>
        </is>
      </c>
      <c r="P112" s="12" t="inlineStr">
        <is>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is>
      </c>
      <c r="Q112" s="11" t="inlineStr"/>
      <c r="R112" s="11" t="inlineStr">
        <is>
          <t>Detektions-Konzept</t>
        </is>
      </c>
      <c r="S112" s="12" t="inlineStr">
        <is>
          <t>eine Vorgehensweise zur Entgegennahme und Behandlung von externen Schwachstellenmeldungen</t>
        </is>
      </c>
      <c r="T112" s="12" t="inlineStr">
        <is>
          <t>G 0.28 – Software-Schwachstellen oder -Fehler; G 0.23 – Unbefugtes Eindringen in IT-Systeme</t>
        </is>
      </c>
      <c r="U112" s="11" t="n">
        <v>4</v>
      </c>
      <c r="V112" s="11" t="n">
        <v>1</v>
      </c>
      <c r="W112" s="11" t="n">
        <v>1</v>
      </c>
      <c r="X112" s="11" t="n">
        <v>1</v>
      </c>
      <c r="Y112" s="11" t="n">
        <v>0</v>
      </c>
    </row>
    <row r="113">
      <c r="A113" s="11" t="inlineStr">
        <is>
          <t>DET.5.9</t>
        </is>
      </c>
      <c r="B113" s="12" t="inlineStr">
        <is>
          <t>Externe Schwachstellenmeldungen</t>
        </is>
      </c>
      <c r="C113" s="11" t="inlineStr">
        <is>
          <t>DET.5.9.1</t>
        </is>
      </c>
      <c r="D113" s="11" t="inlineStr">
        <is>
          <t>Anforderungen bei erhöhtem Schutzbedarf</t>
        </is>
      </c>
      <c r="E113" s="12" t="inlineStr">
        <is>
          <t>Detektion KANN ein Bonusprogramm für externe Schwachstellenmeldungen verankern.</t>
        </is>
      </c>
      <c r="F113" s="14" t="n"/>
      <c r="G113" s="14" t="n"/>
      <c r="H113" s="14" t="inlineStr">
        <is>
          <t>unbearbeitet</t>
        </is>
      </c>
      <c r="I113" s="14" t="n"/>
      <c r="J113" s="14" t="n"/>
      <c r="K113" s="14" t="n"/>
      <c r="L113" s="15" t="n"/>
      <c r="M113" s="11" t="inlineStr">
        <is>
          <t>Vertraulichkeit, Integrität</t>
        </is>
      </c>
      <c r="N113" s="12" t="inlineStr">
        <is>
          <t>APP.3.2.A20-UA.4</t>
        </is>
      </c>
      <c r="O113" s="11" t="inlineStr">
        <is>
          <t>superset-of</t>
        </is>
      </c>
      <c r="P113" s="12" t="inlineStr">
        <is>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is>
      </c>
      <c r="Q113" s="11" t="inlineStr"/>
      <c r="R113" s="11" t="inlineStr">
        <is>
          <t>Detektions-Konzept</t>
        </is>
      </c>
      <c r="S113" s="12" t="inlineStr">
        <is>
          <t>ein Bonusprogramm für externe Schwachstellenmeldungen</t>
        </is>
      </c>
      <c r="T113" s="12" t="inlineStr">
        <is>
          <t>G 0.28 – Software-Schwachstellen oder -Fehler; G 0.23 – Unbefugtes Eindringen in IT-Systeme</t>
        </is>
      </c>
      <c r="U113" s="11" t="n">
        <v>5</v>
      </c>
      <c r="V113" s="11" t="n">
        <v>2</v>
      </c>
      <c r="W113" s="11" t="n">
        <v>2</v>
      </c>
      <c r="X113" s="11" t="n">
        <v>1</v>
      </c>
      <c r="Y113" s="11" t="n">
        <v>0</v>
      </c>
    </row>
    <row r="114">
      <c r="A114" s="9" t="inlineStr">
        <is>
          <t>DET.5.10</t>
        </is>
      </c>
      <c r="B114" s="10" t="inlineStr">
        <is>
          <t>Zeitnahes Patchmanagement</t>
        </is>
      </c>
      <c r="C114" s="11" t="n"/>
      <c r="D114" s="11" t="inlineStr">
        <is>
          <t>Standard-Anforderungen</t>
        </is>
      </c>
      <c r="E114" s="12" t="inlineStr">
        <is>
          <t>Gesamt:</t>
        </is>
      </c>
      <c r="F114" s="11" t="n"/>
      <c r="G114" s="11" t="n"/>
      <c r="H114" s="13">
        <f>IF(OR(COUNTBLANK($H$115:$H$120)&gt;0,COUNTIF($H$115:$H$120,"unbearbeitet")=COUNTA($H$115:$H$120)),"Bitte Teilanforderungen ausfüllen",IF(COUNTIF($H$115:$H$120,"zu klären")&gt;0,"zu klären",IF(COUNTIF($H$115:$H$120,"entbehrlich")=COUNTA($H$115:$H$120),"entbehrlich",IF(COUNTIF($H$115:$H$120,"verwiesen")=COUNTA($H$115:$H$120),"verwiesen",IF(COUNTIF($H$115:$H$120,"nein")+COUNTIF($H$115:$H$120,"entbehrlich")=COUNTA($H$115:$H$120),"nein",IF(COUNTIF($H$115:$H$120,"ja")+COUNTIF($H$115:$H$120,"entbehrlich")+COUNTIF($H$115:$H$120,"verwiesen")=COUNTA($H$115:$H$120),"ja","teilweise"))))))</f>
        <v/>
      </c>
      <c r="I114" s="11" t="n"/>
      <c r="J114" s="11" t="n"/>
      <c r="K114" s="11" t="n"/>
      <c r="L114" s="11" t="n"/>
      <c r="M114" s="11" t="inlineStr">
        <is>
          <t>Vertraulichkeit, Integrität</t>
        </is>
      </c>
      <c r="N114" s="12" t="inlineStr">
        <is>
          <t>APP.4.2.A30-UA.2; CON.8.A8-UA.1; OPS.1.1.3.A1-UA.2; OPS.1.1.3.A15-UA.2; SYS.2.1.A3-UA.2</t>
        </is>
      </c>
      <c r="O114" s="11" t="inlineStr">
        <is>
          <t>subset-of; subset-of; superset-of; superset-of; subset-of</t>
        </is>
      </c>
      <c r="P114" s="12" t="inlineStr">
        <is>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is>
      </c>
      <c r="Q114" s="11" t="inlineStr"/>
      <c r="R114" s="11" t="inlineStr">
        <is>
          <t>Detektions-Konzept</t>
        </is>
      </c>
      <c r="S114" s="12" t="inlineStr">
        <is>
          <t>ein zeitnahes Patchmanagement</t>
        </is>
      </c>
      <c r="T114" s="12" t="inlineStr">
        <is>
          <t>G 0.28 – Software-Schwachstellen oder -Fehler; G 0.23 – Unbefugtes Eindringen in IT-Systeme</t>
        </is>
      </c>
      <c r="U114" s="11" t="n">
        <v>3</v>
      </c>
      <c r="V114" s="11" t="n">
        <v>2</v>
      </c>
      <c r="W114" s="11" t="n">
        <v>2</v>
      </c>
      <c r="X114" s="11" t="n">
        <v>1</v>
      </c>
      <c r="Y114" s="11" t="n">
        <v>0</v>
      </c>
    </row>
    <row r="115">
      <c r="A115" s="11" t="inlineStr">
        <is>
          <t>DET.5.10</t>
        </is>
      </c>
      <c r="B115" s="12" t="inlineStr">
        <is>
          <t>Zeitnahes Patchmanagement</t>
        </is>
      </c>
      <c r="C115" s="11" t="inlineStr">
        <is>
          <t>DET.5.10</t>
        </is>
      </c>
      <c r="D115" s="11" t="inlineStr">
        <is>
          <t>Standard-Anforderungen</t>
        </is>
      </c>
      <c r="E115" s="12" t="inlineStr">
        <is>
          <t>Detektion SOLLTE ein zeitnahes Patchmanagement verankern.</t>
        </is>
      </c>
      <c r="F115" s="14" t="n"/>
      <c r="G115" s="14" t="n"/>
      <c r="H115" s="14" t="inlineStr">
        <is>
          <t>unbearbeitet</t>
        </is>
      </c>
      <c r="I115" s="14" t="n"/>
      <c r="J115" s="14" t="n"/>
      <c r="K115" s="14" t="n"/>
      <c r="L115" s="15" t="n"/>
      <c r="M115" s="11" t="inlineStr">
        <is>
          <t>Vertraulichkeit, Integrität</t>
        </is>
      </c>
      <c r="N115" s="12" t="inlineStr">
        <is>
          <t>APP.4.2.A30-UA.2; CON.8.A8-UA.1; OPS.1.1.3.A1-UA.2; OPS.1.1.3.A15-UA.2; SYS.2.1.A3-UA.2</t>
        </is>
      </c>
      <c r="O115" s="11" t="inlineStr">
        <is>
          <t>subset-of; subset-of; superset-of; superset-of; subset-of</t>
        </is>
      </c>
      <c r="P115" s="12" t="inlineStr">
        <is>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is>
      </c>
      <c r="Q115" s="11" t="inlineStr"/>
      <c r="R115" s="11" t="inlineStr">
        <is>
          <t>Detektions-Konzept</t>
        </is>
      </c>
      <c r="S115" s="12" t="inlineStr">
        <is>
          <t>ein zeitnahes Patchmanagement</t>
        </is>
      </c>
      <c r="T115" s="12" t="inlineStr">
        <is>
          <t>G 0.28 – Software-Schwachstellen oder -Fehler; G 0.23 – Unbefugtes Eindringen in IT-Systeme</t>
        </is>
      </c>
      <c r="U115" s="11" t="n">
        <v>3</v>
      </c>
      <c r="V115" s="11" t="n">
        <v>2</v>
      </c>
      <c r="W115" s="11" t="n">
        <v>2</v>
      </c>
      <c r="X115" s="11" t="n">
        <v>1</v>
      </c>
      <c r="Y115" s="11" t="n">
        <v>0</v>
      </c>
    </row>
    <row r="116">
      <c r="A116" s="11" t="inlineStr">
        <is>
          <t>DET.5.10</t>
        </is>
      </c>
      <c r="B116" s="12" t="inlineStr">
        <is>
          <t>Zeitnahes Patchmanagement</t>
        </is>
      </c>
      <c r="C116" s="11" t="inlineStr">
        <is>
          <t>DET.5.10.1</t>
        </is>
      </c>
      <c r="D116" s="11" t="inlineStr">
        <is>
          <t>Standard-Anforderungen</t>
        </is>
      </c>
      <c r="E116" s="12" t="inlineStr">
        <is>
          <t>Detektion SOLLTE zuverlässige Bezugsquellen für Patches autorisieren.</t>
        </is>
      </c>
      <c r="F116" s="14" t="n"/>
      <c r="G116" s="14" t="n"/>
      <c r="H116" s="14" t="inlineStr">
        <is>
          <t>unbearbeitet</t>
        </is>
      </c>
      <c r="I116" s="14" t="n"/>
      <c r="J116" s="14" t="n"/>
      <c r="K116" s="14" t="n"/>
      <c r="L116" s="15" t="n"/>
      <c r="M116" s="11" t="inlineStr"/>
      <c r="N116" s="12" t="inlineStr">
        <is>
          <t>APP.6.A3-UA.3; OPS.1.1.3.A10-UA.5</t>
        </is>
      </c>
      <c r="O116" s="11" t="inlineStr">
        <is>
          <t>subset-of; superset-of</t>
        </is>
      </c>
      <c r="P116" s="12" t="inlineStr">
        <is>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is>
      </c>
      <c r="Q116" s="11" t="inlineStr"/>
      <c r="R116" s="11" t="inlineStr">
        <is>
          <t>Detektions-Konzept</t>
        </is>
      </c>
      <c r="S116" s="12" t="inlineStr">
        <is>
          <t>zuverlässige Bezugsquellen für Patches</t>
        </is>
      </c>
      <c r="T116" s="12" t="inlineStr">
        <is>
          <t>G 0.28 – Software-Schwachstellen oder -Fehler; G 0.20 – Informationen oder Produkte aus unzuverlässiger Quelle</t>
        </is>
      </c>
      <c r="U116" s="11" t="n">
        <v>5</v>
      </c>
      <c r="V116" s="11" t="n">
        <v>1</v>
      </c>
      <c r="W116" s="11" t="n">
        <v>1</v>
      </c>
      <c r="X116" s="11" t="n">
        <v>1</v>
      </c>
      <c r="Y116" s="11" t="n">
        <v>1</v>
      </c>
    </row>
    <row r="117">
      <c r="A117" s="11" t="inlineStr">
        <is>
          <t>DET.5.10</t>
        </is>
      </c>
      <c r="B117" s="12" t="inlineStr">
        <is>
          <t>Zeitnahes Patchmanagement</t>
        </is>
      </c>
      <c r="C117" s="11" t="inlineStr">
        <is>
          <t>DET.5.10.2</t>
        </is>
      </c>
      <c r="D117" s="11" t="inlineStr">
        <is>
          <t>Standard-Anforderungen</t>
        </is>
      </c>
      <c r="E117" s="12" t="inlineStr">
        <is>
          <t>Detektion für IT-Systeme SOLLTE den Patchstatus durch einen automatisierten Mechanismus überwachen.</t>
        </is>
      </c>
      <c r="F117" s="14" t="n"/>
      <c r="G117" s="14" t="n"/>
      <c r="H117" s="14" t="inlineStr">
        <is>
          <t>unbearbeitet</t>
        </is>
      </c>
      <c r="I117" s="14" t="n"/>
      <c r="J117" s="14" t="n"/>
      <c r="K117" s="14" t="n"/>
      <c r="L117" s="15" t="n"/>
      <c r="M117" s="11" t="inlineStr"/>
      <c r="N117" s="12" t="inlineStr">
        <is>
          <t>APP.4.2.A30-UA.2; OPS.1.1.7.A22-UA.4</t>
        </is>
      </c>
      <c r="O117" s="11" t="inlineStr">
        <is>
          <t>equivalent-to; intersects-with</t>
        </is>
      </c>
      <c r="P117" s="12" t="inlineStr">
        <is>
          <t>Der Patchsstatus des Informationsverbundes kann dabei durch Kennzahlen bestimmt werden, z.B. durchschnittliche Zeit bis zum Patch (Mean Time To Patch), Prozentsatz aktuell gepatchter Assets, Anzahl offener/geschlossener Ausnahmen.</t>
        </is>
      </c>
      <c r="Q117" s="11" t="inlineStr">
        <is>
          <t>IT-Systeme</t>
        </is>
      </c>
      <c r="R117" s="11" t="inlineStr">
        <is>
          <t>Detektions-Konzept</t>
        </is>
      </c>
      <c r="S117" s="12" t="inlineStr">
        <is>
          <t>den Patchstatus</t>
        </is>
      </c>
      <c r="T117" s="12" t="inlineStr">
        <is>
          <t>G 0.30 – Unberechtigte Nutzung oder Administration von Geräten und Systemen; G 0.21 – Manipulation von Hard- oder Software; G 0.23 – Unbefugtes Eindringen in IT-Systeme; G 0.39 – Schadprogramme</t>
        </is>
      </c>
      <c r="U117" s="11" t="n">
        <v>3</v>
      </c>
      <c r="V117" s="11" t="n">
        <v>1</v>
      </c>
      <c r="W117" s="11" t="n">
        <v>1</v>
      </c>
      <c r="X117" s="11" t="n">
        <v>1</v>
      </c>
      <c r="Y117" s="11" t="n">
        <v>1</v>
      </c>
    </row>
    <row r="118">
      <c r="A118" s="11" t="inlineStr">
        <is>
          <t>DET.5.10</t>
        </is>
      </c>
      <c r="B118" s="12" t="inlineStr">
        <is>
          <t>Zeitnahes Patchmanagement</t>
        </is>
      </c>
      <c r="C118" s="11" t="inlineStr">
        <is>
          <t>DET.5.10.3</t>
        </is>
      </c>
      <c r="D118" s="11" t="inlineStr">
        <is>
          <t>Anforderungen bei erhöhtem Schutzbedarf</t>
        </is>
      </c>
      <c r="E118" s="12" t="inlineStr">
        <is>
          <t>Detektion für Anwendungen KANN den Patchstatus durch einen automatisierten Mechanismus überwachen.</t>
        </is>
      </c>
      <c r="F118" s="14" t="n"/>
      <c r="G118" s="14" t="n"/>
      <c r="H118" s="14" t="inlineStr">
        <is>
          <t>unbearbeitet</t>
        </is>
      </c>
      <c r="I118" s="14" t="n"/>
      <c r="J118" s="14" t="n"/>
      <c r="K118" s="14" t="n"/>
      <c r="L118" s="15" t="n"/>
      <c r="M118" s="11" t="inlineStr">
        <is>
          <t>Vertraulichkeit, Integrität</t>
        </is>
      </c>
      <c r="N118" s="12" t="inlineStr">
        <is>
          <t>APP.4.2.A30-UA.2; OPS.1.1.3.A15-UA.6; OPS.1.1.7.A22-UA.4; SYS.2.1.A3-UA.2</t>
        </is>
      </c>
      <c r="O118" s="11" t="inlineStr">
        <is>
          <t>superset-of; superset-of; intersects-with; intersects-with</t>
        </is>
      </c>
      <c r="P118" s="12" t="inlineStr">
        <is>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is>
      </c>
      <c r="Q118" s="11" t="inlineStr">
        <is>
          <t>Anwendungen</t>
        </is>
      </c>
      <c r="R118" s="11" t="inlineStr">
        <is>
          <t>Detektions-Konzept</t>
        </is>
      </c>
      <c r="S118" s="12" t="inlineStr">
        <is>
          <t>den Patchstatus</t>
        </is>
      </c>
      <c r="T118" s="12" t="inlineStr">
        <is>
          <t>G 0.28 – Software-Schwachstellen oder -Fehler; G 0.23 – Unbefugtes Eindringen in IT-Systeme; G 0.39 – Schadprogramme</t>
        </is>
      </c>
      <c r="U118" s="11" t="n">
        <v>4</v>
      </c>
      <c r="V118" s="11" t="n">
        <v>2</v>
      </c>
      <c r="W118" s="11" t="n">
        <v>2</v>
      </c>
      <c r="X118" s="11" t="n">
        <v>1</v>
      </c>
      <c r="Y118" s="11" t="n">
        <v>0</v>
      </c>
    </row>
    <row r="119">
      <c r="A119" s="11" t="inlineStr">
        <is>
          <t>DET.5.10</t>
        </is>
      </c>
      <c r="B119" s="12" t="inlineStr">
        <is>
          <t>Zeitnahes Patchmanagement</t>
        </is>
      </c>
      <c r="C119" s="11" t="inlineStr">
        <is>
          <t>DET.5.10.4</t>
        </is>
      </c>
      <c r="D119" s="11" t="inlineStr">
        <is>
          <t>Standard-Anforderungen</t>
        </is>
      </c>
      <c r="E119" s="12" t="inlineStr">
        <is>
          <t>Detektion SOLLTE Patches vor der Installation auf Integrität testen.</t>
        </is>
      </c>
      <c r="F119" s="14" t="n"/>
      <c r="G119" s="14" t="n"/>
      <c r="H119" s="14" t="inlineStr">
        <is>
          <t>unbearbeitet</t>
        </is>
      </c>
      <c r="I119" s="14" t="n"/>
      <c r="J119" s="14" t="n"/>
      <c r="K119" s="14" t="n"/>
      <c r="L119" s="15" t="n"/>
      <c r="M119" s="11" t="inlineStr">
        <is>
          <t>Vertraulichkeit, Integrität</t>
        </is>
      </c>
      <c r="N119" s="12" t="inlineStr">
        <is>
          <t>APP.6.A4-UA.7; IND.2.1.A20-UA.1; IND.2.7.A12-UA.1; OPS.1.1.3.A10-UA.3</t>
        </is>
      </c>
      <c r="O119" s="11" t="inlineStr">
        <is>
          <t>superset-of; subset-of; intersects-with; superset-of</t>
        </is>
      </c>
      <c r="P119" s="12" t="inlineStr">
        <is>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is>
      </c>
      <c r="Q119" s="11" t="inlineStr"/>
      <c r="R119" s="11" t="inlineStr">
        <is>
          <t>Detektions-Konzept</t>
        </is>
      </c>
      <c r="S119" s="12" t="inlineStr">
        <is>
          <t>Patches vor der Installation auf Integrität</t>
        </is>
      </c>
      <c r="T119" s="12" t="inlineStr">
        <is>
          <t>G 0.28 – Software-Schwachstellen oder -Fehler; G 0.23 – Unbefugtes Eindringen in IT-Systeme; G 0.39 – Schadprogramme; G 0.20 – Informationen oder Produkte aus unzuverlässiger Quelle</t>
        </is>
      </c>
      <c r="U119" s="11" t="n">
        <v>4</v>
      </c>
      <c r="V119" s="11" t="n">
        <v>2</v>
      </c>
      <c r="W119" s="11" t="n">
        <v>2</v>
      </c>
      <c r="X119" s="11" t="n">
        <v>1</v>
      </c>
      <c r="Y119" s="11" t="n">
        <v>1</v>
      </c>
    </row>
    <row r="120">
      <c r="A120" s="11" t="inlineStr">
        <is>
          <t>DET.5.10</t>
        </is>
      </c>
      <c r="B120" s="12" t="inlineStr">
        <is>
          <t>Zeitnahes Patchmanagement</t>
        </is>
      </c>
      <c r="C120" s="11" t="inlineStr">
        <is>
          <t>DET.5.10.5</t>
        </is>
      </c>
      <c r="D120" s="11" t="inlineStr">
        <is>
          <t>Anforderungen bei erhöhtem Schutzbedarf</t>
        </is>
      </c>
      <c r="E120" s="12" t="inlineStr">
        <is>
          <t>Detektion KANN Patches entsprechend der Anforderungen der Praktik „Änderungen und Tests“ ausführen.</t>
        </is>
      </c>
      <c r="F120" s="14" t="n"/>
      <c r="G120" s="14" t="n"/>
      <c r="H120" s="14" t="inlineStr">
        <is>
          <t>unbearbeitet</t>
        </is>
      </c>
      <c r="I120" s="14" t="n"/>
      <c r="J120" s="14" t="n"/>
      <c r="K120" s="14" t="n"/>
      <c r="L120" s="15" t="n"/>
      <c r="M120" s="11" t="inlineStr"/>
      <c r="N120" s="12" t="inlineStr">
        <is>
          <t>OPS.1.1.3.A1-UA.4; OPS.1.1.3.A13-UA.1; OPS.1.1.3.A14-UA.1; OPS.1.1.3.A15-UA.3</t>
        </is>
      </c>
      <c r="O120" s="11" t="inlineStr">
        <is>
          <t>superset-of; subset-of; intersects-with; superset-of</t>
        </is>
      </c>
      <c r="P120" s="12" t="inlineStr">
        <is>
          <t>Stellt sicher, dass Patches zusammen mit anderen Änderungen geprüft werden und trennt zwischen „Routine“- und „Notfall“-Änderungen.</t>
        </is>
      </c>
      <c r="Q120" s="11" t="inlineStr"/>
      <c r="R120" s="11" t="inlineStr">
        <is>
          <t>Detektions-Konzept</t>
        </is>
      </c>
      <c r="S120" s="12" t="inlineStr">
        <is>
          <t>Patches entsprechend der Anforderungen der Praktik „Änderungen und Tests“</t>
        </is>
      </c>
      <c r="T120" s="12" t="inlineStr">
        <is>
          <t>G 0.39 – Schadprogramme; G 0.28 – Software-Schwachstellen oder -Fehler; G 0.18 – Fehlplanung oder fehlende Anpassung</t>
        </is>
      </c>
      <c r="U120" s="11" t="n">
        <v>5</v>
      </c>
      <c r="V120" s="11" t="n">
        <v>1</v>
      </c>
      <c r="W120" s="11" t="n">
        <v>1</v>
      </c>
      <c r="X120" s="11" t="n">
        <v>1</v>
      </c>
      <c r="Y120" s="11" t="n">
        <v>0</v>
      </c>
    </row>
    <row r="121">
      <c r="A121" s="9" t="inlineStr">
        <is>
          <t>DET.6.1</t>
        </is>
      </c>
      <c r="B121" s="10" t="inlineStr">
        <is>
          <t>Beurteilung von Ereignissen</t>
        </is>
      </c>
      <c r="C121" s="11" t="n"/>
      <c r="D121" s="11" t="inlineStr">
        <is>
          <t>Standard-Anforderungen</t>
        </is>
      </c>
      <c r="E121" s="12" t="inlineStr">
        <is>
          <t>Gesamt:</t>
        </is>
      </c>
      <c r="F121" s="11" t="n"/>
      <c r="G121" s="11" t="n"/>
      <c r="H121" s="13">
        <f>IF(OR(COUNTBLANK($H$122:$H$125)&gt;0,COUNTIF($H$122:$H$125,"unbearbeitet")=COUNTA($H$122:$H$125)),"Bitte Teilanforderungen ausfüllen",IF(COUNTIF($H$122:$H$125,"zu klären")&gt;0,"zu klären",IF(COUNTIF($H$122:$H$125,"entbehrlich")=COUNTA($H$122:$H$125),"entbehrlich",IF(COUNTIF($H$122:$H$125,"verwiesen")=COUNTA($H$122:$H$125),"verwiesen",IF(COUNTIF($H$122:$H$125,"nein")+COUNTIF($H$122:$H$125,"entbehrlich")=COUNTA($H$122:$H$125),"nein",IF(COUNTIF($H$122:$H$125,"ja")+COUNTIF($H$122:$H$125,"entbehrlich")+COUNTIF($H$122:$H$125,"verwiesen")=COUNTA($H$122:$H$125),"ja","teilweise"))))))</f>
        <v/>
      </c>
      <c r="I121" s="11" t="n"/>
      <c r="J121" s="11" t="n"/>
      <c r="K121" s="11" t="n"/>
      <c r="L121" s="11" t="n"/>
      <c r="M121" s="11" t="inlineStr">
        <is>
          <t>Vertraulichkeit, Integrität</t>
        </is>
      </c>
      <c r="N121" s="12" t="inlineStr">
        <is>
          <t>DER.2.1.A11-UA.1</t>
        </is>
      </c>
      <c r="O121" s="11" t="inlineStr">
        <is>
          <t>equivalent-to</t>
        </is>
      </c>
      <c r="P121" s="12" t="inlineStr">
        <is>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is>
      </c>
      <c r="Q121" s="11" t="inlineStr"/>
      <c r="R121" s="11" t="inlineStr">
        <is>
          <t>Detektions-Konzept</t>
        </is>
      </c>
      <c r="S121" s="12" t="inlineStr">
        <is>
          <t>ein Verfahren zur Beurteilung von sicherheitsrelevanten Ereignissen</t>
        </is>
      </c>
      <c r="T121" s="12" t="inlineStr">
        <is>
          <t>G 0.39 – Schadprogramme; G 0.23 – Unbefugtes Eindringen in IT-Systeme; G 0.18 – Fehlplanung oder fehlende Anpassung</t>
        </is>
      </c>
      <c r="U121" s="11" t="n">
        <v>3</v>
      </c>
      <c r="V121" s="11" t="n">
        <v>2</v>
      </c>
      <c r="W121" s="11" t="n">
        <v>2</v>
      </c>
      <c r="X121" s="11" t="n">
        <v>1</v>
      </c>
      <c r="Y121" s="11" t="n">
        <v>0</v>
      </c>
    </row>
    <row r="122">
      <c r="A122" s="11" t="inlineStr">
        <is>
          <t>DET.6.1</t>
        </is>
      </c>
      <c r="B122" s="12" t="inlineStr">
        <is>
          <t>Beurteilung von Ereignissen</t>
        </is>
      </c>
      <c r="C122" s="11" t="inlineStr">
        <is>
          <t>DET.6.1</t>
        </is>
      </c>
      <c r="D122" s="11" t="inlineStr">
        <is>
          <t>Standard-Anforderungen</t>
        </is>
      </c>
      <c r="E122" s="12" t="inlineStr">
        <is>
          <t>Detektion SOLLTE ein Verfahren zur Beurteilung von sicherheitsrelevanten Ereignissen anhand von Kriterien verankern.</t>
        </is>
      </c>
      <c r="F122" s="14" t="n"/>
      <c r="G122" s="14" t="n"/>
      <c r="H122" s="14" t="inlineStr">
        <is>
          <t>unbearbeitet</t>
        </is>
      </c>
      <c r="I122" s="14" t="n"/>
      <c r="J122" s="14" t="n"/>
      <c r="K122" s="14" t="n"/>
      <c r="L122" s="15" t="n"/>
      <c r="M122" s="11" t="inlineStr">
        <is>
          <t>Vertraulichkeit, Integrität</t>
        </is>
      </c>
      <c r="N122" s="12" t="inlineStr">
        <is>
          <t>DER.2.1.A11-UA.1</t>
        </is>
      </c>
      <c r="O122" s="11" t="inlineStr">
        <is>
          <t>equivalent-to</t>
        </is>
      </c>
      <c r="P122" s="12" t="inlineStr">
        <is>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is>
      </c>
      <c r="Q122" s="11" t="inlineStr"/>
      <c r="R122" s="11" t="inlineStr">
        <is>
          <t>Detektions-Konzept</t>
        </is>
      </c>
      <c r="S122" s="12" t="inlineStr">
        <is>
          <t>ein Verfahren zur Beurteilung von sicherheitsrelevanten Ereignissen</t>
        </is>
      </c>
      <c r="T122" s="12" t="inlineStr">
        <is>
          <t>G 0.39 – Schadprogramme; G 0.23 – Unbefugtes Eindringen in IT-Systeme; G 0.18 – Fehlplanung oder fehlende Anpassung</t>
        </is>
      </c>
      <c r="U122" s="11" t="n">
        <v>3</v>
      </c>
      <c r="V122" s="11" t="n">
        <v>2</v>
      </c>
      <c r="W122" s="11" t="n">
        <v>2</v>
      </c>
      <c r="X122" s="11" t="n">
        <v>1</v>
      </c>
      <c r="Y122" s="11" t="n">
        <v>0</v>
      </c>
    </row>
    <row r="123">
      <c r="A123" s="11" t="inlineStr">
        <is>
          <t>DET.6.1</t>
        </is>
      </c>
      <c r="B123" s="12" t="inlineStr">
        <is>
          <t>Beurteilung von Ereignissen</t>
        </is>
      </c>
      <c r="C123" s="11" t="inlineStr">
        <is>
          <t>DET.6.1.1</t>
        </is>
      </c>
      <c r="D123" s="11" t="inlineStr">
        <is>
          <t>Standard-Anforderungen</t>
        </is>
      </c>
      <c r="E123" s="12" t="inlineStr">
        <is>
          <t>Detektion SOLLTE kritische Vorfälle anhand von Kriterien durch einen automatisierten Mechanismus protokollieren.</t>
        </is>
      </c>
      <c r="F123" s="14" t="n"/>
      <c r="G123" s="14" t="n"/>
      <c r="H123" s="14" t="inlineStr">
        <is>
          <t>unbearbeitet</t>
        </is>
      </c>
      <c r="I123" s="14" t="n"/>
      <c r="J123" s="14" t="n"/>
      <c r="K123" s="14" t="n"/>
      <c r="L123" s="15" t="n"/>
      <c r="M123" s="11" t="inlineStr">
        <is>
          <t>Vertraulichkeit, Integrität</t>
        </is>
      </c>
      <c r="N123" s="12" t="inlineStr">
        <is>
          <t>DER.1.A15-UA.3</t>
        </is>
      </c>
      <c r="O123" s="11" t="inlineStr">
        <is>
          <t>intersects-with</t>
        </is>
      </c>
      <c r="P123" s="12" t="inlineStr">
        <is>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is>
      </c>
      <c r="Q123" s="11" t="inlineStr"/>
      <c r="R123" s="11" t="inlineStr">
        <is>
          <t>Detektions-Konzept</t>
        </is>
      </c>
      <c r="S123" s="12" t="inlineStr">
        <is>
          <t>kritische Vorfälle</t>
        </is>
      </c>
      <c r="T123" s="12" t="inlineStr">
        <is>
          <t>G 0.39 – Schadprogramme; G 0.23 – Unbefugtes Eindringen in IT-Systeme</t>
        </is>
      </c>
      <c r="U123" s="11" t="n">
        <v>3</v>
      </c>
      <c r="V123" s="11" t="n">
        <v>2</v>
      </c>
      <c r="W123" s="11" t="n">
        <v>2</v>
      </c>
      <c r="X123" s="11" t="n">
        <v>1</v>
      </c>
      <c r="Y123" s="11" t="n">
        <v>0</v>
      </c>
    </row>
    <row r="124">
      <c r="A124" s="11" t="inlineStr">
        <is>
          <t>DET.6.1</t>
        </is>
      </c>
      <c r="B124" s="12" t="inlineStr">
        <is>
          <t>Beurteilung von Ereignissen</t>
        </is>
      </c>
      <c r="C124" s="11" t="inlineStr">
        <is>
          <t>DET.6.1.2</t>
        </is>
      </c>
      <c r="D124" s="11" t="inlineStr">
        <is>
          <t>Standard-Anforderungen</t>
        </is>
      </c>
      <c r="E124" s="12" t="inlineStr">
        <is>
          <t>Detektion SOLLTE bei sicherheitskritischen Ereignissen eine Alarmierung von für die Vorfallsbehandlung zuständigen Personen oder Rollen durch einen automatisierten Mechanismus ausführen.</t>
        </is>
      </c>
      <c r="F124" s="14" t="n"/>
      <c r="G124" s="14" t="n"/>
      <c r="H124" s="14" t="inlineStr">
        <is>
          <t>unbearbeitet</t>
        </is>
      </c>
      <c r="I124" s="14" t="n"/>
      <c r="J124" s="14" t="n"/>
      <c r="K124" s="14" t="n"/>
      <c r="L124" s="15" t="n"/>
      <c r="M124" s="11" t="inlineStr">
        <is>
          <t>Verfügbarkeit</t>
        </is>
      </c>
      <c r="N124" s="12" t="inlineStr">
        <is>
          <t>DER.1.A15-UA.7; DER.1.A17-UA.1; NET.3.2.A23-UA.3; NET.3.2.A23-UA.4; OPS.1.1.7.A25-UA.3</t>
        </is>
      </c>
      <c r="O124" s="11" t="inlineStr">
        <is>
          <t>subset-of; intersects-with; subset-of; subset-of; subset-of</t>
        </is>
      </c>
      <c r="P124" s="12" t="inlineStr">
        <is>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is>
      </c>
      <c r="Q124" s="11" t="inlineStr"/>
      <c r="R124" s="11" t="inlineStr">
        <is>
          <t>Detektions-Konzept</t>
        </is>
      </c>
      <c r="S124" s="12" t="inlineStr">
        <is>
          <t>bei sicherheitskritischen Ereignissen eine Alarmierung von {{für die Vorfallsbehandlung zuständigen Personen oder Rollen}}</t>
        </is>
      </c>
      <c r="T124" s="12" t="inlineStr">
        <is>
          <t>G 0.25 – Ausfall von Geräten oder Systemen; G 0.29 – Verstoß gegen Gesetze oder Regelungen; G 0.27 – Ressourcenmangel</t>
        </is>
      </c>
      <c r="U124" s="11" t="n">
        <v>3</v>
      </c>
      <c r="V124" s="11" t="n">
        <v>1</v>
      </c>
      <c r="W124" s="11" t="n">
        <v>1</v>
      </c>
      <c r="X124" s="11" t="n">
        <v>2</v>
      </c>
      <c r="Y124" s="11" t="n">
        <v>0</v>
      </c>
    </row>
    <row r="125">
      <c r="A125" s="11" t="inlineStr">
        <is>
          <t>DET.6.1</t>
        </is>
      </c>
      <c r="B125" s="12" t="inlineStr">
        <is>
          <t>Beurteilung von Ereignissen</t>
        </is>
      </c>
      <c r="C125" s="11" t="inlineStr">
        <is>
          <t>DET.6.1.3</t>
        </is>
      </c>
      <c r="D125" s="11" t="inlineStr">
        <is>
          <t>Anforderungen bei erhöhtem Schutzbedarf</t>
        </is>
      </c>
      <c r="E125" s="12" t="inlineStr">
        <is>
          <t>Detektion KANN Analyseergebnisse dokumentieren.</t>
        </is>
      </c>
      <c r="F125" s="14" t="n"/>
      <c r="G125" s="14" t="n"/>
      <c r="H125" s="14" t="inlineStr">
        <is>
          <t>unbearbeitet</t>
        </is>
      </c>
      <c r="I125" s="14" t="n"/>
      <c r="J125" s="14" t="n"/>
      <c r="K125" s="14" t="n"/>
      <c r="L125" s="15" t="n"/>
      <c r="M125" s="11" t="inlineStr"/>
      <c r="N125" s="12" t="inlineStr">
        <is>
          <t>IND.1.A10-UA.6; ISMS.1.A13-UA.2; NET.2.2.A4-UA.4</t>
        </is>
      </c>
      <c r="O125" s="11" t="inlineStr">
        <is>
          <t>superset-of; superset-of; subset-of</t>
        </is>
      </c>
      <c r="P125" s="12" t="inlineStr">
        <is>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is>
      </c>
      <c r="Q125" s="11" t="inlineStr"/>
      <c r="R125" s="11" t="inlineStr">
        <is>
          <t>Detektions-Konzept</t>
        </is>
      </c>
      <c r="S125" s="12" t="inlineStr">
        <is>
          <t>Analyseergebnisse</t>
        </is>
      </c>
      <c r="T125" s="12" t="inlineStr">
        <is>
          <t>G 0.39 – Schadprogramme; G 0.18 – Fehlplanung oder fehlende Anpassung; G 0.37 – Abstreiten von Handlungen</t>
        </is>
      </c>
      <c r="U125" s="11" t="n">
        <v>4</v>
      </c>
      <c r="V125" s="11" t="n">
        <v>1</v>
      </c>
      <c r="W125" s="11" t="n">
        <v>1</v>
      </c>
      <c r="X125" s="11" t="n">
        <v>1</v>
      </c>
      <c r="Y125" s="11" t="n">
        <v>1</v>
      </c>
    </row>
    <row r="126">
      <c r="A126" s="9" t="inlineStr">
        <is>
          <t>DET.6.2</t>
        </is>
      </c>
      <c r="B126" s="10" t="inlineStr">
        <is>
          <t>Beurteilung von Eingängen</t>
        </is>
      </c>
      <c r="C126" s="11" t="n"/>
      <c r="D126" s="11" t="inlineStr">
        <is>
          <t>Standard-Anforderungen</t>
        </is>
      </c>
      <c r="E126" s="12" t="inlineStr">
        <is>
          <t>Gesamt:</t>
        </is>
      </c>
      <c r="F126" s="11" t="n"/>
      <c r="G126" s="11" t="n"/>
      <c r="H126" s="13">
        <f>IF(OR(COUNTBLANK($H$127:$H$129)&gt;0,COUNTIF($H$127:$H$129,"unbearbeitet")=COUNTA($H$127:$H$129)),"Bitte Teilanforderungen ausfüllen",IF(COUNTIF($H$127:$H$129,"zu klären")&gt;0,"zu klären",IF(COUNTIF($H$127:$H$129,"entbehrlich")=COUNTA($H$127:$H$129),"entbehrlich",IF(COUNTIF($H$127:$H$129,"verwiesen")=COUNTA($H$127:$H$129),"verwiesen",IF(COUNTIF($H$127:$H$129,"nein")+COUNTIF($H$127:$H$129,"entbehrlich")=COUNTA($H$127:$H$129),"nein",IF(COUNTIF($H$127:$H$129,"ja")+COUNTIF($H$127:$H$129,"entbehrlich")+COUNTIF($H$127:$H$129,"verwiesen")=COUNTA($H$127:$H$129),"ja","teilweise"))))))</f>
        <v/>
      </c>
      <c r="I126" s="11" t="n"/>
      <c r="J126" s="11" t="n"/>
      <c r="K126" s="11" t="n"/>
      <c r="L126" s="11" t="n"/>
      <c r="M126" s="11" t="inlineStr">
        <is>
          <t>Vertraulichkeit, Integrität</t>
        </is>
      </c>
      <c r="N126" s="12" t="inlineStr">
        <is>
          <t>APP.1.1.A3-UA.4; OPS.1.1.4.A13-UA.1</t>
        </is>
      </c>
      <c r="O126" s="11" t="inlineStr">
        <is>
          <t>equivalent-to; subset-of</t>
        </is>
      </c>
      <c r="P126" s="12" t="inlineStr">
        <is>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is>
      </c>
      <c r="Q126" s="11" t="inlineStr"/>
      <c r="R126" s="11" t="inlineStr">
        <is>
          <t>Detektions-Konzept</t>
        </is>
      </c>
      <c r="S126" s="12" t="inlineStr">
        <is>
          <t>ein Verfahren zur Beurteilung von Datei-Eingängen</t>
        </is>
      </c>
      <c r="T126" s="12" t="inlineStr">
        <is>
          <t>G 0.18 – Fehlplanung oder fehlende Anpassung; G 0.39 – Schadprogramme; G 0.23 – Unbefugtes Eindringen in IT-Systeme</t>
        </is>
      </c>
      <c r="U126" s="11" t="n">
        <v>4</v>
      </c>
      <c r="V126" s="11" t="n">
        <v>2</v>
      </c>
      <c r="W126" s="11" t="n">
        <v>2</v>
      </c>
      <c r="X126" s="11" t="n">
        <v>1</v>
      </c>
      <c r="Y126" s="11" t="n">
        <v>0</v>
      </c>
    </row>
    <row r="127">
      <c r="A127" s="11" t="inlineStr">
        <is>
          <t>DET.6.2</t>
        </is>
      </c>
      <c r="B127" s="12" t="inlineStr">
        <is>
          <t>Beurteilung von Eingängen</t>
        </is>
      </c>
      <c r="C127" s="11" t="inlineStr">
        <is>
          <t>DET.6.2</t>
        </is>
      </c>
      <c r="D127" s="11" t="inlineStr">
        <is>
          <t>Standard-Anforderungen</t>
        </is>
      </c>
      <c r="E127" s="12" t="inlineStr">
        <is>
          <t>Detektion SOLLTE ein Verfahren zur Beurteilung von Datei-Eingängen verankern.</t>
        </is>
      </c>
      <c r="F127" s="14" t="n"/>
      <c r="G127" s="14" t="n"/>
      <c r="H127" s="14" t="inlineStr">
        <is>
          <t>unbearbeitet</t>
        </is>
      </c>
      <c r="I127" s="14" t="n"/>
      <c r="J127" s="14" t="n"/>
      <c r="K127" s="14" t="n"/>
      <c r="L127" s="15" t="n"/>
      <c r="M127" s="11" t="inlineStr">
        <is>
          <t>Vertraulichkeit, Integrität</t>
        </is>
      </c>
      <c r="N127" s="12" t="inlineStr">
        <is>
          <t>APP.1.1.A3-UA.4; OPS.1.1.4.A13-UA.1</t>
        </is>
      </c>
      <c r="O127" s="11" t="inlineStr">
        <is>
          <t>equivalent-to; subset-of</t>
        </is>
      </c>
      <c r="P127" s="12" t="inlineStr">
        <is>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is>
      </c>
      <c r="Q127" s="11" t="inlineStr"/>
      <c r="R127" s="11" t="inlineStr">
        <is>
          <t>Detektions-Konzept</t>
        </is>
      </c>
      <c r="S127" s="12" t="inlineStr">
        <is>
          <t>ein Verfahren zur Beurteilung von Datei-Eingängen</t>
        </is>
      </c>
      <c r="T127" s="12" t="inlineStr">
        <is>
          <t>G 0.18 – Fehlplanung oder fehlende Anpassung; G 0.39 – Schadprogramme; G 0.23 – Unbefugtes Eindringen in IT-Systeme</t>
        </is>
      </c>
      <c r="U127" s="11" t="n">
        <v>4</v>
      </c>
      <c r="V127" s="11" t="n">
        <v>2</v>
      </c>
      <c r="W127" s="11" t="n">
        <v>2</v>
      </c>
      <c r="X127" s="11" t="n">
        <v>1</v>
      </c>
      <c r="Y127" s="11" t="n">
        <v>0</v>
      </c>
    </row>
    <row r="128">
      <c r="A128" s="11" t="inlineStr">
        <is>
          <t>DET.6.2</t>
        </is>
      </c>
      <c r="B128" s="12" t="inlineStr">
        <is>
          <t>Beurteilung von Eingängen</t>
        </is>
      </c>
      <c r="C128" s="11" t="inlineStr">
        <is>
          <t>DET.6.2.1</t>
        </is>
      </c>
      <c r="D128" s="11" t="inlineStr">
        <is>
          <t>Anforderungen bei erhöhtem Schutzbedarf</t>
        </is>
      </c>
      <c r="E128" s="12" t="inlineStr">
        <is>
          <t>Detektion KANN verdächtige Dateien in einer isolierten Umgebung mindestens anhand von aufgebauten Netzverbindungen, Systemaufrufen und Dateizugriffen testen.</t>
        </is>
      </c>
      <c r="F128" s="14" t="n"/>
      <c r="G128" s="14" t="n"/>
      <c r="H128" s="14" t="inlineStr">
        <is>
          <t>unbearbeitet</t>
        </is>
      </c>
      <c r="I128" s="14" t="n"/>
      <c r="J128" s="14" t="n"/>
      <c r="K128" s="14" t="n"/>
      <c r="L128" s="15" t="n"/>
      <c r="M128" s="11" t="inlineStr">
        <is>
          <t>Vertraulichkeit</t>
        </is>
      </c>
      <c r="N128" s="12" t="inlineStr">
        <is>
          <t>OPS.1.1.4.A10-UA.1; OPS.1.1.4.A13-UA.1; OPS.2.3.A25-UA.1; OPS.2.3.A25-UA.2; OPS.2.3.A25-UA.3</t>
        </is>
      </c>
      <c r="O128" s="11" t="inlineStr">
        <is>
          <t>equivalent-to; equivalent-to; subset-of; subset-of; subset-of</t>
        </is>
      </c>
      <c r="P128" s="12" t="inlineStr">
        <is>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is>
      </c>
      <c r="Q128" s="11" t="inlineStr"/>
      <c r="R128" s="11" t="inlineStr">
        <is>
          <t>Detektions-Konzept</t>
        </is>
      </c>
      <c r="S128" s="12" t="inlineStr">
        <is>
          <t>verdächtige Dateien in einer isolierten Umgebung</t>
        </is>
      </c>
      <c r="T128" s="12" t="inlineStr">
        <is>
          <t>G 0.23 – Unbefugtes Eindringen in IT-Systeme; G 0.39 – Schadprogramme; G 0.22 – Manipulation von Informationen; G 0.19 – Offenlegung schützenswerter Informationen</t>
        </is>
      </c>
      <c r="U128" s="11" t="n">
        <v>4</v>
      </c>
      <c r="V128" s="11" t="n">
        <v>2</v>
      </c>
      <c r="W128" s="11" t="n">
        <v>1</v>
      </c>
      <c r="X128" s="11" t="n">
        <v>1</v>
      </c>
      <c r="Y128" s="11" t="n">
        <v>0</v>
      </c>
    </row>
    <row r="129">
      <c r="A129" s="11" t="inlineStr">
        <is>
          <t>DET.6.2</t>
        </is>
      </c>
      <c r="B129" s="12" t="inlineStr">
        <is>
          <t>Beurteilung von Eingängen</t>
        </is>
      </c>
      <c r="C129" s="11" t="inlineStr">
        <is>
          <t>DET.6.2.2</t>
        </is>
      </c>
      <c r="D129" s="11" t="inlineStr">
        <is>
          <t>Anforderungen bei erhöhtem Schutzbedarf</t>
        </is>
      </c>
      <c r="E129" s="12" t="inlineStr">
        <is>
          <t>Detektion KANN Datenträgerschleusen installieren.</t>
        </is>
      </c>
      <c r="F129" s="14" t="n"/>
      <c r="G129" s="14" t="n"/>
      <c r="H129" s="14" t="inlineStr">
        <is>
          <t>unbearbeitet</t>
        </is>
      </c>
      <c r="I129" s="14" t="n"/>
      <c r="J129" s="14" t="n"/>
      <c r="K129" s="14" t="n"/>
      <c r="L129" s="15" t="n"/>
      <c r="M129" s="11" t="inlineStr">
        <is>
          <t>Vertraulichkeit</t>
        </is>
      </c>
      <c r="N129" s="12" t="inlineStr">
        <is>
          <t>OPS.1.1.4.A12-UA.1; SYS.2.1.A24-UA.3; SYS.4.5.A16-UA.1</t>
        </is>
      </c>
      <c r="O129" s="11" t="inlineStr">
        <is>
          <t>equivalent-to; intersects-with; equivalent-to</t>
        </is>
      </c>
      <c r="P129" s="12" t="inlineStr">
        <is>
          <t>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is>
      </c>
      <c r="Q129" s="11" t="inlineStr"/>
      <c r="R129" s="11" t="inlineStr">
        <is>
          <t>Arbeitsanweisung</t>
        </is>
      </c>
      <c r="S129" s="12" t="inlineStr">
        <is>
          <t>Datenträgerschleusen</t>
        </is>
      </c>
      <c r="T129" s="12" t="inlineStr">
        <is>
          <t>G 0.39 – Schadprogramme; G 0.23 – Unbefugtes Eindringen in IT-Systeme; G 0.21 – Manipulation von Hard- oder Software; G 0.14 – Ausspähen von Informationen (Spionage)</t>
        </is>
      </c>
      <c r="U129" s="11" t="n">
        <v>5</v>
      </c>
      <c r="V129" s="11" t="n">
        <v>2</v>
      </c>
      <c r="W129" s="11" t="n">
        <v>1</v>
      </c>
      <c r="X129" s="11" t="n">
        <v>1</v>
      </c>
      <c r="Y129" s="11" t="n">
        <v>1</v>
      </c>
    </row>
  </sheetData>
  <autoFilter ref="A6:Y6"/>
  <conditionalFormatting sqref="H7:H129">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5 H16 H17 H19 H21 H23 H24 H25 H26 H27 H28 H29 H30 H31 H32 H33 H34 H35 H37 H39 H41 H43 H45 H47 H49 H51 H53 H55 H57 H58 H60 H62 H64 H66 H68 H69 H70 H71 H73 H74 H76 H78 H80 H82 H84 H86 H88 H90 H91 H93 H95 H96 H97 H98 H100 H102 H104 H106 H108 H109 H110 H112 H113 H115 H116 H117 H118 H119 H120 H122 H123 H124 H125 H127 H128 H129"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68"/>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DEV</t>
        </is>
      </c>
      <c r="B3" s="6" t="inlineStr">
        <is>
          <t>Entwicklung</t>
        </is>
      </c>
    </row>
    <row r="4">
      <c r="A4" s="3" t="inlineStr">
        <is>
          <t>Zielobjekte</t>
        </is>
      </c>
      <c r="B4" s="7">
        <f>IF('Praktiken'!D10="","",'Praktiken'!D10)</f>
        <v/>
      </c>
    </row>
    <row r="5">
      <c r="A5" s="3" t="inlineStr">
        <is>
          <t>Zuständig</t>
        </is>
      </c>
      <c r="B5" s="7">
        <f>IF('Praktiken'!S10="","",'Praktiken'!S10)</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DEV.1.1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APP.7.A2-UA.1; APP.7.A2-UA.2; APP.7.A3-UA.1; APP.7.A4-UA.1; CON.8.A2-UA.1</t>
        </is>
      </c>
      <c r="O7" s="11" t="inlineStr">
        <is>
          <t>subset-of; subset-of; subset-of; subset-of; subset-of</t>
        </is>
      </c>
      <c r="P7" s="12" t="inlineStr">
        <is>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is>
      </c>
      <c r="Q7" s="11" t="inlineStr"/>
      <c r="R7" s="11" t="inlineStr"/>
      <c r="S7" s="12" t="inlineStr">
        <is>
          <t>Verfahren und Regelungen zur Entwicklung von IT-Produkten</t>
        </is>
      </c>
      <c r="T7" s="12" t="inlineStr">
        <is>
          <t>G 0.18 – Fehlplanung oder fehlende Anpassung</t>
        </is>
      </c>
      <c r="U7" s="11" t="n">
        <v>0</v>
      </c>
      <c r="V7" s="11" t="n">
        <v>1</v>
      </c>
      <c r="W7" s="11" t="n">
        <v>1</v>
      </c>
      <c r="X7" s="11" t="n">
        <v>1</v>
      </c>
      <c r="Y7" s="11" t="n">
        <v>0</v>
      </c>
    </row>
    <row r="8">
      <c r="A8" s="11" t="inlineStr">
        <is>
          <t>DEV.1.1</t>
        </is>
      </c>
      <c r="B8" s="12" t="inlineStr">
        <is>
          <t>Verfahren und Regelungen</t>
        </is>
      </c>
      <c r="C8" s="11" t="inlineStr">
        <is>
          <t>DEV.1.1.1</t>
        </is>
      </c>
      <c r="D8" s="11" t="inlineStr">
        <is>
          <t>Basis-Anforderungen</t>
        </is>
      </c>
      <c r="E8" s="12" t="inlineStr">
        <is>
          <t>Entwicklung MUSS die Verfahren und Regelungen dokumentieren.</t>
        </is>
      </c>
      <c r="F8" s="14" t="n"/>
      <c r="G8" s="14" t="n"/>
      <c r="H8" s="14" t="inlineStr">
        <is>
          <t>unbearbeitet</t>
        </is>
      </c>
      <c r="I8" s="14" t="n"/>
      <c r="J8" s="14" t="n"/>
      <c r="K8" s="14" t="n"/>
      <c r="L8" s="15" t="n"/>
      <c r="M8" s="11" t="inlineStr">
        <is>
          <t>Vertraulichkeit, Integrität</t>
        </is>
      </c>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 G 0.29 – Verstoß gegen Gesetze oder Regelungen; G 0.31 – Fehlerhafte Nutzung oder Administration von Geräten und Systemen</t>
        </is>
      </c>
      <c r="U8" s="11" t="n">
        <v>0</v>
      </c>
      <c r="V8" s="11" t="n">
        <v>2</v>
      </c>
      <c r="W8" s="11" t="n">
        <v>2</v>
      </c>
      <c r="X8" s="11" t="n">
        <v>1</v>
      </c>
      <c r="Y8" s="11" t="n">
        <v>1</v>
      </c>
    </row>
    <row r="9">
      <c r="A9" s="11" t="inlineStr">
        <is>
          <t>DEV.1.1</t>
        </is>
      </c>
      <c r="B9" s="12" t="inlineStr">
        <is>
          <t>Verfahren und Regelungen</t>
        </is>
      </c>
      <c r="C9" s="11" t="inlineStr">
        <is>
          <t>DEV.1.1.2</t>
        </is>
      </c>
      <c r="D9" s="11" t="inlineStr">
        <is>
          <t>Basis-Anforderungen</t>
        </is>
      </c>
      <c r="E9" s="12" t="inlineStr">
        <is>
          <t>Entwicklung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DEV.1.1</t>
        </is>
      </c>
      <c r="B10" s="12" t="inlineStr">
        <is>
          <t>Verfahren und Regelungen</t>
        </is>
      </c>
      <c r="C10" s="11" t="inlineStr">
        <is>
          <t>DEV.1.1.3</t>
        </is>
      </c>
      <c r="D10" s="11" t="inlineStr">
        <is>
          <t>Basis-Anforderungen</t>
        </is>
      </c>
      <c r="E10" s="12" t="inlineStr">
        <is>
          <t>Entwicklung MUSS die zuständigen Personen oder Rollen über die Verfahren und Regelungen informieren.</t>
        </is>
      </c>
      <c r="F10" s="14" t="n"/>
      <c r="G10" s="14" t="n"/>
      <c r="H10" s="14" t="inlineStr">
        <is>
          <t>unbearbeitet</t>
        </is>
      </c>
      <c r="I10" s="14" t="n"/>
      <c r="J10" s="14" t="n"/>
      <c r="K10" s="14" t="n"/>
      <c r="L10" s="15" t="n"/>
      <c r="M10" s="11" t="inlineStr"/>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t>
        </is>
      </c>
      <c r="U10" s="11" t="n">
        <v>0</v>
      </c>
      <c r="V10" s="11" t="n">
        <v>1</v>
      </c>
      <c r="W10" s="11" t="n">
        <v>1</v>
      </c>
      <c r="X10" s="11" t="n">
        <v>1</v>
      </c>
      <c r="Y10" s="11" t="n">
        <v>0</v>
      </c>
    </row>
    <row r="11">
      <c r="A11" s="9" t="inlineStr">
        <is>
          <t>DEV.1.2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 G 0.29 – Verstoß gegen Gesetze oder Regelungen</t>
        </is>
      </c>
      <c r="U11" s="11" t="n">
        <v>0</v>
      </c>
      <c r="V11" s="11" t="n">
        <v>1</v>
      </c>
      <c r="W11" s="11" t="n">
        <v>1</v>
      </c>
      <c r="X11" s="11" t="n">
        <v>1</v>
      </c>
      <c r="Y11" s="11" t="n">
        <v>0</v>
      </c>
    </row>
    <row r="12">
      <c r="A12" s="11" t="inlineStr">
        <is>
          <t>DEV.1.2</t>
        </is>
      </c>
      <c r="B12" s="12" t="inlineStr">
        <is>
          <t>Regelmäßige Überprüfung</t>
        </is>
      </c>
      <c r="C12" s="11" t="inlineStr">
        <is>
          <t>DEV.1.2</t>
        </is>
      </c>
      <c r="D12" s="11" t="inlineStr">
        <is>
          <t>Basis-Anforderungen</t>
        </is>
      </c>
      <c r="E12" s="12" t="inlineStr">
        <is>
          <t>Entwicklung MUSS die Verfahren und Regelungen regelmäßig und anlassbezogen auf Aktualität überprüfen.</t>
        </is>
      </c>
      <c r="F12" s="14" t="n"/>
      <c r="G12" s="14" t="n"/>
      <c r="H12" s="14" t="inlineStr">
        <is>
          <t>unbearbeitet</t>
        </is>
      </c>
      <c r="I12" s="14" t="n"/>
      <c r="J12" s="14" t="n"/>
      <c r="K12" s="14" t="n"/>
      <c r="L12" s="15" t="n"/>
      <c r="M12" s="11" t="inlineStr"/>
      <c r="N12" s="12" t="inlineStr"/>
      <c r="O12" s="11" t="inlineStr"/>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 G 0.29 – Verstoß gegen Gesetze oder Regelungen</t>
        </is>
      </c>
      <c r="U12" s="11" t="n">
        <v>0</v>
      </c>
      <c r="V12" s="11" t="n">
        <v>1</v>
      </c>
      <c r="W12" s="11" t="n">
        <v>1</v>
      </c>
      <c r="X12" s="11" t="n">
        <v>1</v>
      </c>
      <c r="Y12" s="11" t="n">
        <v>0</v>
      </c>
    </row>
    <row r="13">
      <c r="A13" s="9" t="inlineStr">
        <is>
          <t>DEV.2.1</t>
        </is>
      </c>
      <c r="B13" s="10" t="inlineStr">
        <is>
          <t>Security by Design Architektur</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is>
          <t>Integrität</t>
        </is>
      </c>
      <c r="N13" s="12" t="inlineStr">
        <is>
          <t>APP.3.1.A8-UA.1; APP.6.A6-UA.1; CON.8.A21-UA.1; CON.8.A22-UA.1; CON.8.A22-UA.2; CON.8.A22-UA.3; CON.8.A5-UA.1</t>
        </is>
      </c>
      <c r="O13" s="11" t="inlineStr">
        <is>
          <t>intersects-with; subset-of; subset-of; subset-of; subset-of; subset-of; superset-of</t>
        </is>
      </c>
      <c r="P13" s="12" t="inlineStr">
        <is>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is>
      </c>
      <c r="Q13" s="11" t="inlineStr"/>
      <c r="R13" s="11" t="inlineStr">
        <is>
          <t>Entwicklungsdokumentation</t>
        </is>
      </c>
      <c r="S13" s="12" t="inlineStr">
        <is>
          <t>die Architektur nach dem Prinzip "Security by Design"</t>
        </is>
      </c>
      <c r="T13" s="12" t="inlineStr">
        <is>
          <t>G 0.28 – Software-Schwachstellen oder -Fehler; G 0.46 – Integritätsverlust schützenswerter Informationen; G 0.18 – Fehlplanung oder fehlende Anpassung</t>
        </is>
      </c>
      <c r="U13" s="11" t="n">
        <v>2</v>
      </c>
      <c r="V13" s="11" t="n">
        <v>1</v>
      </c>
      <c r="W13" s="11" t="n">
        <v>2</v>
      </c>
      <c r="X13" s="11" t="n">
        <v>1</v>
      </c>
      <c r="Y13" s="11" t="n">
        <v>0</v>
      </c>
    </row>
    <row r="14">
      <c r="A14" s="11" t="inlineStr">
        <is>
          <t>DEV.2.1</t>
        </is>
      </c>
      <c r="B14" s="12" t="inlineStr">
        <is>
          <t>Security by Design Architektur</t>
        </is>
      </c>
      <c r="C14" s="11" t="inlineStr">
        <is>
          <t>DEV.2.1</t>
        </is>
      </c>
      <c r="D14" s="11" t="inlineStr">
        <is>
          <t>Standard-Anforderungen</t>
        </is>
      </c>
      <c r="E14" s="12" t="inlineStr">
        <is>
          <t>Entwicklung SOLLTE die Architektur nach dem Prinzip "Security by Design" verankern.</t>
        </is>
      </c>
      <c r="F14" s="14" t="n"/>
      <c r="G14" s="14" t="n"/>
      <c r="H14" s="14" t="inlineStr">
        <is>
          <t>unbearbeitet</t>
        </is>
      </c>
      <c r="I14" s="14" t="n"/>
      <c r="J14" s="14" t="n"/>
      <c r="K14" s="14" t="n"/>
      <c r="L14" s="15" t="n"/>
      <c r="M14" s="11" t="inlineStr">
        <is>
          <t>Integrität</t>
        </is>
      </c>
      <c r="N14" s="12" t="inlineStr">
        <is>
          <t>APP.3.1.A8-UA.1; APP.6.A6-UA.1; CON.8.A21-UA.1; CON.8.A22-UA.1; CON.8.A22-UA.2; CON.8.A22-UA.3; CON.8.A5-UA.1</t>
        </is>
      </c>
      <c r="O14" s="11" t="inlineStr">
        <is>
          <t>intersects-with; subset-of; subset-of; subset-of; subset-of; subset-of; superset-of</t>
        </is>
      </c>
      <c r="P14" s="12" t="inlineStr">
        <is>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is>
      </c>
      <c r="Q14" s="11" t="inlineStr"/>
      <c r="R14" s="11" t="inlineStr">
        <is>
          <t>Entwicklungsdokumentation</t>
        </is>
      </c>
      <c r="S14" s="12" t="inlineStr">
        <is>
          <t>die Architektur nach dem Prinzip "Security by Design"</t>
        </is>
      </c>
      <c r="T14" s="12" t="inlineStr">
        <is>
          <t>G 0.28 – Software-Schwachstellen oder -Fehler; G 0.46 – Integritätsverlust schützenswerter Informationen; G 0.18 – Fehlplanung oder fehlende Anpassung</t>
        </is>
      </c>
      <c r="U14" s="11" t="n">
        <v>2</v>
      </c>
      <c r="V14" s="11" t="n">
        <v>1</v>
      </c>
      <c r="W14" s="11" t="n">
        <v>2</v>
      </c>
      <c r="X14" s="11" t="n">
        <v>1</v>
      </c>
      <c r="Y14" s="11" t="n">
        <v>0</v>
      </c>
    </row>
    <row r="15">
      <c r="A15" s="9" t="inlineStr">
        <is>
          <t>DEV.2.2</t>
        </is>
      </c>
      <c r="B15" s="10" t="inlineStr">
        <is>
          <t>Dokumentation der (Software-)Architektur</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is>
          <t>APP.1.1.A10-UA.6; APP.3.1.A8-UA.2; APP.7.A6-UA.1; CON.10.A11-UA.1; CON.10.A11-UA.2; CON.10.A11-UA.3; CON.10.A11-UA.4; CON.8.A12-UA.1; CON.8.A12-UA.3; CON.8.A12-UA.4; CON.8.A12-UA.5; CON.8.A22-UA.2; IND.1.A20-UA.1; IND.1.A4-UA.2</t>
        </is>
      </c>
      <c r="O15" s="11" t="inlineStr">
        <is>
          <t>intersects-with; intersects-with; intersects-with; subset-of; intersects-with; intersects-with; intersects-with; intersects-with; intersects-with; superset-of; intersects-with; intersects-with; intersects-with; intersects-with</t>
        </is>
      </c>
      <c r="P15" s="12" t="inlineStr">
        <is>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is>
      </c>
      <c r="Q15" s="11" t="inlineStr">
        <is>
          <t>Anwendungen</t>
        </is>
      </c>
      <c r="R15" s="11" t="inlineStr">
        <is>
          <t>Entwicklungsdokumentation</t>
        </is>
      </c>
      <c r="S15" s="12" t="inlineStr">
        <is>
          <t>die Architektur</t>
        </is>
      </c>
      <c r="T15" s="12" t="inlineStr">
        <is>
          <t>G 0.18 – Fehlplanung oder fehlende Anpassung</t>
        </is>
      </c>
      <c r="U15" s="11" t="n">
        <v>3</v>
      </c>
      <c r="V15" s="11" t="n">
        <v>1</v>
      </c>
      <c r="W15" s="11" t="n">
        <v>1</v>
      </c>
      <c r="X15" s="11" t="n">
        <v>1</v>
      </c>
      <c r="Y15" s="11" t="n">
        <v>0</v>
      </c>
    </row>
    <row r="16">
      <c r="A16" s="11" t="inlineStr">
        <is>
          <t>DEV.2.2</t>
        </is>
      </c>
      <c r="B16" s="12" t="inlineStr">
        <is>
          <t>Dokumentation der (Software-)Architektur</t>
        </is>
      </c>
      <c r="C16" s="11" t="inlineStr">
        <is>
          <t>DEV.2.2</t>
        </is>
      </c>
      <c r="D16" s="11" t="inlineStr">
        <is>
          <t>Standard-Anforderungen</t>
        </is>
      </c>
      <c r="E16" s="12" t="inlineStr">
        <is>
          <t>Entwicklung für Anwendungen SOLLTE die Architektur dokumentieren.</t>
        </is>
      </c>
      <c r="F16" s="14" t="n"/>
      <c r="G16" s="14" t="n"/>
      <c r="H16" s="14" t="inlineStr">
        <is>
          <t>unbearbeitet</t>
        </is>
      </c>
      <c r="I16" s="14" t="n"/>
      <c r="J16" s="14" t="n"/>
      <c r="K16" s="14" t="n"/>
      <c r="L16" s="15" t="n"/>
      <c r="M16" s="11" t="inlineStr"/>
      <c r="N16" s="12" t="inlineStr">
        <is>
          <t>APP.1.1.A10-UA.6; APP.3.1.A8-UA.2; APP.7.A6-UA.1; CON.10.A11-UA.1; CON.10.A11-UA.2; CON.10.A11-UA.3; CON.10.A11-UA.4; CON.8.A12-UA.1; CON.8.A12-UA.3; CON.8.A12-UA.4; CON.8.A12-UA.5; CON.8.A22-UA.2; IND.1.A20-UA.1; IND.1.A4-UA.2</t>
        </is>
      </c>
      <c r="O16" s="11" t="inlineStr">
        <is>
          <t>intersects-with; intersects-with; intersects-with; subset-of; intersects-with; intersects-with; intersects-with; intersects-with; intersects-with; superset-of; intersects-with; intersects-with; intersects-with; intersects-with</t>
        </is>
      </c>
      <c r="P16" s="12" t="inlineStr">
        <is>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is>
      </c>
      <c r="Q16" s="11" t="inlineStr">
        <is>
          <t>Anwendungen</t>
        </is>
      </c>
      <c r="R16" s="11" t="inlineStr">
        <is>
          <t>Entwicklungsdokumentation</t>
        </is>
      </c>
      <c r="S16" s="12" t="inlineStr">
        <is>
          <t>die Architektur</t>
        </is>
      </c>
      <c r="T16" s="12" t="inlineStr">
        <is>
          <t>G 0.18 – Fehlplanung oder fehlende Anpassung</t>
        </is>
      </c>
      <c r="U16" s="11" t="n">
        <v>3</v>
      </c>
      <c r="V16" s="11" t="n">
        <v>1</v>
      </c>
      <c r="W16" s="11" t="n">
        <v>1</v>
      </c>
      <c r="X16" s="11" t="n">
        <v>1</v>
      </c>
      <c r="Y16" s="11" t="n">
        <v>0</v>
      </c>
    </row>
    <row r="17">
      <c r="A17" s="9" t="inlineStr">
        <is>
          <t>DEV.2.3</t>
        </is>
      </c>
      <c r="B17" s="10" t="inlineStr">
        <is>
          <t>Ausführbarkeit mit minimalen Rechten</t>
        </is>
      </c>
      <c r="C17" s="11" t="n"/>
      <c r="D17" s="11" t="inlineStr">
        <is>
          <t>Standard-Anforderungen</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c r="N17" s="12" t="inlineStr"/>
      <c r="O17" s="11" t="inlineStr"/>
      <c r="P17" s="12" t="inlineStr">
        <is>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is>
      </c>
      <c r="Q17" s="11" t="inlineStr">
        <is>
          <t>Anwendungen</t>
        </is>
      </c>
      <c r="R17" s="11" t="inlineStr">
        <is>
          <t>Freigabeplan</t>
        </is>
      </c>
      <c r="S17" s="12" t="inlineStr">
        <is>
          <t>die fehlerfreie Ausführung mit den geringst möglichen Berechtigungen</t>
        </is>
      </c>
      <c r="T17" s="12" t="inlineStr">
        <is>
          <t>G 0.28 – Software-Schwachstellen oder -Fehler; G 0.32 – Missbrauch von Berechtigungen; G 0.21 – Manipulation von Hard- oder Software</t>
        </is>
      </c>
      <c r="U17" s="11" t="n">
        <v>3</v>
      </c>
      <c r="V17" s="11" t="n">
        <v>1</v>
      </c>
      <c r="W17" s="11" t="n">
        <v>1</v>
      </c>
      <c r="X17" s="11" t="n">
        <v>1</v>
      </c>
      <c r="Y17" s="11" t="n">
        <v>1</v>
      </c>
    </row>
    <row r="18">
      <c r="A18" s="11" t="inlineStr">
        <is>
          <t>DEV.2.3</t>
        </is>
      </c>
      <c r="B18" s="12" t="inlineStr">
        <is>
          <t>Ausführbarkeit mit minimalen Rechten</t>
        </is>
      </c>
      <c r="C18" s="11" t="inlineStr">
        <is>
          <t>DEV.2.3</t>
        </is>
      </c>
      <c r="D18" s="11" t="inlineStr">
        <is>
          <t>Standard-Anforderungen</t>
        </is>
      </c>
      <c r="E18" s="12" t="inlineStr">
        <is>
          <t>Entwicklung für Anwendungen SOLLTE die fehlerfreie Ausführung mit den geringst möglichen Berechtigungen verankern.</t>
        </is>
      </c>
      <c r="F18" s="14" t="n"/>
      <c r="G18" s="14" t="n"/>
      <c r="H18" s="14" t="inlineStr">
        <is>
          <t>unbearbeitet</t>
        </is>
      </c>
      <c r="I18" s="14" t="n"/>
      <c r="J18" s="14" t="n"/>
      <c r="K18" s="14" t="n"/>
      <c r="L18" s="15" t="n"/>
      <c r="M18" s="11" t="inlineStr"/>
      <c r="N18" s="12" t="inlineStr"/>
      <c r="O18" s="11" t="inlineStr"/>
      <c r="P18" s="12" t="inlineStr">
        <is>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is>
      </c>
      <c r="Q18" s="11" t="inlineStr">
        <is>
          <t>Anwendungen</t>
        </is>
      </c>
      <c r="R18" s="11" t="inlineStr">
        <is>
          <t>Freigabeplan</t>
        </is>
      </c>
      <c r="S18" s="12" t="inlineStr">
        <is>
          <t>die fehlerfreie Ausführung mit den geringst möglichen Berechtigungen</t>
        </is>
      </c>
      <c r="T18" s="12" t="inlineStr">
        <is>
          <t>G 0.28 – Software-Schwachstellen oder -Fehler; G 0.32 – Missbrauch von Berechtigungen; G 0.21 – Manipulation von Hard- oder Software</t>
        </is>
      </c>
      <c r="U18" s="11" t="n">
        <v>3</v>
      </c>
      <c r="V18" s="11" t="n">
        <v>1</v>
      </c>
      <c r="W18" s="11" t="n">
        <v>1</v>
      </c>
      <c r="X18" s="11" t="n">
        <v>1</v>
      </c>
      <c r="Y18" s="11" t="n">
        <v>1</v>
      </c>
    </row>
    <row r="19">
      <c r="A19" s="9" t="inlineStr">
        <is>
          <t>DEV.2.4</t>
        </is>
      </c>
      <c r="B19" s="10" t="inlineStr">
        <is>
          <t>Einschränkung Zugriffs auf Quellcode</t>
        </is>
      </c>
      <c r="C19" s="11" t="n"/>
      <c r="D19" s="11" t="inlineStr">
        <is>
          <t>Standard-Anforderungen</t>
        </is>
      </c>
      <c r="E19" s="12" t="inlineStr">
        <is>
          <t>Gesamt:</t>
        </is>
      </c>
      <c r="F19" s="11" t="n"/>
      <c r="G19" s="11" t="n"/>
      <c r="H19" s="13">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
      </c>
      <c r="I19" s="11" t="n"/>
      <c r="J19" s="11" t="n"/>
      <c r="K19" s="11" t="n"/>
      <c r="L19" s="11" t="n"/>
      <c r="M19" s="11" t="inlineStr">
        <is>
          <t>Integrität</t>
        </is>
      </c>
      <c r="N19" s="12" t="inlineStr"/>
      <c r="O19" s="11" t="inlineStr"/>
      <c r="P19" s="12" t="inlineStr">
        <is>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is>
      </c>
      <c r="Q19" s="11" t="inlineStr"/>
      <c r="R19" s="11" t="inlineStr">
        <is>
          <t>Inventar Berechtigungen</t>
        </is>
      </c>
      <c r="S19" s="12" t="inlineStr">
        <is>
          <t>den schreibenden Zugriff auf Quellcode</t>
        </is>
      </c>
      <c r="T19" s="12" t="inlineStr">
        <is>
          <t>G 0.22 – Manipulation von Informationen; G 0.46 – Integritätsverlust schützenswerter Informationen</t>
        </is>
      </c>
      <c r="U19" s="11" t="n">
        <v>1</v>
      </c>
      <c r="V19" s="11" t="n">
        <v>0</v>
      </c>
      <c r="W19" s="11" t="n">
        <v>2</v>
      </c>
      <c r="X19" s="11" t="n">
        <v>0</v>
      </c>
      <c r="Y19" s="11" t="n">
        <v>1</v>
      </c>
    </row>
    <row r="20">
      <c r="A20" s="11" t="inlineStr">
        <is>
          <t>DEV.2.4</t>
        </is>
      </c>
      <c r="B20" s="12" t="inlineStr">
        <is>
          <t>Einschränkung Zugriffs auf Quellcode</t>
        </is>
      </c>
      <c r="C20" s="11" t="inlineStr">
        <is>
          <t>DEV.2.4</t>
        </is>
      </c>
      <c r="D20" s="11" t="inlineStr">
        <is>
          <t>Standard-Anforderungen</t>
        </is>
      </c>
      <c r="E20" s="12" t="inlineStr">
        <is>
          <t>Entwicklung SOLLTE den schreibenden Zugriff auf Quellcode einschränken.</t>
        </is>
      </c>
      <c r="F20" s="14" t="n"/>
      <c r="G20" s="14" t="n"/>
      <c r="H20" s="14" t="inlineStr">
        <is>
          <t>unbearbeitet</t>
        </is>
      </c>
      <c r="I20" s="14" t="n"/>
      <c r="J20" s="14" t="n"/>
      <c r="K20" s="14" t="n"/>
      <c r="L20" s="15" t="n"/>
      <c r="M20" s="11" t="inlineStr">
        <is>
          <t>Integrität</t>
        </is>
      </c>
      <c r="N20" s="12" t="inlineStr"/>
      <c r="O20" s="11" t="inlineStr"/>
      <c r="P20" s="12" t="inlineStr">
        <is>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is>
      </c>
      <c r="Q20" s="11" t="inlineStr"/>
      <c r="R20" s="11" t="inlineStr">
        <is>
          <t>Inventar Berechtigungen</t>
        </is>
      </c>
      <c r="S20" s="12" t="inlineStr">
        <is>
          <t>den schreibenden Zugriff auf Quellcode</t>
        </is>
      </c>
      <c r="T20" s="12" t="inlineStr">
        <is>
          <t>G 0.22 – Manipulation von Informationen; G 0.46 – Integritätsverlust schützenswerter Informationen</t>
        </is>
      </c>
      <c r="U20" s="11" t="n">
        <v>1</v>
      </c>
      <c r="V20" s="11" t="n">
        <v>0</v>
      </c>
      <c r="W20" s="11" t="n">
        <v>2</v>
      </c>
      <c r="X20" s="11" t="n">
        <v>0</v>
      </c>
      <c r="Y20" s="11" t="n">
        <v>1</v>
      </c>
    </row>
    <row r="21">
      <c r="A21" s="9" t="inlineStr">
        <is>
          <t>DEV.2.5</t>
        </is>
      </c>
      <c r="B21" s="10" t="inlineStr">
        <is>
          <t>Einschränkung des Zugriffs auf Zugangsdaten</t>
        </is>
      </c>
      <c r="C21" s="11" t="n"/>
      <c r="D21" s="11" t="inlineStr">
        <is>
          <t>Standard-Anforderungen</t>
        </is>
      </c>
      <c r="E21" s="12" t="inlineStr">
        <is>
          <t>Gesamt:</t>
        </is>
      </c>
      <c r="F21" s="11" t="n"/>
      <c r="G21" s="11" t="n"/>
      <c r="H21" s="13">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
      </c>
      <c r="I21" s="11" t="n"/>
      <c r="J21" s="11" t="n"/>
      <c r="K21" s="11" t="n"/>
      <c r="L21" s="11" t="n"/>
      <c r="M21" s="11" t="inlineStr">
        <is>
          <t>Vertraulichkeit, Integrität, Authentizität</t>
        </is>
      </c>
      <c r="N21" s="12" t="inlineStr">
        <is>
          <t>APP.4.2.A13-UA.3</t>
        </is>
      </c>
      <c r="O21" s="11" t="inlineStr">
        <is>
          <t>intersects-with</t>
        </is>
      </c>
      <c r="P21" s="12" t="inlineStr">
        <is>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is>
      </c>
      <c r="Q21" s="11" t="inlineStr">
        <is>
          <t>Anwendungen</t>
        </is>
      </c>
      <c r="R21" s="11" t="inlineStr">
        <is>
          <t>Inventar Berechtigungen</t>
        </is>
      </c>
      <c r="S21" s="12" t="inlineStr">
        <is>
          <t>den lesenden und schreibenden Zugriff auf Zugangsdaten</t>
        </is>
      </c>
      <c r="T21" s="12" t="inlineStr">
        <is>
          <t>G 0.28 – Software-Schwachstellen oder -Fehler; G 0.21 – Manipulation von Hard- oder Software; G 0.22 – Manipulation von Informationen; G 0.19 – Offenlegung schützenswerter Informationen</t>
        </is>
      </c>
      <c r="U21" s="11" t="n">
        <v>2</v>
      </c>
      <c r="V21" s="11" t="n">
        <v>2</v>
      </c>
      <c r="W21" s="11" t="n">
        <v>2</v>
      </c>
      <c r="X21" s="11" t="n">
        <v>1</v>
      </c>
      <c r="Y21" s="11" t="n">
        <v>2</v>
      </c>
    </row>
    <row r="22">
      <c r="A22" s="11" t="inlineStr">
        <is>
          <t>DEV.2.5</t>
        </is>
      </c>
      <c r="B22" s="12" t="inlineStr">
        <is>
          <t>Einschränkung des Zugriffs auf Zugangsdaten</t>
        </is>
      </c>
      <c r="C22" s="11" t="inlineStr">
        <is>
          <t>DEV.2.5</t>
        </is>
      </c>
      <c r="D22" s="11" t="inlineStr">
        <is>
          <t>Standard-Anforderungen</t>
        </is>
      </c>
      <c r="E22" s="12" t="inlineStr">
        <is>
          <t>Entwicklung für Anwendungen SOLLTE den lesenden und schreibenden Zugriff auf Zugangsdaten einschränken.</t>
        </is>
      </c>
      <c r="F22" s="14" t="n"/>
      <c r="G22" s="14" t="n"/>
      <c r="H22" s="14" t="inlineStr">
        <is>
          <t>unbearbeitet</t>
        </is>
      </c>
      <c r="I22" s="14" t="n"/>
      <c r="J22" s="14" t="n"/>
      <c r="K22" s="14" t="n"/>
      <c r="L22" s="15" t="n"/>
      <c r="M22" s="11" t="inlineStr">
        <is>
          <t>Vertraulichkeit, Integrität, Authentizität</t>
        </is>
      </c>
      <c r="N22" s="12" t="inlineStr">
        <is>
          <t>APP.4.2.A13-UA.3</t>
        </is>
      </c>
      <c r="O22" s="11" t="inlineStr">
        <is>
          <t>intersects-with</t>
        </is>
      </c>
      <c r="P22" s="12" t="inlineStr">
        <is>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is>
      </c>
      <c r="Q22" s="11" t="inlineStr">
        <is>
          <t>Anwendungen</t>
        </is>
      </c>
      <c r="R22" s="11" t="inlineStr">
        <is>
          <t>Inventar Berechtigungen</t>
        </is>
      </c>
      <c r="S22" s="12" t="inlineStr">
        <is>
          <t>den lesenden und schreibenden Zugriff auf Zugangsdaten</t>
        </is>
      </c>
      <c r="T22" s="12" t="inlineStr">
        <is>
          <t>G 0.28 – Software-Schwachstellen oder -Fehler; G 0.21 – Manipulation von Hard- oder Software; G 0.22 – Manipulation von Informationen; G 0.19 – Offenlegung schützenswerter Informationen</t>
        </is>
      </c>
      <c r="U22" s="11" t="n">
        <v>2</v>
      </c>
      <c r="V22" s="11" t="n">
        <v>2</v>
      </c>
      <c r="W22" s="11" t="n">
        <v>2</v>
      </c>
      <c r="X22" s="11" t="n">
        <v>1</v>
      </c>
      <c r="Y22" s="11" t="n">
        <v>2</v>
      </c>
    </row>
    <row r="23">
      <c r="A23" s="9" t="inlineStr">
        <is>
          <t>DEV.2.6</t>
        </is>
      </c>
      <c r="B23" s="10" t="inlineStr">
        <is>
          <t>Widerstandsfähigkeit gegen gängige Angriffsmuster</t>
        </is>
      </c>
      <c r="C23" s="11" t="n"/>
      <c r="D23" s="11" t="inlineStr">
        <is>
          <t>Standard-Anforderungen</t>
        </is>
      </c>
      <c r="E23" s="12" t="inlineStr">
        <is>
          <t>Gesamt:</t>
        </is>
      </c>
      <c r="F23" s="11" t="n"/>
      <c r="G23" s="11" t="n"/>
      <c r="H23" s="13">
        <f>IF(OR(COUNTBLANK($H$24:$H$26)&gt;0,COUNTIF($H$24:$H$26,"unbearbeitet")=COUNTA($H$24:$H$26)),"Bitte Teilanforderungen ausfüllen",IF(COUNTIF($H$24:$H$26,"zu klären")&gt;0,"zu klären",IF(COUNTIF($H$24:$H$26,"entbehrlich")=COUNTA($H$24:$H$26),"entbehrlich",IF(COUNTIF($H$24:$H$26,"verwiesen")=COUNTA($H$24:$H$26),"verwiesen",IF(COUNTIF($H$24:$H$26,"nein")+COUNTIF($H$24:$H$26,"entbehrlich")=COUNTA($H$24:$H$26),"nein",IF(COUNTIF($H$24:$H$26,"ja")+COUNTIF($H$24:$H$26,"entbehrlich")+COUNTIF($H$24:$H$26,"verwiesen")=COUNTA($H$24:$H$26),"ja","teilweise"))))))</f>
        <v/>
      </c>
      <c r="I23" s="11" t="n"/>
      <c r="J23" s="11" t="n"/>
      <c r="K23" s="11" t="n"/>
      <c r="L23" s="11" t="n"/>
      <c r="M23" s="11" t="inlineStr">
        <is>
          <t>Integrität</t>
        </is>
      </c>
      <c r="N23" s="12" t="inlineStr"/>
      <c r="O23" s="11" t="inlineStr"/>
      <c r="P23" s="12" t="inlineStr">
        <is>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is>
      </c>
      <c r="Q23" s="11" t="inlineStr">
        <is>
          <t>Anwendungen</t>
        </is>
      </c>
      <c r="R23" s="11" t="inlineStr">
        <is>
          <t>Freigabeplan</t>
        </is>
      </c>
      <c r="S23" s="12" t="inlineStr">
        <is>
          <t>Schutzfunktionen gegen gängige Angriffsmuster</t>
        </is>
      </c>
      <c r="T23" s="12" t="inlineStr">
        <is>
          <t>G 0.28 – Software-Schwachstellen oder -Fehler; G 0.21 – Manipulation von Hard- oder Software; G 0.22 – Manipulation von Informationen; G 0.46 – Integritätsverlust schützenswerter Informationen</t>
        </is>
      </c>
      <c r="U23" s="11" t="n">
        <v>3</v>
      </c>
      <c r="V23" s="11" t="n">
        <v>1</v>
      </c>
      <c r="W23" s="11" t="n">
        <v>2</v>
      </c>
      <c r="X23" s="11" t="n">
        <v>1</v>
      </c>
      <c r="Y23" s="11" t="n">
        <v>0</v>
      </c>
    </row>
    <row r="24">
      <c r="A24" s="11" t="inlineStr">
        <is>
          <t>DEV.2.6</t>
        </is>
      </c>
      <c r="B24" s="12" t="inlineStr">
        <is>
          <t>Widerstandsfähigkeit gegen gängige Angriffsmuster</t>
        </is>
      </c>
      <c r="C24" s="11" t="inlineStr">
        <is>
          <t>DEV.2.6</t>
        </is>
      </c>
      <c r="D24" s="11" t="inlineStr">
        <is>
          <t>Standard-Anforderungen</t>
        </is>
      </c>
      <c r="E24" s="12" t="inlineStr">
        <is>
          <t>Entwicklung für Anwendungen SOLLTE Schutzfunktionen gegen gängige Angriffsmuster installieren.</t>
        </is>
      </c>
      <c r="F24" s="14" t="n"/>
      <c r="G24" s="14" t="n"/>
      <c r="H24" s="14" t="inlineStr">
        <is>
          <t>unbearbeitet</t>
        </is>
      </c>
      <c r="I24" s="14" t="n"/>
      <c r="J24" s="14" t="n"/>
      <c r="K24" s="14" t="n"/>
      <c r="L24" s="15" t="n"/>
      <c r="M24" s="11" t="inlineStr">
        <is>
          <t>Integrität</t>
        </is>
      </c>
      <c r="N24" s="12" t="inlineStr"/>
      <c r="O24" s="11" t="inlineStr"/>
      <c r="P24" s="12" t="inlineStr">
        <is>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is>
      </c>
      <c r="Q24" s="11" t="inlineStr">
        <is>
          <t>Anwendungen</t>
        </is>
      </c>
      <c r="R24" s="11" t="inlineStr">
        <is>
          <t>Freigabeplan</t>
        </is>
      </c>
      <c r="S24" s="12" t="inlineStr">
        <is>
          <t>Schutzfunktionen gegen gängige Angriffsmuster</t>
        </is>
      </c>
      <c r="T24" s="12" t="inlineStr">
        <is>
          <t>G 0.28 – Software-Schwachstellen oder -Fehler; G 0.21 – Manipulation von Hard- oder Software; G 0.22 – Manipulation von Informationen; G 0.46 – Integritätsverlust schützenswerter Informationen</t>
        </is>
      </c>
      <c r="U24" s="11" t="n">
        <v>3</v>
      </c>
      <c r="V24" s="11" t="n">
        <v>1</v>
      </c>
      <c r="W24" s="11" t="n">
        <v>2</v>
      </c>
      <c r="X24" s="11" t="n">
        <v>1</v>
      </c>
      <c r="Y24" s="11" t="n">
        <v>0</v>
      </c>
    </row>
    <row r="25">
      <c r="A25" s="11" t="inlineStr">
        <is>
          <t>DEV.2.6</t>
        </is>
      </c>
      <c r="B25" s="12" t="inlineStr">
        <is>
          <t>Widerstandsfähigkeit gegen gängige Angriffsmuster</t>
        </is>
      </c>
      <c r="C25" s="11" t="inlineStr">
        <is>
          <t>DEV.2.6.1</t>
        </is>
      </c>
      <c r="D25" s="11" t="inlineStr">
        <is>
          <t>Standard-Anforderungen</t>
        </is>
      </c>
      <c r="E25" s="12" t="inlineStr">
        <is>
          <t>Entwicklung für Anwendungen SOLLTE Eingabedaten auf eingeschleuste Befehle testen.</t>
        </is>
      </c>
      <c r="F25" s="14" t="n"/>
      <c r="G25" s="14" t="n"/>
      <c r="H25" s="14" t="inlineStr">
        <is>
          <t>unbearbeitet</t>
        </is>
      </c>
      <c r="I25" s="14" t="n"/>
      <c r="J25" s="14" t="n"/>
      <c r="K25" s="14" t="n"/>
      <c r="L25" s="15" t="n"/>
      <c r="M25" s="11" t="inlineStr"/>
      <c r="N25" s="12" t="inlineStr">
        <is>
          <t>CON.10.A8-UA.1</t>
        </is>
      </c>
      <c r="O25" s="11" t="inlineStr">
        <is>
          <t>equivalent-to</t>
        </is>
      </c>
      <c r="P25" s="12" t="inlineStr">
        <is>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is>
      </c>
      <c r="Q25" s="11" t="inlineStr">
        <is>
          <t>Anwendungen</t>
        </is>
      </c>
      <c r="R25" s="11" t="inlineStr">
        <is>
          <t>Freigabeplan</t>
        </is>
      </c>
      <c r="S25" s="12" t="inlineStr">
        <is>
          <t>Eingabedaten</t>
        </is>
      </c>
      <c r="T25" s="12" t="inlineStr">
        <is>
          <t>G 0.28 – Software-Schwachstellen oder -Fehler</t>
        </is>
      </c>
      <c r="U25" s="11" t="n">
        <v>3</v>
      </c>
      <c r="V25" s="11" t="n">
        <v>1</v>
      </c>
      <c r="W25" s="11" t="n">
        <v>1</v>
      </c>
      <c r="X25" s="11" t="n">
        <v>1</v>
      </c>
      <c r="Y25" s="11" t="n">
        <v>0</v>
      </c>
    </row>
    <row r="26">
      <c r="A26" s="11" t="inlineStr">
        <is>
          <t>DEV.2.6</t>
        </is>
      </c>
      <c r="B26" s="12" t="inlineStr">
        <is>
          <t>Widerstandsfähigkeit gegen gängige Angriffsmuster</t>
        </is>
      </c>
      <c r="C26" s="11" t="inlineStr">
        <is>
          <t>DEV.2.6.2</t>
        </is>
      </c>
      <c r="D26" s="11" t="inlineStr">
        <is>
          <t>Standard-Anforderungen</t>
        </is>
      </c>
      <c r="E26" s="12" t="inlineStr">
        <is>
          <t>Entwicklung für Anwendungen SOLLTE eine Ausgabekodierung ausführen.</t>
        </is>
      </c>
      <c r="F26" s="14" t="n"/>
      <c r="G26" s="14" t="n"/>
      <c r="H26" s="14" t="inlineStr">
        <is>
          <t>unbearbeitet</t>
        </is>
      </c>
      <c r="I26" s="14" t="n"/>
      <c r="J26" s="14" t="n"/>
      <c r="K26" s="14" t="n"/>
      <c r="L26" s="15" t="n"/>
      <c r="M26" s="11" t="inlineStr"/>
      <c r="N26" s="12" t="inlineStr">
        <is>
          <t>CON.10.A8-UA.1</t>
        </is>
      </c>
      <c r="O26" s="11" t="inlineStr">
        <is>
          <t>equivalent-to</t>
        </is>
      </c>
      <c r="P26" s="12" t="inlineStr">
        <is>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is>
      </c>
      <c r="Q26" s="11" t="inlineStr">
        <is>
          <t>Anwendungen</t>
        </is>
      </c>
      <c r="R26" s="11" t="inlineStr">
        <is>
          <t>Freigabeplan</t>
        </is>
      </c>
      <c r="S26" s="12" t="inlineStr">
        <is>
          <t>eine Ausgabekodierung</t>
        </is>
      </c>
      <c r="T26" s="12" t="inlineStr">
        <is>
          <t>G 0.28 – Software-Schwachstellen oder -Fehler</t>
        </is>
      </c>
      <c r="U26" s="11" t="n">
        <v>3</v>
      </c>
      <c r="V26" s="11" t="n">
        <v>1</v>
      </c>
      <c r="W26" s="11" t="n">
        <v>1</v>
      </c>
      <c r="X26" s="11" t="n">
        <v>1</v>
      </c>
      <c r="Y26" s="11" t="n">
        <v>0</v>
      </c>
    </row>
    <row r="27">
      <c r="A27" s="9" t="inlineStr">
        <is>
          <t>DEV.3.1</t>
        </is>
      </c>
      <c r="B27" s="10" t="inlineStr">
        <is>
          <t>Replay-Angriffe</t>
        </is>
      </c>
      <c r="C27" s="11" t="n"/>
      <c r="D27" s="11" t="inlineStr">
        <is>
          <t>Standard-Anforderungen</t>
        </is>
      </c>
      <c r="E27" s="12" t="inlineStr">
        <is>
          <t>Gesamt:</t>
        </is>
      </c>
      <c r="F27" s="11" t="n"/>
      <c r="G27" s="11" t="n"/>
      <c r="H27" s="13">
        <f>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
      </c>
      <c r="I27" s="11" t="n"/>
      <c r="J27" s="11" t="n"/>
      <c r="K27" s="11" t="n"/>
      <c r="L27" s="11" t="n"/>
      <c r="M27" s="11" t="inlineStr"/>
      <c r="N27" s="12" t="inlineStr"/>
      <c r="O27" s="11" t="inlineStr"/>
      <c r="P27" s="12" t="inlineStr">
        <is>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is>
      </c>
      <c r="Q27" s="11" t="inlineStr">
        <is>
          <t>Anwendungen</t>
        </is>
      </c>
      <c r="R27" s="11" t="inlineStr">
        <is>
          <t>Freigabeplan</t>
        </is>
      </c>
      <c r="S27" s="12" t="inlineStr">
        <is>
          <t>Replay-Angriffe</t>
        </is>
      </c>
      <c r="T27" s="12" t="inlineStr">
        <is>
          <t>G 0.43 – Einspielen von Nachrichten</t>
        </is>
      </c>
      <c r="U27" s="11" t="n">
        <v>3</v>
      </c>
      <c r="V27" s="11" t="n">
        <v>1</v>
      </c>
      <c r="W27" s="11" t="n">
        <v>1</v>
      </c>
      <c r="X27" s="11" t="n">
        <v>0</v>
      </c>
      <c r="Y27" s="11" t="n">
        <v>1</v>
      </c>
    </row>
    <row r="28">
      <c r="A28" s="11" t="inlineStr">
        <is>
          <t>DEV.3.1</t>
        </is>
      </c>
      <c r="B28" s="12" t="inlineStr">
        <is>
          <t>Replay-Angriffe</t>
        </is>
      </c>
      <c r="C28" s="11" t="inlineStr">
        <is>
          <t>DEV.3.1</t>
        </is>
      </c>
      <c r="D28" s="11" t="inlineStr">
        <is>
          <t>Standard-Anforderungen</t>
        </is>
      </c>
      <c r="E28" s="12" t="inlineStr">
        <is>
          <t>Entwicklung für Anwendungen SOLLTE Replay-Angriffe blockieren.</t>
        </is>
      </c>
      <c r="F28" s="14" t="n"/>
      <c r="G28" s="14" t="n"/>
      <c r="H28" s="14" t="inlineStr">
        <is>
          <t>unbearbeitet</t>
        </is>
      </c>
      <c r="I28" s="14" t="n"/>
      <c r="J28" s="14" t="n"/>
      <c r="K28" s="14" t="n"/>
      <c r="L28" s="15" t="n"/>
      <c r="M28" s="11" t="inlineStr"/>
      <c r="N28" s="12" t="inlineStr"/>
      <c r="O28" s="11" t="inlineStr"/>
      <c r="P28" s="12" t="inlineStr">
        <is>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is>
      </c>
      <c r="Q28" s="11" t="inlineStr">
        <is>
          <t>Anwendungen</t>
        </is>
      </c>
      <c r="R28" s="11" t="inlineStr">
        <is>
          <t>Freigabeplan</t>
        </is>
      </c>
      <c r="S28" s="12" t="inlineStr">
        <is>
          <t>Replay-Angriffe</t>
        </is>
      </c>
      <c r="T28" s="12" t="inlineStr">
        <is>
          <t>G 0.43 – Einspielen von Nachrichten</t>
        </is>
      </c>
      <c r="U28" s="11" t="n">
        <v>3</v>
      </c>
      <c r="V28" s="11" t="n">
        <v>1</v>
      </c>
      <c r="W28" s="11" t="n">
        <v>1</v>
      </c>
      <c r="X28" s="11" t="n">
        <v>0</v>
      </c>
      <c r="Y28" s="11" t="n">
        <v>1</v>
      </c>
    </row>
    <row r="29">
      <c r="A29" s="9" t="inlineStr">
        <is>
          <t>DEV.3.2</t>
        </is>
      </c>
      <c r="B29" s="10" t="inlineStr">
        <is>
          <t>Routinen zur Fehlerbehandlung</t>
        </is>
      </c>
      <c r="C29" s="11" t="n"/>
      <c r="D29" s="11" t="inlineStr">
        <is>
          <t>Standard-Anforderungen</t>
        </is>
      </c>
      <c r="E29" s="12" t="inlineStr">
        <is>
          <t>Gesamt:</t>
        </is>
      </c>
      <c r="F29" s="11" t="n"/>
      <c r="G29" s="11" t="n"/>
      <c r="H29" s="13">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
      </c>
      <c r="I29" s="11" t="n"/>
      <c r="J29" s="11" t="n"/>
      <c r="K29" s="11" t="n"/>
      <c r="L29" s="11" t="n"/>
      <c r="M29" s="11" t="inlineStr"/>
      <c r="N29" s="12" t="inlineStr">
        <is>
          <t>APP.3.2.A12-UA.5; APP.3.3.A14-UA.1</t>
        </is>
      </c>
      <c r="O29" s="11" t="inlineStr">
        <is>
          <t>equivalent-to; intersects-with</t>
        </is>
      </c>
      <c r="P29" s="12" t="inlineStr">
        <is>
          <t>Behandeln Sie Fehler (Exceptions) möglichst nahe an der Quelle (z.B. Buffer Overflows, fehlende Dateien) und sehen sie eine Routine vor, die unerwartete Fehler abfängt. Geben Sie passende Fehlermeldungen aus und protokollieren Sie Fehler.</t>
        </is>
      </c>
      <c r="Q29" s="11" t="inlineStr">
        <is>
          <t>Anwendungen</t>
        </is>
      </c>
      <c r="R29" s="11" t="inlineStr">
        <is>
          <t>Freigabeplan</t>
        </is>
      </c>
      <c r="S29" s="12" t="inlineStr">
        <is>
          <t>spezifische und allgemeine Routinen zur Fehlerbehandlung</t>
        </is>
      </c>
      <c r="T29" s="12" t="inlineStr">
        <is>
          <t>G 0.28 – Software-Schwachstellen oder -Fehler; G 0.21 – Manipulation von Hard- oder Software</t>
        </is>
      </c>
      <c r="U29" s="11" t="n">
        <v>2</v>
      </c>
      <c r="V29" s="11" t="n">
        <v>1</v>
      </c>
      <c r="W29" s="11" t="n">
        <v>1</v>
      </c>
      <c r="X29" s="11" t="n">
        <v>1</v>
      </c>
      <c r="Y29" s="11" t="n">
        <v>1</v>
      </c>
    </row>
    <row r="30">
      <c r="A30" s="11" t="inlineStr">
        <is>
          <t>DEV.3.2</t>
        </is>
      </c>
      <c r="B30" s="12" t="inlineStr">
        <is>
          <t>Routinen zur Fehlerbehandlung</t>
        </is>
      </c>
      <c r="C30" s="11" t="inlineStr">
        <is>
          <t>DEV.3.2</t>
        </is>
      </c>
      <c r="D30" s="11" t="inlineStr">
        <is>
          <t>Standard-Anforderungen</t>
        </is>
      </c>
      <c r="E30" s="12" t="inlineStr">
        <is>
          <t>Entwicklung für Anwendungen SOLLTE spezifische und allgemeine Routinen zur Fehlerbehandlung ausführen.</t>
        </is>
      </c>
      <c r="F30" s="14" t="n"/>
      <c r="G30" s="14" t="n"/>
      <c r="H30" s="14" t="inlineStr">
        <is>
          <t>unbearbeitet</t>
        </is>
      </c>
      <c r="I30" s="14" t="n"/>
      <c r="J30" s="14" t="n"/>
      <c r="K30" s="14" t="n"/>
      <c r="L30" s="15" t="n"/>
      <c r="M30" s="11" t="inlineStr"/>
      <c r="N30" s="12" t="inlineStr">
        <is>
          <t>APP.3.2.A12-UA.5; APP.3.3.A14-UA.1</t>
        </is>
      </c>
      <c r="O30" s="11" t="inlineStr">
        <is>
          <t>equivalent-to; intersects-with</t>
        </is>
      </c>
      <c r="P30" s="12" t="inlineStr">
        <is>
          <t>Behandeln Sie Fehler (Exceptions) möglichst nahe an der Quelle (z.B. Buffer Overflows, fehlende Dateien) und sehen sie eine Routine vor, die unerwartete Fehler abfängt. Geben Sie passende Fehlermeldungen aus und protokollieren Sie Fehler.</t>
        </is>
      </c>
      <c r="Q30" s="11" t="inlineStr">
        <is>
          <t>Anwendungen</t>
        </is>
      </c>
      <c r="R30" s="11" t="inlineStr">
        <is>
          <t>Freigabeplan</t>
        </is>
      </c>
      <c r="S30" s="12" t="inlineStr">
        <is>
          <t>spezifische und allgemeine Routinen zur Fehlerbehandlung</t>
        </is>
      </c>
      <c r="T30" s="12" t="inlineStr">
        <is>
          <t>G 0.28 – Software-Schwachstellen oder -Fehler; G 0.21 – Manipulation von Hard- oder Software</t>
        </is>
      </c>
      <c r="U30" s="11" t="n">
        <v>2</v>
      </c>
      <c r="V30" s="11" t="n">
        <v>1</v>
      </c>
      <c r="W30" s="11" t="n">
        <v>1</v>
      </c>
      <c r="X30" s="11" t="n">
        <v>1</v>
      </c>
      <c r="Y30" s="11" t="n">
        <v>1</v>
      </c>
    </row>
    <row r="31">
      <c r="A31" s="9" t="inlineStr">
        <is>
          <t>DEV.3.3</t>
        </is>
      </c>
      <c r="B31" s="10" t="inlineStr">
        <is>
          <t>Deaktivierung der Ausgabe schützenswerter Daten durch Fehlermeldungen</t>
        </is>
      </c>
      <c r="C31" s="11" t="n"/>
      <c r="D31" s="11" t="inlineStr">
        <is>
          <t>Standard-Anforderungen</t>
        </is>
      </c>
      <c r="E31" s="12" t="inlineStr">
        <is>
          <t>Gesamt:</t>
        </is>
      </c>
      <c r="F31" s="11" t="n"/>
      <c r="G31" s="11" t="n"/>
      <c r="H31" s="13">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
      </c>
      <c r="I31" s="11" t="n"/>
      <c r="J31" s="11" t="n"/>
      <c r="K31" s="11" t="n"/>
      <c r="L31" s="11" t="n"/>
      <c r="M31" s="11" t="inlineStr">
        <is>
          <t>Vertraulichkeit</t>
        </is>
      </c>
      <c r="N31" s="12" t="inlineStr"/>
      <c r="O31" s="11" t="inlineStr"/>
      <c r="P31" s="12" t="inlineStr">
        <is>
          <t>Werden sensible Daten in Fehlermeldungen oder Log-Einträgen verwendet, kommt es leicht zur Offenlegung dieser Informationen gegenüber Unbefugten. Hierzu gehören auch Hinweise auf das Vorhandensein oder Nicht-Vorhandensein eines Nutzendenkontos.</t>
        </is>
      </c>
      <c r="Q31" s="11" t="inlineStr">
        <is>
          <t>Anwendungen</t>
        </is>
      </c>
      <c r="R31" s="11" t="inlineStr">
        <is>
          <t>Freigabeplan</t>
        </is>
      </c>
      <c r="S31" s="12" t="inlineStr">
        <is>
          <t>die Ausgabe schützenswerter Daten durch Fehlermeldungen</t>
        </is>
      </c>
      <c r="T31" s="12" t="inlineStr">
        <is>
          <t>G 0.28 – Software-Schwachstellen oder -Fehler; G 0.19 – Offenlegung schützenswerter Informationen</t>
        </is>
      </c>
      <c r="U31" s="11" t="n">
        <v>3</v>
      </c>
      <c r="V31" s="11" t="n">
        <v>2</v>
      </c>
      <c r="W31" s="11" t="n">
        <v>1</v>
      </c>
      <c r="X31" s="11" t="n">
        <v>1</v>
      </c>
      <c r="Y31" s="11" t="n">
        <v>0</v>
      </c>
    </row>
    <row r="32">
      <c r="A32" s="11" t="inlineStr">
        <is>
          <t>DEV.3.3</t>
        </is>
      </c>
      <c r="B32" s="12" t="inlineStr">
        <is>
          <t>Deaktivierung der Ausgabe schützenswerter Daten durch Fehlermeldungen</t>
        </is>
      </c>
      <c r="C32" s="11" t="inlineStr">
        <is>
          <t>DEV.3.3</t>
        </is>
      </c>
      <c r="D32" s="11" t="inlineStr">
        <is>
          <t>Standard-Anforderungen</t>
        </is>
      </c>
      <c r="E32" s="12" t="inlineStr">
        <is>
          <t>Entwicklung für Anwendungen SOLLTE die Ausgabe schützenswerter Daten durch Fehlermeldungen deaktivieren.</t>
        </is>
      </c>
      <c r="F32" s="14" t="n"/>
      <c r="G32" s="14" t="n"/>
      <c r="H32" s="14" t="inlineStr">
        <is>
          <t>unbearbeitet</t>
        </is>
      </c>
      <c r="I32" s="14" t="n"/>
      <c r="J32" s="14" t="n"/>
      <c r="K32" s="14" t="n"/>
      <c r="L32" s="15" t="n"/>
      <c r="M32" s="11" t="inlineStr">
        <is>
          <t>Vertraulichkeit</t>
        </is>
      </c>
      <c r="N32" s="12" t="inlineStr"/>
      <c r="O32" s="11" t="inlineStr"/>
      <c r="P32" s="12" t="inlineStr">
        <is>
          <t>Werden sensible Daten in Fehlermeldungen oder Log-Einträgen verwendet, kommt es leicht zur Offenlegung dieser Informationen gegenüber Unbefugten. Hierzu gehören auch Hinweise auf das Vorhandensein oder Nicht-Vorhandensein eines Nutzendenkontos.</t>
        </is>
      </c>
      <c r="Q32" s="11" t="inlineStr">
        <is>
          <t>Anwendungen</t>
        </is>
      </c>
      <c r="R32" s="11" t="inlineStr">
        <is>
          <t>Freigabeplan</t>
        </is>
      </c>
      <c r="S32" s="12" t="inlineStr">
        <is>
          <t>die Ausgabe schützenswerter Daten durch Fehlermeldungen</t>
        </is>
      </c>
      <c r="T32" s="12" t="inlineStr">
        <is>
          <t>G 0.28 – Software-Schwachstellen oder -Fehler; G 0.19 – Offenlegung schützenswerter Informationen</t>
        </is>
      </c>
      <c r="U32" s="11" t="n">
        <v>3</v>
      </c>
      <c r="V32" s="11" t="n">
        <v>2</v>
      </c>
      <c r="W32" s="11" t="n">
        <v>1</v>
      </c>
      <c r="X32" s="11" t="n">
        <v>1</v>
      </c>
      <c r="Y32" s="11" t="n">
        <v>0</v>
      </c>
    </row>
    <row r="33">
      <c r="A33" s="9" t="inlineStr">
        <is>
          <t>DEV.3.4</t>
        </is>
      </c>
      <c r="B33" s="10" t="inlineStr">
        <is>
          <t>Passwort-Hashing</t>
        </is>
      </c>
      <c r="C33" s="11" t="n"/>
      <c r="D33" s="11" t="inlineStr">
        <is>
          <t>Standard-Anforderungen</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is>
          <t>Vertraulichkeit</t>
        </is>
      </c>
      <c r="N33" s="12" t="inlineStr">
        <is>
          <t>APP.3.1.A14-UA.2; CON.8.A5-UA.9</t>
        </is>
      </c>
      <c r="O33" s="11" t="inlineStr">
        <is>
          <t>intersects-with; intersects-with</t>
        </is>
      </c>
      <c r="P33" s="12" t="inlineStr">
        <is>
          <t>Ziel ist der Schutz vor Angriffen, welche Passwörter beim Transport oder aus dem Speicher auslesen und sich hiermit anmelden. Dies kann durch Hash und Salt gemäß BSI TR-02102 vermieden werden.</t>
        </is>
      </c>
      <c r="Q33" s="11" t="inlineStr">
        <is>
          <t>Anwendungen</t>
        </is>
      </c>
      <c r="R33" s="11" t="inlineStr">
        <is>
          <t>Freigabeplan</t>
        </is>
      </c>
      <c r="S33" s="12" t="inlineStr">
        <is>
          <t>das Hashing von Passwörtern, die zur Authentifizierung an der Anwendung verwendet werden</t>
        </is>
      </c>
      <c r="T33" s="12" t="inlineStr">
        <is>
          <t>G 0.28 – Software-Schwachstellen oder -Fehler; G 0.19 – Offenlegung schützenswerter Informationen</t>
        </is>
      </c>
      <c r="U33" s="11" t="n">
        <v>1</v>
      </c>
      <c r="V33" s="11" t="n">
        <v>2</v>
      </c>
      <c r="W33" s="11" t="n">
        <v>1</v>
      </c>
      <c r="X33" s="11" t="n">
        <v>1</v>
      </c>
      <c r="Y33" s="11" t="n">
        <v>0</v>
      </c>
    </row>
    <row r="34">
      <c r="A34" s="11" t="inlineStr">
        <is>
          <t>DEV.3.4</t>
        </is>
      </c>
      <c r="B34" s="12" t="inlineStr">
        <is>
          <t>Passwort-Hashing</t>
        </is>
      </c>
      <c r="C34" s="11" t="inlineStr">
        <is>
          <t>DEV.3.4</t>
        </is>
      </c>
      <c r="D34" s="11" t="inlineStr">
        <is>
          <t>Standard-Anforderungen</t>
        </is>
      </c>
      <c r="E34" s="12" t="inlineStr">
        <is>
          <t>Entwicklung für Anwendungen SOLLTE das Hashing von Passwörtern, die zur Authentifizierung an der Anwendung verwendet werden vor der Verarbeitung oder Speicherung aktivieren.</t>
        </is>
      </c>
      <c r="F34" s="14" t="n"/>
      <c r="G34" s="14" t="n"/>
      <c r="H34" s="14" t="inlineStr">
        <is>
          <t>unbearbeitet</t>
        </is>
      </c>
      <c r="I34" s="14" t="n"/>
      <c r="J34" s="14" t="n"/>
      <c r="K34" s="14" t="n"/>
      <c r="L34" s="15" t="n"/>
      <c r="M34" s="11" t="inlineStr">
        <is>
          <t>Vertraulichkeit</t>
        </is>
      </c>
      <c r="N34" s="12" t="inlineStr">
        <is>
          <t>APP.3.1.A14-UA.2; CON.8.A5-UA.9</t>
        </is>
      </c>
      <c r="O34" s="11" t="inlineStr">
        <is>
          <t>intersects-with; intersects-with</t>
        </is>
      </c>
      <c r="P34" s="12" t="inlineStr">
        <is>
          <t>Ziel ist der Schutz vor Angriffen, welche Passwörter beim Transport oder aus dem Speicher auslesen und sich hiermit anmelden. Dies kann durch Hash und Salt gemäß BSI TR-02102 vermieden werden.</t>
        </is>
      </c>
      <c r="Q34" s="11" t="inlineStr">
        <is>
          <t>Anwendungen</t>
        </is>
      </c>
      <c r="R34" s="11" t="inlineStr">
        <is>
          <t>Freigabeplan</t>
        </is>
      </c>
      <c r="S34" s="12" t="inlineStr">
        <is>
          <t>das Hashing von Passwörtern, die zur Authentifizierung an der Anwendung verwendet werden</t>
        </is>
      </c>
      <c r="T34" s="12" t="inlineStr">
        <is>
          <t>G 0.28 – Software-Schwachstellen oder -Fehler; G 0.19 – Offenlegung schützenswerter Informationen</t>
        </is>
      </c>
      <c r="U34" s="11" t="n">
        <v>1</v>
      </c>
      <c r="V34" s="11" t="n">
        <v>2</v>
      </c>
      <c r="W34" s="11" t="n">
        <v>1</v>
      </c>
      <c r="X34" s="11" t="n">
        <v>1</v>
      </c>
      <c r="Y34" s="11" t="n">
        <v>0</v>
      </c>
    </row>
    <row r="35">
      <c r="A35" s="9" t="inlineStr">
        <is>
          <t>DEV.4.1</t>
        </is>
      </c>
      <c r="B35" s="10" t="inlineStr">
        <is>
          <t>Nutzerinformation bei kritischen Ereignissen</t>
        </is>
      </c>
      <c r="C35" s="11" t="n"/>
      <c r="D35" s="11" t="inlineStr">
        <is>
          <t>Standard-Anforderungen</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c r="N35" s="12" t="inlineStr"/>
      <c r="O35" s="11" t="inlineStr"/>
      <c r="P35" s="12" t="inlineStr">
        <is>
          <t>Z.B. bei Anmeldung von neuen Geräten, Zurücksetzen des Passwortes, ungewöhnlichen Standorten oder der Änderung von Stammdaten.</t>
        </is>
      </c>
      <c r="Q35" s="11" t="inlineStr">
        <is>
          <t>Anwendungen</t>
        </is>
      </c>
      <c r="R35" s="11" t="inlineStr">
        <is>
          <t>Freigabeplan</t>
        </is>
      </c>
      <c r="S35" s="12" t="inlineStr">
        <is>
          <t>bei sicherheitskritischen Ereignissen die betroffenen Nutzenden</t>
        </is>
      </c>
      <c r="T35" s="12" t="inlineStr">
        <is>
          <t>G 0.36 – Identitätsdiebstahl; G 0.29 – Verstoß gegen Gesetze oder Regelungen</t>
        </is>
      </c>
      <c r="U35" s="11" t="n">
        <v>2</v>
      </c>
      <c r="V35" s="11" t="n">
        <v>1</v>
      </c>
      <c r="W35" s="11" t="n">
        <v>1</v>
      </c>
      <c r="X35" s="11" t="n">
        <v>1</v>
      </c>
      <c r="Y35" s="11" t="n">
        <v>0</v>
      </c>
    </row>
    <row r="36">
      <c r="A36" s="11" t="inlineStr">
        <is>
          <t>DEV.4.1</t>
        </is>
      </c>
      <c r="B36" s="12" t="inlineStr">
        <is>
          <t>Nutzerinformation bei kritischen Ereignissen</t>
        </is>
      </c>
      <c r="C36" s="11" t="inlineStr">
        <is>
          <t>DEV.4.1</t>
        </is>
      </c>
      <c r="D36" s="11" t="inlineStr">
        <is>
          <t>Standard-Anforderungen</t>
        </is>
      </c>
      <c r="E36" s="12" t="inlineStr">
        <is>
          <t>Entwicklung für Anwendungen SOLLTE bei sicherheitskritischen Ereignissen die betroffenen Nutzenden informieren.</t>
        </is>
      </c>
      <c r="F36" s="14" t="n"/>
      <c r="G36" s="14" t="n"/>
      <c r="H36" s="14" t="inlineStr">
        <is>
          <t>unbearbeitet</t>
        </is>
      </c>
      <c r="I36" s="14" t="n"/>
      <c r="J36" s="14" t="n"/>
      <c r="K36" s="14" t="n"/>
      <c r="L36" s="15" t="n"/>
      <c r="M36" s="11" t="inlineStr"/>
      <c r="N36" s="12" t="inlineStr"/>
      <c r="O36" s="11" t="inlineStr"/>
      <c r="P36" s="12" t="inlineStr">
        <is>
          <t>Z.B. bei Anmeldung von neuen Geräten, Zurücksetzen des Passwortes, ungewöhnlichen Standorten oder der Änderung von Stammdaten.</t>
        </is>
      </c>
      <c r="Q36" s="11" t="inlineStr">
        <is>
          <t>Anwendungen</t>
        </is>
      </c>
      <c r="R36" s="11" t="inlineStr">
        <is>
          <t>Freigabeplan</t>
        </is>
      </c>
      <c r="S36" s="12" t="inlineStr">
        <is>
          <t>bei sicherheitskritischen Ereignissen die betroffenen Nutzenden</t>
        </is>
      </c>
      <c r="T36" s="12" t="inlineStr">
        <is>
          <t>G 0.36 – Identitätsdiebstahl; G 0.29 – Verstoß gegen Gesetze oder Regelungen</t>
        </is>
      </c>
      <c r="U36" s="11" t="n">
        <v>2</v>
      </c>
      <c r="V36" s="11" t="n">
        <v>1</v>
      </c>
      <c r="W36" s="11" t="n">
        <v>1</v>
      </c>
      <c r="X36" s="11" t="n">
        <v>1</v>
      </c>
      <c r="Y36" s="11" t="n">
        <v>0</v>
      </c>
    </row>
    <row r="37">
      <c r="A37" s="9" t="inlineStr">
        <is>
          <t>DEV.4.2</t>
        </is>
      </c>
      <c r="B37" s="10" t="inlineStr">
        <is>
          <t>Einbindung externer Software</t>
        </is>
      </c>
      <c r="C37" s="11" t="n"/>
      <c r="D37" s="11" t="inlineStr">
        <is>
          <t>Standard-Anforderungen</t>
        </is>
      </c>
      <c r="E37" s="12" t="inlineStr">
        <is>
          <t>Gesamt:</t>
        </is>
      </c>
      <c r="F37" s="11" t="n"/>
      <c r="G37" s="11" t="n"/>
      <c r="H37" s="13">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
      </c>
      <c r="I37" s="11" t="n"/>
      <c r="J37" s="11" t="n"/>
      <c r="K37" s="11" t="n"/>
      <c r="L37" s="11" t="n"/>
      <c r="M37" s="11" t="inlineStr">
        <is>
          <t>Integrität</t>
        </is>
      </c>
      <c r="N37" s="12" t="inlineStr">
        <is>
          <t>CON.8.A6-UA.1</t>
        </is>
      </c>
      <c r="O37" s="11" t="inlineStr">
        <is>
          <t>equivalent-to</t>
        </is>
      </c>
      <c r="P37" s="12" t="inlineStr">
        <is>
          <t>Externe Softwareartefakte sind in diesem Kontext nicht von der Institution entwickelte, in die eigene Anwendung eingebundene oder zur Laufzeit nachgeladene Bestandteile wie Bibliotheken, Frameworks, Container-Images, Plug-ins, Packages, Binärdateien, Skripte, Modelle, Templates oder Build-Abhängigkeiten (sog. Third-Party Components, Dependencies) verwendet. Externe Softwareschnittstellen sind fremde technische Übergabe- und Kommunikationspunkte, über die eine Anwendung Funktionen oder Daten anderer Systeme nutzt, etwa APIs, Webhooks, SDK-Schnittstellen, Datenfeeds, Authentifizierungsdienste oder Remote Services; geläufige englische Begriffe sind Third-Party APIs, External Interfaces, Webhooks, SDKs und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is>
      </c>
      <c r="Q37" s="11" t="inlineStr">
        <is>
          <t>Anwendungen</t>
        </is>
      </c>
      <c r="R37" s="11" t="inlineStr">
        <is>
          <t>Arbeitsanweisung</t>
        </is>
      </c>
      <c r="S37" s="12" t="inlineStr">
        <is>
          <t>die Einbindung externer Softwareartefakte und -Schnittstellen aus unzuverlässigen oder unbekannten Quellen</t>
        </is>
      </c>
      <c r="T37" s="12" t="inlineStr">
        <is>
          <t>G 0.28 – Software-Schwachstellen oder -Fehler; G 0.46 – Integritätsverlust schützenswerter Informationen; G 0.20 – Informationen oder Produkte aus unzuverlässiger Quelle</t>
        </is>
      </c>
      <c r="U37" s="11" t="n">
        <v>2</v>
      </c>
      <c r="V37" s="11" t="n">
        <v>1</v>
      </c>
      <c r="W37" s="11" t="n">
        <v>2</v>
      </c>
      <c r="X37" s="11" t="n">
        <v>1</v>
      </c>
      <c r="Y37" s="11" t="n">
        <v>1</v>
      </c>
    </row>
    <row r="38">
      <c r="A38" s="11" t="inlineStr">
        <is>
          <t>DEV.4.2</t>
        </is>
      </c>
      <c r="B38" s="12" t="inlineStr">
        <is>
          <t>Einbindung externer Software</t>
        </is>
      </c>
      <c r="C38" s="11" t="inlineStr">
        <is>
          <t>DEV.4.2</t>
        </is>
      </c>
      <c r="D38" s="11" t="inlineStr">
        <is>
          <t>Standard-Anforderungen</t>
        </is>
      </c>
      <c r="E38" s="12" t="inlineStr">
        <is>
          <t>Entwicklung für Anwendungen SOLLTE die Einbindung externer Softwareartefakte und -Schnittstellen aus unzuverlässigen oder unbekannten Quellen untersagen.</t>
        </is>
      </c>
      <c r="F38" s="14" t="n"/>
      <c r="G38" s="14" t="n"/>
      <c r="H38" s="14" t="inlineStr">
        <is>
          <t>unbearbeitet</t>
        </is>
      </c>
      <c r="I38" s="14" t="n"/>
      <c r="J38" s="14" t="n"/>
      <c r="K38" s="14" t="n"/>
      <c r="L38" s="15" t="n"/>
      <c r="M38" s="11" t="inlineStr">
        <is>
          <t>Integrität</t>
        </is>
      </c>
      <c r="N38" s="12" t="inlineStr">
        <is>
          <t>CON.8.A6-UA.1</t>
        </is>
      </c>
      <c r="O38" s="11" t="inlineStr">
        <is>
          <t>equivalent-to</t>
        </is>
      </c>
      <c r="P38" s="12" t="inlineStr">
        <is>
          <t>Externe Softwareartefakte sind in diesem Kontext nicht von der Institution entwickelte, in die eigene Anwendung eingebundene oder zur Laufzeit nachgeladene Bestandteile wie Bibliotheken, Frameworks, Container-Images, Plug-ins, Packages, Binärdateien, Skripte, Modelle, Templates oder Build-Abhängigkeiten (sog. Third-Party Components, Dependencies) verwendet. Externe Softwareschnittstellen sind fremde technische Übergabe- und Kommunikationspunkte, über die eine Anwendung Funktionen oder Daten anderer Systeme nutzt, etwa APIs, Webhooks, SDK-Schnittstellen, Datenfeeds, Authentifizierungsdienste oder Remote Services; geläufige englische Begriffe sind Third-Party APIs, External Interfaces, Webhooks, SDKs und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is>
      </c>
      <c r="Q38" s="11" t="inlineStr">
        <is>
          <t>Anwendungen</t>
        </is>
      </c>
      <c r="R38" s="11" t="inlineStr">
        <is>
          <t>Arbeitsanweisung</t>
        </is>
      </c>
      <c r="S38" s="12" t="inlineStr">
        <is>
          <t>die Einbindung externer Softwareartefakte und -Schnittstellen aus unzuverlässigen oder unbekannten Quellen</t>
        </is>
      </c>
      <c r="T38" s="12" t="inlineStr">
        <is>
          <t>G 0.28 – Software-Schwachstellen oder -Fehler; G 0.46 – Integritätsverlust schützenswerter Informationen; G 0.20 – Informationen oder Produkte aus unzuverlässiger Quelle</t>
        </is>
      </c>
      <c r="U38" s="11" t="n">
        <v>2</v>
      </c>
      <c r="V38" s="11" t="n">
        <v>1</v>
      </c>
      <c r="W38" s="11" t="n">
        <v>2</v>
      </c>
      <c r="X38" s="11" t="n">
        <v>1</v>
      </c>
      <c r="Y38" s="11" t="n">
        <v>1</v>
      </c>
    </row>
    <row r="39">
      <c r="A39" s="9" t="inlineStr">
        <is>
          <t>DEV.4.3</t>
        </is>
      </c>
      <c r="B39" s="10" t="inlineStr">
        <is>
          <t>Softwarebestandteile (SBOM)</t>
        </is>
      </c>
      <c r="C39" s="11" t="n"/>
      <c r="D39" s="11" t="inlineStr">
        <is>
          <t>Standard-Anforderungen</t>
        </is>
      </c>
      <c r="E39" s="12" t="inlineStr">
        <is>
          <t>Gesamt:</t>
        </is>
      </c>
      <c r="F39" s="11" t="n"/>
      <c r="G39" s="11" t="n"/>
      <c r="H39" s="13">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
      </c>
      <c r="I39" s="11" t="n"/>
      <c r="J39" s="11" t="n"/>
      <c r="K39" s="11" t="n"/>
      <c r="L39" s="11" t="n"/>
      <c r="M39" s="11" t="inlineStr"/>
      <c r="N39" s="12" t="inlineStr">
        <is>
          <t>APP.1.1.A10-UA.6; CON.8.A12-UA.3; CON.8.A12-UA.5</t>
        </is>
      </c>
      <c r="O39" s="11" t="inlineStr">
        <is>
          <t>superset-of; intersects-with; intersects-with</t>
        </is>
      </c>
      <c r="P39" s="12" t="inlineStr">
        <is>
          <t>Details siehe BSI TR-03183-2. Anwendungen zur Modulverwaltung und Software Composition Analysis (SCA) können dabei unterstützen SBOMs als Teil eines CI/CD Prozesses automatisiert zu sammeln.</t>
        </is>
      </c>
      <c r="Q39" s="11" t="inlineStr">
        <is>
          <t>Anwendungen</t>
        </is>
      </c>
      <c r="R39" s="11" t="inlineStr">
        <is>
          <t>Entwicklungsdokumentation</t>
        </is>
      </c>
      <c r="S39" s="12" t="inlineStr">
        <is>
          <t>die Bestandteile mit Hilfe einer Software Bill of Materials (SBOM)</t>
        </is>
      </c>
      <c r="T39" s="12" t="inlineStr">
        <is>
          <t>G 0.18 – Fehlplanung oder fehlende Anpassung; G 0.28 – Software-Schwachstellen oder -Fehler</t>
        </is>
      </c>
      <c r="U39" s="11" t="n">
        <v>3</v>
      </c>
      <c r="V39" s="11" t="n">
        <v>1</v>
      </c>
      <c r="W39" s="11" t="n">
        <v>1</v>
      </c>
      <c r="X39" s="11" t="n">
        <v>1</v>
      </c>
      <c r="Y39" s="11" t="n">
        <v>0</v>
      </c>
    </row>
    <row r="40">
      <c r="A40" s="11" t="inlineStr">
        <is>
          <t>DEV.4.3</t>
        </is>
      </c>
      <c r="B40" s="12" t="inlineStr">
        <is>
          <t>Softwarebestandteile (SBOM)</t>
        </is>
      </c>
      <c r="C40" s="11" t="inlineStr">
        <is>
          <t>DEV.4.3</t>
        </is>
      </c>
      <c r="D40" s="11" t="inlineStr">
        <is>
          <t>Standard-Anforderungen</t>
        </is>
      </c>
      <c r="E40" s="12" t="inlineStr">
        <is>
          <t>Entwicklung für Anwendungen SOLLTE die Bestandteile mit Hilfe einer Software Bill of Materials (SBOM) vor dem Release dokumentieren.</t>
        </is>
      </c>
      <c r="F40" s="14" t="n"/>
      <c r="G40" s="14" t="n"/>
      <c r="H40" s="14" t="inlineStr">
        <is>
          <t>unbearbeitet</t>
        </is>
      </c>
      <c r="I40" s="14" t="n"/>
      <c r="J40" s="14" t="n"/>
      <c r="K40" s="14" t="n"/>
      <c r="L40" s="15" t="n"/>
      <c r="M40" s="11" t="inlineStr"/>
      <c r="N40" s="12" t="inlineStr">
        <is>
          <t>APP.1.1.A10-UA.6; CON.8.A12-UA.3; CON.8.A12-UA.5</t>
        </is>
      </c>
      <c r="O40" s="11" t="inlineStr">
        <is>
          <t>superset-of; intersects-with; intersects-with</t>
        </is>
      </c>
      <c r="P40" s="12" t="inlineStr">
        <is>
          <t>Details siehe BSI TR-03183-2. Anwendungen zur Modulverwaltung und Software Composition Analysis (SCA) können dabei unterstützen SBOMs als Teil eines CI/CD Prozesses automatisiert zu sammeln.</t>
        </is>
      </c>
      <c r="Q40" s="11" t="inlineStr">
        <is>
          <t>Anwendungen</t>
        </is>
      </c>
      <c r="R40" s="11" t="inlineStr">
        <is>
          <t>Entwicklungsdokumentation</t>
        </is>
      </c>
      <c r="S40" s="12" t="inlineStr">
        <is>
          <t>die Bestandteile mit Hilfe einer Software Bill of Materials (SBOM)</t>
        </is>
      </c>
      <c r="T40" s="12" t="inlineStr">
        <is>
          <t>G 0.18 – Fehlplanung oder fehlende Anpassung; G 0.28 – Software-Schwachstellen oder -Fehler</t>
        </is>
      </c>
      <c r="U40" s="11" t="n">
        <v>3</v>
      </c>
      <c r="V40" s="11" t="n">
        <v>1</v>
      </c>
      <c r="W40" s="11" t="n">
        <v>1</v>
      </c>
      <c r="X40" s="11" t="n">
        <v>1</v>
      </c>
      <c r="Y40" s="11" t="n">
        <v>0</v>
      </c>
    </row>
    <row r="41">
      <c r="A41" s="9" t="inlineStr">
        <is>
          <t>DEV.4.4</t>
        </is>
      </c>
      <c r="B41" s="10" t="inlineStr">
        <is>
          <t>Integrität externer Software</t>
        </is>
      </c>
      <c r="C41" s="11" t="n"/>
      <c r="D41" s="11" t="inlineStr">
        <is>
          <t>Standard-Anforderungen</t>
        </is>
      </c>
      <c r="E41" s="12" t="inlineStr">
        <is>
          <t>Gesamt:</t>
        </is>
      </c>
      <c r="F41" s="11" t="n"/>
      <c r="G41" s="11" t="n"/>
      <c r="H41" s="13">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
      </c>
      <c r="I41" s="11" t="n"/>
      <c r="J41" s="11" t="n"/>
      <c r="K41" s="11" t="n"/>
      <c r="L41" s="11" t="n"/>
      <c r="M41" s="11" t="inlineStr">
        <is>
          <t>Integrität</t>
        </is>
      </c>
      <c r="N41" s="12" t="inlineStr">
        <is>
          <t>APP.6.A3-UA.3; CON.8.A20-UA.1; CON.8.A20-UA.3; CON.8.A6-UA.1; CON.8.A6-UA.2; OPS.1.1.3.A10-UA.3</t>
        </is>
      </c>
      <c r="O41" s="11" t="inlineStr">
        <is>
          <t>intersects-with; intersects-with; superset-of; equivalent-to; superset-of; superset-of</t>
        </is>
      </c>
      <c r="P41" s="12" t="inlineStr">
        <is>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is>
      </c>
      <c r="Q41" s="11" t="inlineStr">
        <is>
          <t>Anwendungen</t>
        </is>
      </c>
      <c r="R41" s="11" t="inlineStr">
        <is>
          <t>Freigabeplan</t>
        </is>
      </c>
      <c r="S41" s="12" t="inlineStr">
        <is>
          <t>die Integrität externer Softwareartefakte und -Schnittstellen</t>
        </is>
      </c>
      <c r="T41" s="12" t="inlineStr">
        <is>
          <t>G 0.22 – Manipulation von Informationen; G 0.46 – Integritätsverlust schützenswerter Informationen</t>
        </is>
      </c>
      <c r="U41" s="11" t="n">
        <v>4</v>
      </c>
      <c r="V41" s="11" t="n">
        <v>0</v>
      </c>
      <c r="W41" s="11" t="n">
        <v>2</v>
      </c>
      <c r="X41" s="11" t="n">
        <v>0</v>
      </c>
      <c r="Y41" s="11" t="n">
        <v>1</v>
      </c>
    </row>
    <row r="42">
      <c r="A42" s="11" t="inlineStr">
        <is>
          <t>DEV.4.4</t>
        </is>
      </c>
      <c r="B42" s="12" t="inlineStr">
        <is>
          <t>Integrität externer Software</t>
        </is>
      </c>
      <c r="C42" s="11" t="inlineStr">
        <is>
          <t>DEV.4.4</t>
        </is>
      </c>
      <c r="D42" s="11" t="inlineStr">
        <is>
          <t>Standard-Anforderungen</t>
        </is>
      </c>
      <c r="E42" s="12" t="inlineStr">
        <is>
          <t>Entwicklung für Anwendungen SOLLTE die Integrität externer Softwareartefakte und -Schnittstellen vor dem Release testen.</t>
        </is>
      </c>
      <c r="F42" s="14" t="n"/>
      <c r="G42" s="14" t="n"/>
      <c r="H42" s="14" t="inlineStr">
        <is>
          <t>unbearbeitet</t>
        </is>
      </c>
      <c r="I42" s="14" t="n"/>
      <c r="J42" s="14" t="n"/>
      <c r="K42" s="14" t="n"/>
      <c r="L42" s="15" t="n"/>
      <c r="M42" s="11" t="inlineStr">
        <is>
          <t>Integrität</t>
        </is>
      </c>
      <c r="N42" s="12" t="inlineStr">
        <is>
          <t>APP.6.A3-UA.3; CON.8.A20-UA.1; CON.8.A20-UA.3; CON.8.A6-UA.1; CON.8.A6-UA.2; OPS.1.1.3.A10-UA.3</t>
        </is>
      </c>
      <c r="O42" s="11" t="inlineStr">
        <is>
          <t>intersects-with; intersects-with; superset-of; equivalent-to; superset-of; superset-of</t>
        </is>
      </c>
      <c r="P42" s="12" t="inlineStr">
        <is>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is>
      </c>
      <c r="Q42" s="11" t="inlineStr">
        <is>
          <t>Anwendungen</t>
        </is>
      </c>
      <c r="R42" s="11" t="inlineStr">
        <is>
          <t>Freigabeplan</t>
        </is>
      </c>
      <c r="S42" s="12" t="inlineStr">
        <is>
          <t>die Integrität externer Softwareartefakte und -Schnittstellen</t>
        </is>
      </c>
      <c r="T42" s="12" t="inlineStr">
        <is>
          <t>G 0.22 – Manipulation von Informationen; G 0.46 – Integritätsverlust schützenswerter Informationen</t>
        </is>
      </c>
      <c r="U42" s="11" t="n">
        <v>4</v>
      </c>
      <c r="V42" s="11" t="n">
        <v>0</v>
      </c>
      <c r="W42" s="11" t="n">
        <v>2</v>
      </c>
      <c r="X42" s="11" t="n">
        <v>0</v>
      </c>
      <c r="Y42" s="11" t="n">
        <v>1</v>
      </c>
    </row>
    <row r="43">
      <c r="A43" s="9" t="inlineStr">
        <is>
          <t>DEV.4.5</t>
        </is>
      </c>
      <c r="B43" s="10" t="inlineStr">
        <is>
          <t>Updates externer Software</t>
        </is>
      </c>
      <c r="C43" s="11" t="n"/>
      <c r="D43" s="11" t="inlineStr">
        <is>
          <t>Standard-Anforderungen</t>
        </is>
      </c>
      <c r="E43" s="12" t="inlineStr">
        <is>
          <t>Gesamt:</t>
        </is>
      </c>
      <c r="F43" s="11" t="n"/>
      <c r="G43" s="11" t="n"/>
      <c r="H43" s="13">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
      </c>
      <c r="I43" s="11" t="n"/>
      <c r="J43" s="11" t="n"/>
      <c r="K43" s="11" t="n"/>
      <c r="L43" s="11" t="n"/>
      <c r="M43" s="11" t="inlineStr"/>
      <c r="N43" s="12" t="inlineStr"/>
      <c r="O43" s="11" t="inlineStr"/>
      <c r="P43" s="12" t="inlineStr">
        <is>
          <t>Werden veraltete Softwareartefakte (z.B. Bibliotheken oder Container) in eine veröffentlichte Software eingebunden, so können diese Sicherheitslücken oder Fehler enthalten, die in den aktuellen Versionen bereits behoben sind. Prüfen Sie daher vor einer Freigabe der Software, ob eingebundene Software aktualisiert wurde.</t>
        </is>
      </c>
      <c r="Q43" s="11" t="inlineStr">
        <is>
          <t>Anwendungen</t>
        </is>
      </c>
      <c r="R43" s="11" t="inlineStr">
        <is>
          <t>Freigabeplan</t>
        </is>
      </c>
      <c r="S43" s="12" t="inlineStr">
        <is>
          <t>externe Softwareartefakte auf Sicherheitsupdates</t>
        </is>
      </c>
      <c r="T43" s="12" t="inlineStr">
        <is>
          <t>G 0.28 – Software-Schwachstellen oder -Fehler</t>
        </is>
      </c>
      <c r="U43" s="11" t="n">
        <v>2</v>
      </c>
      <c r="V43" s="11" t="n">
        <v>1</v>
      </c>
      <c r="W43" s="11" t="n">
        <v>1</v>
      </c>
      <c r="X43" s="11" t="n">
        <v>1</v>
      </c>
      <c r="Y43" s="11" t="n">
        <v>0</v>
      </c>
    </row>
    <row r="44">
      <c r="A44" s="11" t="inlineStr">
        <is>
          <t>DEV.4.5</t>
        </is>
      </c>
      <c r="B44" s="12" t="inlineStr">
        <is>
          <t>Updates externer Software</t>
        </is>
      </c>
      <c r="C44" s="11" t="inlineStr">
        <is>
          <t>DEV.4.5</t>
        </is>
      </c>
      <c r="D44" s="11" t="inlineStr">
        <is>
          <t>Standard-Anforderungen</t>
        </is>
      </c>
      <c r="E44" s="12" t="inlineStr">
        <is>
          <t>Entwicklung für Anwendungen SOLLTE externe Softwareartefakte auf Sicherheitsupdates vor dem Release testen.</t>
        </is>
      </c>
      <c r="F44" s="14" t="n"/>
      <c r="G44" s="14" t="n"/>
      <c r="H44" s="14" t="inlineStr">
        <is>
          <t>unbearbeitet</t>
        </is>
      </c>
      <c r="I44" s="14" t="n"/>
      <c r="J44" s="14" t="n"/>
      <c r="K44" s="14" t="n"/>
      <c r="L44" s="15" t="n"/>
      <c r="M44" s="11" t="inlineStr"/>
      <c r="N44" s="12" t="inlineStr"/>
      <c r="O44" s="11" t="inlineStr"/>
      <c r="P44" s="12" t="inlineStr">
        <is>
          <t>Werden veraltete Softwareartefakte (z.B. Bibliotheken oder Container) in eine veröffentlichte Software eingebunden, so können diese Sicherheitslücken oder Fehler enthalten, die in den aktuellen Versionen bereits behoben sind. Prüfen Sie daher vor einer Freigabe der Software, ob eingebundene Software aktualisiert wurde.</t>
        </is>
      </c>
      <c r="Q44" s="11" t="inlineStr">
        <is>
          <t>Anwendungen</t>
        </is>
      </c>
      <c r="R44" s="11" t="inlineStr">
        <is>
          <t>Freigabeplan</t>
        </is>
      </c>
      <c r="S44" s="12" t="inlineStr">
        <is>
          <t>externe Softwareartefakte auf Sicherheitsupdates</t>
        </is>
      </c>
      <c r="T44" s="12" t="inlineStr">
        <is>
          <t>G 0.28 – Software-Schwachstellen oder -Fehler</t>
        </is>
      </c>
      <c r="U44" s="11" t="n">
        <v>2</v>
      </c>
      <c r="V44" s="11" t="n">
        <v>1</v>
      </c>
      <c r="W44" s="11" t="n">
        <v>1</v>
      </c>
      <c r="X44" s="11" t="n">
        <v>1</v>
      </c>
      <c r="Y44" s="11" t="n">
        <v>0</v>
      </c>
    </row>
    <row r="45">
      <c r="A45" s="9" t="inlineStr">
        <is>
          <t>DEV.4.6</t>
        </is>
      </c>
      <c r="B45" s="10" t="inlineStr">
        <is>
          <t>Compileroptionen</t>
        </is>
      </c>
      <c r="C45" s="11" t="n"/>
      <c r="D45" s="11" t="inlineStr">
        <is>
          <t>Standard-Anforderungen</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c r="N45" s="12" t="inlineStr"/>
      <c r="O45" s="11" t="inlineStr"/>
      <c r="P45" s="12" t="inlineStr">
        <is>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is>
      </c>
      <c r="Q45" s="11" t="inlineStr">
        <is>
          <t>Anwendungen</t>
        </is>
      </c>
      <c r="R45" s="11" t="inlineStr">
        <is>
          <t>Freigabeplan</t>
        </is>
      </c>
      <c r="S45" s="12" t="inlineStr">
        <is>
          <t>Compileroptionen für Sicherheitsfunktionen</t>
        </is>
      </c>
      <c r="T45" s="12" t="inlineStr">
        <is>
          <t>G 0.28 – Software-Schwachstellen oder -Fehler</t>
        </is>
      </c>
      <c r="U45" s="11" t="n">
        <v>3</v>
      </c>
      <c r="V45" s="11" t="n">
        <v>1</v>
      </c>
      <c r="W45" s="11" t="n">
        <v>1</v>
      </c>
      <c r="X45" s="11" t="n">
        <v>1</v>
      </c>
      <c r="Y45" s="11" t="n">
        <v>0</v>
      </c>
    </row>
    <row r="46">
      <c r="A46" s="11" t="inlineStr">
        <is>
          <t>DEV.4.6</t>
        </is>
      </c>
      <c r="B46" s="12" t="inlineStr">
        <is>
          <t>Compileroptionen</t>
        </is>
      </c>
      <c r="C46" s="11" t="inlineStr">
        <is>
          <t>DEV.4.6</t>
        </is>
      </c>
      <c r="D46" s="11" t="inlineStr">
        <is>
          <t>Standard-Anforderungen</t>
        </is>
      </c>
      <c r="E46" s="12" t="inlineStr">
        <is>
          <t>Entwicklung für Anwendungen SOLLTE Compileroptionen für Sicherheitsfunktionen vor dem Release aktivieren.</t>
        </is>
      </c>
      <c r="F46" s="14" t="n"/>
      <c r="G46" s="14" t="n"/>
      <c r="H46" s="14" t="inlineStr">
        <is>
          <t>unbearbeitet</t>
        </is>
      </c>
      <c r="I46" s="14" t="n"/>
      <c r="J46" s="14" t="n"/>
      <c r="K46" s="14" t="n"/>
      <c r="L46" s="15" t="n"/>
      <c r="M46" s="11" t="inlineStr"/>
      <c r="N46" s="12" t="inlineStr"/>
      <c r="O46" s="11" t="inlineStr"/>
      <c r="P46" s="12" t="inlineStr">
        <is>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is>
      </c>
      <c r="Q46" s="11" t="inlineStr">
        <is>
          <t>Anwendungen</t>
        </is>
      </c>
      <c r="R46" s="11" t="inlineStr">
        <is>
          <t>Freigabeplan</t>
        </is>
      </c>
      <c r="S46" s="12" t="inlineStr">
        <is>
          <t>Compileroptionen für Sicherheitsfunktionen</t>
        </is>
      </c>
      <c r="T46" s="12" t="inlineStr">
        <is>
          <t>G 0.28 – Software-Schwachstellen oder -Fehler</t>
        </is>
      </c>
      <c r="U46" s="11" t="n">
        <v>3</v>
      </c>
      <c r="V46" s="11" t="n">
        <v>1</v>
      </c>
      <c r="W46" s="11" t="n">
        <v>1</v>
      </c>
      <c r="X46" s="11" t="n">
        <v>1</v>
      </c>
      <c r="Y46" s="11" t="n">
        <v>0</v>
      </c>
    </row>
    <row r="47">
      <c r="A47" s="9" t="inlineStr">
        <is>
          <t>DEV.4.7</t>
        </is>
      </c>
      <c r="B47" s="10" t="inlineStr">
        <is>
          <t>Deterministischer Binärcode</t>
        </is>
      </c>
      <c r="C47" s="11" t="n"/>
      <c r="D47" s="11" t="inlineStr">
        <is>
          <t>Anforderungen bei erhöhtem Schutzbedarf</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is>
          <t>Integrität</t>
        </is>
      </c>
      <c r="N47" s="12" t="inlineStr"/>
      <c r="O47" s="11" t="inlineStr"/>
      <c r="P47" s="12" t="inlineStr">
        <is>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is>
      </c>
      <c r="Q47" s="11" t="inlineStr">
        <is>
          <t>Anwendungen</t>
        </is>
      </c>
      <c r="R47" s="11" t="inlineStr">
        <is>
          <t>Entwicklungsdokumentation</t>
        </is>
      </c>
      <c r="S47" s="12" t="inlineStr">
        <is>
          <t>eine reproduzierbare Vorgehensweise zur Erstellung eines bestimmten Binärcodes aus dem Quellcode</t>
        </is>
      </c>
      <c r="T47" s="12" t="inlineStr">
        <is>
          <t>G 0.18 – Fehlplanung oder fehlende Anpassung; G 0.22 – Manipulation von Informationen; G 0.46 – Integritätsverlust schützenswerter Informationen</t>
        </is>
      </c>
      <c r="U47" s="11" t="n">
        <v>5</v>
      </c>
      <c r="V47" s="11" t="n">
        <v>1</v>
      </c>
      <c r="W47" s="11" t="n">
        <v>2</v>
      </c>
      <c r="X47" s="11" t="n">
        <v>1</v>
      </c>
      <c r="Y47" s="11" t="n">
        <v>0</v>
      </c>
    </row>
    <row r="48">
      <c r="A48" s="11" t="inlineStr">
        <is>
          <t>DEV.4.7</t>
        </is>
      </c>
      <c r="B48" s="12" t="inlineStr">
        <is>
          <t>Deterministischer Binärcode</t>
        </is>
      </c>
      <c r="C48" s="11" t="inlineStr">
        <is>
          <t>DEV.4.7</t>
        </is>
      </c>
      <c r="D48" s="11" t="inlineStr">
        <is>
          <t>Anforderungen bei erhöhtem Schutzbedarf</t>
        </is>
      </c>
      <c r="E48" s="12" t="inlineStr">
        <is>
          <t>Entwicklung für Anwendungen KANN eine reproduzierbare Vorgehensweise zur Erstellung eines bestimmten Binärcodes aus dem Quellcode dokumentieren.</t>
        </is>
      </c>
      <c r="F48" s="14" t="n"/>
      <c r="G48" s="14" t="n"/>
      <c r="H48" s="14" t="inlineStr">
        <is>
          <t>unbearbeitet</t>
        </is>
      </c>
      <c r="I48" s="14" t="n"/>
      <c r="J48" s="14" t="n"/>
      <c r="K48" s="14" t="n"/>
      <c r="L48" s="15" t="n"/>
      <c r="M48" s="11" t="inlineStr">
        <is>
          <t>Integrität</t>
        </is>
      </c>
      <c r="N48" s="12" t="inlineStr"/>
      <c r="O48" s="11" t="inlineStr"/>
      <c r="P48" s="12" t="inlineStr">
        <is>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is>
      </c>
      <c r="Q48" s="11" t="inlineStr">
        <is>
          <t>Anwendungen</t>
        </is>
      </c>
      <c r="R48" s="11" t="inlineStr">
        <is>
          <t>Entwicklungsdokumentation</t>
        </is>
      </c>
      <c r="S48" s="12" t="inlineStr">
        <is>
          <t>eine reproduzierbare Vorgehensweise zur Erstellung eines bestimmten Binärcodes aus dem Quellcode</t>
        </is>
      </c>
      <c r="T48" s="12" t="inlineStr">
        <is>
          <t>G 0.18 – Fehlplanung oder fehlende Anpassung; G 0.22 – Manipulation von Informationen; G 0.46 – Integritätsverlust schützenswerter Informationen</t>
        </is>
      </c>
      <c r="U48" s="11" t="n">
        <v>5</v>
      </c>
      <c r="V48" s="11" t="n">
        <v>1</v>
      </c>
      <c r="W48" s="11" t="n">
        <v>2</v>
      </c>
      <c r="X48" s="11" t="n">
        <v>1</v>
      </c>
      <c r="Y48" s="11" t="n">
        <v>0</v>
      </c>
    </row>
    <row r="49">
      <c r="A49" s="9" t="inlineStr">
        <is>
          <t>DEV.4.8</t>
        </is>
      </c>
      <c r="B49" s="10" t="inlineStr">
        <is>
          <t>Default-Zugangsdaten</t>
        </is>
      </c>
      <c r="C49" s="11" t="n"/>
      <c r="D49" s="11" t="inlineStr">
        <is>
          <t>Standard-Anforderungen</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c r="N49" s="12" t="inlineStr"/>
      <c r="O49" s="11" t="inlineStr"/>
      <c r="P49" s="12" t="inlineStr">
        <is>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is>
      </c>
      <c r="Q49" s="11" t="inlineStr">
        <is>
          <t>Anwendungen</t>
        </is>
      </c>
      <c r="R49" s="11" t="inlineStr">
        <is>
          <t>Entwicklungsdokumentation</t>
        </is>
      </c>
      <c r="S49" s="12" t="inlineStr">
        <is>
          <t>Default-Zugangsdaten</t>
        </is>
      </c>
      <c r="T49" s="12" t="inlineStr">
        <is>
          <t>G 0.18 – Fehlplanung oder fehlende Anpassung; G 0.30 – Unberechtigte Nutzung oder Administration von Geräten und Systemen</t>
        </is>
      </c>
      <c r="U49" s="11" t="n">
        <v>2</v>
      </c>
      <c r="V49" s="11" t="n">
        <v>1</v>
      </c>
      <c r="W49" s="11" t="n">
        <v>1</v>
      </c>
      <c r="X49" s="11" t="n">
        <v>1</v>
      </c>
      <c r="Y49" s="11" t="n">
        <v>1</v>
      </c>
    </row>
    <row r="50">
      <c r="A50" s="11" t="inlineStr">
        <is>
          <t>DEV.4.8</t>
        </is>
      </c>
      <c r="B50" s="12" t="inlineStr">
        <is>
          <t>Default-Zugangsdaten</t>
        </is>
      </c>
      <c r="C50" s="11" t="inlineStr">
        <is>
          <t>DEV.4.8</t>
        </is>
      </c>
      <c r="D50" s="11" t="inlineStr">
        <is>
          <t>Standard-Anforderungen</t>
        </is>
      </c>
      <c r="E50" s="12" t="inlineStr">
        <is>
          <t>Entwicklung für Anwendungen SOLLTE Default-Zugangsdaten vor dem Release dokumentieren.</t>
        </is>
      </c>
      <c r="F50" s="14" t="n"/>
      <c r="G50" s="14" t="n"/>
      <c r="H50" s="14" t="inlineStr">
        <is>
          <t>unbearbeitet</t>
        </is>
      </c>
      <c r="I50" s="14" t="n"/>
      <c r="J50" s="14" t="n"/>
      <c r="K50" s="14" t="n"/>
      <c r="L50" s="15" t="n"/>
      <c r="M50" s="11" t="inlineStr"/>
      <c r="N50" s="12" t="inlineStr"/>
      <c r="O50" s="11" t="inlineStr"/>
      <c r="P50" s="12" t="inlineStr">
        <is>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is>
      </c>
      <c r="Q50" s="11" t="inlineStr">
        <is>
          <t>Anwendungen</t>
        </is>
      </c>
      <c r="R50" s="11" t="inlineStr">
        <is>
          <t>Entwicklungsdokumentation</t>
        </is>
      </c>
      <c r="S50" s="12" t="inlineStr">
        <is>
          <t>Default-Zugangsdaten</t>
        </is>
      </c>
      <c r="T50" s="12" t="inlineStr">
        <is>
          <t>G 0.18 – Fehlplanung oder fehlende Anpassung; G 0.30 – Unberechtigte Nutzung oder Administration von Geräten und Systemen</t>
        </is>
      </c>
      <c r="U50" s="11" t="n">
        <v>2</v>
      </c>
      <c r="V50" s="11" t="n">
        <v>1</v>
      </c>
      <c r="W50" s="11" t="n">
        <v>1</v>
      </c>
      <c r="X50" s="11" t="n">
        <v>1</v>
      </c>
      <c r="Y50" s="11" t="n">
        <v>1</v>
      </c>
    </row>
    <row r="51">
      <c r="A51" s="9" t="inlineStr">
        <is>
          <t>DEV.4.9</t>
        </is>
      </c>
      <c r="B51" s="10" t="inlineStr">
        <is>
          <t>Voreinstellungen nach dem Prinzip "Security by Default"</t>
        </is>
      </c>
      <c r="C51" s="11" t="n"/>
      <c r="D51" s="11" t="inlineStr">
        <is>
          <t>Standard-Anforderungen</t>
        </is>
      </c>
      <c r="E51" s="12" t="inlineStr">
        <is>
          <t>Gesamt:</t>
        </is>
      </c>
      <c r="F51" s="11" t="n"/>
      <c r="G51" s="11" t="n"/>
      <c r="H51" s="13">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
      </c>
      <c r="I51" s="11" t="n"/>
      <c r="J51" s="11" t="n"/>
      <c r="K51" s="11" t="n"/>
      <c r="L51" s="11" t="n"/>
      <c r="M51" s="11" t="inlineStr"/>
      <c r="N51" s="12" t="inlineStr">
        <is>
          <t>APP.3.4.A3-UA.5; SYS.1.1.A16-UA.7</t>
        </is>
      </c>
      <c r="O51" s="11" t="inlineStr">
        <is>
          <t>subset-of; superset-of</t>
        </is>
      </c>
      <c r="P51" s="12" t="inlineStr">
        <is>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is>
      </c>
      <c r="Q51" s="11" t="inlineStr">
        <is>
          <t>Anwendungen</t>
        </is>
      </c>
      <c r="R51" s="11" t="inlineStr">
        <is>
          <t>Codehistorie</t>
        </is>
      </c>
      <c r="S51" s="12" t="inlineStr">
        <is>
          <t>Voreinstellungen nach dem Prinzip "Security by Default"</t>
        </is>
      </c>
      <c r="T51" s="12" t="inlineStr">
        <is>
          <t>G 0.18 – Fehlplanung oder fehlende Anpassung; G 0.30 – Unberechtigte Nutzung oder Administration von Geräten und Systemen</t>
        </is>
      </c>
      <c r="U51" s="11" t="n">
        <v>1</v>
      </c>
      <c r="V51" s="11" t="n">
        <v>1</v>
      </c>
      <c r="W51" s="11" t="n">
        <v>1</v>
      </c>
      <c r="X51" s="11" t="n">
        <v>1</v>
      </c>
      <c r="Y51" s="11" t="n">
        <v>1</v>
      </c>
    </row>
    <row r="52">
      <c r="A52" s="11" t="inlineStr">
        <is>
          <t>DEV.4.9</t>
        </is>
      </c>
      <c r="B52" s="12" t="inlineStr">
        <is>
          <t>Voreinstellungen nach dem Prinzip "Security by Default"</t>
        </is>
      </c>
      <c r="C52" s="11" t="inlineStr">
        <is>
          <t>DEV.4.9</t>
        </is>
      </c>
      <c r="D52" s="11" t="inlineStr">
        <is>
          <t>Standard-Anforderungen</t>
        </is>
      </c>
      <c r="E52" s="12" t="inlineStr">
        <is>
          <t>Entwicklung für Anwendungen SOLLTE Voreinstellungen nach dem Prinzip "Security by Default" aktivieren.</t>
        </is>
      </c>
      <c r="F52" s="14" t="n"/>
      <c r="G52" s="14" t="n"/>
      <c r="H52" s="14" t="inlineStr">
        <is>
          <t>unbearbeitet</t>
        </is>
      </c>
      <c r="I52" s="14" t="n"/>
      <c r="J52" s="14" t="n"/>
      <c r="K52" s="14" t="n"/>
      <c r="L52" s="15" t="n"/>
      <c r="M52" s="11" t="inlineStr"/>
      <c r="N52" s="12" t="inlineStr">
        <is>
          <t>APP.3.4.A3-UA.5; SYS.1.1.A16-UA.7</t>
        </is>
      </c>
      <c r="O52" s="11" t="inlineStr">
        <is>
          <t>subset-of; superset-of</t>
        </is>
      </c>
      <c r="P52" s="12" t="inlineStr">
        <is>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is>
      </c>
      <c r="Q52" s="11" t="inlineStr">
        <is>
          <t>Anwendungen</t>
        </is>
      </c>
      <c r="R52" s="11" t="inlineStr">
        <is>
          <t>Codehistorie</t>
        </is>
      </c>
      <c r="S52" s="12" t="inlineStr">
        <is>
          <t>Voreinstellungen nach dem Prinzip "Security by Default"</t>
        </is>
      </c>
      <c r="T52" s="12" t="inlineStr">
        <is>
          <t>G 0.18 – Fehlplanung oder fehlende Anpassung; G 0.30 – Unberechtigte Nutzung oder Administration von Geräten und Systemen</t>
        </is>
      </c>
      <c r="U52" s="11" t="n">
        <v>1</v>
      </c>
      <c r="V52" s="11" t="n">
        <v>1</v>
      </c>
      <c r="W52" s="11" t="n">
        <v>1</v>
      </c>
      <c r="X52" s="11" t="n">
        <v>1</v>
      </c>
      <c r="Y52" s="11" t="n">
        <v>1</v>
      </c>
    </row>
    <row r="53">
      <c r="A53" s="9" t="inlineStr">
        <is>
          <t>DEV.4.10</t>
        </is>
      </c>
      <c r="B53" s="10" t="inlineStr">
        <is>
          <t>Protokollierung von Codeänderungen</t>
        </is>
      </c>
      <c r="C53" s="11" t="n"/>
      <c r="D53" s="11" t="inlineStr">
        <is>
          <t>Standard-Anforderungen</t>
        </is>
      </c>
      <c r="E53" s="12" t="inlineStr">
        <is>
          <t>Gesamt:</t>
        </is>
      </c>
      <c r="F53" s="11" t="n"/>
      <c r="G53" s="11" t="n"/>
      <c r="H53" s="13">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
      </c>
      <c r="I53" s="11" t="n"/>
      <c r="J53" s="11" t="n"/>
      <c r="K53" s="11" t="n"/>
      <c r="L53" s="11" t="n"/>
      <c r="M53" s="11" t="inlineStr">
        <is>
          <t>Vertraulichkeit, Integrität, Authentizität</t>
        </is>
      </c>
      <c r="N53" s="12" t="inlineStr">
        <is>
          <t>CON.8.A10-UA.3</t>
        </is>
      </c>
      <c r="O53" s="11" t="inlineStr">
        <is>
          <t>equivalent-to</t>
        </is>
      </c>
      <c r="P53" s="12" t="inlineStr">
        <is>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is>
      </c>
      <c r="Q53" s="11" t="inlineStr">
        <is>
          <t>Anwendungen</t>
        </is>
      </c>
      <c r="R53" s="11" t="inlineStr">
        <is>
          <t>Codehistorie</t>
        </is>
      </c>
      <c r="S53" s="12" t="inlineStr">
        <is>
          <t>Änderungen am Quellcode</t>
        </is>
      </c>
      <c r="T53" s="12" t="inlineStr">
        <is>
          <t>G 0.37 – Abstreiten von Handlungen; G 0.22 – Manipulation von Informationen</t>
        </is>
      </c>
      <c r="U53" s="11" t="n">
        <v>1</v>
      </c>
      <c r="V53" s="11" t="n">
        <v>2</v>
      </c>
      <c r="W53" s="11" t="n">
        <v>2</v>
      </c>
      <c r="X53" s="11" t="n">
        <v>0</v>
      </c>
      <c r="Y53" s="11" t="n">
        <v>2</v>
      </c>
    </row>
    <row r="54">
      <c r="A54" s="11" t="inlineStr">
        <is>
          <t>DEV.4.10</t>
        </is>
      </c>
      <c r="B54" s="12" t="inlineStr">
        <is>
          <t>Protokollierung von Codeänderungen</t>
        </is>
      </c>
      <c r="C54" s="11" t="inlineStr">
        <is>
          <t>DEV.4.10</t>
        </is>
      </c>
      <c r="D54" s="11" t="inlineStr">
        <is>
          <t>Standard-Anforderungen</t>
        </is>
      </c>
      <c r="E54" s="12" t="inlineStr">
        <is>
          <t>Entwicklung für Anwendungen SOLLTE Änderungen am Quellcode einschließlich Zeitpunkt, Inhalt der Änderung, ändernder Person und der Begründung der Änderung protokollieren.</t>
        </is>
      </c>
      <c r="F54" s="14" t="n"/>
      <c r="G54" s="14" t="n"/>
      <c r="H54" s="14" t="inlineStr">
        <is>
          <t>unbearbeitet</t>
        </is>
      </c>
      <c r="I54" s="14" t="n"/>
      <c r="J54" s="14" t="n"/>
      <c r="K54" s="14" t="n"/>
      <c r="L54" s="15" t="n"/>
      <c r="M54" s="11" t="inlineStr">
        <is>
          <t>Vertraulichkeit, Integrität, Authentizität</t>
        </is>
      </c>
      <c r="N54" s="12" t="inlineStr">
        <is>
          <t>CON.8.A10-UA.3</t>
        </is>
      </c>
      <c r="O54" s="11" t="inlineStr">
        <is>
          <t>equivalent-to</t>
        </is>
      </c>
      <c r="P54" s="12" t="inlineStr">
        <is>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is>
      </c>
      <c r="Q54" s="11" t="inlineStr">
        <is>
          <t>Anwendungen</t>
        </is>
      </c>
      <c r="R54" s="11" t="inlineStr">
        <is>
          <t>Codehistorie</t>
        </is>
      </c>
      <c r="S54" s="12" t="inlineStr">
        <is>
          <t>Änderungen am Quellcode</t>
        </is>
      </c>
      <c r="T54" s="12" t="inlineStr">
        <is>
          <t>G 0.37 – Abstreiten von Handlungen; G 0.22 – Manipulation von Informationen</t>
        </is>
      </c>
      <c r="U54" s="11" t="n">
        <v>1</v>
      </c>
      <c r="V54" s="11" t="n">
        <v>2</v>
      </c>
      <c r="W54" s="11" t="n">
        <v>2</v>
      </c>
      <c r="X54" s="11" t="n">
        <v>0</v>
      </c>
      <c r="Y54" s="11" t="n">
        <v>2</v>
      </c>
    </row>
    <row r="55">
      <c r="A55" s="9" t="inlineStr">
        <is>
          <t>DEV.4.11</t>
        </is>
      </c>
      <c r="B55" s="10" t="inlineStr">
        <is>
          <t>Test bei Änderungen am Quellcode</t>
        </is>
      </c>
      <c r="C55" s="11" t="n"/>
      <c r="D55" s="11" t="inlineStr">
        <is>
          <t>Standard-Anforderungen</t>
        </is>
      </c>
      <c r="E55" s="12" t="inlineStr">
        <is>
          <t>Gesamt:</t>
        </is>
      </c>
      <c r="F55" s="11" t="n"/>
      <c r="G55" s="11" t="n"/>
      <c r="H55" s="13">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
      </c>
      <c r="I55" s="11" t="n"/>
      <c r="J55" s="11" t="n"/>
      <c r="K55" s="11" t="n"/>
      <c r="L55" s="11" t="n"/>
      <c r="M55" s="11" t="inlineStr"/>
      <c r="N55" s="12" t="inlineStr"/>
      <c r="O55" s="11" t="inlineStr"/>
      <c r="P55" s="12" t="inlineStr">
        <is>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is>
      </c>
      <c r="Q55" s="11" t="inlineStr">
        <is>
          <t>Anwendungen</t>
        </is>
      </c>
      <c r="R55" s="11" t="inlineStr">
        <is>
          <t>Freigabeplan</t>
        </is>
      </c>
      <c r="S55" s="12" t="inlineStr">
        <is>
          <t>Änderungen am Quellcode</t>
        </is>
      </c>
      <c r="T55" s="12" t="inlineStr">
        <is>
          <t>G 0.28 – Software-Schwachstellen oder -Fehler; G 0.18 – Fehlplanung oder fehlende Anpassung</t>
        </is>
      </c>
      <c r="U55" s="11" t="n">
        <v>4</v>
      </c>
      <c r="V55" s="11" t="n">
        <v>1</v>
      </c>
      <c r="W55" s="11" t="n">
        <v>1</v>
      </c>
      <c r="X55" s="11" t="n">
        <v>1</v>
      </c>
      <c r="Y55" s="11" t="n">
        <v>0</v>
      </c>
    </row>
    <row r="56">
      <c r="A56" s="11" t="inlineStr">
        <is>
          <t>DEV.4.11</t>
        </is>
      </c>
      <c r="B56" s="12" t="inlineStr">
        <is>
          <t>Test bei Änderungen am Quellcode</t>
        </is>
      </c>
      <c r="C56" s="11" t="inlineStr">
        <is>
          <t>DEV.4.11</t>
        </is>
      </c>
      <c r="D56" s="11" t="inlineStr">
        <is>
          <t>Standard-Anforderungen</t>
        </is>
      </c>
      <c r="E56" s="12" t="inlineStr">
        <is>
          <t>Entwicklung für Anwendungen SOLLTE Änderungen am Quellcode im Einklang mit den Verfahren und Regelungen für Änderungen und Tests testen.</t>
        </is>
      </c>
      <c r="F56" s="14" t="n"/>
      <c r="G56" s="14" t="n"/>
      <c r="H56" s="14" t="inlineStr">
        <is>
          <t>unbearbeitet</t>
        </is>
      </c>
      <c r="I56" s="14" t="n"/>
      <c r="J56" s="14" t="n"/>
      <c r="K56" s="14" t="n"/>
      <c r="L56" s="15" t="n"/>
      <c r="M56" s="11" t="inlineStr"/>
      <c r="N56" s="12" t="inlineStr"/>
      <c r="O56" s="11" t="inlineStr"/>
      <c r="P56" s="12" t="inlineStr">
        <is>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is>
      </c>
      <c r="Q56" s="11" t="inlineStr">
        <is>
          <t>Anwendungen</t>
        </is>
      </c>
      <c r="R56" s="11" t="inlineStr">
        <is>
          <t>Freigabeplan</t>
        </is>
      </c>
      <c r="S56" s="12" t="inlineStr">
        <is>
          <t>Änderungen am Quellcode</t>
        </is>
      </c>
      <c r="T56" s="12" t="inlineStr">
        <is>
          <t>G 0.28 – Software-Schwachstellen oder -Fehler; G 0.18 – Fehlplanung oder fehlende Anpassung</t>
        </is>
      </c>
      <c r="U56" s="11" t="n">
        <v>4</v>
      </c>
      <c r="V56" s="11" t="n">
        <v>1</v>
      </c>
      <c r="W56" s="11" t="n">
        <v>1</v>
      </c>
      <c r="X56" s="11" t="n">
        <v>1</v>
      </c>
      <c r="Y56" s="11" t="n">
        <v>0</v>
      </c>
    </row>
    <row r="57">
      <c r="A57" s="9" t="inlineStr">
        <is>
          <t>DEV.5.1</t>
        </is>
      </c>
      <c r="B57" s="10" t="inlineStr">
        <is>
          <t>Verankerung des Zeitraums für Updates</t>
        </is>
      </c>
      <c r="C57" s="11" t="n"/>
      <c r="D57" s="11" t="inlineStr">
        <is>
          <t>Standard-Anforderungen</t>
        </is>
      </c>
      <c r="E57" s="12" t="inlineStr">
        <is>
          <t>Gesamt:</t>
        </is>
      </c>
      <c r="F57" s="11" t="n"/>
      <c r="G57" s="11" t="n"/>
      <c r="H57" s="13">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
      </c>
      <c r="I57" s="11" t="n"/>
      <c r="J57" s="11" t="n"/>
      <c r="K57" s="11" t="n"/>
      <c r="L57" s="11" t="n"/>
      <c r="M57" s="11" t="inlineStr"/>
      <c r="N57" s="12" t="inlineStr"/>
      <c r="O57" s="11" t="inlineStr"/>
      <c r="P57" s="12" t="inlineStr">
        <is>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is>
      </c>
      <c r="Q57" s="11" t="inlineStr">
        <is>
          <t>Anwendungen</t>
        </is>
      </c>
      <c r="R57" s="11" t="inlineStr">
        <is>
          <t>Entwicklungsdokumentation</t>
        </is>
      </c>
      <c r="S57" s="12" t="inlineStr">
        <is>
          <t>die Bereitstellung von Sicherheitsupdates mindestens für {{einen bestimmten Zeitraum}}</t>
        </is>
      </c>
      <c r="T57" s="12" t="inlineStr">
        <is>
          <t>G 0.28 – Software-Schwachstellen oder -Fehler; G 0.18 – Fehlplanung oder fehlende Anpassung</t>
        </is>
      </c>
      <c r="U57" s="11" t="n">
        <v>2</v>
      </c>
      <c r="V57" s="11" t="n">
        <v>1</v>
      </c>
      <c r="W57" s="11" t="n">
        <v>1</v>
      </c>
      <c r="X57" s="11" t="n">
        <v>1</v>
      </c>
      <c r="Y57" s="11" t="n">
        <v>1</v>
      </c>
    </row>
    <row r="58">
      <c r="A58" s="11" t="inlineStr">
        <is>
          <t>DEV.5.1</t>
        </is>
      </c>
      <c r="B58" s="12" t="inlineStr">
        <is>
          <t>Verankerung des Zeitraums für Updates</t>
        </is>
      </c>
      <c r="C58" s="11" t="inlineStr">
        <is>
          <t>DEV.5.1</t>
        </is>
      </c>
      <c r="D58" s="11" t="inlineStr">
        <is>
          <t>Standard-Anforderungen</t>
        </is>
      </c>
      <c r="E58" s="12" t="inlineStr">
        <is>
          <t>Entwicklung für Anwendungen SOLLTE die Bereitstellung von Sicherheitsupdates mindestens für einen bestimmten Zeitraum verankern.</t>
        </is>
      </c>
      <c r="F58" s="14" t="n"/>
      <c r="G58" s="14" t="n"/>
      <c r="H58" s="14" t="inlineStr">
        <is>
          <t>unbearbeitet</t>
        </is>
      </c>
      <c r="I58" s="14" t="n"/>
      <c r="J58" s="14" t="n"/>
      <c r="K58" s="14" t="n"/>
      <c r="L58" s="15" t="n"/>
      <c r="M58" s="11" t="inlineStr"/>
      <c r="N58" s="12" t="inlineStr"/>
      <c r="O58" s="11" t="inlineStr"/>
      <c r="P58" s="12" t="inlineStr">
        <is>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is>
      </c>
      <c r="Q58" s="11" t="inlineStr">
        <is>
          <t>Anwendungen</t>
        </is>
      </c>
      <c r="R58" s="11" t="inlineStr">
        <is>
          <t>Entwicklungsdokumentation</t>
        </is>
      </c>
      <c r="S58" s="12" t="inlineStr">
        <is>
          <t>die Bereitstellung von Sicherheitsupdates mindestens für {{einen bestimmten Zeitraum}}</t>
        </is>
      </c>
      <c r="T58" s="12" t="inlineStr">
        <is>
          <t>G 0.28 – Software-Schwachstellen oder -Fehler; G 0.18 – Fehlplanung oder fehlende Anpassung</t>
        </is>
      </c>
      <c r="U58" s="11" t="n">
        <v>2</v>
      </c>
      <c r="V58" s="11" t="n">
        <v>1</v>
      </c>
      <c r="W58" s="11" t="n">
        <v>1</v>
      </c>
      <c r="X58" s="11" t="n">
        <v>1</v>
      </c>
      <c r="Y58" s="11" t="n">
        <v>1</v>
      </c>
    </row>
    <row r="59">
      <c r="A59" s="9" t="inlineStr">
        <is>
          <t>DEV.5.2</t>
        </is>
      </c>
      <c r="B59" s="10" t="inlineStr">
        <is>
          <t>Information über Zeitraum für Updates</t>
        </is>
      </c>
      <c r="C59" s="11" t="n"/>
      <c r="D59" s="11" t="inlineStr">
        <is>
          <t>Standard-Anforderungen</t>
        </is>
      </c>
      <c r="E59" s="12" t="inlineStr">
        <is>
          <t>Gesamt:</t>
        </is>
      </c>
      <c r="F59" s="11" t="n"/>
      <c r="G59" s="11" t="n"/>
      <c r="H59" s="13">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
      </c>
      <c r="I59" s="11" t="n"/>
      <c r="J59" s="11" t="n"/>
      <c r="K59" s="11" t="n"/>
      <c r="L59" s="11" t="n"/>
      <c r="M59" s="11" t="inlineStr"/>
      <c r="N59" s="12" t="inlineStr"/>
      <c r="O59" s="11" t="inlineStr"/>
      <c r="P59" s="12" t="inlineStr">
        <is>
          <t>Stellen Sie den Empfängern der Software Informationen darüber bereit, wie lange Sicherheitsaktualisierungen gewährleistet werden und wie diese bezogen werden können.</t>
        </is>
      </c>
      <c r="Q59" s="11" t="inlineStr">
        <is>
          <t>Anwendungen</t>
        </is>
      </c>
      <c r="R59" s="11" t="inlineStr">
        <is>
          <t>Entwicklungsdokumentation</t>
        </is>
      </c>
      <c r="S59" s="12" t="inlineStr">
        <is>
          <t>Auftraggeber über den festgelegten Zeitraum für Sicherheitsupdates</t>
        </is>
      </c>
      <c r="T59" s="12" t="inlineStr">
        <is>
          <t>G 0.18 – Fehlplanung oder fehlende Anpassung; G 0.29 – Verstoß gegen Gesetze oder Regelungen</t>
        </is>
      </c>
      <c r="U59" s="11" t="n">
        <v>2</v>
      </c>
      <c r="V59" s="11" t="n">
        <v>1</v>
      </c>
      <c r="W59" s="11" t="n">
        <v>1</v>
      </c>
      <c r="X59" s="11" t="n">
        <v>1</v>
      </c>
      <c r="Y59" s="11" t="n">
        <v>0</v>
      </c>
    </row>
    <row r="60">
      <c r="A60" s="11" t="inlineStr">
        <is>
          <t>DEV.5.2</t>
        </is>
      </c>
      <c r="B60" s="12" t="inlineStr">
        <is>
          <t>Information über Zeitraum für Updates</t>
        </is>
      </c>
      <c r="C60" s="11" t="inlineStr">
        <is>
          <t>DEV.5.2</t>
        </is>
      </c>
      <c r="D60" s="11" t="inlineStr">
        <is>
          <t>Standard-Anforderungen</t>
        </is>
      </c>
      <c r="E60" s="12" t="inlineStr">
        <is>
          <t>Entwicklung für Anwendungen SOLLTE Auftraggeber über den festgelegten Zeitraum für Sicherheitsupdates informieren.</t>
        </is>
      </c>
      <c r="F60" s="14" t="n"/>
      <c r="G60" s="14" t="n"/>
      <c r="H60" s="14" t="inlineStr">
        <is>
          <t>unbearbeitet</t>
        </is>
      </c>
      <c r="I60" s="14" t="n"/>
      <c r="J60" s="14" t="n"/>
      <c r="K60" s="14" t="n"/>
      <c r="L60" s="15" t="n"/>
      <c r="M60" s="11" t="inlineStr"/>
      <c r="N60" s="12" t="inlineStr"/>
      <c r="O60" s="11" t="inlineStr"/>
      <c r="P60" s="12" t="inlineStr">
        <is>
          <t>Stellen Sie den Empfängern der Software Informationen darüber bereit, wie lange Sicherheitsaktualisierungen gewährleistet werden und wie diese bezogen werden können.</t>
        </is>
      </c>
      <c r="Q60" s="11" t="inlineStr">
        <is>
          <t>Anwendungen</t>
        </is>
      </c>
      <c r="R60" s="11" t="inlineStr">
        <is>
          <t>Entwicklungsdokumentation</t>
        </is>
      </c>
      <c r="S60" s="12" t="inlineStr">
        <is>
          <t>Auftraggeber über den festgelegten Zeitraum für Sicherheitsupdates</t>
        </is>
      </c>
      <c r="T60" s="12" t="inlineStr">
        <is>
          <t>G 0.18 – Fehlplanung oder fehlende Anpassung; G 0.29 – Verstoß gegen Gesetze oder Regelungen</t>
        </is>
      </c>
      <c r="U60" s="11" t="n">
        <v>2</v>
      </c>
      <c r="V60" s="11" t="n">
        <v>1</v>
      </c>
      <c r="W60" s="11" t="n">
        <v>1</v>
      </c>
      <c r="X60" s="11" t="n">
        <v>1</v>
      </c>
      <c r="Y60" s="11" t="n">
        <v>0</v>
      </c>
    </row>
    <row r="61">
      <c r="A61" s="9" t="inlineStr">
        <is>
          <t>DEV.5.3</t>
        </is>
      </c>
      <c r="B61" s="10" t="inlineStr">
        <is>
          <t>Integritätsprüfung</t>
        </is>
      </c>
      <c r="C61" s="11" t="n"/>
      <c r="D61" s="11" t="inlineStr">
        <is>
          <t>Standard-Anforderungen</t>
        </is>
      </c>
      <c r="E61" s="12" t="inlineStr">
        <is>
          <t>Gesamt:</t>
        </is>
      </c>
      <c r="F61" s="11" t="n"/>
      <c r="G61" s="11" t="n"/>
      <c r="H61" s="13">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
      </c>
      <c r="I61" s="11" t="n"/>
      <c r="J61" s="11" t="n"/>
      <c r="K61" s="11" t="n"/>
      <c r="L61" s="11" t="n"/>
      <c r="M61" s="11" t="inlineStr">
        <is>
          <t>Integrität, Authentizität</t>
        </is>
      </c>
      <c r="N61" s="12" t="inlineStr">
        <is>
          <t>APP.1.1.A16-UA.1; APP.6.A3-UA.3</t>
        </is>
      </c>
      <c r="O61" s="11" t="inlineStr">
        <is>
          <t>intersects-with; intersects-with</t>
        </is>
      </c>
      <c r="P61" s="12" t="inlineStr">
        <is>
          <t>Dies kann z.B. durch die Veröffentlichung von Prüfsummen über einen authentifizierten Kanal wie eine Webseite mit X.509-Zertifikat erfolgen.</t>
        </is>
      </c>
      <c r="Q61" s="11" t="inlineStr">
        <is>
          <t>Anwendungen</t>
        </is>
      </c>
      <c r="R61" s="11" t="inlineStr">
        <is>
          <t>Entwicklungsdokumentation</t>
        </is>
      </c>
      <c r="S61" s="12" t="inlineStr">
        <is>
          <t>Nutzende über Möglichkeiten zur Verifikation der Integrität von Installations-, Update- und Patchdateien</t>
        </is>
      </c>
      <c r="T61" s="12" t="inlineStr">
        <is>
          <t>G 0.20 – Informationen oder Produkte aus unzuverlässiger Quelle; G 0.22 – Manipulation von Informationen; G 0.46 – Integritätsverlust schützenswerter Informationen</t>
        </is>
      </c>
      <c r="U61" s="11" t="n">
        <v>2</v>
      </c>
      <c r="V61" s="11" t="n">
        <v>1</v>
      </c>
      <c r="W61" s="11" t="n">
        <v>2</v>
      </c>
      <c r="X61" s="11" t="n">
        <v>1</v>
      </c>
      <c r="Y61" s="11" t="n">
        <v>2</v>
      </c>
    </row>
    <row r="62">
      <c r="A62" s="11" t="inlineStr">
        <is>
          <t>DEV.5.3</t>
        </is>
      </c>
      <c r="B62" s="12" t="inlineStr">
        <is>
          <t>Integritätsprüfung</t>
        </is>
      </c>
      <c r="C62" s="11" t="inlineStr">
        <is>
          <t>DEV.5.3</t>
        </is>
      </c>
      <c r="D62" s="11" t="inlineStr">
        <is>
          <t>Standard-Anforderungen</t>
        </is>
      </c>
      <c r="E62" s="12" t="inlineStr">
        <is>
          <t>Entwicklung für Anwendungen SOLLTE Nutzende über Möglichkeiten zur Verifikation der Integrität von Installations-, Update- und Patchdateien informieren.</t>
        </is>
      </c>
      <c r="F62" s="14" t="n"/>
      <c r="G62" s="14" t="n"/>
      <c r="H62" s="14" t="inlineStr">
        <is>
          <t>unbearbeitet</t>
        </is>
      </c>
      <c r="I62" s="14" t="n"/>
      <c r="J62" s="14" t="n"/>
      <c r="K62" s="14" t="n"/>
      <c r="L62" s="15" t="n"/>
      <c r="M62" s="11" t="inlineStr">
        <is>
          <t>Integrität, Authentizität</t>
        </is>
      </c>
      <c r="N62" s="12" t="inlineStr">
        <is>
          <t>APP.1.1.A16-UA.1; APP.6.A3-UA.3</t>
        </is>
      </c>
      <c r="O62" s="11" t="inlineStr">
        <is>
          <t>intersects-with; intersects-with</t>
        </is>
      </c>
      <c r="P62" s="12" t="inlineStr">
        <is>
          <t>Dies kann z.B. durch die Veröffentlichung von Prüfsummen über einen authentifizierten Kanal wie eine Webseite mit X.509-Zertifikat erfolgen.</t>
        </is>
      </c>
      <c r="Q62" s="11" t="inlineStr">
        <is>
          <t>Anwendungen</t>
        </is>
      </c>
      <c r="R62" s="11" t="inlineStr">
        <is>
          <t>Entwicklungsdokumentation</t>
        </is>
      </c>
      <c r="S62" s="12" t="inlineStr">
        <is>
          <t>Nutzende über Möglichkeiten zur Verifikation der Integrität von Installations-, Update- und Patchdateien</t>
        </is>
      </c>
      <c r="T62" s="12" t="inlineStr">
        <is>
          <t>G 0.20 – Informationen oder Produkte aus unzuverlässiger Quelle; G 0.22 – Manipulation von Informationen; G 0.46 – Integritätsverlust schützenswerter Informationen</t>
        </is>
      </c>
      <c r="U62" s="11" t="n">
        <v>2</v>
      </c>
      <c r="V62" s="11" t="n">
        <v>1</v>
      </c>
      <c r="W62" s="11" t="n">
        <v>2</v>
      </c>
      <c r="X62" s="11" t="n">
        <v>1</v>
      </c>
      <c r="Y62" s="11" t="n">
        <v>2</v>
      </c>
    </row>
    <row r="63">
      <c r="A63" s="9" t="inlineStr">
        <is>
          <t>DEV.6.1</t>
        </is>
      </c>
      <c r="B63" s="10" t="inlineStr">
        <is>
          <t>Freigabe nach Änderungen und Tests</t>
        </is>
      </c>
      <c r="C63" s="11" t="n"/>
      <c r="D63" s="11" t="inlineStr">
        <is>
          <t>Standard-Anforderungen</t>
        </is>
      </c>
      <c r="E63" s="12" t="inlineStr">
        <is>
          <t>Gesamt:</t>
        </is>
      </c>
      <c r="F63" s="11" t="n"/>
      <c r="G63" s="11" t="n"/>
      <c r="H63" s="13">
        <f>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
      </c>
      <c r="I63" s="11" t="n"/>
      <c r="J63" s="11" t="n"/>
      <c r="K63" s="11" t="n"/>
      <c r="L63" s="11" t="n"/>
      <c r="M63" s="11" t="inlineStr">
        <is>
          <t>Verfügbarkeit</t>
        </is>
      </c>
      <c r="N63" s="12" t="inlineStr"/>
      <c r="O63" s="11" t="inlineStr"/>
      <c r="P63" s="12" t="inlineStr">
        <is>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is>
      </c>
      <c r="Q63" s="11" t="inlineStr"/>
      <c r="R63" s="11" t="inlineStr">
        <is>
          <t>Entwicklungsdokumentation</t>
        </is>
      </c>
      <c r="S63" s="12" t="inlineStr">
        <is>
          <t>die Freigabe zur Nutzung</t>
        </is>
      </c>
      <c r="T63" s="12" t="inlineStr">
        <is>
          <t>G 0.18 – Fehlplanung oder fehlende Anpassung; G 0.25 – Ausfall von Geräten oder Systemen; G 0.26 – Fehlfunktion von Geräten oder Systemen</t>
        </is>
      </c>
      <c r="U63" s="11" t="n">
        <v>3</v>
      </c>
      <c r="V63" s="11" t="n">
        <v>1</v>
      </c>
      <c r="W63" s="11" t="n">
        <v>1</v>
      </c>
      <c r="X63" s="11" t="n">
        <v>2</v>
      </c>
      <c r="Y63" s="11" t="n">
        <v>0</v>
      </c>
    </row>
    <row r="64">
      <c r="A64" s="11" t="inlineStr">
        <is>
          <t>DEV.6.1</t>
        </is>
      </c>
      <c r="B64" s="12" t="inlineStr">
        <is>
          <t>Freigabe nach Änderungen und Tests</t>
        </is>
      </c>
      <c r="C64" s="11" t="inlineStr">
        <is>
          <t>DEV.6.1</t>
        </is>
      </c>
      <c r="D64" s="11" t="inlineStr">
        <is>
          <t>Standard-Anforderungen</t>
        </is>
      </c>
      <c r="E64" s="12" t="inlineStr">
        <is>
          <t>Entwicklung SOLLTE die Freigabe zur Nutzung im Einklang mit den entsprechenden Verfahren und Regelungen für Änderungen und Tests autorisieren.</t>
        </is>
      </c>
      <c r="F64" s="14" t="n"/>
      <c r="G64" s="14" t="n"/>
      <c r="H64" s="14" t="inlineStr">
        <is>
          <t>unbearbeitet</t>
        </is>
      </c>
      <c r="I64" s="14" t="n"/>
      <c r="J64" s="14" t="n"/>
      <c r="K64" s="14" t="n"/>
      <c r="L64" s="15" t="n"/>
      <c r="M64" s="11" t="inlineStr">
        <is>
          <t>Verfügbarkeit</t>
        </is>
      </c>
      <c r="N64" s="12" t="inlineStr"/>
      <c r="O64" s="11" t="inlineStr"/>
      <c r="P64" s="12" t="inlineStr">
        <is>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is>
      </c>
      <c r="Q64" s="11" t="inlineStr"/>
      <c r="R64" s="11" t="inlineStr">
        <is>
          <t>Entwicklungsdokumentation</t>
        </is>
      </c>
      <c r="S64" s="12" t="inlineStr">
        <is>
          <t>die Freigabe zur Nutzung</t>
        </is>
      </c>
      <c r="T64" s="12" t="inlineStr">
        <is>
          <t>G 0.18 – Fehlplanung oder fehlende Anpassung; G 0.25 – Ausfall von Geräten oder Systemen; G 0.26 – Fehlfunktion von Geräten oder Systemen</t>
        </is>
      </c>
      <c r="U64" s="11" t="n">
        <v>3</v>
      </c>
      <c r="V64" s="11" t="n">
        <v>1</v>
      </c>
      <c r="W64" s="11" t="n">
        <v>1</v>
      </c>
      <c r="X64" s="11" t="n">
        <v>2</v>
      </c>
      <c r="Y64" s="11" t="n">
        <v>0</v>
      </c>
    </row>
    <row r="65">
      <c r="A65" s="9" t="inlineStr">
        <is>
          <t>DEV.7.1</t>
        </is>
      </c>
      <c r="B65" s="10" t="inlineStr">
        <is>
          <t>Sichere Bereitstellung</t>
        </is>
      </c>
      <c r="C65" s="11" t="n"/>
      <c r="D65" s="11" t="inlineStr">
        <is>
          <t>Standard-Anforderungen</t>
        </is>
      </c>
      <c r="E65" s="12" t="inlineStr">
        <is>
          <t>Gesamt:</t>
        </is>
      </c>
      <c r="F65" s="11" t="n"/>
      <c r="G65" s="11" t="n"/>
      <c r="H65" s="13">
        <f>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
      </c>
      <c r="I65" s="11" t="n"/>
      <c r="J65" s="11" t="n"/>
      <c r="K65" s="11" t="n"/>
      <c r="L65" s="11" t="n"/>
      <c r="M65" s="11" t="inlineStr">
        <is>
          <t>Verfügbarkeit</t>
        </is>
      </c>
      <c r="N65" s="12" t="inlineStr"/>
      <c r="O65" s="11" t="inlineStr"/>
      <c r="P65" s="12" t="inlineStr">
        <is>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is>
      </c>
      <c r="Q65" s="11" t="inlineStr"/>
      <c r="R65" s="11" t="inlineStr">
        <is>
          <t>Entwicklungsdokumentation</t>
        </is>
      </c>
      <c r="S65" s="12" t="inlineStr">
        <is>
          <t>die Bereitstellung</t>
        </is>
      </c>
      <c r="T65" s="12" t="inlineStr">
        <is>
          <t>G 0.18 – Fehlplanung oder fehlende Anpassung; G 0.25 – Ausfall von Geräten oder Systemen; G 0.26 – Fehlfunktion von Geräten oder Systemen</t>
        </is>
      </c>
      <c r="U65" s="11" t="n">
        <v>3</v>
      </c>
      <c r="V65" s="11" t="n">
        <v>1</v>
      </c>
      <c r="W65" s="11" t="n">
        <v>1</v>
      </c>
      <c r="X65" s="11" t="n">
        <v>2</v>
      </c>
      <c r="Y65" s="11" t="n">
        <v>0</v>
      </c>
    </row>
    <row r="66">
      <c r="A66" s="11" t="inlineStr">
        <is>
          <t>DEV.7.1</t>
        </is>
      </c>
      <c r="B66" s="12" t="inlineStr">
        <is>
          <t>Sichere Bereitstellung</t>
        </is>
      </c>
      <c r="C66" s="11" t="inlineStr">
        <is>
          <t>DEV.7.1</t>
        </is>
      </c>
      <c r="D66" s="11" t="inlineStr">
        <is>
          <t>Standard-Anforderungen</t>
        </is>
      </c>
      <c r="E66" s="12" t="inlineStr">
        <is>
          <t>Entwicklung SOLLTE die Bereitstellung im Einklang mit den entsprechenden Verfahren und Regelungen für Änderungen und Tests verankern.</t>
        </is>
      </c>
      <c r="F66" s="14" t="n"/>
      <c r="G66" s="14" t="n"/>
      <c r="H66" s="14" t="inlineStr">
        <is>
          <t>unbearbeitet</t>
        </is>
      </c>
      <c r="I66" s="14" t="n"/>
      <c r="J66" s="14" t="n"/>
      <c r="K66" s="14" t="n"/>
      <c r="L66" s="15" t="n"/>
      <c r="M66" s="11" t="inlineStr">
        <is>
          <t>Verfügbarkeit</t>
        </is>
      </c>
      <c r="N66" s="12" t="inlineStr"/>
      <c r="O66" s="11" t="inlineStr"/>
      <c r="P66" s="12" t="inlineStr">
        <is>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is>
      </c>
      <c r="Q66" s="11" t="inlineStr"/>
      <c r="R66" s="11" t="inlineStr">
        <is>
          <t>Entwicklungsdokumentation</t>
        </is>
      </c>
      <c r="S66" s="12" t="inlineStr">
        <is>
          <t>die Bereitstellung</t>
        </is>
      </c>
      <c r="T66" s="12" t="inlineStr">
        <is>
          <t>G 0.18 – Fehlplanung oder fehlende Anpassung; G 0.25 – Ausfall von Geräten oder Systemen; G 0.26 – Fehlfunktion von Geräten oder Systemen</t>
        </is>
      </c>
      <c r="U66" s="11" t="n">
        <v>3</v>
      </c>
      <c r="V66" s="11" t="n">
        <v>1</v>
      </c>
      <c r="W66" s="11" t="n">
        <v>1</v>
      </c>
      <c r="X66" s="11" t="n">
        <v>2</v>
      </c>
      <c r="Y66" s="11" t="n">
        <v>0</v>
      </c>
    </row>
    <row r="67">
      <c r="A67" s="9" t="inlineStr">
        <is>
          <t>DEV.7.2</t>
        </is>
      </c>
      <c r="B67" s="10" t="inlineStr">
        <is>
          <t>Zertifikatsmonitoring</t>
        </is>
      </c>
      <c r="C67" s="11" t="n"/>
      <c r="D67" s="11" t="inlineStr">
        <is>
          <t>Standard-Anforderungen</t>
        </is>
      </c>
      <c r="E67" s="12" t="inlineStr">
        <is>
          <t>Gesamt:</t>
        </is>
      </c>
      <c r="F67" s="11" t="n"/>
      <c r="G67" s="11" t="n"/>
      <c r="H67" s="13">
        <f>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
      </c>
      <c r="I67" s="11" t="n"/>
      <c r="J67" s="11" t="n"/>
      <c r="K67" s="11" t="n"/>
      <c r="L67" s="11" t="n"/>
      <c r="M67" s="11" t="inlineStr">
        <is>
          <t>Vertraulichkeit, Integrität</t>
        </is>
      </c>
      <c r="N67" s="12" t="inlineStr"/>
      <c r="O67" s="11" t="inlineStr"/>
      <c r="P67" s="12" t="inlineStr">
        <is>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is>
      </c>
      <c r="Q67" s="11" t="inlineStr">
        <is>
          <t>Anwendungen</t>
        </is>
      </c>
      <c r="R67" s="11" t="inlineStr">
        <is>
          <t>Detektions-Konzept</t>
        </is>
      </c>
      <c r="S67" s="12" t="inlineStr">
        <is>
          <t>die Ausstellung neuer Zertifikate</t>
        </is>
      </c>
      <c r="T67" s="12" t="inlineStr">
        <is>
          <t>G 0.36 – Identitätsdiebstahl; G 0.43 – Einspielen von Nachrichten</t>
        </is>
      </c>
      <c r="U67" s="11" t="n">
        <v>2</v>
      </c>
      <c r="V67" s="11" t="n">
        <v>2</v>
      </c>
      <c r="W67" s="11" t="n">
        <v>2</v>
      </c>
      <c r="X67" s="11" t="n">
        <v>1</v>
      </c>
      <c r="Y67" s="11" t="n">
        <v>1</v>
      </c>
    </row>
    <row r="68">
      <c r="A68" s="11" t="inlineStr">
        <is>
          <t>DEV.7.2</t>
        </is>
      </c>
      <c r="B68" s="12" t="inlineStr">
        <is>
          <t>Zertifikatsmonitoring</t>
        </is>
      </c>
      <c r="C68" s="11" t="inlineStr">
        <is>
          <t>DEV.7.2</t>
        </is>
      </c>
      <c r="D68" s="11" t="inlineStr">
        <is>
          <t>Standard-Anforderungen</t>
        </is>
      </c>
      <c r="E68" s="12" t="inlineStr">
        <is>
          <t>Entwicklung für Anwendungen SOLLTE die Ausstellung neuer Zertifikate für die von der Anwendung verwendeten Domains überwachen.</t>
        </is>
      </c>
      <c r="F68" s="14" t="n"/>
      <c r="G68" s="14" t="n"/>
      <c r="H68" s="14" t="inlineStr">
        <is>
          <t>unbearbeitet</t>
        </is>
      </c>
      <c r="I68" s="14" t="n"/>
      <c r="J68" s="14" t="n"/>
      <c r="K68" s="14" t="n"/>
      <c r="L68" s="15" t="n"/>
      <c r="M68" s="11" t="inlineStr">
        <is>
          <t>Vertraulichkeit, Integrität</t>
        </is>
      </c>
      <c r="N68" s="12" t="inlineStr"/>
      <c r="O68" s="11" t="inlineStr"/>
      <c r="P68" s="12" t="inlineStr">
        <is>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is>
      </c>
      <c r="Q68" s="11" t="inlineStr">
        <is>
          <t>Anwendungen</t>
        </is>
      </c>
      <c r="R68" s="11" t="inlineStr">
        <is>
          <t>Detektions-Konzept</t>
        </is>
      </c>
      <c r="S68" s="12" t="inlineStr">
        <is>
          <t>die Ausstellung neuer Zertifikate</t>
        </is>
      </c>
      <c r="T68" s="12" t="inlineStr">
        <is>
          <t>G 0.36 – Identitätsdiebstahl; G 0.43 – Einspielen von Nachrichten</t>
        </is>
      </c>
      <c r="U68" s="11" t="n">
        <v>2</v>
      </c>
      <c r="V68" s="11" t="n">
        <v>2</v>
      </c>
      <c r="W68" s="11" t="n">
        <v>2</v>
      </c>
      <c r="X68" s="11" t="n">
        <v>1</v>
      </c>
      <c r="Y68" s="11" t="n">
        <v>1</v>
      </c>
    </row>
  </sheetData>
  <autoFilter ref="A6:Y6"/>
  <conditionalFormatting sqref="H7:H68">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20 H22 H24 H25 H26 H28 H30 H32 H34 H36 H38 H40 H42 H44 H46 H48 H50 H52 H54 H56 H58 H60 H62 H64 H66 H68"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35"/>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DLS</t>
        </is>
      </c>
      <c r="B3" s="6" t="inlineStr">
        <is>
          <t>Dienstleistersteuerung</t>
        </is>
      </c>
    </row>
    <row r="4">
      <c r="A4" s="3" t="inlineStr">
        <is>
          <t>Zielobjekte</t>
        </is>
      </c>
      <c r="B4" s="7">
        <f>IF('Praktiken'!D11="","",'Praktiken'!D11)</f>
        <v/>
      </c>
    </row>
    <row r="5">
      <c r="A5" s="3" t="inlineStr">
        <is>
          <t>Zuständig</t>
        </is>
      </c>
      <c r="B5" s="7">
        <f>IF('Praktiken'!S11="","",'Praktiken'!S11)</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DLS.1.1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c r="O7" s="11" t="inlineStr"/>
      <c r="P7" s="12" t="inlineStr">
        <is>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is>
      </c>
      <c r="Q7" s="11" t="inlineStr">
        <is>
          <t>Dienstleistungen</t>
        </is>
      </c>
      <c r="R7" s="11" t="inlineStr">
        <is>
          <t>Prozess Beschaffung</t>
        </is>
      </c>
      <c r="S7" s="12" t="inlineStr">
        <is>
          <t>ein Verfahren zur Steuerung und geordneten Beendigung von Dienstleistungsverträgen</t>
        </is>
      </c>
      <c r="T7" s="12" t="inlineStr">
        <is>
          <t>G 0.18 – Fehlplanung oder fehlende Anpassung</t>
        </is>
      </c>
      <c r="U7" s="11" t="n">
        <v>0</v>
      </c>
      <c r="V7" s="11" t="n">
        <v>1</v>
      </c>
      <c r="W7" s="11" t="n">
        <v>1</v>
      </c>
      <c r="X7" s="11" t="n">
        <v>1</v>
      </c>
      <c r="Y7" s="11" t="n">
        <v>0</v>
      </c>
    </row>
    <row r="8">
      <c r="A8" s="11" t="inlineStr">
        <is>
          <t>DLS.1.1</t>
        </is>
      </c>
      <c r="B8" s="12" t="inlineStr">
        <is>
          <t>Verfahren und Regelungen</t>
        </is>
      </c>
      <c r="C8" s="11" t="inlineStr">
        <is>
          <t>DLS.1.1.1</t>
        </is>
      </c>
      <c r="D8" s="11" t="inlineStr">
        <is>
          <t>Basis-Anforderungen</t>
        </is>
      </c>
      <c r="E8" s="12" t="inlineStr">
        <is>
          <t>Dienstleistersteuerung für Dienstleistungen MUSS die Verfahren und Regelungen dokumentieren.</t>
        </is>
      </c>
      <c r="F8" s="14" t="n"/>
      <c r="G8" s="14" t="n"/>
      <c r="H8" s="14" t="inlineStr">
        <is>
          <t>unbearbeitet</t>
        </is>
      </c>
      <c r="I8" s="14" t="n"/>
      <c r="J8" s="14" t="n"/>
      <c r="K8" s="14" t="n"/>
      <c r="L8" s="15" t="n"/>
      <c r="M8" s="11" t="inlineStr">
        <is>
          <t>Vertraulichkeit, Integrität</t>
        </is>
      </c>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is>
          <t>Dienstleistungen</t>
        </is>
      </c>
      <c r="R8" s="11" t="inlineStr">
        <is>
          <t>IT-Betriebskonzept</t>
        </is>
      </c>
      <c r="S8" s="12" t="inlineStr">
        <is>
          <t>die Verfahren und Regelungen</t>
        </is>
      </c>
      <c r="T8" s="12" t="inlineStr">
        <is>
          <t>G 0.18 – Fehlplanung oder fehlende Anpassung; G 0.37 – Abstreiten von Handlungen</t>
        </is>
      </c>
      <c r="U8" s="11" t="n">
        <v>0</v>
      </c>
      <c r="V8" s="11" t="n">
        <v>2</v>
      </c>
      <c r="W8" s="11" t="n">
        <v>2</v>
      </c>
      <c r="X8" s="11" t="n">
        <v>1</v>
      </c>
      <c r="Y8" s="11" t="n">
        <v>1</v>
      </c>
    </row>
    <row r="9">
      <c r="A9" s="11" t="inlineStr">
        <is>
          <t>DLS.1.1</t>
        </is>
      </c>
      <c r="B9" s="12" t="inlineStr">
        <is>
          <t>Verfahren und Regelungen</t>
        </is>
      </c>
      <c r="C9" s="11" t="inlineStr">
        <is>
          <t>DLS.1.1.2</t>
        </is>
      </c>
      <c r="D9" s="11" t="inlineStr">
        <is>
          <t>Basis-Anforderungen</t>
        </is>
      </c>
      <c r="E9" s="12" t="inlineStr">
        <is>
          <t>Dienstleistersteuerung für Dienstleistungen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is>
          <t>Dienstleistungen</t>
        </is>
      </c>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DLS.1.1</t>
        </is>
      </c>
      <c r="B10" s="12" t="inlineStr">
        <is>
          <t>Verfahren und Regelungen</t>
        </is>
      </c>
      <c r="C10" s="11" t="inlineStr">
        <is>
          <t>DLS.1.1.3</t>
        </is>
      </c>
      <c r="D10" s="11" t="inlineStr">
        <is>
          <t>Basis-Anforderungen</t>
        </is>
      </c>
      <c r="E10" s="12" t="inlineStr">
        <is>
          <t>Dienstleistersteuerung für Dienstleistungen MUSS die zuständigen Personen oder Rollen über die Verfahren und Regelungen informieren.</t>
        </is>
      </c>
      <c r="F10" s="14" t="n"/>
      <c r="G10" s="14" t="n"/>
      <c r="H10" s="14" t="inlineStr">
        <is>
          <t>unbearbeitet</t>
        </is>
      </c>
      <c r="I10" s="14" t="n"/>
      <c r="J10" s="14" t="n"/>
      <c r="K10" s="14" t="n"/>
      <c r="L10" s="15" t="n"/>
      <c r="M10" s="11" t="inlineStr"/>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is>
          <t>Dienstleistungen</t>
        </is>
      </c>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1</v>
      </c>
      <c r="X10" s="11" t="n">
        <v>1</v>
      </c>
      <c r="Y10" s="11" t="n">
        <v>0</v>
      </c>
    </row>
    <row r="11">
      <c r="A11" s="9" t="inlineStr">
        <is>
          <t>DLS.1.2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is>
          <t>Dienstleistungen</t>
        </is>
      </c>
      <c r="R11" s="11" t="inlineStr">
        <is>
          <t>Übungs- und 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DLS.1.2</t>
        </is>
      </c>
      <c r="B12" s="12" t="inlineStr">
        <is>
          <t>Regelmäßige Überprüfung</t>
        </is>
      </c>
      <c r="C12" s="11" t="inlineStr">
        <is>
          <t>DLS.1.2</t>
        </is>
      </c>
      <c r="D12" s="11" t="inlineStr">
        <is>
          <t>Basis-Anforderungen</t>
        </is>
      </c>
      <c r="E12" s="12" t="inlineStr">
        <is>
          <t>Dienstleistersteuerung für Dienstleistungen MUSS die Verfahren und Regelungen regelmäßig und anlassbezogen auf Aktualität überprüfen.</t>
        </is>
      </c>
      <c r="F12" s="14" t="n"/>
      <c r="G12" s="14" t="n"/>
      <c r="H12" s="14" t="inlineStr">
        <is>
          <t>unbearbeitet</t>
        </is>
      </c>
      <c r="I12" s="14" t="n"/>
      <c r="J12" s="14" t="n"/>
      <c r="K12" s="14" t="n"/>
      <c r="L12" s="15" t="n"/>
      <c r="M12" s="11" t="inlineStr"/>
      <c r="N12" s="12" t="inlineStr"/>
      <c r="O12" s="11" t="inlineStr"/>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is>
          <t>Dienstleistungen</t>
        </is>
      </c>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DLS.2.1</t>
        </is>
      </c>
      <c r="B13" s="10" t="inlineStr">
        <is>
          <t>Mehr-Faktor-Authentifizierung</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is>
          <t>Vertraulichkeit</t>
        </is>
      </c>
      <c r="N13" s="12" t="inlineStr"/>
      <c r="O13" s="11" t="inlineStr"/>
      <c r="P13" s="12" t="inlineStr">
        <is>
          <t>Online-Dienste wie die Verwaltung von TK-Rufnummern oder Cloud-Office-Anwendungen sind ein beliebtes Ziel für Angriffe durch Phishing oder Datenleaks. Sichern Sie diese Zugänge mit Mehr-Faktor-Authentifizierung (z.B. OTP) ab.</t>
        </is>
      </c>
      <c r="Q13" s="11" t="inlineStr">
        <is>
          <t>Dienstleistungen</t>
        </is>
      </c>
      <c r="R13" s="11" t="inlineStr">
        <is>
          <t>Konfigurationshistorie</t>
        </is>
      </c>
      <c r="S13" s="12" t="inlineStr">
        <is>
          <t>Mehr-Faktor-Authentifizierung</t>
        </is>
      </c>
      <c r="T13" s="12" t="inlineStr">
        <is>
          <t>G 0.18 – Fehlplanung oder fehlende Anpassung; G 0.14 – Ausspähen von Informationen (Spionage)</t>
        </is>
      </c>
      <c r="U13" s="11" t="n">
        <v>3</v>
      </c>
      <c r="V13" s="11" t="n">
        <v>2</v>
      </c>
      <c r="W13" s="11" t="n">
        <v>1</v>
      </c>
      <c r="X13" s="11" t="n">
        <v>1</v>
      </c>
      <c r="Y13" s="11" t="n">
        <v>0</v>
      </c>
    </row>
    <row r="14">
      <c r="A14" s="11" t="inlineStr">
        <is>
          <t>DLS.2.1</t>
        </is>
      </c>
      <c r="B14" s="12" t="inlineStr">
        <is>
          <t>Mehr-Faktor-Authentifizierung</t>
        </is>
      </c>
      <c r="C14" s="11" t="inlineStr">
        <is>
          <t>DLS.2.1</t>
        </is>
      </c>
      <c r="D14" s="11" t="inlineStr">
        <is>
          <t>Standard-Anforderungen</t>
        </is>
      </c>
      <c r="E14" s="12" t="inlineStr">
        <is>
          <t>Dienstleistersteuerung für Dienstleistungen SOLLTE Mehr-Faktor-Authentifizierung bei Login in Online-Dienste aktivieren.</t>
        </is>
      </c>
      <c r="F14" s="14" t="n"/>
      <c r="G14" s="14" t="n"/>
      <c r="H14" s="14" t="inlineStr">
        <is>
          <t>unbearbeitet</t>
        </is>
      </c>
      <c r="I14" s="14" t="n"/>
      <c r="J14" s="14" t="n"/>
      <c r="K14" s="14" t="n"/>
      <c r="L14" s="15" t="n"/>
      <c r="M14" s="11" t="inlineStr">
        <is>
          <t>Vertraulichkeit</t>
        </is>
      </c>
      <c r="N14" s="12" t="inlineStr"/>
      <c r="O14" s="11" t="inlineStr"/>
      <c r="P14" s="12" t="inlineStr">
        <is>
          <t>Online-Dienste wie die Verwaltung von TK-Rufnummern oder Cloud-Office-Anwendungen sind ein beliebtes Ziel für Angriffe durch Phishing oder Datenleaks. Sichern Sie diese Zugänge mit Mehr-Faktor-Authentifizierung (z.B. OTP) ab.</t>
        </is>
      </c>
      <c r="Q14" s="11" t="inlineStr">
        <is>
          <t>Dienstleistungen</t>
        </is>
      </c>
      <c r="R14" s="11" t="inlineStr">
        <is>
          <t>Konfigurationshistorie</t>
        </is>
      </c>
      <c r="S14" s="12" t="inlineStr">
        <is>
          <t>Mehr-Faktor-Authentifizierung</t>
        </is>
      </c>
      <c r="T14" s="12" t="inlineStr">
        <is>
          <t>G 0.18 – Fehlplanung oder fehlende Anpassung; G 0.14 – Ausspähen von Informationen (Spionage)</t>
        </is>
      </c>
      <c r="U14" s="11" t="n">
        <v>3</v>
      </c>
      <c r="V14" s="11" t="n">
        <v>2</v>
      </c>
      <c r="W14" s="11" t="n">
        <v>1</v>
      </c>
      <c r="X14" s="11" t="n">
        <v>1</v>
      </c>
      <c r="Y14" s="11" t="n">
        <v>0</v>
      </c>
    </row>
    <row r="15">
      <c r="A15" s="9" t="inlineStr">
        <is>
          <t>DLS.2.2</t>
        </is>
      </c>
      <c r="B15" s="10" t="inlineStr">
        <is>
          <t>Transportverschlüsselung</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is>
          <t>Vertraulichkeit</t>
        </is>
      </c>
      <c r="N15" s="12" t="inlineStr"/>
      <c r="O15" s="11" t="inlineStr"/>
      <c r="P15" s="12" t="inlineStr">
        <is>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is>
      </c>
      <c r="Q15" s="11" t="inlineStr">
        <is>
          <t>Daten</t>
        </is>
      </c>
      <c r="R15" s="11" t="inlineStr">
        <is>
          <t>Konfigurationshistorie</t>
        </is>
      </c>
      <c r="S15" s="12" t="inlineStr">
        <is>
          <t>den Transport</t>
        </is>
      </c>
      <c r="T15" s="12" t="inlineStr">
        <is>
          <t>G 0.18 – Fehlplanung oder fehlende Anpassung; G 0.14 – Ausspähen von Informationen (Spionage)</t>
        </is>
      </c>
      <c r="U15" s="11" t="n">
        <v>2</v>
      </c>
      <c r="V15" s="11" t="n">
        <v>2</v>
      </c>
      <c r="W15" s="11" t="n">
        <v>1</v>
      </c>
      <c r="X15" s="11" t="n">
        <v>1</v>
      </c>
      <c r="Y15" s="11" t="n">
        <v>0</v>
      </c>
    </row>
    <row r="16">
      <c r="A16" s="11" t="inlineStr">
        <is>
          <t>DLS.2.2</t>
        </is>
      </c>
      <c r="B16" s="12" t="inlineStr">
        <is>
          <t>Transportverschlüsselung</t>
        </is>
      </c>
      <c r="C16" s="11" t="inlineStr">
        <is>
          <t>DLS.2.2</t>
        </is>
      </c>
      <c r="D16" s="11" t="inlineStr">
        <is>
          <t>Standard-Anforderungen</t>
        </is>
      </c>
      <c r="E16" s="12" t="inlineStr">
        <is>
          <t>Dienstleistersteuerung für Daten SOLLTE den Transport bei der Übertragung zum Anbieter nach einem anerkannten Standard verschlüsseln.</t>
        </is>
      </c>
      <c r="F16" s="14" t="n"/>
      <c r="G16" s="14" t="n"/>
      <c r="H16" s="14" t="inlineStr">
        <is>
          <t>unbearbeitet</t>
        </is>
      </c>
      <c r="I16" s="14" t="n"/>
      <c r="J16" s="14" t="n"/>
      <c r="K16" s="14" t="n"/>
      <c r="L16" s="15" t="n"/>
      <c r="M16" s="11" t="inlineStr">
        <is>
          <t>Vertraulichkeit</t>
        </is>
      </c>
      <c r="N16" s="12" t="inlineStr"/>
      <c r="O16" s="11" t="inlineStr"/>
      <c r="P16" s="12" t="inlineStr">
        <is>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is>
      </c>
      <c r="Q16" s="11" t="inlineStr">
        <is>
          <t>Daten</t>
        </is>
      </c>
      <c r="R16" s="11" t="inlineStr">
        <is>
          <t>Konfigurationshistorie</t>
        </is>
      </c>
      <c r="S16" s="12" t="inlineStr">
        <is>
          <t>den Transport</t>
        </is>
      </c>
      <c r="T16" s="12" t="inlineStr">
        <is>
          <t>G 0.18 – Fehlplanung oder fehlende Anpassung; G 0.14 – Ausspähen von Informationen (Spionage)</t>
        </is>
      </c>
      <c r="U16" s="11" t="n">
        <v>2</v>
      </c>
      <c r="V16" s="11" t="n">
        <v>2</v>
      </c>
      <c r="W16" s="11" t="n">
        <v>1</v>
      </c>
      <c r="X16" s="11" t="n">
        <v>1</v>
      </c>
      <c r="Y16" s="11" t="n">
        <v>0</v>
      </c>
    </row>
    <row r="17">
      <c r="A17" s="9" t="inlineStr">
        <is>
          <t>DLS.2.3</t>
        </is>
      </c>
      <c r="B17" s="10" t="inlineStr">
        <is>
          <t>Vollverschlüsselung</t>
        </is>
      </c>
      <c r="C17" s="11" t="n"/>
      <c r="D17" s="11" t="inlineStr">
        <is>
          <t>Anforderungen bei erhöhtem Schutzbedarf</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is>
          <t>Vertraulichkeit</t>
        </is>
      </c>
      <c r="N17" s="12" t="inlineStr"/>
      <c r="O17" s="11" t="inlineStr"/>
      <c r="P17" s="12" t="inlineStr">
        <is>
          <t>Hierbei handelt es sich um eine Verschlüsselung at-rest, bei welcher der Dienstleister keinen Zugang zum Schlüssel erhält. Die Umsetzung kann z.B. auf Dateiebene oder durch Container erfolgen.</t>
        </is>
      </c>
      <c r="Q17" s="11" t="inlineStr">
        <is>
          <t>Daten</t>
        </is>
      </c>
      <c r="R17" s="11" t="inlineStr">
        <is>
          <t>Konfigurationshistorie</t>
        </is>
      </c>
      <c r="S17" s="12" t="inlineStr">
        <is>
          <t>diese, wenn der Anbieter deren Inhalt zur Vertragserbringung nicht kennen muss, für diesen nicht entschlüsselbar</t>
        </is>
      </c>
      <c r="T17" s="12" t="inlineStr">
        <is>
          <t>G 0.18 – Fehlplanung oder fehlende Anpassung; G 0.14 – Ausspähen von Informationen (Spionage)</t>
        </is>
      </c>
      <c r="U17" s="11" t="n">
        <v>5</v>
      </c>
      <c r="V17" s="11" t="n">
        <v>2</v>
      </c>
      <c r="W17" s="11" t="n">
        <v>1</v>
      </c>
      <c r="X17" s="11" t="n">
        <v>1</v>
      </c>
      <c r="Y17" s="11" t="n">
        <v>0</v>
      </c>
    </row>
    <row r="18">
      <c r="A18" s="11" t="inlineStr">
        <is>
          <t>DLS.2.3</t>
        </is>
      </c>
      <c r="B18" s="12" t="inlineStr">
        <is>
          <t>Vollverschlüsselung</t>
        </is>
      </c>
      <c r="C18" s="11" t="inlineStr">
        <is>
          <t>DLS.2.3</t>
        </is>
      </c>
      <c r="D18" s="11" t="inlineStr">
        <is>
          <t>Anforderungen bei erhöhtem Schutzbedarf</t>
        </is>
      </c>
      <c r="E18" s="12" t="inlineStr">
        <is>
          <t>Dienstleistersteuerung für Daten KANN diese, wenn der Anbieter deren Inhalt zur Vertragserbringung nicht kennen muss, für diesen nicht entschlüsselbar vor der Übertragung zum Dienstleister verschlüsseln.</t>
        </is>
      </c>
      <c r="F18" s="14" t="n"/>
      <c r="G18" s="14" t="n"/>
      <c r="H18" s="14" t="inlineStr">
        <is>
          <t>unbearbeitet</t>
        </is>
      </c>
      <c r="I18" s="14" t="n"/>
      <c r="J18" s="14" t="n"/>
      <c r="K18" s="14" t="n"/>
      <c r="L18" s="15" t="n"/>
      <c r="M18" s="11" t="inlineStr">
        <is>
          <t>Vertraulichkeit</t>
        </is>
      </c>
      <c r="N18" s="12" t="inlineStr"/>
      <c r="O18" s="11" t="inlineStr"/>
      <c r="P18" s="12" t="inlineStr">
        <is>
          <t>Hierbei handelt es sich um eine Verschlüsselung at-rest, bei welcher der Dienstleister keinen Zugang zum Schlüssel erhält. Die Umsetzung kann z.B. auf Dateiebene oder durch Container erfolgen.</t>
        </is>
      </c>
      <c r="Q18" s="11" t="inlineStr">
        <is>
          <t>Daten</t>
        </is>
      </c>
      <c r="R18" s="11" t="inlineStr">
        <is>
          <t>Konfigurationshistorie</t>
        </is>
      </c>
      <c r="S18" s="12" t="inlineStr">
        <is>
          <t>diese, wenn der Anbieter deren Inhalt zur Vertragserbringung nicht kennen muss, für diesen nicht entschlüsselbar</t>
        </is>
      </c>
      <c r="T18" s="12" t="inlineStr">
        <is>
          <t>G 0.18 – Fehlplanung oder fehlende Anpassung; G 0.14 – Ausspähen von Informationen (Spionage)</t>
        </is>
      </c>
      <c r="U18" s="11" t="n">
        <v>5</v>
      </c>
      <c r="V18" s="11" t="n">
        <v>2</v>
      </c>
      <c r="W18" s="11" t="n">
        <v>1</v>
      </c>
      <c r="X18" s="11" t="n">
        <v>1</v>
      </c>
      <c r="Y18" s="11" t="n">
        <v>0</v>
      </c>
    </row>
    <row r="19">
      <c r="A19" s="9" t="inlineStr">
        <is>
          <t>DLS.3.1</t>
        </is>
      </c>
      <c r="B19" s="10" t="inlineStr">
        <is>
          <t>Einhaltung der Sicherheitsvorgaben</t>
        </is>
      </c>
      <c r="C19" s="11" t="n"/>
      <c r="D19" s="11" t="inlineStr">
        <is>
          <t>Standard-Anforderungen</t>
        </is>
      </c>
      <c r="E19" s="12" t="inlineStr">
        <is>
          <t>Gesamt:</t>
        </is>
      </c>
      <c r="F19" s="11" t="n"/>
      <c r="G19" s="11" t="n"/>
      <c r="H19" s="13">
        <f>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
      </c>
      <c r="I19" s="11" t="n"/>
      <c r="J19" s="11" t="n"/>
      <c r="K19" s="11" t="n"/>
      <c r="L19" s="11" t="n"/>
      <c r="M19" s="11" t="inlineStr">
        <is>
          <t>Verfügbarkeit</t>
        </is>
      </c>
      <c r="N19" s="12" t="inlineStr"/>
      <c r="O19" s="11" t="inlineStr"/>
      <c r="P19" s="12" t="inlineStr">
        <is>
          <t>Hierzu ist zu prüfen, ob Anzeichen vorliegen, dass der Dienstleister die im Vertrag geforderten Vorgaben nicht einhält und falls erforderlich Gegenmaßnahmen einzuleiten. Die Prüfung kann z.B. Zertifikate, regelmäßige Stichproben oder das Monitoring von Datenleaks vorsehen.</t>
        </is>
      </c>
      <c r="Q19" s="11" t="inlineStr">
        <is>
          <t>Dienstleistungen</t>
        </is>
      </c>
      <c r="R19" s="11" t="inlineStr">
        <is>
          <t>Liste der Hersteller und Dienstleister</t>
        </is>
      </c>
      <c r="S19" s="12" t="inlineStr">
        <is>
          <t>die Einhaltung der Sicherheitsvorgaben durch den Dienstleister</t>
        </is>
      </c>
      <c r="T19" s="12" t="inlineStr">
        <is>
          <t>G 0.11 – Ausfall oder Störung von Dienstleistern; G 0.29 – Verstoß gegen Gesetze oder Regelungen; G 0.20 – Informationen oder Produkte aus unzuverlässiger Quelle</t>
        </is>
      </c>
      <c r="U19" s="11" t="n">
        <v>3</v>
      </c>
      <c r="V19" s="11" t="n">
        <v>1</v>
      </c>
      <c r="W19" s="11" t="n">
        <v>1</v>
      </c>
      <c r="X19" s="11" t="n">
        <v>2</v>
      </c>
      <c r="Y19" s="11" t="n">
        <v>1</v>
      </c>
    </row>
    <row r="20">
      <c r="A20" s="11" t="inlineStr">
        <is>
          <t>DLS.3.1</t>
        </is>
      </c>
      <c r="B20" s="12" t="inlineStr">
        <is>
          <t>Einhaltung der Sicherheitsvorgaben</t>
        </is>
      </c>
      <c r="C20" s="11" t="inlineStr">
        <is>
          <t>DLS.3.1</t>
        </is>
      </c>
      <c r="D20" s="11" t="inlineStr">
        <is>
          <t>Standard-Anforderungen</t>
        </is>
      </c>
      <c r="E20" s="12" t="inlineStr">
        <is>
          <t>Dienstleistersteuerung für Dienstleistungen SOLLTE die Einhaltung der Sicherheitsvorgaben durch den Dienstleister regelmäßig überprüfen.</t>
        </is>
      </c>
      <c r="F20" s="14" t="n"/>
      <c r="G20" s="14" t="n"/>
      <c r="H20" s="14" t="inlineStr">
        <is>
          <t>unbearbeitet</t>
        </is>
      </c>
      <c r="I20" s="14" t="n"/>
      <c r="J20" s="14" t="n"/>
      <c r="K20" s="14" t="n"/>
      <c r="L20" s="15" t="n"/>
      <c r="M20" s="11" t="inlineStr">
        <is>
          <t>Verfügbarkeit</t>
        </is>
      </c>
      <c r="N20" s="12" t="inlineStr"/>
      <c r="O20" s="11" t="inlineStr"/>
      <c r="P20" s="12" t="inlineStr">
        <is>
          <t>Hierzu ist zu prüfen, ob Anzeichen vorliegen, dass der Dienstleister die im Vertrag geforderten Vorgaben nicht einhält und falls erforderlich Gegenmaßnahmen einzuleiten. Die Prüfung kann z.B. Zertifikate, regelmäßige Stichproben oder das Monitoring von Datenleaks vorsehen.</t>
        </is>
      </c>
      <c r="Q20" s="11" t="inlineStr">
        <is>
          <t>Dienstleistungen</t>
        </is>
      </c>
      <c r="R20" s="11" t="inlineStr">
        <is>
          <t>Liste der Hersteller und Dienstleister</t>
        </is>
      </c>
      <c r="S20" s="12" t="inlineStr">
        <is>
          <t>die Einhaltung der Sicherheitsvorgaben durch den Dienstleister</t>
        </is>
      </c>
      <c r="T20" s="12" t="inlineStr">
        <is>
          <t>G 0.11 – Ausfall oder Störung von Dienstleistern; G 0.29 – Verstoß gegen Gesetze oder Regelungen; G 0.20 – Informationen oder Produkte aus unzuverlässiger Quelle</t>
        </is>
      </c>
      <c r="U20" s="11" t="n">
        <v>3</v>
      </c>
      <c r="V20" s="11" t="n">
        <v>1</v>
      </c>
      <c r="W20" s="11" t="n">
        <v>1</v>
      </c>
      <c r="X20" s="11" t="n">
        <v>2</v>
      </c>
      <c r="Y20" s="11" t="n">
        <v>1</v>
      </c>
    </row>
    <row r="21">
      <c r="A21" s="11" t="inlineStr">
        <is>
          <t>DLS.3.1</t>
        </is>
      </c>
      <c r="B21" s="12" t="inlineStr">
        <is>
          <t>Einhaltung der Sicherheitsvorgaben</t>
        </is>
      </c>
      <c r="C21" s="11" t="inlineStr">
        <is>
          <t>DLS.3.1.1</t>
        </is>
      </c>
      <c r="D21" s="11" t="inlineStr">
        <is>
          <t>Standard-Anforderungen</t>
        </is>
      </c>
      <c r="E21" s="12" t="inlineStr">
        <is>
          <t>Dienstleistersteuerung für Outsourcing SOLLTE die Einhaltung der Sicherheitsvorgaben anhand eines Audits, Zertifikates oder vergleichbaren Sicherheitsnachweises regelmäßig überprüfen.</t>
        </is>
      </c>
      <c r="F21" s="14" t="n"/>
      <c r="G21" s="14" t="n"/>
      <c r="H21" s="14" t="inlineStr">
        <is>
          <t>unbearbeitet</t>
        </is>
      </c>
      <c r="I21" s="14" t="n"/>
      <c r="J21" s="14" t="n"/>
      <c r="K21" s="14" t="n"/>
      <c r="L21" s="15" t="n"/>
      <c r="M21" s="11" t="inlineStr">
        <is>
          <t>Verfügbarkeit</t>
        </is>
      </c>
      <c r="N21" s="12" t="inlineStr"/>
      <c r="O21" s="11" t="inlineStr"/>
      <c r="P21" s="12" t="inlineStr">
        <is>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is>
      </c>
      <c r="Q21" s="11" t="inlineStr">
        <is>
          <t>Outsourcing</t>
        </is>
      </c>
      <c r="R21" s="11" t="inlineStr">
        <is>
          <t>Auslagerungsregister</t>
        </is>
      </c>
      <c r="S21" s="12" t="inlineStr">
        <is>
          <t>die Einhaltung der Sicherheitsvorgaben anhand eines {{Audits, Zertifikates oder vergleichbaren Sicherheitsnachweises}}</t>
        </is>
      </c>
      <c r="T21" s="12" t="inlineStr">
        <is>
          <t>G 0.29 – Verstoß gegen Gesetze oder Regelungen; G 0.11 – Ausfall oder Störung von Dienstleistern; G 0.20 – Informationen oder Produkte aus unzuverlässiger Quelle; G 0.18 – Fehlplanung oder fehlende Anpassung</t>
        </is>
      </c>
      <c r="U21" s="11" t="n">
        <v>4</v>
      </c>
      <c r="V21" s="11" t="n">
        <v>1</v>
      </c>
      <c r="W21" s="11" t="n">
        <v>1</v>
      </c>
      <c r="X21" s="11" t="n">
        <v>2</v>
      </c>
      <c r="Y21" s="11" t="n">
        <v>1</v>
      </c>
    </row>
    <row r="22">
      <c r="A22" s="9" t="inlineStr">
        <is>
          <t>DLS.3.2</t>
        </is>
      </c>
      <c r="B22" s="10" t="inlineStr">
        <is>
          <t>Checkup</t>
        </is>
      </c>
      <c r="C22" s="11" t="n"/>
      <c r="D22" s="11" t="inlineStr">
        <is>
          <t>Anforderungen bei erhöhtem Schutzbedarf</t>
        </is>
      </c>
      <c r="E22" s="12" t="inlineStr">
        <is>
          <t>Gesamt:</t>
        </is>
      </c>
      <c r="F22" s="11" t="n"/>
      <c r="G22" s="11" t="n"/>
      <c r="H22" s="13">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
      </c>
      <c r="I22" s="11" t="n"/>
      <c r="J22" s="11" t="n"/>
      <c r="K22" s="11" t="n"/>
      <c r="L22" s="11" t="n"/>
      <c r="M22" s="11" t="inlineStr"/>
      <c r="N22" s="12" t="inlineStr">
        <is>
          <t>OPS.2.3.A2-UA.4</t>
        </is>
      </c>
      <c r="O22" s="11" t="inlineStr">
        <is>
          <t>equivalent-to</t>
        </is>
      </c>
      <c r="P22" s="12" t="inlineStr">
        <is>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is>
      </c>
      <c r="Q22" s="11" t="inlineStr">
        <is>
          <t>Outsourcing</t>
        </is>
      </c>
      <c r="R22" s="11" t="inlineStr">
        <is>
          <t>Übungs- und Prüfplan</t>
        </is>
      </c>
      <c r="S22" s="12" t="inlineStr">
        <is>
          <t>die risikoorientierte Entscheidung über Outsourcing auf Grundlage der Geschäftsprozessprofile</t>
        </is>
      </c>
      <c r="T22" s="12" t="inlineStr">
        <is>
          <t>G 0.11 – Ausfall oder Störung von Dienstleistern; G 0.20 – Informationen oder Produkte aus unzuverlässiger Quelle</t>
        </is>
      </c>
      <c r="U22" s="11" t="n">
        <v>4</v>
      </c>
      <c r="V22" s="11" t="n">
        <v>1</v>
      </c>
      <c r="W22" s="11" t="n">
        <v>1</v>
      </c>
      <c r="X22" s="11" t="n">
        <v>1</v>
      </c>
      <c r="Y22" s="11" t="n">
        <v>1</v>
      </c>
    </row>
    <row r="23">
      <c r="A23" s="11" t="inlineStr">
        <is>
          <t>DLS.3.2</t>
        </is>
      </c>
      <c r="B23" s="12" t="inlineStr">
        <is>
          <t>Checkup</t>
        </is>
      </c>
      <c r="C23" s="11" t="inlineStr">
        <is>
          <t>DLS.3.2</t>
        </is>
      </c>
      <c r="D23" s="11" t="inlineStr">
        <is>
          <t>Anforderungen bei erhöhtem Schutzbedarf</t>
        </is>
      </c>
      <c r="E23" s="12" t="inlineStr">
        <is>
          <t>Dienstleistersteuerung für Outsourcing KANN die risikoorientierte Entscheidung über Outsourcing auf Grundlage der Geschäftsprozessprofile auf Änderungen der Gefährdungslage oder Prozessinhalte regelmäßig überprüfen.</t>
        </is>
      </c>
      <c r="F23" s="14" t="n"/>
      <c r="G23" s="14" t="n"/>
      <c r="H23" s="14" t="inlineStr">
        <is>
          <t>unbearbeitet</t>
        </is>
      </c>
      <c r="I23" s="14" t="n"/>
      <c r="J23" s="14" t="n"/>
      <c r="K23" s="14" t="n"/>
      <c r="L23" s="15" t="n"/>
      <c r="M23" s="11" t="inlineStr"/>
      <c r="N23" s="12" t="inlineStr">
        <is>
          <t>OPS.2.3.A2-UA.4</t>
        </is>
      </c>
      <c r="O23" s="11" t="inlineStr">
        <is>
          <t>equivalent-to</t>
        </is>
      </c>
      <c r="P23" s="12" t="inlineStr">
        <is>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is>
      </c>
      <c r="Q23" s="11" t="inlineStr">
        <is>
          <t>Outsourcing</t>
        </is>
      </c>
      <c r="R23" s="11" t="inlineStr">
        <is>
          <t>Übungs- und Prüfplan</t>
        </is>
      </c>
      <c r="S23" s="12" t="inlineStr">
        <is>
          <t>die risikoorientierte Entscheidung über Outsourcing auf Grundlage der Geschäftsprozessprofile</t>
        </is>
      </c>
      <c r="T23" s="12" t="inlineStr">
        <is>
          <t>G 0.11 – Ausfall oder Störung von Dienstleistern; G 0.20 – Informationen oder Produkte aus unzuverlässiger Quelle</t>
        </is>
      </c>
      <c r="U23" s="11" t="n">
        <v>4</v>
      </c>
      <c r="V23" s="11" t="n">
        <v>1</v>
      </c>
      <c r="W23" s="11" t="n">
        <v>1</v>
      </c>
      <c r="X23" s="11" t="n">
        <v>1</v>
      </c>
      <c r="Y23" s="11" t="n">
        <v>1</v>
      </c>
    </row>
    <row r="24">
      <c r="A24" s="9" t="inlineStr">
        <is>
          <t>DLS.3.3</t>
        </is>
      </c>
      <c r="B24" s="10" t="inlineStr">
        <is>
          <t>Strategie-Check</t>
        </is>
      </c>
      <c r="C24" s="11" t="n"/>
      <c r="D24" s="11" t="inlineStr">
        <is>
          <t>Anforderungen bei erhöhtem Schutzbedarf</t>
        </is>
      </c>
      <c r="E24" s="12" t="inlineStr">
        <is>
          <t>Gesamt:</t>
        </is>
      </c>
      <c r="F24" s="11" t="n"/>
      <c r="G24" s="11" t="n"/>
      <c r="H24" s="13">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
      </c>
      <c r="I24" s="11" t="n"/>
      <c r="J24" s="11" t="n"/>
      <c r="K24" s="11" t="n"/>
      <c r="L24" s="11" t="n"/>
      <c r="M24" s="11" t="inlineStr"/>
      <c r="N24" s="12" t="inlineStr"/>
      <c r="O24" s="11" t="inlineStr"/>
      <c r="P24" s="12" t="inlineStr">
        <is>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is>
      </c>
      <c r="Q24" s="11" t="inlineStr">
        <is>
          <t>Outsourcing</t>
        </is>
      </c>
      <c r="R24" s="11" t="inlineStr">
        <is>
          <t>Übungs- und Prüfplan</t>
        </is>
      </c>
      <c r="S24" s="12" t="inlineStr">
        <is>
          <t>die Strategie auf Vollständigkeit und Korrektheit in Bezug auf die betrachteten Geschäftsprozesse</t>
        </is>
      </c>
      <c r="T24" s="12" t="inlineStr">
        <is>
          <t>G 0.11 – Ausfall oder Störung von Dienstleistern; G 0.20 – Informationen oder Produkte aus unzuverlässiger Quelle</t>
        </is>
      </c>
      <c r="U24" s="11" t="n">
        <v>4</v>
      </c>
      <c r="V24" s="11" t="n">
        <v>1</v>
      </c>
      <c r="W24" s="11" t="n">
        <v>1</v>
      </c>
      <c r="X24" s="11" t="n">
        <v>1</v>
      </c>
      <c r="Y24" s="11" t="n">
        <v>1</v>
      </c>
    </row>
    <row r="25">
      <c r="A25" s="11" t="inlineStr">
        <is>
          <t>DLS.3.3</t>
        </is>
      </c>
      <c r="B25" s="12" t="inlineStr">
        <is>
          <t>Strategie-Check</t>
        </is>
      </c>
      <c r="C25" s="11" t="inlineStr">
        <is>
          <t>DLS.3.3</t>
        </is>
      </c>
      <c r="D25" s="11" t="inlineStr">
        <is>
          <t>Anforderungen bei erhöhtem Schutzbedarf</t>
        </is>
      </c>
      <c r="E25" s="12" t="inlineStr">
        <is>
          <t>Dienstleistersteuerung für Outsourcing KANN die Strategie auf Vollständigkeit und Korrektheit in Bezug auf die betrachteten Geschäftsprozesse bei Änderungen der Geschäftsprozessprofile überprüfen.</t>
        </is>
      </c>
      <c r="F25" s="14" t="n"/>
      <c r="G25" s="14" t="n"/>
      <c r="H25" s="14" t="inlineStr">
        <is>
          <t>unbearbeitet</t>
        </is>
      </c>
      <c r="I25" s="14" t="n"/>
      <c r="J25" s="14" t="n"/>
      <c r="K25" s="14" t="n"/>
      <c r="L25" s="15" t="n"/>
      <c r="M25" s="11" t="inlineStr"/>
      <c r="N25" s="12" t="inlineStr"/>
      <c r="O25" s="11" t="inlineStr"/>
      <c r="P25" s="12" t="inlineStr">
        <is>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is>
      </c>
      <c r="Q25" s="11" t="inlineStr">
        <is>
          <t>Outsourcing</t>
        </is>
      </c>
      <c r="R25" s="11" t="inlineStr">
        <is>
          <t>Übungs- und Prüfplan</t>
        </is>
      </c>
      <c r="S25" s="12" t="inlineStr">
        <is>
          <t>die Strategie auf Vollständigkeit und Korrektheit in Bezug auf die betrachteten Geschäftsprozesse</t>
        </is>
      </c>
      <c r="T25" s="12" t="inlineStr">
        <is>
          <t>G 0.11 – Ausfall oder Störung von Dienstleistern; G 0.20 – Informationen oder Produkte aus unzuverlässiger Quelle</t>
        </is>
      </c>
      <c r="U25" s="11" t="n">
        <v>4</v>
      </c>
      <c r="V25" s="11" t="n">
        <v>1</v>
      </c>
      <c r="W25" s="11" t="n">
        <v>1</v>
      </c>
      <c r="X25" s="11" t="n">
        <v>1</v>
      </c>
      <c r="Y25" s="11" t="n">
        <v>1</v>
      </c>
    </row>
    <row r="26">
      <c r="A26" s="9" t="inlineStr">
        <is>
          <t>DLS.3.4</t>
        </is>
      </c>
      <c r="B26" s="10" t="inlineStr">
        <is>
          <t>Anhörung</t>
        </is>
      </c>
      <c r="C26" s="11" t="n"/>
      <c r="D26" s="11" t="inlineStr">
        <is>
          <t>Standard-Anforderungen</t>
        </is>
      </c>
      <c r="E26" s="12" t="inlineStr">
        <is>
          <t>Gesamt:</t>
        </is>
      </c>
      <c r="F26" s="11" t="n"/>
      <c r="G26" s="11" t="n"/>
      <c r="H26" s="13">
        <f>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
      </c>
      <c r="I26" s="11" t="n"/>
      <c r="J26" s="11" t="n"/>
      <c r="K26" s="11" t="n"/>
      <c r="L26" s="11" t="n"/>
      <c r="M26" s="11" t="inlineStr"/>
      <c r="N26" s="12" t="inlineStr"/>
      <c r="O26" s="11" t="inlineStr"/>
      <c r="P26" s="12" t="inlineStr">
        <is>
          <t>Betroffen sind alle Zielobjekte, zu denen vom Dienstleister (Teil-)Leistungen erbracht werden. Für eine Anhörung ist es erforderlich, dass der Dienstleister über die geplanten Maßnahmen informiert ist und ausreichend Gelegenheit zur Stellungnahme erhält.</t>
        </is>
      </c>
      <c r="Q26" s="11" t="inlineStr">
        <is>
          <t>Outsourcing</t>
        </is>
      </c>
      <c r="R26" s="11" t="inlineStr">
        <is>
          <t>Betriebshandbuch</t>
        </is>
      </c>
      <c r="S26" s="12" t="inlineStr">
        <is>
          <t>den Dienstleister zu Sicherheitsmaßnahmen für betroffene Zielobjekte</t>
        </is>
      </c>
      <c r="T26" s="12" t="inlineStr">
        <is>
          <t>G 0.11 – Ausfall oder Störung von Dienstleistern; G 0.20 – Informationen oder Produkte aus unzuverlässiger Quelle</t>
        </is>
      </c>
      <c r="U26" s="11" t="n">
        <v>4</v>
      </c>
      <c r="V26" s="11" t="n">
        <v>1</v>
      </c>
      <c r="W26" s="11" t="n">
        <v>1</v>
      </c>
      <c r="X26" s="11" t="n">
        <v>1</v>
      </c>
      <c r="Y26" s="11" t="n">
        <v>1</v>
      </c>
    </row>
    <row r="27">
      <c r="A27" s="11" t="inlineStr">
        <is>
          <t>DLS.3.4</t>
        </is>
      </c>
      <c r="B27" s="12" t="inlineStr">
        <is>
          <t>Anhörung</t>
        </is>
      </c>
      <c r="C27" s="11" t="inlineStr">
        <is>
          <t>DLS.3.4</t>
        </is>
      </c>
      <c r="D27" s="11" t="inlineStr">
        <is>
          <t>Standard-Anforderungen</t>
        </is>
      </c>
      <c r="E27" s="12" t="inlineStr">
        <is>
          <t>Dienstleistersteuerung für Outsourcing SOLLTE den Dienstleister zu Sicherheitsmaßnahmen für betroffene Zielobjekte anhören.</t>
        </is>
      </c>
      <c r="F27" s="14" t="n"/>
      <c r="G27" s="14" t="n"/>
      <c r="H27" s="14" t="inlineStr">
        <is>
          <t>unbearbeitet</t>
        </is>
      </c>
      <c r="I27" s="14" t="n"/>
      <c r="J27" s="14" t="n"/>
      <c r="K27" s="14" t="n"/>
      <c r="L27" s="15" t="n"/>
      <c r="M27" s="11" t="inlineStr"/>
      <c r="N27" s="12" t="inlineStr"/>
      <c r="O27" s="11" t="inlineStr"/>
      <c r="P27" s="12" t="inlineStr">
        <is>
          <t>Betroffen sind alle Zielobjekte, zu denen vom Dienstleister (Teil-)Leistungen erbracht werden. Für eine Anhörung ist es erforderlich, dass der Dienstleister über die geplanten Maßnahmen informiert ist und ausreichend Gelegenheit zur Stellungnahme erhält.</t>
        </is>
      </c>
      <c r="Q27" s="11" t="inlineStr">
        <is>
          <t>Outsourcing</t>
        </is>
      </c>
      <c r="R27" s="11" t="inlineStr">
        <is>
          <t>Betriebshandbuch</t>
        </is>
      </c>
      <c r="S27" s="12" t="inlineStr">
        <is>
          <t>den Dienstleister zu Sicherheitsmaßnahmen für betroffene Zielobjekte</t>
        </is>
      </c>
      <c r="T27" s="12" t="inlineStr">
        <is>
          <t>G 0.11 – Ausfall oder Störung von Dienstleistern; G 0.20 – Informationen oder Produkte aus unzuverlässiger Quelle</t>
        </is>
      </c>
      <c r="U27" s="11" t="n">
        <v>4</v>
      </c>
      <c r="V27" s="11" t="n">
        <v>1</v>
      </c>
      <c r="W27" s="11" t="n">
        <v>1</v>
      </c>
      <c r="X27" s="11" t="n">
        <v>1</v>
      </c>
      <c r="Y27" s="11" t="n">
        <v>1</v>
      </c>
    </row>
    <row r="28">
      <c r="A28" s="9" t="inlineStr">
        <is>
          <t>DLS.3.5</t>
        </is>
      </c>
      <c r="B28" s="10" t="inlineStr">
        <is>
          <t>Blockierung unzuverlässiger Dienstleister</t>
        </is>
      </c>
      <c r="C28" s="11" t="n"/>
      <c r="D28" s="11" t="inlineStr">
        <is>
          <t>Standard-Anforderungen</t>
        </is>
      </c>
      <c r="E28" s="12" t="inlineStr">
        <is>
          <t>Gesamt:</t>
        </is>
      </c>
      <c r="F28" s="11" t="n"/>
      <c r="G28" s="11" t="n"/>
      <c r="H28" s="13">
        <f>IF(OR(COUNTBLANK($H$29:$H$29)&gt;0,COUNTIF($H$29:$H$29,"unbearbeitet")=COUNTA($H$29:$H$29)),"Bitte Teilanforderungen ausfüllen",IF(COUNTIF($H$29:$H$29,"zu klären")&gt;0,"zu klären",IF(COUNTIF($H$29:$H$29,"entbehrlich")=COUNTA($H$29:$H$29),"entbehrlich",IF(COUNTIF($H$29:$H$29,"verwiesen")=COUNTA($H$29:$H$29),"verwiesen",IF(COUNTIF($H$29:$H$29,"nein")+COUNTIF($H$29:$H$29,"entbehrlich")=COUNTA($H$29:$H$29),"nein",IF(COUNTIF($H$29:$H$29,"ja")+COUNTIF($H$29:$H$29,"entbehrlich")+COUNTIF($H$29:$H$29,"verwiesen")=COUNTA($H$29:$H$29),"ja","teilweise"))))))</f>
        <v/>
      </c>
      <c r="I28" s="11" t="n"/>
      <c r="J28" s="11" t="n"/>
      <c r="K28" s="11" t="n"/>
      <c r="L28" s="11" t="n"/>
      <c r="M28" s="11" t="inlineStr">
        <is>
          <t>Vertraulichkeit</t>
        </is>
      </c>
      <c r="N28" s="12" t="inlineStr"/>
      <c r="O28" s="11" t="inlineStr"/>
      <c r="P28" s="12" t="inlineStr">
        <is>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is>
      </c>
      <c r="Q28" s="11" t="inlineStr">
        <is>
          <t>Dienstleistungen</t>
        </is>
      </c>
      <c r="R28" s="11" t="inlineStr">
        <is>
          <t>Prozess Beschaffung</t>
        </is>
      </c>
      <c r="S28" s="12" t="inlineStr">
        <is>
          <t>unzuverlässige Dienstleister oder Subdienstleister</t>
        </is>
      </c>
      <c r="T28" s="12" t="inlineStr">
        <is>
          <t>G 0.11 – Ausfall oder Störung von Dienstleistern; G 0.19 – Offenlegung schützenswerter Informationen; G 0.20 – Informationen oder Produkte aus unzuverlässiger Quelle</t>
        </is>
      </c>
      <c r="U28" s="11" t="n">
        <v>3</v>
      </c>
      <c r="V28" s="11" t="n">
        <v>2</v>
      </c>
      <c r="W28" s="11" t="n">
        <v>1</v>
      </c>
      <c r="X28" s="11" t="n">
        <v>1</v>
      </c>
      <c r="Y28" s="11" t="n">
        <v>1</v>
      </c>
    </row>
    <row r="29">
      <c r="A29" s="11" t="inlineStr">
        <is>
          <t>DLS.3.5</t>
        </is>
      </c>
      <c r="B29" s="12" t="inlineStr">
        <is>
          <t>Blockierung unzuverlässiger Dienstleister</t>
        </is>
      </c>
      <c r="C29" s="11" t="inlineStr">
        <is>
          <t>DLS.3.5</t>
        </is>
      </c>
      <c r="D29" s="11" t="inlineStr">
        <is>
          <t>Standard-Anforderungen</t>
        </is>
      </c>
      <c r="E29" s="12" t="inlineStr">
        <is>
          <t>Dienstleistersteuerung für Dienstleistungen SOLLTE unzuverlässige Dienstleister oder Subdienstleister blockieren.</t>
        </is>
      </c>
      <c r="F29" s="14" t="n"/>
      <c r="G29" s="14" t="n"/>
      <c r="H29" s="14" t="inlineStr">
        <is>
          <t>unbearbeitet</t>
        </is>
      </c>
      <c r="I29" s="14" t="n"/>
      <c r="J29" s="14" t="n"/>
      <c r="K29" s="14" t="n"/>
      <c r="L29" s="15" t="n"/>
      <c r="M29" s="11" t="inlineStr">
        <is>
          <t>Vertraulichkeit</t>
        </is>
      </c>
      <c r="N29" s="12" t="inlineStr"/>
      <c r="O29" s="11" t="inlineStr"/>
      <c r="P29" s="12" t="inlineStr">
        <is>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is>
      </c>
      <c r="Q29" s="11" t="inlineStr">
        <is>
          <t>Dienstleistungen</t>
        </is>
      </c>
      <c r="R29" s="11" t="inlineStr">
        <is>
          <t>Prozess Beschaffung</t>
        </is>
      </c>
      <c r="S29" s="12" t="inlineStr">
        <is>
          <t>unzuverlässige Dienstleister oder Subdienstleister</t>
        </is>
      </c>
      <c r="T29" s="12" t="inlineStr">
        <is>
          <t>G 0.11 – Ausfall oder Störung von Dienstleistern; G 0.19 – Offenlegung schützenswerter Informationen; G 0.20 – Informationen oder Produkte aus unzuverlässiger Quelle</t>
        </is>
      </c>
      <c r="U29" s="11" t="n">
        <v>3</v>
      </c>
      <c r="V29" s="11" t="n">
        <v>2</v>
      </c>
      <c r="W29" s="11" t="n">
        <v>1</v>
      </c>
      <c r="X29" s="11" t="n">
        <v>1</v>
      </c>
      <c r="Y29" s="11" t="n">
        <v>1</v>
      </c>
    </row>
    <row r="30">
      <c r="A30" s="9" t="inlineStr">
        <is>
          <t>DLS.3.6</t>
        </is>
      </c>
      <c r="B30" s="10" t="inlineStr">
        <is>
          <t>Portabilität</t>
        </is>
      </c>
      <c r="C30" s="11" t="n"/>
      <c r="D30" s="11" t="inlineStr">
        <is>
          <t>Anforderungen bei erhöhtem Schutzbedarf</t>
        </is>
      </c>
      <c r="E30" s="12" t="inlineStr">
        <is>
          <t>Gesamt:</t>
        </is>
      </c>
      <c r="F30" s="11" t="n"/>
      <c r="G30" s="11" t="n"/>
      <c r="H30" s="13">
        <f>IF(OR(COUNTBLANK($H$31:$H$31)&gt;0,COUNTIF($H$31:$H$31,"unbearbeitet")=COUNTA($H$31:$H$31)),"Bitte Teilanforderungen ausfüllen",IF(COUNTIF($H$31:$H$31,"zu klären")&gt;0,"zu klären",IF(COUNTIF($H$31:$H$31,"entbehrlich")=COUNTA($H$31:$H$31),"entbehrlich",IF(COUNTIF($H$31:$H$31,"verwiesen")=COUNTA($H$31:$H$31),"verwiesen",IF(COUNTIF($H$31:$H$31,"nein")+COUNTIF($H$31:$H$31,"entbehrlich")=COUNTA($H$31:$H$31),"nein",IF(COUNTIF($H$31:$H$31,"ja")+COUNTIF($H$31:$H$31,"entbehrlich")+COUNTIF($H$31:$H$31,"verwiesen")=COUNTA($H$31:$H$31),"ja","teilweise"))))))</f>
        <v/>
      </c>
      <c r="I30" s="11" t="n"/>
      <c r="J30" s="11" t="n"/>
      <c r="K30" s="11" t="n"/>
      <c r="L30" s="11" t="n"/>
      <c r="M30" s="11" t="inlineStr"/>
      <c r="N30" s="12" t="inlineStr"/>
      <c r="O30" s="11" t="inlineStr"/>
      <c r="P30" s="12" t="inlineStr">
        <is>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is>
      </c>
      <c r="Q30" s="11" t="inlineStr">
        <is>
          <t>Outsourcing</t>
        </is>
      </c>
      <c r="R30" s="11" t="inlineStr">
        <is>
          <t>Übungs- und Prüfplan</t>
        </is>
      </c>
      <c r="S30" s="12" t="inlineStr">
        <is>
          <t>die Portabilität des ausgelagerten Prozesses</t>
        </is>
      </c>
      <c r="T30" s="12" t="inlineStr">
        <is>
          <t>G 0.11 – Ausfall oder Störung von Dienstleistern; G 0.20 – Informationen oder Produkte aus unzuverlässiger Quelle</t>
        </is>
      </c>
      <c r="U30" s="11" t="n">
        <v>5</v>
      </c>
      <c r="V30" s="11" t="n">
        <v>1</v>
      </c>
      <c r="W30" s="11" t="n">
        <v>1</v>
      </c>
      <c r="X30" s="11" t="n">
        <v>1</v>
      </c>
      <c r="Y30" s="11" t="n">
        <v>1</v>
      </c>
    </row>
    <row r="31">
      <c r="A31" s="11" t="inlineStr">
        <is>
          <t>DLS.3.6</t>
        </is>
      </c>
      <c r="B31" s="12" t="inlineStr">
        <is>
          <t>Portabilität</t>
        </is>
      </c>
      <c r="C31" s="11" t="inlineStr">
        <is>
          <t>DLS.3.6</t>
        </is>
      </c>
      <c r="D31" s="11" t="inlineStr">
        <is>
          <t>Anforderungen bei erhöhtem Schutzbedarf</t>
        </is>
      </c>
      <c r="E31" s="12" t="inlineStr">
        <is>
          <t>Dienstleistersteuerung für Outsourcing KANN die Portabilität des ausgelagerten Prozesses regelmäßig überprüfen.</t>
        </is>
      </c>
      <c r="F31" s="14" t="n"/>
      <c r="G31" s="14" t="n"/>
      <c r="H31" s="14" t="inlineStr">
        <is>
          <t>unbearbeitet</t>
        </is>
      </c>
      <c r="I31" s="14" t="n"/>
      <c r="J31" s="14" t="n"/>
      <c r="K31" s="14" t="n"/>
      <c r="L31" s="15" t="n"/>
      <c r="M31" s="11" t="inlineStr"/>
      <c r="N31" s="12" t="inlineStr"/>
      <c r="O31" s="11" t="inlineStr"/>
      <c r="P31" s="12" t="inlineStr">
        <is>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is>
      </c>
      <c r="Q31" s="11" t="inlineStr">
        <is>
          <t>Outsourcing</t>
        </is>
      </c>
      <c r="R31" s="11" t="inlineStr">
        <is>
          <t>Übungs- und Prüfplan</t>
        </is>
      </c>
      <c r="S31" s="12" t="inlineStr">
        <is>
          <t>die Portabilität des ausgelagerten Prozesses</t>
        </is>
      </c>
      <c r="T31" s="12" t="inlineStr">
        <is>
          <t>G 0.11 – Ausfall oder Störung von Dienstleistern; G 0.20 – Informationen oder Produkte aus unzuverlässiger Quelle</t>
        </is>
      </c>
      <c r="U31" s="11" t="n">
        <v>5</v>
      </c>
      <c r="V31" s="11" t="n">
        <v>1</v>
      </c>
      <c r="W31" s="11" t="n">
        <v>1</v>
      </c>
      <c r="X31" s="11" t="n">
        <v>1</v>
      </c>
      <c r="Y31" s="11" t="n">
        <v>1</v>
      </c>
    </row>
    <row r="32">
      <c r="A32" s="9" t="inlineStr">
        <is>
          <t>DLS.4.1</t>
        </is>
      </c>
      <c r="B32" s="10" t="inlineStr">
        <is>
          <t>Dekomissionierung</t>
        </is>
      </c>
      <c r="C32" s="11" t="n"/>
      <c r="D32" s="11" t="inlineStr">
        <is>
          <t>Standard-Anforderungen</t>
        </is>
      </c>
      <c r="E32" s="12" t="inlineStr">
        <is>
          <t>Gesamt:</t>
        </is>
      </c>
      <c r="F32" s="11" t="n"/>
      <c r="G32" s="11" t="n"/>
      <c r="H32" s="13">
        <f>IF(OR(COUNTBLANK($H$33:$H$35)&gt;0,COUNTIF($H$33:$H$35,"unbearbeitet")=COUNTA($H$33:$H$35)),"Bitte Teilanforderungen ausfüllen",IF(COUNTIF($H$33:$H$35,"zu klären")&gt;0,"zu klären",IF(COUNTIF($H$33:$H$35,"entbehrlich")=COUNTA($H$33:$H$35),"entbehrlich",IF(COUNTIF($H$33:$H$35,"verwiesen")=COUNTA($H$33:$H$35),"verwiesen",IF(COUNTIF($H$33:$H$35,"nein")+COUNTIF($H$33:$H$35,"entbehrlich")=COUNTA($H$33:$H$35),"nein",IF(COUNTIF($H$33:$H$35,"ja")+COUNTIF($H$33:$H$35,"entbehrlich")+COUNTIF($H$33:$H$35,"verwiesen")=COUNTA($H$33:$H$35),"ja","teilweise"))))))</f>
        <v/>
      </c>
      <c r="I32" s="11" t="n"/>
      <c r="J32" s="11" t="n"/>
      <c r="K32" s="11" t="n"/>
      <c r="L32" s="11" t="n"/>
      <c r="M32" s="11" t="inlineStr"/>
      <c r="N32" s="12" t="inlineStr"/>
      <c r="O32" s="11" t="inlineStr"/>
      <c r="P32" s="12" t="inlineStr">
        <is>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is>
      </c>
      <c r="Q32" s="11" t="inlineStr">
        <is>
          <t>Dienstleistungen</t>
        </is>
      </c>
      <c r="R32" s="11" t="inlineStr">
        <is>
          <t>Betriebshandbuch</t>
        </is>
      </c>
      <c r="S32" s="12" t="inlineStr">
        <is>
          <t>eine Vorgehensweise zur Dekommissionierung</t>
        </is>
      </c>
      <c r="T32" s="12" t="inlineStr">
        <is>
          <t>G 0.18 – Fehlplanung oder fehlende Anpassung</t>
        </is>
      </c>
      <c r="U32" s="11" t="n">
        <v>2</v>
      </c>
      <c r="V32" s="11" t="n">
        <v>1</v>
      </c>
      <c r="W32" s="11" t="n">
        <v>1</v>
      </c>
      <c r="X32" s="11" t="n">
        <v>1</v>
      </c>
      <c r="Y32" s="11" t="n">
        <v>0</v>
      </c>
    </row>
    <row r="33">
      <c r="A33" s="11" t="inlineStr">
        <is>
          <t>DLS.4.1</t>
        </is>
      </c>
      <c r="B33" s="12" t="inlineStr">
        <is>
          <t>Dekomissionierung</t>
        </is>
      </c>
      <c r="C33" s="11" t="inlineStr">
        <is>
          <t>DLS.4.1</t>
        </is>
      </c>
      <c r="D33" s="11" t="inlineStr">
        <is>
          <t>Standard-Anforderungen</t>
        </is>
      </c>
      <c r="E33" s="12" t="inlineStr">
        <is>
          <t>Dienstleistersteuerung für Dienstleistungen SOLLTE eine Vorgehensweise zur Dekommissionierung vor Vertragsende verankern.</t>
        </is>
      </c>
      <c r="F33" s="14" t="n"/>
      <c r="G33" s="14" t="n"/>
      <c r="H33" s="14" t="inlineStr">
        <is>
          <t>unbearbeitet</t>
        </is>
      </c>
      <c r="I33" s="14" t="n"/>
      <c r="J33" s="14" t="n"/>
      <c r="K33" s="14" t="n"/>
      <c r="L33" s="15" t="n"/>
      <c r="M33" s="11" t="inlineStr"/>
      <c r="N33" s="12" t="inlineStr"/>
      <c r="O33" s="11" t="inlineStr"/>
      <c r="P33" s="12" t="inlineStr">
        <is>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is>
      </c>
      <c r="Q33" s="11" t="inlineStr">
        <is>
          <t>Dienstleistungen</t>
        </is>
      </c>
      <c r="R33" s="11" t="inlineStr">
        <is>
          <t>Betriebshandbuch</t>
        </is>
      </c>
      <c r="S33" s="12" t="inlineStr">
        <is>
          <t>eine Vorgehensweise zur Dekommissionierung</t>
        </is>
      </c>
      <c r="T33" s="12" t="inlineStr">
        <is>
          <t>G 0.18 – Fehlplanung oder fehlende Anpassung</t>
        </is>
      </c>
      <c r="U33" s="11" t="n">
        <v>2</v>
      </c>
      <c r="V33" s="11" t="n">
        <v>1</v>
      </c>
      <c r="W33" s="11" t="n">
        <v>1</v>
      </c>
      <c r="X33" s="11" t="n">
        <v>1</v>
      </c>
      <c r="Y33" s="11" t="n">
        <v>0</v>
      </c>
    </row>
    <row r="34">
      <c r="A34" s="11" t="inlineStr">
        <is>
          <t>DLS.4.1</t>
        </is>
      </c>
      <c r="B34" s="12" t="inlineStr">
        <is>
          <t>Dekomissionierung</t>
        </is>
      </c>
      <c r="C34" s="11" t="inlineStr">
        <is>
          <t>DLS.4.1.1</t>
        </is>
      </c>
      <c r="D34" s="11" t="inlineStr">
        <is>
          <t>Standard-Anforderungen</t>
        </is>
      </c>
      <c r="E34" s="12" t="inlineStr">
        <is>
          <t>Dienstleistersteuerung für Outsourcing SOLLTE die Unabhängigkeit der Verarbeitung schützenswerter Informationen vor der Außerbetriebnahme testen.</t>
        </is>
      </c>
      <c r="F34" s="14" t="n"/>
      <c r="G34" s="14" t="n"/>
      <c r="H34" s="14" t="inlineStr">
        <is>
          <t>unbearbeitet</t>
        </is>
      </c>
      <c r="I34" s="14" t="n"/>
      <c r="J34" s="14" t="n"/>
      <c r="K34" s="14" t="n"/>
      <c r="L34" s="15" t="n"/>
      <c r="M34" s="11" t="inlineStr"/>
      <c r="N34" s="12" t="inlineStr"/>
      <c r="O34" s="11" t="inlineStr"/>
      <c r="P34" s="12" t="inlineStr">
        <is>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is>
      </c>
      <c r="Q34" s="11" t="inlineStr">
        <is>
          <t>Outsourcing</t>
        </is>
      </c>
      <c r="R34" s="11" t="inlineStr">
        <is>
          <t>Ergebnisprotokoll</t>
        </is>
      </c>
      <c r="S34" s="12" t="inlineStr">
        <is>
          <t>die Unabhängigkeit der Verarbeitung schützenswerter Informationen</t>
        </is>
      </c>
      <c r="T34" s="12" t="inlineStr">
        <is>
          <t>G 0.18 – Fehlplanung oder fehlende Anpassung</t>
        </is>
      </c>
      <c r="U34" s="11" t="n">
        <v>3</v>
      </c>
      <c r="V34" s="11" t="n">
        <v>1</v>
      </c>
      <c r="W34" s="11" t="n">
        <v>1</v>
      </c>
      <c r="X34" s="11" t="n">
        <v>1</v>
      </c>
      <c r="Y34" s="11" t="n">
        <v>0</v>
      </c>
    </row>
    <row r="35">
      <c r="A35" s="11" t="inlineStr">
        <is>
          <t>DLS.4.1</t>
        </is>
      </c>
      <c r="B35" s="12" t="inlineStr">
        <is>
          <t>Dekomissionierung</t>
        </is>
      </c>
      <c r="C35" s="11" t="inlineStr">
        <is>
          <t>DLS.4.1.2</t>
        </is>
      </c>
      <c r="D35" s="11" t="inlineStr">
        <is>
          <t>Standard-Anforderungen</t>
        </is>
      </c>
      <c r="E35" s="12" t="inlineStr">
        <is>
          <t>Dienstleistersteuerung für Dienstleistungen SOLLTE für den Vertrag benötigte Berechtigungen bei Vertragsende unverzüglich deaktivieren.</t>
        </is>
      </c>
      <c r="F35" s="14" t="n"/>
      <c r="G35" s="14" t="n"/>
      <c r="H35" s="14" t="inlineStr">
        <is>
          <t>unbearbeitet</t>
        </is>
      </c>
      <c r="I35" s="14" t="n"/>
      <c r="J35" s="14" t="n"/>
      <c r="K35" s="14" t="n"/>
      <c r="L35" s="15" t="n"/>
      <c r="M35" s="11" t="inlineStr"/>
      <c r="N35" s="12" t="inlineStr"/>
      <c r="O35" s="11" t="inlineStr"/>
      <c r="P35" s="12" t="inlineStr">
        <is>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is>
      </c>
      <c r="Q35" s="11" t="inlineStr">
        <is>
          <t>Dienstleistungen</t>
        </is>
      </c>
      <c r="R35" s="11" t="inlineStr">
        <is>
          <t>Betriebshandbuch</t>
        </is>
      </c>
      <c r="S35" s="12" t="inlineStr">
        <is>
          <t>für den Vertrag benötigte Berechtigungen</t>
        </is>
      </c>
      <c r="T35" s="12" t="inlineStr">
        <is>
          <t>G 0.18 – Fehlplanung oder fehlende Anpassung; G 0.29 – Verstoß gegen Gesetze oder Regelungen</t>
        </is>
      </c>
      <c r="U35" s="11" t="n">
        <v>3</v>
      </c>
      <c r="V35" s="11" t="n">
        <v>1</v>
      </c>
      <c r="W35" s="11" t="n">
        <v>1</v>
      </c>
      <c r="X35" s="11" t="n">
        <v>1</v>
      </c>
      <c r="Y35" s="11" t="n">
        <v>0</v>
      </c>
    </row>
  </sheetData>
  <autoFilter ref="A6:Y6"/>
  <conditionalFormatting sqref="H7:H35">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20 H21 H23 H25 H27 H29 H31 H33 H34 H35"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50"/>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GC</t>
        </is>
      </c>
      <c r="B3" s="6" t="inlineStr">
        <is>
          <t>Governance und Compliance</t>
        </is>
      </c>
    </row>
    <row r="4">
      <c r="A4" s="3" t="inlineStr">
        <is>
          <t>Zielobjekte</t>
        </is>
      </c>
      <c r="B4" s="7">
        <f>IF('Praktiken'!D12="","",'Praktiken'!D12)</f>
        <v/>
      </c>
    </row>
    <row r="5">
      <c r="A5" s="3" t="inlineStr">
        <is>
          <t>Zuständig</t>
        </is>
      </c>
      <c r="B5" s="7">
        <f>IF('Praktiken'!S12="","",'Praktiken'!S12)</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GC.1.1</t>
        </is>
      </c>
      <c r="B7" s="10" t="inlineStr">
        <is>
          <t>Errichtung und Aufrechterhaltung eines ISMS</t>
        </is>
      </c>
      <c r="C7" s="11" t="n"/>
      <c r="D7" s="11" t="inlineStr">
        <is>
          <t>Basis-Anforderungen</t>
        </is>
      </c>
      <c r="E7" s="12" t="inlineStr">
        <is>
          <t>Gesamt:</t>
        </is>
      </c>
      <c r="F7" s="11" t="n"/>
      <c r="G7" s="11" t="n"/>
      <c r="H7" s="13">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
      </c>
      <c r="I7" s="11" t="n"/>
      <c r="J7" s="11" t="n"/>
      <c r="K7" s="11" t="n"/>
      <c r="L7" s="11" t="n"/>
      <c r="M7" s="11" t="inlineStr"/>
      <c r="N7" s="12" t="inlineStr"/>
      <c r="O7" s="11" t="inlineStr"/>
      <c r="P7" s="12" t="inlineStr">
        <is>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is>
      </c>
      <c r="Q7" s="11" t="inlineStr"/>
      <c r="R7" s="11" t="inlineStr">
        <is>
          <t>ISMS-Regelwerk</t>
        </is>
      </c>
      <c r="S7" s="12" t="inlineStr">
        <is>
          <t>Verfahren und Regelungen zur Errichtung und Aufrechterhaltung eines ISMS</t>
        </is>
      </c>
      <c r="T7" s="12" t="inlineStr"/>
      <c r="U7" s="11" t="n">
        <v>0</v>
      </c>
      <c r="V7" s="11" t="n"/>
      <c r="W7" s="11" t="n"/>
      <c r="X7" s="11" t="n"/>
      <c r="Y7" s="11" t="n"/>
    </row>
    <row r="8">
      <c r="A8" s="11" t="inlineStr">
        <is>
          <t>GC.1.1</t>
        </is>
      </c>
      <c r="B8" s="12" t="inlineStr">
        <is>
          <t>Errichtung und Aufrechterhaltung eines ISMS</t>
        </is>
      </c>
      <c r="C8" s="11" t="inlineStr">
        <is>
          <t>GC.1.1</t>
        </is>
      </c>
      <c r="D8" s="11" t="inlineStr">
        <is>
          <t>Basis-Anforderungen</t>
        </is>
      </c>
      <c r="E8" s="12" t="inlineStr">
        <is>
          <t>Governance und Compliance MUSS Verfahren und Regelungen zur Errichtung und Aufrechterhaltung eines ISMS nach BSI Grundschutz++ verankern.</t>
        </is>
      </c>
      <c r="F8" s="14" t="n"/>
      <c r="G8" s="14" t="n"/>
      <c r="H8" s="14" t="inlineStr">
        <is>
          <t>unbearbeitet</t>
        </is>
      </c>
      <c r="I8" s="14" t="n"/>
      <c r="J8" s="14" t="n"/>
      <c r="K8" s="14" t="n"/>
      <c r="L8" s="15" t="n"/>
      <c r="M8" s="11" t="inlineStr"/>
      <c r="N8" s="12" t="inlineStr"/>
      <c r="O8" s="11" t="inlineStr"/>
      <c r="P8" s="12" t="inlineStr">
        <is>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is>
      </c>
      <c r="Q8" s="11" t="inlineStr"/>
      <c r="R8" s="11" t="inlineStr">
        <is>
          <t>ISMS-Regelwerk</t>
        </is>
      </c>
      <c r="S8" s="12" t="inlineStr">
        <is>
          <t>Verfahren und Regelungen zur Errichtung und Aufrechterhaltung eines ISMS</t>
        </is>
      </c>
      <c r="T8" s="12" t="inlineStr"/>
      <c r="U8" s="11" t="n">
        <v>0</v>
      </c>
      <c r="V8" s="11" t="n"/>
      <c r="W8" s="11" t="n"/>
      <c r="X8" s="11" t="n"/>
      <c r="Y8" s="11" t="n"/>
    </row>
    <row r="9">
      <c r="A9" s="9" t="inlineStr">
        <is>
          <t>GC.1.2</t>
        </is>
      </c>
      <c r="B9" s="10" t="inlineStr">
        <is>
          <t>Freigabe des ISMS</t>
        </is>
      </c>
      <c r="C9" s="11" t="n"/>
      <c r="D9" s="11" t="inlineStr">
        <is>
          <t>Basis-Anforderungen</t>
        </is>
      </c>
      <c r="E9" s="12" t="inlineStr">
        <is>
          <t>Gesamt:</t>
        </is>
      </c>
      <c r="F9" s="11" t="n"/>
      <c r="G9" s="11" t="n"/>
      <c r="H9" s="13">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
      </c>
      <c r="I9" s="11" t="n"/>
      <c r="J9" s="11" t="n"/>
      <c r="K9" s="11" t="n"/>
      <c r="L9" s="11" t="n"/>
      <c r="M9" s="11" t="inlineStr"/>
      <c r="N9" s="12" t="inlineStr"/>
      <c r="O9" s="11" t="inlineStr"/>
      <c r="P9" s="12" t="inlineStr">
        <is>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is>
      </c>
      <c r="Q9" s="11" t="inlineStr"/>
      <c r="R9" s="11" t="inlineStr">
        <is>
          <t>Managementbericht</t>
        </is>
      </c>
      <c r="S9" s="12" t="inlineStr">
        <is>
          <t>alle festgelegten Verfahren für das ISMS</t>
        </is>
      </c>
      <c r="T9" s="12" t="inlineStr"/>
      <c r="U9" s="11" t="n">
        <v>0</v>
      </c>
      <c r="V9" s="11" t="n"/>
      <c r="W9" s="11" t="n"/>
      <c r="X9" s="11" t="n"/>
      <c r="Y9" s="11" t="n"/>
    </row>
    <row r="10">
      <c r="A10" s="11" t="inlineStr">
        <is>
          <t>GC.1.2</t>
        </is>
      </c>
      <c r="B10" s="12" t="inlineStr">
        <is>
          <t>Freigabe des ISMS</t>
        </is>
      </c>
      <c r="C10" s="11" t="inlineStr">
        <is>
          <t>GC.1.2</t>
        </is>
      </c>
      <c r="D10" s="11" t="inlineStr">
        <is>
          <t>Basis-Anforderungen</t>
        </is>
      </c>
      <c r="E10" s="12" t="inlineStr">
        <is>
          <t>Governance und Compliance MUSS alle festgelegten Verfahren für das ISMS durch die Institutionsleitung autorisieren.</t>
        </is>
      </c>
      <c r="F10" s="14" t="n"/>
      <c r="G10" s="14" t="n"/>
      <c r="H10" s="14" t="inlineStr">
        <is>
          <t>unbearbeitet</t>
        </is>
      </c>
      <c r="I10" s="14" t="n"/>
      <c r="J10" s="14" t="n"/>
      <c r="K10" s="14" t="n"/>
      <c r="L10" s="15" t="n"/>
      <c r="M10" s="11" t="inlineStr"/>
      <c r="N10" s="12" t="inlineStr"/>
      <c r="O10" s="11" t="inlineStr"/>
      <c r="P10" s="12" t="inlineStr">
        <is>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is>
      </c>
      <c r="Q10" s="11" t="inlineStr"/>
      <c r="R10" s="11" t="inlineStr">
        <is>
          <t>Managementbericht</t>
        </is>
      </c>
      <c r="S10" s="12" t="inlineStr">
        <is>
          <t>alle festgelegten Verfahren für das ISMS</t>
        </is>
      </c>
      <c r="T10" s="12" t="inlineStr"/>
      <c r="U10" s="11" t="n">
        <v>0</v>
      </c>
      <c r="V10" s="11" t="n"/>
      <c r="W10" s="11" t="n"/>
      <c r="X10" s="11" t="n"/>
      <c r="Y10" s="11" t="n"/>
    </row>
    <row r="11">
      <c r="A11" s="9" t="inlineStr">
        <is>
          <t>GC.2.1</t>
        </is>
      </c>
      <c r="B11" s="10" t="inlineStr">
        <is>
          <t>Festlegung des externen Kontextes der Institution</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is>
      </c>
      <c r="Q11" s="11" t="inlineStr"/>
      <c r="R11" s="11" t="inlineStr"/>
      <c r="S11" s="12" t="inlineStr">
        <is>
          <t>alle für das Informationssicherheitsmanagement relevanten externen Rahmenbedingungen</t>
        </is>
      </c>
      <c r="T11" s="12" t="inlineStr"/>
      <c r="U11" s="11" t="n">
        <v>0</v>
      </c>
      <c r="V11" s="11" t="n"/>
      <c r="W11" s="11" t="n"/>
      <c r="X11" s="11" t="n"/>
      <c r="Y11" s="11" t="n"/>
    </row>
    <row r="12">
      <c r="A12" s="11" t="inlineStr">
        <is>
          <t>GC.2.1</t>
        </is>
      </c>
      <c r="B12" s="12" t="inlineStr">
        <is>
          <t>Festlegung des externen Kontextes der Institution</t>
        </is>
      </c>
      <c r="C12" s="11" t="inlineStr">
        <is>
          <t>GC.2.1</t>
        </is>
      </c>
      <c r="D12" s="11" t="inlineStr">
        <is>
          <t>Basis-Anforderungen</t>
        </is>
      </c>
      <c r="E12" s="12" t="inlineStr">
        <is>
          <t>Governance und Compliance MUSS alle für das Informationssicherheitsmanagement relevanten externen Rahmenbedingungen analysieren.</t>
        </is>
      </c>
      <c r="F12" s="14" t="n"/>
      <c r="G12" s="14" t="n"/>
      <c r="H12" s="14" t="inlineStr">
        <is>
          <t>unbearbeitet</t>
        </is>
      </c>
      <c r="I12" s="14" t="n"/>
      <c r="J12" s="14" t="n"/>
      <c r="K12" s="14" t="n"/>
      <c r="L12" s="15" t="n"/>
      <c r="M12" s="11" t="inlineStr"/>
      <c r="N12" s="12" t="inlineStr"/>
      <c r="O12" s="11" t="inlineStr"/>
      <c r="P12" s="12" t="inlineStr">
        <is>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is>
      </c>
      <c r="Q12" s="11" t="inlineStr"/>
      <c r="R12" s="11" t="inlineStr"/>
      <c r="S12" s="12" t="inlineStr">
        <is>
          <t>alle für das Informationssicherheitsmanagement relevanten externen Rahmenbedingungen</t>
        </is>
      </c>
      <c r="T12" s="12" t="inlineStr"/>
      <c r="U12" s="11" t="n">
        <v>0</v>
      </c>
      <c r="V12" s="11" t="n"/>
      <c r="W12" s="11" t="n"/>
      <c r="X12" s="11" t="n"/>
      <c r="Y12" s="11" t="n"/>
    </row>
    <row r="13">
      <c r="A13" s="9" t="inlineStr">
        <is>
          <t>GC.2.2</t>
        </is>
      </c>
      <c r="B13" s="10" t="inlineStr">
        <is>
          <t>Festlegung des internen Kontextes der Institution</t>
        </is>
      </c>
      <c r="C13" s="11" t="n"/>
      <c r="D13" s="11" t="inlineStr">
        <is>
          <t>Basis-Anforderungen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is>
      </c>
      <c r="Q13" s="11" t="inlineStr"/>
      <c r="R13" s="11" t="inlineStr"/>
      <c r="S13" s="12" t="inlineStr">
        <is>
          <t>alle für das Informationssicherheitsmanagement relevanten internen Rahmenbedingungen</t>
        </is>
      </c>
      <c r="T13" s="12" t="inlineStr"/>
      <c r="U13" s="11" t="n">
        <v>0</v>
      </c>
      <c r="V13" s="11" t="n"/>
      <c r="W13" s="11" t="n"/>
      <c r="X13" s="11" t="n"/>
      <c r="Y13" s="11" t="n"/>
    </row>
    <row r="14">
      <c r="A14" s="11" t="inlineStr">
        <is>
          <t>GC.2.2</t>
        </is>
      </c>
      <c r="B14" s="12" t="inlineStr">
        <is>
          <t>Festlegung des internen Kontextes der Institution</t>
        </is>
      </c>
      <c r="C14" s="11" t="inlineStr">
        <is>
          <t>GC.2.2</t>
        </is>
      </c>
      <c r="D14" s="11" t="inlineStr">
        <is>
          <t>Basis-Anforderungen</t>
        </is>
      </c>
      <c r="E14" s="12" t="inlineStr">
        <is>
          <t>Governance und Compliance MUSS alle für das Informationssicherheitsmanagement relevanten internen Rahmenbedingungen analysieren.</t>
        </is>
      </c>
      <c r="F14" s="14" t="n"/>
      <c r="G14" s="14" t="n"/>
      <c r="H14" s="14" t="inlineStr">
        <is>
          <t>unbearbeitet</t>
        </is>
      </c>
      <c r="I14" s="14" t="n"/>
      <c r="J14" s="14" t="n"/>
      <c r="K14" s="14" t="n"/>
      <c r="L14" s="15" t="n"/>
      <c r="M14" s="11" t="inlineStr"/>
      <c r="N14" s="12" t="inlineStr"/>
      <c r="O14" s="11" t="inlineStr"/>
      <c r="P14" s="12" t="inlineStr">
        <is>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is>
      </c>
      <c r="Q14" s="11" t="inlineStr"/>
      <c r="R14" s="11" t="inlineStr"/>
      <c r="S14" s="12" t="inlineStr">
        <is>
          <t>alle für das Informationssicherheitsmanagement relevanten internen Rahmenbedingungen</t>
        </is>
      </c>
      <c r="T14" s="12" t="inlineStr"/>
      <c r="U14" s="11" t="n">
        <v>0</v>
      </c>
      <c r="V14" s="11" t="n"/>
      <c r="W14" s="11" t="n"/>
      <c r="X14" s="11" t="n"/>
      <c r="Y14" s="11" t="n"/>
    </row>
    <row r="15">
      <c r="A15" s="9" t="inlineStr">
        <is>
          <t>GC.3.1</t>
        </is>
      </c>
      <c r="B15" s="10" t="inlineStr">
        <is>
          <t>Verfahren und Regelungen</t>
        </is>
      </c>
      <c r="C15" s="11" t="n"/>
      <c r="D15" s="11" t="inlineStr">
        <is>
          <t>Basis-Anforderungen</t>
        </is>
      </c>
      <c r="E15" s="12" t="inlineStr">
        <is>
          <t>Gesamt:</t>
        </is>
      </c>
      <c r="F15" s="11" t="n"/>
      <c r="G15" s="11" t="n"/>
      <c r="H15" s="13">
        <f>IF(OR(COUNTBLANK($H$16:$H$19)&gt;0,COUNTIF($H$16:$H$19,"unbearbeitet")=COUNTA($H$16:$H$19)),"Bitte Teilanforderungen ausfüllen",IF(COUNTIF($H$16:$H$19,"zu klären")&gt;0,"zu klären",IF(COUNTIF($H$16:$H$19,"entbehrlich")=COUNTA($H$16:$H$19),"entbehrlich",IF(COUNTIF($H$16:$H$19,"verwiesen")=COUNTA($H$16:$H$19),"verwiesen",IF(COUNTIF($H$16:$H$19,"nein")+COUNTIF($H$16:$H$19,"entbehrlich")=COUNTA($H$16:$H$19),"nein",IF(COUNTIF($H$16:$H$19,"ja")+COUNTIF($H$16:$H$19,"entbehrlich")+COUNTIF($H$16:$H$19,"verwiesen")=COUNTA($H$16:$H$19),"ja","teilweise"))))))</f>
        <v/>
      </c>
      <c r="I15" s="11" t="n"/>
      <c r="J15" s="11" t="n"/>
      <c r="K15" s="11" t="n"/>
      <c r="L15" s="11" t="n"/>
      <c r="M15" s="11" t="inlineStr"/>
      <c r="N15" s="12" t="inlineStr"/>
      <c r="O15" s="11" t="inlineStr"/>
      <c r="P15" s="12" t="inlineStr">
        <is>
          <t>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is>
      </c>
      <c r="Q15" s="11" t="inlineStr"/>
      <c r="R15" s="11" t="inlineStr">
        <is>
          <t>Compliance-Verpflichtungen</t>
        </is>
      </c>
      <c r="S15" s="12" t="inlineStr">
        <is>
          <t>ein Verfahren zur systematischen Erfassung und Verwaltung von Compliance-Verpflichtungen</t>
        </is>
      </c>
      <c r="T15" s="12" t="inlineStr"/>
      <c r="U15" s="11" t="n">
        <v>0</v>
      </c>
      <c r="V15" s="11" t="n"/>
      <c r="W15" s="11" t="n"/>
      <c r="X15" s="11" t="n"/>
      <c r="Y15" s="11" t="n"/>
    </row>
    <row r="16">
      <c r="A16" s="11" t="inlineStr">
        <is>
          <t>GC.3.1</t>
        </is>
      </c>
      <c r="B16" s="12" t="inlineStr">
        <is>
          <t>Verfahren und Regelungen</t>
        </is>
      </c>
      <c r="C16" s="11" t="inlineStr">
        <is>
          <t>GC.3.1.1</t>
        </is>
      </c>
      <c r="D16" s="11" t="inlineStr">
        <is>
          <t>Basis-Anforderungen</t>
        </is>
      </c>
      <c r="E16" s="12" t="inlineStr">
        <is>
          <t>Governance und Compliance MUSS gesetzliche Verpflichtungen, welche die Verarbeitung von Informationen durch die Institution betreffen, analysieren.</t>
        </is>
      </c>
      <c r="F16" s="14" t="n"/>
      <c r="G16" s="14" t="n"/>
      <c r="H16" s="14" t="inlineStr">
        <is>
          <t>unbearbeitet</t>
        </is>
      </c>
      <c r="I16" s="14" t="n"/>
      <c r="J16" s="14" t="n"/>
      <c r="K16" s="14" t="n"/>
      <c r="L16" s="15" t="n"/>
      <c r="M16" s="11" t="inlineStr"/>
      <c r="N16" s="12" t="inlineStr"/>
      <c r="O16" s="11" t="inlineStr"/>
      <c r="P16" s="12" t="inlineStr">
        <is>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Digital Markets Act, NIS, DSGVO, BDSG, TKG, TDDDG oder GeschGehG ergeben. Hierbei werden Verpflichtungen, die sich mittelbar auswirken wie die Arbeitsstättenverordnung oder allgemeine Regelungen zur Fürsorgepflicht, auch beachtet.</t>
        </is>
      </c>
      <c r="Q16" s="11" t="inlineStr"/>
      <c r="R16" s="11" t="inlineStr">
        <is>
          <t>Compliance-Verpflichtungen</t>
        </is>
      </c>
      <c r="S16" s="12" t="inlineStr">
        <is>
          <t>gesetzliche Verpflichtungen, welche die Verarbeitung von Informationen durch die Institution betreffen,</t>
        </is>
      </c>
      <c r="T16" s="12" t="inlineStr"/>
      <c r="U16" s="11" t="n">
        <v>0</v>
      </c>
      <c r="V16" s="11" t="n"/>
      <c r="W16" s="11" t="n"/>
      <c r="X16" s="11" t="n"/>
      <c r="Y16" s="11" t="n"/>
    </row>
    <row r="17">
      <c r="A17" s="11" t="inlineStr">
        <is>
          <t>GC.3.1</t>
        </is>
      </c>
      <c r="B17" s="12" t="inlineStr">
        <is>
          <t>Verfahren und Regelungen</t>
        </is>
      </c>
      <c r="C17" s="11" t="inlineStr">
        <is>
          <t>GC.3.1.2</t>
        </is>
      </c>
      <c r="D17" s="11" t="inlineStr">
        <is>
          <t>Standard-Anforderungen</t>
        </is>
      </c>
      <c r="E17" s="12" t="inlineStr">
        <is>
          <t>Governance und Compliance SOLLTE für die Einhaltung gesetzlicher Verpflichtungen in der Informationsverarbeitung zuständige Stellen in der Institution anhören.</t>
        </is>
      </c>
      <c r="F17" s="14" t="n"/>
      <c r="G17" s="14" t="n"/>
      <c r="H17" s="14" t="inlineStr">
        <is>
          <t>unbearbeitet</t>
        </is>
      </c>
      <c r="I17" s="14" t="n"/>
      <c r="J17" s="14" t="n"/>
      <c r="K17" s="14" t="n"/>
      <c r="L17" s="15" t="n"/>
      <c r="M17" s="11" t="inlineStr"/>
      <c r="N17" s="12" t="inlineStr"/>
      <c r="O17" s="11" t="inlineStr"/>
      <c r="P17" s="12" t="inlineStr">
        <is>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is>
      </c>
      <c r="Q17" s="11" t="inlineStr"/>
      <c r="R17" s="11" t="inlineStr">
        <is>
          <t>Compliance-Verpflichtungen</t>
        </is>
      </c>
      <c r="S17" s="12" t="inlineStr">
        <is>
          <t>für die Einhaltung gesetzlicher Verpflichtungen in der Informationsverarbeitung zuständige Stellen in der Institution</t>
        </is>
      </c>
      <c r="T17" s="12" t="inlineStr"/>
      <c r="U17" s="11" t="n">
        <v>3</v>
      </c>
      <c r="V17" s="11" t="n"/>
      <c r="W17" s="11" t="n"/>
      <c r="X17" s="11" t="n"/>
      <c r="Y17" s="11" t="n"/>
    </row>
    <row r="18">
      <c r="A18" s="11" t="inlineStr">
        <is>
          <t>GC.3.1</t>
        </is>
      </c>
      <c r="B18" s="12" t="inlineStr">
        <is>
          <t>Verfahren und Regelungen</t>
        </is>
      </c>
      <c r="C18" s="11" t="inlineStr">
        <is>
          <t>GC.3.1.3</t>
        </is>
      </c>
      <c r="D18" s="11" t="inlineStr">
        <is>
          <t>Standard-Anforderungen</t>
        </is>
      </c>
      <c r="E18" s="12" t="inlineStr">
        <is>
          <t>Governance und Compliance SOLLTE vertragliche Verpflichtungen, welche die Verarbeitung von Informationen durch die Institution betreffen, analysieren.</t>
        </is>
      </c>
      <c r="F18" s="14" t="n"/>
      <c r="G18" s="14" t="n"/>
      <c r="H18" s="14" t="inlineStr">
        <is>
          <t>unbearbeitet</t>
        </is>
      </c>
      <c r="I18" s="14" t="n"/>
      <c r="J18" s="14" t="n"/>
      <c r="K18" s="14" t="n"/>
      <c r="L18" s="15" t="n"/>
      <c r="M18" s="11" t="inlineStr"/>
      <c r="N18" s="12" t="inlineStr"/>
      <c r="O18" s="11" t="inlineStr"/>
      <c r="P18" s="12" t="inlineStr">
        <is>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is>
      </c>
      <c r="Q18" s="11" t="inlineStr"/>
      <c r="R18" s="11" t="inlineStr">
        <is>
          <t>Compliance-Verpflichtungen</t>
        </is>
      </c>
      <c r="S18" s="12" t="inlineStr">
        <is>
          <t>vertragliche Verpflichtungen, welche die Verarbeitung von Informationen durch die Institution betreffen,</t>
        </is>
      </c>
      <c r="T18" s="12" t="inlineStr"/>
      <c r="U18" s="11" t="n">
        <v>3</v>
      </c>
      <c r="V18" s="11" t="n"/>
      <c r="W18" s="11" t="n"/>
      <c r="X18" s="11" t="n"/>
      <c r="Y18" s="11" t="n"/>
    </row>
    <row r="19">
      <c r="A19" s="11" t="inlineStr">
        <is>
          <t>GC.3.1</t>
        </is>
      </c>
      <c r="B19" s="12" t="inlineStr">
        <is>
          <t>Verfahren und Regelungen</t>
        </is>
      </c>
      <c r="C19" s="11" t="inlineStr">
        <is>
          <t>GC.3.1.4</t>
        </is>
      </c>
      <c r="D19" s="11" t="inlineStr">
        <is>
          <t>Standard-Anforderungen</t>
        </is>
      </c>
      <c r="E19" s="12" t="inlineStr">
        <is>
          <t>Governance und Compliance SOLLTE Verfahren zur Prävention gegen Verstöße verankern.</t>
        </is>
      </c>
      <c r="F19" s="14" t="n"/>
      <c r="G19" s="14" t="n"/>
      <c r="H19" s="14" t="inlineStr">
        <is>
          <t>unbearbeitet</t>
        </is>
      </c>
      <c r="I19" s="14" t="n"/>
      <c r="J19" s="14" t="n"/>
      <c r="K19" s="14" t="n"/>
      <c r="L19" s="15" t="n"/>
      <c r="M19" s="11" t="inlineStr"/>
      <c r="N19" s="12" t="inlineStr"/>
      <c r="O19" s="11" t="inlineStr"/>
      <c r="P19" s="12" t="inlineStr">
        <is>
          <t>Verfahren können z. B. zielgruppengerechte Schulungen der für die Umsetzung und Einhaltung zuständigen Personen, die Berücksichtigung der Compliance-Verpflichtungen bei Freigabe- und Testprozessen sowie die Förderung einer konstruktiven Fehlerkultur sein.</t>
        </is>
      </c>
      <c r="Q19" s="11" t="inlineStr"/>
      <c r="R19" s="11" t="inlineStr">
        <is>
          <t>Arbeitsanweisung</t>
        </is>
      </c>
      <c r="S19" s="12" t="inlineStr">
        <is>
          <t>Verfahren zur Prävention gegen Verstöße</t>
        </is>
      </c>
      <c r="T19" s="12" t="inlineStr"/>
      <c r="U19" s="11" t="n">
        <v>3</v>
      </c>
      <c r="V19" s="11" t="n"/>
      <c r="W19" s="11" t="n"/>
      <c r="X19" s="11" t="n"/>
      <c r="Y19" s="11" t="n"/>
    </row>
    <row r="20">
      <c r="A20" s="9" t="inlineStr">
        <is>
          <t>GC.4.1</t>
        </is>
      </c>
      <c r="B20" s="10" t="inlineStr">
        <is>
          <t>Analyse der externen interessierten Parteien</t>
        </is>
      </c>
      <c r="C20" s="11" t="n"/>
      <c r="D20" s="11" t="inlineStr">
        <is>
          <t>Basis-Anforderungen</t>
        </is>
      </c>
      <c r="E20" s="12" t="inlineStr">
        <is>
          <t>Gesamt:</t>
        </is>
      </c>
      <c r="F20" s="11" t="n"/>
      <c r="G20" s="11" t="n"/>
      <c r="H20" s="13">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
      </c>
      <c r="I20" s="11" t="n"/>
      <c r="J20" s="11" t="n"/>
      <c r="K20" s="11" t="n"/>
      <c r="L20" s="11" t="n"/>
      <c r="M20" s="11" t="inlineStr"/>
      <c r="N20" s="12" t="inlineStr"/>
      <c r="O20" s="11" t="inlineStr"/>
      <c r="P20" s="12" t="inlineStr">
        <is>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is>
      </c>
      <c r="Q20" s="11" t="inlineStr"/>
      <c r="R20" s="11" t="inlineStr"/>
      <c r="S20" s="12" t="inlineStr">
        <is>
          <t>alle externen interessierten Parteien sowie ihre Bedürfnisse und Erwartungen</t>
        </is>
      </c>
      <c r="T20" s="12" t="inlineStr"/>
      <c r="U20" s="11" t="n">
        <v>0</v>
      </c>
      <c r="V20" s="11" t="n"/>
      <c r="W20" s="11" t="n"/>
      <c r="X20" s="11" t="n"/>
      <c r="Y20" s="11" t="n"/>
    </row>
    <row r="21">
      <c r="A21" s="11" t="inlineStr">
        <is>
          <t>GC.4.1</t>
        </is>
      </c>
      <c r="B21" s="12" t="inlineStr">
        <is>
          <t>Analyse der externen interessierten Parteien</t>
        </is>
      </c>
      <c r="C21" s="11" t="inlineStr">
        <is>
          <t>GC.4.1</t>
        </is>
      </c>
      <c r="D21" s="11" t="inlineStr">
        <is>
          <t>Basis-Anforderungen</t>
        </is>
      </c>
      <c r="E21" s="12" t="inlineStr">
        <is>
          <t>Governance und Compliance MUSS alle externen interessierten Parteien sowie ihre Bedürfnisse und Erwartungen an das Informationssicherheitsmanagement der Institution analysieren.</t>
        </is>
      </c>
      <c r="F21" s="14" t="n"/>
      <c r="G21" s="14" t="n"/>
      <c r="H21" s="14" t="inlineStr">
        <is>
          <t>unbearbeitet</t>
        </is>
      </c>
      <c r="I21" s="14" t="n"/>
      <c r="J21" s="14" t="n"/>
      <c r="K21" s="14" t="n"/>
      <c r="L21" s="15" t="n"/>
      <c r="M21" s="11" t="inlineStr"/>
      <c r="N21" s="12" t="inlineStr"/>
      <c r="O21" s="11" t="inlineStr"/>
      <c r="P21" s="12" t="inlineStr">
        <is>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is>
      </c>
      <c r="Q21" s="11" t="inlineStr"/>
      <c r="R21" s="11" t="inlineStr"/>
      <c r="S21" s="12" t="inlineStr">
        <is>
          <t>alle externen interessierten Parteien sowie ihre Bedürfnisse und Erwartungen</t>
        </is>
      </c>
      <c r="T21" s="12" t="inlineStr"/>
      <c r="U21" s="11" t="n">
        <v>0</v>
      </c>
      <c r="V21" s="11" t="n"/>
      <c r="W21" s="11" t="n"/>
      <c r="X21" s="11" t="n"/>
      <c r="Y21" s="11" t="n"/>
    </row>
    <row r="22">
      <c r="A22" s="9" t="inlineStr">
        <is>
          <t>GC.4.2</t>
        </is>
      </c>
      <c r="B22" s="10" t="inlineStr">
        <is>
          <t>Analyse der internen interessierten Parteien</t>
        </is>
      </c>
      <c r="C22" s="11" t="n"/>
      <c r="D22" s="11" t="inlineStr">
        <is>
          <t>Basis-Anforderungen</t>
        </is>
      </c>
      <c r="E22" s="12" t="inlineStr">
        <is>
          <t>Gesamt:</t>
        </is>
      </c>
      <c r="F22" s="11" t="n"/>
      <c r="G22" s="11" t="n"/>
      <c r="H22" s="13">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
      </c>
      <c r="I22" s="11" t="n"/>
      <c r="J22" s="11" t="n"/>
      <c r="K22" s="11" t="n"/>
      <c r="L22" s="11" t="n"/>
      <c r="M22" s="11" t="inlineStr"/>
      <c r="N22" s="12" t="inlineStr"/>
      <c r="O22" s="11" t="inlineStr"/>
      <c r="P22" s="12" t="inlineStr">
        <is>
          <t>Alle relevanten internen interessierten Parteien werden ermittelt. Die internen interessierten Parteien umfassen beispielsweise: Geschäftsführung, ISB, DSB, Mitarbeiter, Führungskräfte, Betriebsrat/Personalrat.</t>
        </is>
      </c>
      <c r="Q22" s="11" t="inlineStr"/>
      <c r="R22" s="11" t="inlineStr"/>
      <c r="S22" s="12" t="inlineStr">
        <is>
          <t>alle internen interessierten Parteien sowie ihre Bedürfnisse und Erwartungen</t>
        </is>
      </c>
      <c r="T22" s="12" t="inlineStr"/>
      <c r="U22" s="11" t="n">
        <v>0</v>
      </c>
      <c r="V22" s="11" t="n"/>
      <c r="W22" s="11" t="n"/>
      <c r="X22" s="11" t="n"/>
      <c r="Y22" s="11" t="n"/>
    </row>
    <row r="23">
      <c r="A23" s="11" t="inlineStr">
        <is>
          <t>GC.4.2</t>
        </is>
      </c>
      <c r="B23" s="12" t="inlineStr">
        <is>
          <t>Analyse der internen interessierten Parteien</t>
        </is>
      </c>
      <c r="C23" s="11" t="inlineStr">
        <is>
          <t>GC.4.2</t>
        </is>
      </c>
      <c r="D23" s="11" t="inlineStr">
        <is>
          <t>Basis-Anforderungen</t>
        </is>
      </c>
      <c r="E23" s="12" t="inlineStr">
        <is>
          <t>Governance und Compliance MUSS alle internen interessierten Parteien sowie ihre Bedürfnisse und Erwartungen an das Informationssicherheitsmanagement der Institution analysieren.</t>
        </is>
      </c>
      <c r="F23" s="14" t="n"/>
      <c r="G23" s="14" t="n"/>
      <c r="H23" s="14" t="inlineStr">
        <is>
          <t>unbearbeitet</t>
        </is>
      </c>
      <c r="I23" s="14" t="n"/>
      <c r="J23" s="14" t="n"/>
      <c r="K23" s="14" t="n"/>
      <c r="L23" s="15" t="n"/>
      <c r="M23" s="11" t="inlineStr"/>
      <c r="N23" s="12" t="inlineStr"/>
      <c r="O23" s="11" t="inlineStr"/>
      <c r="P23" s="12" t="inlineStr">
        <is>
          <t>Alle relevanten internen interessierten Parteien werden ermittelt. Die internen interessierten Parteien umfassen beispielsweise: Geschäftsführung, ISB, DSB, Mitarbeiter, Führungskräfte, Betriebsrat/Personalrat.</t>
        </is>
      </c>
      <c r="Q23" s="11" t="inlineStr"/>
      <c r="R23" s="11" t="inlineStr"/>
      <c r="S23" s="12" t="inlineStr">
        <is>
          <t>alle internen interessierten Parteien sowie ihre Bedürfnisse und Erwartungen</t>
        </is>
      </c>
      <c r="T23" s="12" t="inlineStr"/>
      <c r="U23" s="11" t="n">
        <v>0</v>
      </c>
      <c r="V23" s="11" t="n"/>
      <c r="W23" s="11" t="n"/>
      <c r="X23" s="11" t="n"/>
      <c r="Y23" s="11" t="n"/>
    </row>
    <row r="24">
      <c r="A24" s="9" t="inlineStr">
        <is>
          <t>GC.5.1</t>
        </is>
      </c>
      <c r="B24" s="10" t="inlineStr">
        <is>
          <t>Festlegung von Zielen für die Informationssicherheit</t>
        </is>
      </c>
      <c r="C24" s="11" t="n"/>
      <c r="D24" s="11" t="inlineStr">
        <is>
          <t>Basis-Anforderungen</t>
        </is>
      </c>
      <c r="E24" s="12" t="inlineStr">
        <is>
          <t>Gesamt:</t>
        </is>
      </c>
      <c r="F24" s="11" t="n"/>
      <c r="G24" s="11" t="n"/>
      <c r="H24" s="13">
        <f>IF(OR(COUNTBLANK($H$25:$H$28)&gt;0,COUNTIF($H$25:$H$28,"unbearbeitet")=COUNTA($H$25:$H$28)),"Bitte Teilanforderungen ausfüllen",IF(COUNTIF($H$25:$H$28,"zu klären")&gt;0,"zu klären",IF(COUNTIF($H$25:$H$28,"entbehrlich")=COUNTA($H$25:$H$28),"entbehrlich",IF(COUNTIF($H$25:$H$28,"verwiesen")=COUNTA($H$25:$H$28),"verwiesen",IF(COUNTIF($H$25:$H$28,"nein")+COUNTIF($H$25:$H$28,"entbehrlich")=COUNTA($H$25:$H$28),"nein",IF(COUNTIF($H$25:$H$28,"ja")+COUNTIF($H$25:$H$28,"entbehrlich")+COUNTIF($H$25:$H$28,"verwiesen")=COUNTA($H$25:$H$28),"ja","teilweise"))))))</f>
        <v/>
      </c>
      <c r="I24" s="11" t="n"/>
      <c r="J24" s="11" t="n"/>
      <c r="K24" s="11" t="n"/>
      <c r="L24" s="11" t="n"/>
      <c r="M24" s="11" t="inlineStr"/>
      <c r="N24" s="12" t="inlineStr"/>
      <c r="O24" s="11" t="inlineStr"/>
      <c r="P24" s="12" t="inlineStr">
        <is>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is>
      </c>
      <c r="Q24" s="11" t="inlineStr"/>
      <c r="R24" s="11" t="inlineStr">
        <is>
          <t>Informationssicherheitsstrategie</t>
        </is>
      </c>
      <c r="S24" s="12" t="inlineStr">
        <is>
          <t>konkrete und messbare Ziele für die Informationssicherheit</t>
        </is>
      </c>
      <c r="T24" s="12" t="inlineStr"/>
      <c r="U24" s="11" t="n">
        <v>0</v>
      </c>
      <c r="V24" s="11" t="n"/>
      <c r="W24" s="11" t="n"/>
      <c r="X24" s="11" t="n"/>
      <c r="Y24" s="11" t="n"/>
    </row>
    <row r="25">
      <c r="A25" s="11" t="inlineStr">
        <is>
          <t>GC.5.1</t>
        </is>
      </c>
      <c r="B25" s="12" t="inlineStr">
        <is>
          <t>Festlegung von Zielen für die Informationssicherheit</t>
        </is>
      </c>
      <c r="C25" s="11" t="inlineStr">
        <is>
          <t>GC.5.1.1</t>
        </is>
      </c>
      <c r="D25" s="11" t="inlineStr">
        <is>
          <t>Basis-Anforderungen</t>
        </is>
      </c>
      <c r="E25" s="12" t="inlineStr">
        <is>
          <t>Governance und Compliance MUSS eine grundlegende Strategie zur Erreichung der Ziele für die Informationssicherheit gemeinsam mit der Institutionsleitung festlegen.</t>
        </is>
      </c>
      <c r="F25" s="14" t="n"/>
      <c r="G25" s="14" t="n"/>
      <c r="H25" s="14" t="inlineStr">
        <is>
          <t>unbearbeitet</t>
        </is>
      </c>
      <c r="I25" s="14" t="n"/>
      <c r="J25" s="14" t="n"/>
      <c r="K25" s="14" t="n"/>
      <c r="L25" s="15" t="n"/>
      <c r="M25" s="11" t="inlineStr"/>
      <c r="N25" s="12" t="inlineStr"/>
      <c r="O25" s="11" t="inlineStr"/>
      <c r="P25" s="12" t="inlineStr">
        <is>
          <t>Die Sicherheitsstrategie legt fest, wie die Organisation die Ziele erreichen möchte und fokussiert inbesondere den übergeordneten Ansatz und die Prinzipien.</t>
        </is>
      </c>
      <c r="Q25" s="11" t="inlineStr"/>
      <c r="R25" s="11" t="inlineStr">
        <is>
          <t>Informationssicherheitsstrategie</t>
        </is>
      </c>
      <c r="S25" s="12" t="inlineStr">
        <is>
          <t>eine grundlegende Strategie zur Erreichung der Ziele für die Informationssicherheit</t>
        </is>
      </c>
      <c r="T25" s="12" t="inlineStr"/>
      <c r="U25" s="11" t="n">
        <v>3</v>
      </c>
      <c r="V25" s="11" t="n"/>
      <c r="W25" s="11" t="n"/>
      <c r="X25" s="11" t="n"/>
      <c r="Y25" s="11" t="n"/>
    </row>
    <row r="26">
      <c r="A26" s="11" t="inlineStr">
        <is>
          <t>GC.5.1</t>
        </is>
      </c>
      <c r="B26" s="12" t="inlineStr">
        <is>
          <t>Festlegung von Zielen für die Informationssicherheit</t>
        </is>
      </c>
      <c r="C26" s="11" t="inlineStr">
        <is>
          <t>GC.5.1.2</t>
        </is>
      </c>
      <c r="D26" s="11" t="inlineStr">
        <is>
          <t>Basis-Anforderungen</t>
        </is>
      </c>
      <c r="E26" s="12" t="inlineStr">
        <is>
          <t>Governance und Compliance MUSS die Verpflichtung der Institutionsleitung zuweisen.</t>
        </is>
      </c>
      <c r="F26" s="14" t="n"/>
      <c r="G26" s="14" t="n"/>
      <c r="H26" s="14" t="inlineStr">
        <is>
          <t>unbearbeitet</t>
        </is>
      </c>
      <c r="I26" s="14" t="n"/>
      <c r="J26" s="14" t="n"/>
      <c r="K26" s="14" t="n"/>
      <c r="L26" s="15" t="n"/>
      <c r="M26" s="11" t="inlineStr"/>
      <c r="N26" s="12" t="inlineStr"/>
      <c r="O26" s="11" t="inlineStr"/>
      <c r="P26" s="12" t="inlineStr">
        <is>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is>
      </c>
      <c r="Q26" s="11" t="inlineStr"/>
      <c r="R26" s="11" t="inlineStr">
        <is>
          <t>Leitungsentscheidung</t>
        </is>
      </c>
      <c r="S26" s="12" t="inlineStr">
        <is>
          <t>die Verpflichtung der Institutionsleitung</t>
        </is>
      </c>
      <c r="T26" s="12" t="inlineStr"/>
      <c r="U26" s="11" t="n">
        <v>0</v>
      </c>
      <c r="V26" s="11" t="n"/>
      <c r="W26" s="11" t="n"/>
      <c r="X26" s="11" t="n"/>
      <c r="Y26" s="11" t="n"/>
    </row>
    <row r="27">
      <c r="A27" s="11" t="inlineStr">
        <is>
          <t>GC.5.1</t>
        </is>
      </c>
      <c r="B27" s="12" t="inlineStr">
        <is>
          <t>Festlegung von Zielen für die Informationssicherheit</t>
        </is>
      </c>
      <c r="C27" s="11" t="inlineStr">
        <is>
          <t>GC.5.1.3</t>
        </is>
      </c>
      <c r="D27" s="11" t="inlineStr">
        <is>
          <t>Basis-Anforderungen</t>
        </is>
      </c>
      <c r="E27" s="12" t="inlineStr">
        <is>
          <t>Governance und Compliance MUSS eine für die Institution passende Sicherheitsleitlinie festlegen.</t>
        </is>
      </c>
      <c r="F27" s="14" t="n"/>
      <c r="G27" s="14" t="n"/>
      <c r="H27" s="14" t="inlineStr">
        <is>
          <t>unbearbeitet</t>
        </is>
      </c>
      <c r="I27" s="14" t="n"/>
      <c r="J27" s="14" t="n"/>
      <c r="K27" s="14" t="n"/>
      <c r="L27" s="15" t="n"/>
      <c r="M27" s="11" t="inlineStr"/>
      <c r="N27" s="12" t="inlineStr"/>
      <c r="O27" s="11" t="inlineStr"/>
      <c r="P27" s="12" t="inlineStr">
        <is>
          <t>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is>
      </c>
      <c r="Q27" s="11" t="inlineStr"/>
      <c r="R27" s="11" t="inlineStr">
        <is>
          <t>Informationssicherheitsleitlinie</t>
        </is>
      </c>
      <c r="S27" s="12" t="inlineStr">
        <is>
          <t>eine für die Institution passende Sicherheitsleitlinie</t>
        </is>
      </c>
      <c r="T27" s="12" t="inlineStr"/>
      <c r="U27" s="11" t="n">
        <v>0</v>
      </c>
      <c r="V27" s="11" t="n"/>
      <c r="W27" s="11" t="n"/>
      <c r="X27" s="11" t="n"/>
      <c r="Y27" s="11" t="n"/>
    </row>
    <row r="28">
      <c r="A28" s="11" t="inlineStr">
        <is>
          <t>GC.5.1</t>
        </is>
      </c>
      <c r="B28" s="12" t="inlineStr">
        <is>
          <t>Festlegung von Zielen für die Informationssicherheit</t>
        </is>
      </c>
      <c r="C28" s="11" t="inlineStr">
        <is>
          <t>GC.5.1.4</t>
        </is>
      </c>
      <c r="D28" s="11" t="inlineStr">
        <is>
          <t>Basis-Anforderungen</t>
        </is>
      </c>
      <c r="E28" s="12" t="inlineStr">
        <is>
          <t>Governance und Compliance MUSS die festgelegte Sicherheitsleitlinie durch die Institutionsleitung autorisieren.</t>
        </is>
      </c>
      <c r="F28" s="14" t="n"/>
      <c r="G28" s="14" t="n"/>
      <c r="H28" s="14" t="inlineStr">
        <is>
          <t>unbearbeitet</t>
        </is>
      </c>
      <c r="I28" s="14" t="n"/>
      <c r="J28" s="14" t="n"/>
      <c r="K28" s="14" t="n"/>
      <c r="L28" s="15" t="n"/>
      <c r="M28" s="11" t="inlineStr"/>
      <c r="N28" s="12" t="inlineStr"/>
      <c r="O28" s="11" t="inlineStr"/>
      <c r="P28" s="12" t="inlineStr">
        <is>
          <t>Diese Autorisierung muss dokumentiert werden.</t>
        </is>
      </c>
      <c r="Q28" s="11" t="inlineStr"/>
      <c r="R28" s="11" t="inlineStr">
        <is>
          <t>Informationssicherheitsleitlinie</t>
        </is>
      </c>
      <c r="S28" s="12" t="inlineStr">
        <is>
          <t>die festgelegte Sicherheitsleitlinie</t>
        </is>
      </c>
      <c r="T28" s="12" t="inlineStr"/>
      <c r="U28" s="11" t="n">
        <v>0</v>
      </c>
      <c r="V28" s="11" t="n"/>
      <c r="W28" s="11" t="n"/>
      <c r="X28" s="11" t="n"/>
      <c r="Y28" s="11" t="n"/>
    </row>
    <row r="29">
      <c r="A29" s="9" t="inlineStr">
        <is>
          <t>GC.6.1</t>
        </is>
      </c>
      <c r="B29" s="10" t="inlineStr">
        <is>
          <t>Festlegung des Geltungsbereichs</t>
        </is>
      </c>
      <c r="C29" s="11" t="n"/>
      <c r="D29" s="11" t="inlineStr">
        <is>
          <t>Basis-Anforderungen</t>
        </is>
      </c>
      <c r="E29" s="12" t="inlineStr">
        <is>
          <t>Gesamt:</t>
        </is>
      </c>
      <c r="F29" s="11" t="n"/>
      <c r="G29" s="11" t="n"/>
      <c r="H29" s="13">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
      </c>
      <c r="I29" s="11" t="n"/>
      <c r="J29" s="11" t="n"/>
      <c r="K29" s="11" t="n"/>
      <c r="L29" s="11" t="n"/>
      <c r="M29" s="11" t="inlineStr"/>
      <c r="N29" s="12" t="inlineStr"/>
      <c r="O29" s="11" t="inlineStr"/>
      <c r="P29" s="12" t="inlineStr">
        <is>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is>
      </c>
      <c r="Q29" s="11" t="inlineStr"/>
      <c r="R29" s="11" t="inlineStr"/>
      <c r="S29" s="12" t="inlineStr">
        <is>
          <t>den nachvollziehbar abgegrenzten Geltungsbereich</t>
        </is>
      </c>
      <c r="T29" s="12" t="inlineStr"/>
      <c r="U29" s="11" t="n">
        <v>0</v>
      </c>
      <c r="V29" s="11" t="n"/>
      <c r="W29" s="11" t="n"/>
      <c r="X29" s="11" t="n"/>
      <c r="Y29" s="11" t="n"/>
    </row>
    <row r="30">
      <c r="A30" s="11" t="inlineStr">
        <is>
          <t>GC.6.1</t>
        </is>
      </c>
      <c r="B30" s="12" t="inlineStr">
        <is>
          <t>Festlegung des Geltungsbereichs</t>
        </is>
      </c>
      <c r="C30" s="11" t="inlineStr">
        <is>
          <t>GC.6.1</t>
        </is>
      </c>
      <c r="D30" s="11" t="inlineStr">
        <is>
          <t>Basis-Anforderungen</t>
        </is>
      </c>
      <c r="E30" s="12" t="inlineStr">
        <is>
          <t>Governance und Compliance MUSS den nachvollziehbar abgegrenzten Geltungsbereich nach Freigabe der Institutionsleitung festlegen.</t>
        </is>
      </c>
      <c r="F30" s="14" t="n"/>
      <c r="G30" s="14" t="n"/>
      <c r="H30" s="14" t="inlineStr">
        <is>
          <t>unbearbeitet</t>
        </is>
      </c>
      <c r="I30" s="14" t="n"/>
      <c r="J30" s="14" t="n"/>
      <c r="K30" s="14" t="n"/>
      <c r="L30" s="15" t="n"/>
      <c r="M30" s="11" t="inlineStr"/>
      <c r="N30" s="12" t="inlineStr"/>
      <c r="O30" s="11" t="inlineStr"/>
      <c r="P30" s="12" t="inlineStr">
        <is>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is>
      </c>
      <c r="Q30" s="11" t="inlineStr"/>
      <c r="R30" s="11" t="inlineStr"/>
      <c r="S30" s="12" t="inlineStr">
        <is>
          <t>den nachvollziehbar abgegrenzten Geltungsbereich</t>
        </is>
      </c>
      <c r="T30" s="12" t="inlineStr"/>
      <c r="U30" s="11" t="n">
        <v>0</v>
      </c>
      <c r="V30" s="11" t="n"/>
      <c r="W30" s="11" t="n"/>
      <c r="X30" s="11" t="n"/>
      <c r="Y30" s="11" t="n"/>
    </row>
    <row r="31">
      <c r="A31" s="9" t="inlineStr">
        <is>
          <t>GC.7.1</t>
        </is>
      </c>
      <c r="B31" s="10" t="inlineStr">
        <is>
          <t>Vorgehen bei der Informationssicherheitseinstufung</t>
        </is>
      </c>
      <c r="C31" s="11" t="n"/>
      <c r="D31" s="11" t="inlineStr">
        <is>
          <t>Basis-Anforderungen</t>
        </is>
      </c>
      <c r="E31" s="12" t="inlineStr">
        <is>
          <t>Gesamt:</t>
        </is>
      </c>
      <c r="F31" s="11" t="n"/>
      <c r="G31" s="11" t="n"/>
      <c r="H31" s="13">
        <f>IF(OR(COUNTBLANK($H$32:$H$33)&gt;0,COUNTIF($H$32:$H$33,"unbearbeitet")=COUNTA($H$32:$H$33)),"Bitte Teilanforderungen ausfüllen",IF(COUNTIF($H$32:$H$33,"zu klären")&gt;0,"zu klären",IF(COUNTIF($H$32:$H$33,"entbehrlich")=COUNTA($H$32:$H$33),"entbehrlich",IF(COUNTIF($H$32:$H$33,"verwiesen")=COUNTA($H$32:$H$33),"verwiesen",IF(COUNTIF($H$32:$H$33,"nein")+COUNTIF($H$32:$H$33,"entbehrlich")=COUNTA($H$32:$H$33),"nein",IF(COUNTIF($H$32:$H$33,"ja")+COUNTIF($H$32:$H$33,"entbehrlich")+COUNTIF($H$32:$H$33,"verwiesen")=COUNTA($H$32:$H$33),"ja","teilweise"))))))</f>
        <v/>
      </c>
      <c r="I31" s="11" t="n"/>
      <c r="J31" s="11" t="n"/>
      <c r="K31" s="11" t="n"/>
      <c r="L31" s="11" t="n"/>
      <c r="M31" s="11" t="inlineStr"/>
      <c r="N31" s="12" t="inlineStr"/>
      <c r="O31" s="11" t="inlineStr"/>
      <c r="P31" s="12" t="inlineStr">
        <is>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is>
      </c>
      <c r="Q31" s="11" t="inlineStr"/>
      <c r="R31" s="11" t="inlineStr"/>
      <c r="S31" s="12" t="inlineStr">
        <is>
          <t>ein Verfahren für die Festlegung von Geschäftsprozessen und die Einstufung des Schutzbedarfs</t>
        </is>
      </c>
      <c r="T31" s="12" t="inlineStr"/>
      <c r="U31" s="11" t="n">
        <v>0</v>
      </c>
      <c r="V31" s="11" t="n"/>
      <c r="W31" s="11" t="n"/>
      <c r="X31" s="11" t="n"/>
      <c r="Y31" s="11" t="n"/>
    </row>
    <row r="32">
      <c r="A32" s="11" t="inlineStr">
        <is>
          <t>GC.7.1</t>
        </is>
      </c>
      <c r="B32" s="12" t="inlineStr">
        <is>
          <t>Vorgehen bei der Informationssicherheitseinstufung</t>
        </is>
      </c>
      <c r="C32" s="11" t="inlineStr">
        <is>
          <t>GC.7.1.1</t>
        </is>
      </c>
      <c r="D32" s="11" t="inlineStr">
        <is>
          <t>Basis-Anforderungen</t>
        </is>
      </c>
      <c r="E32" s="12" t="inlineStr">
        <is>
          <t>Governance und Compliance MUSS die Geschäftsprozesse oder Informationen die für den Geltungsbereich relevant sind festlegen.</t>
        </is>
      </c>
      <c r="F32" s="14" t="n"/>
      <c r="G32" s="14" t="n"/>
      <c r="H32" s="14" t="inlineStr">
        <is>
          <t>unbearbeitet</t>
        </is>
      </c>
      <c r="I32" s="14" t="n"/>
      <c r="J32" s="14" t="n"/>
      <c r="K32" s="14" t="n"/>
      <c r="L32" s="15" t="n"/>
      <c r="M32" s="11" t="inlineStr"/>
      <c r="N32" s="12" t="inlineStr"/>
      <c r="O32" s="11" t="inlineStr"/>
      <c r="P32" s="12" t="inlineStr">
        <is>
          <t>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is>
      </c>
      <c r="Q32" s="11" t="inlineStr"/>
      <c r="R32" s="11" t="inlineStr">
        <is>
          <t>Geschäftsprozesse</t>
        </is>
      </c>
      <c r="S32" s="12" t="inlineStr">
        <is>
          <t>die Geschäftsprozesse oder Informationen</t>
        </is>
      </c>
      <c r="T32" s="12" t="inlineStr"/>
      <c r="U32" s="11" t="n">
        <v>0</v>
      </c>
      <c r="V32" s="11" t="n"/>
      <c r="W32" s="11" t="n"/>
      <c r="X32" s="11" t="n"/>
      <c r="Y32" s="11" t="n"/>
    </row>
    <row r="33">
      <c r="A33" s="11" t="inlineStr">
        <is>
          <t>GC.7.1</t>
        </is>
      </c>
      <c r="B33" s="12" t="inlineStr">
        <is>
          <t>Vorgehen bei der Informationssicherheitseinstufung</t>
        </is>
      </c>
      <c r="C33" s="11" t="inlineStr">
        <is>
          <t>GC.7.1.2</t>
        </is>
      </c>
      <c r="D33" s="11" t="inlineStr">
        <is>
          <t>Basis-Anforderungen</t>
        </is>
      </c>
      <c r="E33" s="12" t="inlineStr">
        <is>
          <t>Governance und Compliance MUSS eine Einstufung des Schutzbedarfs der relevanten Geschäftsprozesse oder Informationen unter Berücksichtigung der Geschäftsziele und in Absprache mit der Institutionsleitung festlegen.</t>
        </is>
      </c>
      <c r="F33" s="14" t="n"/>
      <c r="G33" s="14" t="n"/>
      <c r="H33" s="14" t="inlineStr">
        <is>
          <t>unbearbeitet</t>
        </is>
      </c>
      <c r="I33" s="14" t="n"/>
      <c r="J33" s="14" t="n"/>
      <c r="K33" s="14" t="n"/>
      <c r="L33" s="15" t="n"/>
      <c r="M33" s="11" t="inlineStr"/>
      <c r="N33" s="12" t="inlineStr"/>
      <c r="O33" s="11" t="inlineStr"/>
      <c r="P33" s="12" t="inlineStr">
        <is>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is>
      </c>
      <c r="Q33" s="11" t="inlineStr"/>
      <c r="R33" s="11" t="inlineStr">
        <is>
          <t>Schutzbedarfsfeststellung</t>
        </is>
      </c>
      <c r="S33" s="12" t="inlineStr">
        <is>
          <t>eine Einstufung des Schutzbedarfs der relevanten Geschäftsprozesse oder Informationen</t>
        </is>
      </c>
      <c r="T33" s="12" t="inlineStr"/>
      <c r="U33" s="11" t="n">
        <v>0</v>
      </c>
      <c r="V33" s="11" t="n"/>
      <c r="W33" s="11" t="n"/>
      <c r="X33" s="11" t="n"/>
      <c r="Y33" s="11" t="n"/>
    </row>
    <row r="34">
      <c r="A34" s="9" t="inlineStr">
        <is>
          <t>GC.7.2</t>
        </is>
      </c>
      <c r="B34" s="10" t="inlineStr">
        <is>
          <t>Geschäftsprozesse mit hohem Schutzbedarf</t>
        </is>
      </c>
      <c r="C34" s="11" t="n"/>
      <c r="D34" s="11" t="inlineStr">
        <is>
          <t>Basis-Anforderungen</t>
        </is>
      </c>
      <c r="E34" s="12" t="inlineStr">
        <is>
          <t>Gesamt:</t>
        </is>
      </c>
      <c r="F34" s="11" t="n"/>
      <c r="G34" s="11" t="n"/>
      <c r="H34" s="13">
        <f>IF(OR(COUNTBLANK($H$35:$H$35)&gt;0,COUNTIF($H$35:$H$35,"unbearbeitet")=COUNTA($H$35:$H$35)),"Bitte Teilanforderungen ausfüllen",IF(COUNTIF($H$35:$H$35,"zu klären")&gt;0,"zu klären",IF(COUNTIF($H$35:$H$35,"entbehrlich")=COUNTA($H$35:$H$35),"entbehrlich",IF(COUNTIF($H$35:$H$35,"verwiesen")=COUNTA($H$35:$H$35),"verwiesen",IF(COUNTIF($H$35:$H$35,"nein")+COUNTIF($H$35:$H$35,"entbehrlich")=COUNTA($H$35:$H$35),"nein",IF(COUNTIF($H$35:$H$35,"ja")+COUNTIF($H$35:$H$35,"entbehrlich")+COUNTIF($H$35:$H$35,"verwiesen")=COUNTA($H$35:$H$35),"ja","teilweise"))))))</f>
        <v/>
      </c>
      <c r="I34" s="11" t="n"/>
      <c r="J34" s="11" t="n"/>
      <c r="K34" s="11" t="n"/>
      <c r="L34" s="11" t="n"/>
      <c r="M34" s="11" t="inlineStr"/>
      <c r="N34" s="12" t="inlineStr"/>
      <c r="O34" s="11" t="inlineStr"/>
      <c r="P34" s="12" t="inlineStr">
        <is>
          <t>Diese Anforderung stellt den Aussprungpunkt in die Risikobetrachtung dar, deren konkrete Ausgestaltung nicht durch den GS++ vorgegeben wird. Gängige Standards als Basis für ein Risikomanagement sind die ISO27005, die ISO31000 oder der BSI Standard 200-3.</t>
        </is>
      </c>
      <c r="Q34" s="11" t="inlineStr"/>
      <c r="R34" s="11" t="inlineStr">
        <is>
          <t>Risikobetrachtung</t>
        </is>
      </c>
      <c r="S34" s="12" t="inlineStr">
        <is>
          <t>eine dedizierte Risikobetrachtung von Geschäftsprozessen oder Informationen mit hohem Schutzbedarf</t>
        </is>
      </c>
      <c r="T34" s="12" t="inlineStr"/>
      <c r="U34" s="11" t="n">
        <v>0</v>
      </c>
      <c r="V34" s="11" t="n"/>
      <c r="W34" s="11" t="n"/>
      <c r="X34" s="11" t="n"/>
      <c r="Y34" s="11" t="n"/>
    </row>
    <row r="35">
      <c r="A35" s="11" t="inlineStr">
        <is>
          <t>GC.7.2</t>
        </is>
      </c>
      <c r="B35" s="12" t="inlineStr">
        <is>
          <t>Geschäftsprozesse mit hohem Schutzbedarf</t>
        </is>
      </c>
      <c r="C35" s="11" t="inlineStr">
        <is>
          <t>GC.7.2</t>
        </is>
      </c>
      <c r="D35" s="11" t="inlineStr">
        <is>
          <t>Basis-Anforderungen</t>
        </is>
      </c>
      <c r="E35" s="12" t="inlineStr">
        <is>
          <t>Governance und Compliance MUSS eine dedizierte Risikobetrachtung von Geschäftsprozessen oder Informationen mit hohem Schutzbedarf entsprechend der gewählten Methodik für das Informationssicherheitsrisikomanagement ausführen.</t>
        </is>
      </c>
      <c r="F35" s="14" t="n"/>
      <c r="G35" s="14" t="n"/>
      <c r="H35" s="14" t="inlineStr">
        <is>
          <t>unbearbeitet</t>
        </is>
      </c>
      <c r="I35" s="14" t="n"/>
      <c r="J35" s="14" t="n"/>
      <c r="K35" s="14" t="n"/>
      <c r="L35" s="15" t="n"/>
      <c r="M35" s="11" t="inlineStr"/>
      <c r="N35" s="12" t="inlineStr"/>
      <c r="O35" s="11" t="inlineStr"/>
      <c r="P35" s="12" t="inlineStr">
        <is>
          <t>Diese Anforderung stellt den Aussprungpunkt in die Risikobetrachtung dar, deren konkrete Ausgestaltung nicht durch den GS++ vorgegeben wird. Gängige Standards als Basis für ein Risikomanagement sind die ISO27005, die ISO31000 oder der BSI Standard 200-3.</t>
        </is>
      </c>
      <c r="Q35" s="11" t="inlineStr"/>
      <c r="R35" s="11" t="inlineStr">
        <is>
          <t>Risikobetrachtung</t>
        </is>
      </c>
      <c r="S35" s="12" t="inlineStr">
        <is>
          <t>eine dedizierte Risikobetrachtung von Geschäftsprozessen oder Informationen mit hohem Schutzbedarf</t>
        </is>
      </c>
      <c r="T35" s="12" t="inlineStr"/>
      <c r="U35" s="11" t="n">
        <v>0</v>
      </c>
      <c r="V35" s="11" t="n"/>
      <c r="W35" s="11" t="n"/>
      <c r="X35" s="11" t="n"/>
      <c r="Y35" s="11" t="n"/>
    </row>
    <row r="36">
      <c r="A36" s="9" t="inlineStr">
        <is>
          <t>GC.8.1</t>
        </is>
      </c>
      <c r="B36" s="10" t="inlineStr">
        <is>
          <t>Verfahren zur Ressourcenplanung</t>
        </is>
      </c>
      <c r="C36" s="11" t="n"/>
      <c r="D36" s="11" t="inlineStr">
        <is>
          <t>Basis-Anforderungen</t>
        </is>
      </c>
      <c r="E36" s="12" t="inlineStr">
        <is>
          <t>Gesamt:</t>
        </is>
      </c>
      <c r="F36" s="11" t="n"/>
      <c r="G36" s="11" t="n"/>
      <c r="H36" s="13">
        <f>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
      </c>
      <c r="I36" s="11" t="n"/>
      <c r="J36" s="11" t="n"/>
      <c r="K36" s="11" t="n"/>
      <c r="L36" s="11" t="n"/>
      <c r="M36" s="11" t="inlineStr"/>
      <c r="N36" s="12" t="inlineStr"/>
      <c r="O36" s="11" t="inlineStr"/>
      <c r="P36" s="12" t="inlineStr">
        <is>
          <t>Die Ressourcenplanung berücksichtigt die personellen, finanziellen und materiellen bzw. technischen Ressourcen.</t>
        </is>
      </c>
      <c r="Q36" s="11" t="inlineStr"/>
      <c r="R36" s="11" t="inlineStr"/>
      <c r="S36" s="12" t="inlineStr">
        <is>
          <t>ein Verfahren zur kontinuierlichen, wirtschaftlichen Planung von Ressourcen für das ISMS</t>
        </is>
      </c>
      <c r="T36" s="12" t="inlineStr"/>
      <c r="U36" s="11" t="n">
        <v>0</v>
      </c>
      <c r="V36" s="11" t="n"/>
      <c r="W36" s="11" t="n"/>
      <c r="X36" s="11" t="n"/>
      <c r="Y36" s="11" t="n"/>
    </row>
    <row r="37">
      <c r="A37" s="11" t="inlineStr">
        <is>
          <t>GC.8.1</t>
        </is>
      </c>
      <c r="B37" s="12" t="inlineStr">
        <is>
          <t>Verfahren zur Ressourcenplanung</t>
        </is>
      </c>
      <c r="C37" s="11" t="inlineStr">
        <is>
          <t>GC.8.1</t>
        </is>
      </c>
      <c r="D37" s="11" t="inlineStr">
        <is>
          <t>Basis-Anforderungen</t>
        </is>
      </c>
      <c r="E37" s="12" t="inlineStr">
        <is>
          <t>Governance und Compliance MUSS ein Verfahren zur kontinuierlichen, wirtschaftlichen Planung von Ressourcen für das ISMS verankern.</t>
        </is>
      </c>
      <c r="F37" s="14" t="n"/>
      <c r="G37" s="14" t="n"/>
      <c r="H37" s="14" t="inlineStr">
        <is>
          <t>unbearbeitet</t>
        </is>
      </c>
      <c r="I37" s="14" t="n"/>
      <c r="J37" s="14" t="n"/>
      <c r="K37" s="14" t="n"/>
      <c r="L37" s="15" t="n"/>
      <c r="M37" s="11" t="inlineStr"/>
      <c r="N37" s="12" t="inlineStr"/>
      <c r="O37" s="11" t="inlineStr"/>
      <c r="P37" s="12" t="inlineStr">
        <is>
          <t>Die Ressourcenplanung berücksichtigt die personellen, finanziellen und materiellen bzw. technischen Ressourcen.</t>
        </is>
      </c>
      <c r="Q37" s="11" t="inlineStr"/>
      <c r="R37" s="11" t="inlineStr"/>
      <c r="S37" s="12" t="inlineStr">
        <is>
          <t>ein Verfahren zur kontinuierlichen, wirtschaftlichen Planung von Ressourcen für das ISMS</t>
        </is>
      </c>
      <c r="T37" s="12" t="inlineStr"/>
      <c r="U37" s="11" t="n">
        <v>0</v>
      </c>
      <c r="V37" s="11" t="n"/>
      <c r="W37" s="11" t="n"/>
      <c r="X37" s="11" t="n"/>
      <c r="Y37" s="11" t="n"/>
    </row>
    <row r="38">
      <c r="A38" s="9" t="inlineStr">
        <is>
          <t>GC.9.1</t>
        </is>
      </c>
      <c r="B38" s="10" t="inlineStr">
        <is>
          <t>Festlegung einer Sicherheitsorganisation</t>
        </is>
      </c>
      <c r="C38" s="11" t="n"/>
      <c r="D38" s="11" t="inlineStr">
        <is>
          <t>Basis-Anforderungen</t>
        </is>
      </c>
      <c r="E38" s="12" t="inlineStr">
        <is>
          <t>Gesamt:</t>
        </is>
      </c>
      <c r="F38" s="11" t="n"/>
      <c r="G38" s="11" t="n"/>
      <c r="H38" s="13">
        <f>IF(OR(COUNTBLANK($H$39:$H$43)&gt;0,COUNTIF($H$39:$H$43,"unbearbeitet")=COUNTA($H$39:$H$43)),"Bitte Teilanforderungen ausfüllen",IF(COUNTIF($H$39:$H$43,"zu klären")&gt;0,"zu klären",IF(COUNTIF($H$39:$H$43,"entbehrlich")=COUNTA($H$39:$H$43),"entbehrlich",IF(COUNTIF($H$39:$H$43,"verwiesen")=COUNTA($H$39:$H$43),"verwiesen",IF(COUNTIF($H$39:$H$43,"nein")+COUNTIF($H$39:$H$43,"entbehrlich")=COUNTA($H$39:$H$43),"nein",IF(COUNTIF($H$39:$H$43,"ja")+COUNTIF($H$39:$H$43,"entbehrlich")+COUNTIF($H$39:$H$43,"verwiesen")=COUNTA($H$39:$H$43),"ja","teilweise"))))))</f>
        <v/>
      </c>
      <c r="I38" s="11" t="n"/>
      <c r="J38" s="11" t="n"/>
      <c r="K38" s="11" t="n"/>
      <c r="L38" s="11" t="n"/>
      <c r="M38" s="11" t="inlineStr"/>
      <c r="N38" s="12" t="inlineStr"/>
      <c r="O38" s="11" t="inlineStr"/>
      <c r="P38" s="12" t="inlineStr">
        <is>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is>
      </c>
      <c r="Q38" s="11" t="inlineStr"/>
      <c r="R38" s="11" t="inlineStr">
        <is>
          <t>Sicherheitsorganisation</t>
        </is>
      </c>
      <c r="S38" s="12" t="inlineStr">
        <is>
          <t>die Sicherheitsorganisation für das ISMS</t>
        </is>
      </c>
      <c r="T38" s="12" t="inlineStr"/>
      <c r="U38" s="11" t="n">
        <v>0</v>
      </c>
      <c r="V38" s="11" t="n"/>
      <c r="W38" s="11" t="n"/>
      <c r="X38" s="11" t="n"/>
      <c r="Y38" s="11" t="n"/>
    </row>
    <row r="39">
      <c r="A39" s="11" t="inlineStr">
        <is>
          <t>GC.9.1</t>
        </is>
      </c>
      <c r="B39" s="12" t="inlineStr">
        <is>
          <t>Festlegung einer Sicherheitsorganisation</t>
        </is>
      </c>
      <c r="C39" s="11" t="inlineStr">
        <is>
          <t>GC.9.1.1.1.1</t>
        </is>
      </c>
      <c r="D39" s="11" t="inlineStr">
        <is>
          <t>Basis-Anforderungen</t>
        </is>
      </c>
      <c r="E39" s="12" t="inlineStr">
        <is>
          <t>Governance und Compliance MUSS dem Informationssicherheitsbeauftragten hinreichende Ressourcen zuweisen.</t>
        </is>
      </c>
      <c r="F39" s="14" t="n"/>
      <c r="G39" s="14" t="n"/>
      <c r="H39" s="14" t="inlineStr">
        <is>
          <t>unbearbeitet</t>
        </is>
      </c>
      <c r="I39" s="14" t="n"/>
      <c r="J39" s="14" t="n"/>
      <c r="K39" s="14" t="n"/>
      <c r="L39" s="15" t="n"/>
      <c r="M39" s="11" t="inlineStr"/>
      <c r="N39" s="12" t="inlineStr"/>
      <c r="O39" s="11" t="inlineStr"/>
      <c r="P39" s="12" t="inlineStr">
        <is>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is>
      </c>
      <c r="Q39" s="11" t="inlineStr"/>
      <c r="R39" s="11" t="inlineStr"/>
      <c r="S39" s="12" t="inlineStr">
        <is>
          <t>dem Informationssicherheitsbeauftragten hinreichende Ressourcen</t>
        </is>
      </c>
      <c r="T39" s="12" t="inlineStr"/>
      <c r="U39" s="11" t="n">
        <v>0</v>
      </c>
      <c r="V39" s="11" t="n"/>
      <c r="W39" s="11" t="n"/>
      <c r="X39" s="11" t="n"/>
      <c r="Y39" s="11" t="n"/>
    </row>
    <row r="40">
      <c r="A40" s="11" t="inlineStr">
        <is>
          <t>GC.9.1</t>
        </is>
      </c>
      <c r="B40" s="12" t="inlineStr">
        <is>
          <t>Festlegung einer Sicherheitsorganisation</t>
        </is>
      </c>
      <c r="C40" s="11" t="inlineStr">
        <is>
          <t>GC.9.1.1.1.2</t>
        </is>
      </c>
      <c r="D40" s="11" t="inlineStr">
        <is>
          <t>Basis-Anforderungen</t>
        </is>
      </c>
      <c r="E40" s="12" t="inlineStr">
        <is>
          <t>Governance und Compliance MUSS das direkte Vorspracherecht des Informationssicherheitsbeauftragten bei der Institutionsleitung verankern.</t>
        </is>
      </c>
      <c r="F40" s="14" t="n"/>
      <c r="G40" s="14" t="n"/>
      <c r="H40" s="14" t="inlineStr">
        <is>
          <t>unbearbeitet</t>
        </is>
      </c>
      <c r="I40" s="14" t="n"/>
      <c r="J40" s="14" t="n"/>
      <c r="K40" s="14" t="n"/>
      <c r="L40" s="15" t="n"/>
      <c r="M40" s="11" t="inlineStr"/>
      <c r="N40" s="12" t="inlineStr"/>
      <c r="O40" s="11" t="inlineStr"/>
      <c r="P40" s="12" t="inlineStr">
        <is>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is>
      </c>
      <c r="Q40" s="11" t="inlineStr"/>
      <c r="R40" s="11" t="inlineStr">
        <is>
          <t>Tätigkeits- &amp; Rollenbeschreibung</t>
        </is>
      </c>
      <c r="S40" s="12" t="inlineStr">
        <is>
          <t>das direkte Vorspracherecht des Informationssicherheitsbeauftragten bei der Institutionsleitung</t>
        </is>
      </c>
      <c r="T40" s="12" t="inlineStr"/>
      <c r="U40" s="11" t="n">
        <v>0</v>
      </c>
      <c r="V40" s="11" t="n"/>
      <c r="W40" s="11" t="n"/>
      <c r="X40" s="11" t="n"/>
      <c r="Y40" s="11" t="n"/>
    </row>
    <row r="41">
      <c r="A41" s="11" t="inlineStr">
        <is>
          <t>GC.9.1</t>
        </is>
      </c>
      <c r="B41" s="12" t="inlineStr">
        <is>
          <t>Festlegung einer Sicherheitsorganisation</t>
        </is>
      </c>
      <c r="C41" s="11" t="inlineStr">
        <is>
          <t>GC.9.1.1.2</t>
        </is>
      </c>
      <c r="D41" s="11" t="inlineStr">
        <is>
          <t>Basis-Anforderungen</t>
        </is>
      </c>
      <c r="E41" s="12" t="inlineStr">
        <is>
          <t>Governance und Compliance MUSS Stellvertreterregelungen für alle relevanten Rollen und Zuständigkeiten im ISMS zuweisen.</t>
        </is>
      </c>
      <c r="F41" s="14" t="n"/>
      <c r="G41" s="14" t="n"/>
      <c r="H41" s="14" t="inlineStr">
        <is>
          <t>unbearbeitet</t>
        </is>
      </c>
      <c r="I41" s="14" t="n"/>
      <c r="J41" s="14" t="n"/>
      <c r="K41" s="14" t="n"/>
      <c r="L41" s="15" t="n"/>
      <c r="M41" s="11" t="inlineStr"/>
      <c r="N41" s="12" t="inlineStr"/>
      <c r="O41" s="11" t="inlineStr"/>
      <c r="P41" s="12" t="inlineStr">
        <is>
          <t>Eine kontinuierliche Handlungsunfähigkeit der Sicherheitsorganisation kann nur mit Stellvertreterregelungen für alle relevanten Rollen gewährleistet werden.</t>
        </is>
      </c>
      <c r="Q41" s="11" t="inlineStr"/>
      <c r="R41" s="11" t="inlineStr">
        <is>
          <t>Geschäftsverteilungsplan</t>
        </is>
      </c>
      <c r="S41" s="12" t="inlineStr">
        <is>
          <t>Stellvertreterregelungen für alle relevanten Rollen und Zuständigkeiten im ISMS</t>
        </is>
      </c>
      <c r="T41" s="12" t="inlineStr"/>
      <c r="U41" s="11" t="n">
        <v>0</v>
      </c>
      <c r="V41" s="11" t="n"/>
      <c r="W41" s="11" t="n"/>
      <c r="X41" s="11" t="n"/>
      <c r="Y41" s="11" t="n"/>
    </row>
    <row r="42">
      <c r="A42" s="11" t="inlineStr">
        <is>
          <t>GC.9.1</t>
        </is>
      </c>
      <c r="B42" s="12" t="inlineStr">
        <is>
          <t>Festlegung einer Sicherheitsorganisation</t>
        </is>
      </c>
      <c r="C42" s="11" t="inlineStr">
        <is>
          <t>GC.9.1.1.3</t>
        </is>
      </c>
      <c r="D42" s="11" t="inlineStr">
        <is>
          <t>Basis-Anforderungen</t>
        </is>
      </c>
      <c r="E42" s="12" t="inlineStr">
        <is>
          <t>Governance und Compliance MUSS Maßnahmen zur Vermeidung von Interessenkonflikten bei der Festlegung von Rollen und Zuständigkeiten des ISMS festlegen.</t>
        </is>
      </c>
      <c r="F42" s="14" t="n"/>
      <c r="G42" s="14" t="n"/>
      <c r="H42" s="14" t="inlineStr">
        <is>
          <t>unbearbeitet</t>
        </is>
      </c>
      <c r="I42" s="14" t="n"/>
      <c r="J42" s="14" t="n"/>
      <c r="K42" s="14" t="n"/>
      <c r="L42" s="15" t="n"/>
      <c r="M42" s="11" t="inlineStr"/>
      <c r="N42" s="12" t="inlineStr"/>
      <c r="O42" s="11" t="inlineStr"/>
      <c r="P42" s="12" t="inlineStr">
        <is>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is>
      </c>
      <c r="Q42" s="11" t="inlineStr"/>
      <c r="R42" s="11" t="inlineStr"/>
      <c r="S42" s="12" t="inlineStr">
        <is>
          <t>Maßnahmen zur Vermeidung von Interessenkonflikten bei der Festlegung von Rollen und Zuständigkeiten des ISMS</t>
        </is>
      </c>
      <c r="T42" s="12" t="inlineStr"/>
      <c r="U42" s="11" t="n">
        <v>0</v>
      </c>
      <c r="V42" s="11" t="n"/>
      <c r="W42" s="11" t="n"/>
      <c r="X42" s="11" t="n"/>
      <c r="Y42" s="11" t="n"/>
    </row>
    <row r="43">
      <c r="A43" s="11" t="inlineStr">
        <is>
          <t>GC.9.1</t>
        </is>
      </c>
      <c r="B43" s="12" t="inlineStr">
        <is>
          <t>Festlegung einer Sicherheitsorganisation</t>
        </is>
      </c>
      <c r="C43" s="11" t="inlineStr">
        <is>
          <t>GC.9.1.1.4</t>
        </is>
      </c>
      <c r="D43" s="11" t="inlineStr">
        <is>
          <t>Basis-Anforderungen</t>
        </is>
      </c>
      <c r="E43" s="12" t="inlineStr">
        <is>
          <t>Governance und Compliance MUSS für jeden Rollen- und Verantwortungsträger die erforderlichen Anforderungen und Fähigkeiten festlegen.</t>
        </is>
      </c>
      <c r="F43" s="14" t="n"/>
      <c r="G43" s="14" t="n"/>
      <c r="H43" s="14" t="inlineStr">
        <is>
          <t>unbearbeitet</t>
        </is>
      </c>
      <c r="I43" s="14" t="n"/>
      <c r="J43" s="14" t="n"/>
      <c r="K43" s="14" t="n"/>
      <c r="L43" s="15" t="n"/>
      <c r="M43" s="11" t="inlineStr"/>
      <c r="N43" s="12" t="inlineStr"/>
      <c r="O43" s="11" t="inlineStr"/>
      <c r="P43" s="12" t="inlineStr">
        <is>
          <t>Für jeden Rollen- und Verantwortungsträger werden die Anforderungen und Fähigkeiten festgelegt.</t>
        </is>
      </c>
      <c r="Q43" s="11" t="inlineStr"/>
      <c r="R43" s="11" t="inlineStr">
        <is>
          <t>Tätigkeits- &amp; Rollenbeschreibung</t>
        </is>
      </c>
      <c r="S43" s="12" t="inlineStr">
        <is>
          <t>für jeden Rollen- und Verantwortungsträger die erforderlichen Anforderungen und Fähigkeiten</t>
        </is>
      </c>
      <c r="T43" s="12" t="inlineStr"/>
      <c r="U43" s="11" t="n">
        <v>0</v>
      </c>
      <c r="V43" s="11" t="n"/>
      <c r="W43" s="11" t="n"/>
      <c r="X43" s="11" t="n"/>
      <c r="Y43" s="11" t="n"/>
    </row>
    <row r="44">
      <c r="A44" s="9" t="inlineStr">
        <is>
          <t>GC.10.1</t>
        </is>
      </c>
      <c r="B44" s="10" t="inlineStr">
        <is>
          <t>Festlegung eines Verfahrens zum Kommunikationsmanagement</t>
        </is>
      </c>
      <c r="C44" s="11" t="n"/>
      <c r="D44" s="11" t="inlineStr">
        <is>
          <t>Basis-Anforderungen</t>
        </is>
      </c>
      <c r="E44" s="12" t="inlineStr">
        <is>
          <t>Gesamt:</t>
        </is>
      </c>
      <c r="F44" s="11" t="n"/>
      <c r="G44" s="11" t="n"/>
      <c r="H44" s="13">
        <f>IF(OR(COUNTBLANK($H$45:$H$46)&gt;0,COUNTIF($H$45:$H$46,"unbearbeitet")=COUNTA($H$45:$H$46)),"Bitte Teilanforderungen ausfüllen",IF(COUNTIF($H$45:$H$46,"zu klären")&gt;0,"zu klären",IF(COUNTIF($H$45:$H$46,"entbehrlich")=COUNTA($H$45:$H$46),"entbehrlich",IF(COUNTIF($H$45:$H$46,"verwiesen")=COUNTA($H$45:$H$46),"verwiesen",IF(COUNTIF($H$45:$H$46,"nein")+COUNTIF($H$45:$H$46,"entbehrlich")=COUNTA($H$45:$H$46),"nein",IF(COUNTIF($H$45:$H$46,"ja")+COUNTIF($H$45:$H$46,"entbehrlich")+COUNTIF($H$45:$H$46,"verwiesen")=COUNTA($H$45:$H$46),"ja","teilweise"))))))</f>
        <v/>
      </c>
      <c r="I44" s="11" t="n"/>
      <c r="J44" s="11" t="n"/>
      <c r="K44" s="11" t="n"/>
      <c r="L44" s="11" t="n"/>
      <c r="M44" s="11" t="inlineStr"/>
      <c r="N44" s="12" t="inlineStr"/>
      <c r="O44" s="11" t="inlineStr"/>
      <c r="P44" s="12" t="inlineStr">
        <is>
          <t>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is>
      </c>
      <c r="Q44" s="11" t="inlineStr"/>
      <c r="R44" s="11" t="inlineStr">
        <is>
          <t>Übersicht der Kommunikationspartner</t>
        </is>
      </c>
      <c r="S44" s="12" t="inlineStr">
        <is>
          <t>ein Verfahren zum Kommunikationsmanagement</t>
        </is>
      </c>
      <c r="T44" s="12" t="inlineStr"/>
      <c r="U44" s="11" t="n">
        <v>0</v>
      </c>
      <c r="V44" s="11" t="n"/>
      <c r="W44" s="11" t="n"/>
      <c r="X44" s="11" t="n"/>
      <c r="Y44" s="11" t="n"/>
    </row>
    <row r="45">
      <c r="A45" s="11" t="inlineStr">
        <is>
          <t>GC.10.1</t>
        </is>
      </c>
      <c r="B45" s="12" t="inlineStr">
        <is>
          <t>Festlegung eines Verfahrens zum Kommunikationsmanagement</t>
        </is>
      </c>
      <c r="C45" s="11" t="inlineStr">
        <is>
          <t>GC.10.1.1</t>
        </is>
      </c>
      <c r="D45" s="11" t="inlineStr">
        <is>
          <t>Standard-Anforderungen</t>
        </is>
      </c>
      <c r="E45" s="12" t="inlineStr">
        <is>
          <t>Governance und Compliance SOLLTE einen externen Austausch zur Informationssicherheit verankern.</t>
        </is>
      </c>
      <c r="F45" s="14" t="n"/>
      <c r="G45" s="14" t="n"/>
      <c r="H45" s="14" t="inlineStr">
        <is>
          <t>unbearbeitet</t>
        </is>
      </c>
      <c r="I45" s="14" t="n"/>
      <c r="J45" s="14" t="n"/>
      <c r="K45" s="14" t="n"/>
      <c r="L45" s="15" t="n"/>
      <c r="M45" s="11" t="inlineStr"/>
      <c r="N45" s="12" t="inlineStr"/>
      <c r="O45" s="11" t="inlineStr"/>
      <c r="P45" s="12" t="inlineStr">
        <is>
          <t>Um auch andere Perspektiven wahrzunehmen und Eindrücke zu erhalten, findet ein externer Austausch statt. Hierzu können beispielsweise Branchenverbände, Fachforen oder andere Einrichtungen genutzt werden.</t>
        </is>
      </c>
      <c r="Q45" s="11" t="inlineStr"/>
      <c r="R45" s="11" t="inlineStr"/>
      <c r="S45" s="12" t="inlineStr">
        <is>
          <t>einen externen Austausch zur Informationssicherheit</t>
        </is>
      </c>
      <c r="T45" s="12" t="inlineStr"/>
      <c r="U45" s="11" t="n">
        <v>4</v>
      </c>
      <c r="V45" s="11" t="n"/>
      <c r="W45" s="11" t="n"/>
      <c r="X45" s="11" t="n"/>
      <c r="Y45" s="11" t="n"/>
    </row>
    <row r="46">
      <c r="A46" s="11" t="inlineStr">
        <is>
          <t>GC.10.1</t>
        </is>
      </c>
      <c r="B46" s="12" t="inlineStr">
        <is>
          <t>Festlegung eines Verfahrens zum Kommunikationsmanagement</t>
        </is>
      </c>
      <c r="C46" s="11" t="inlineStr">
        <is>
          <t>GC.10.1.2</t>
        </is>
      </c>
      <c r="D46" s="11" t="inlineStr">
        <is>
          <t>Basis-Anforderungen</t>
        </is>
      </c>
      <c r="E46" s="12" t="inlineStr">
        <is>
          <t>Governance und Compliance MUSS bei sicherheitsrelevanten Projekten die Beteiligung der relevanten Sicherheitsorgane zu festgelegten Zeitpunkten im Projektverlauf verankern.</t>
        </is>
      </c>
      <c r="F46" s="14" t="n"/>
      <c r="G46" s="14" t="n"/>
      <c r="H46" s="14" t="inlineStr">
        <is>
          <t>unbearbeitet</t>
        </is>
      </c>
      <c r="I46" s="14" t="n"/>
      <c r="J46" s="14" t="n"/>
      <c r="K46" s="14" t="n"/>
      <c r="L46" s="15" t="n"/>
      <c r="M46" s="11" t="inlineStr"/>
      <c r="N46" s="12" t="inlineStr"/>
      <c r="O46" s="11" t="inlineStr"/>
      <c r="P46" s="12" t="inlineStr">
        <is>
          <t>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is>
      </c>
      <c r="Q46" s="11" t="inlineStr"/>
      <c r="R46" s="11" t="inlineStr"/>
      <c r="S46" s="12" t="inlineStr">
        <is>
          <t>bei sicherheitsrelevanten Projekten die Beteiligung {{der relevanten Sicherheitsorgane}}</t>
        </is>
      </c>
      <c r="T46" s="12" t="inlineStr"/>
      <c r="U46" s="11" t="n">
        <v>0</v>
      </c>
      <c r="V46" s="11" t="n"/>
      <c r="W46" s="11" t="n"/>
      <c r="X46" s="11" t="n"/>
      <c r="Y46" s="11" t="n"/>
    </row>
    <row r="47">
      <c r="A47" s="9" t="inlineStr">
        <is>
          <t>GC.11.1</t>
        </is>
      </c>
      <c r="B47" s="10" t="inlineStr">
        <is>
          <t>Dokumentenlenkung</t>
        </is>
      </c>
      <c r="C47" s="11" t="n"/>
      <c r="D47" s="11" t="inlineStr">
        <is>
          <t>Basis-Anforderungen</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c r="N47" s="12" t="inlineStr"/>
      <c r="O47" s="11" t="inlineStr"/>
      <c r="P47" s="12" t="inlineStr">
        <is>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is>
      </c>
      <c r="Q47" s="11" t="inlineStr"/>
      <c r="R47" s="11" t="inlineStr">
        <is>
          <t>Richtlinie zur Lenkung von Dokumenten und Aufzeichnungen</t>
        </is>
      </c>
      <c r="S47" s="12" t="inlineStr">
        <is>
          <t>ein Verfahren zur Lenkung der Dokumente im Rahmen des ISMS</t>
        </is>
      </c>
      <c r="T47" s="12" t="inlineStr"/>
      <c r="U47" s="11" t="n">
        <v>0</v>
      </c>
      <c r="V47" s="11" t="n"/>
      <c r="W47" s="11" t="n"/>
      <c r="X47" s="11" t="n"/>
      <c r="Y47" s="11" t="n"/>
    </row>
    <row r="48">
      <c r="A48" s="11" t="inlineStr">
        <is>
          <t>GC.11.1</t>
        </is>
      </c>
      <c r="B48" s="12" t="inlineStr">
        <is>
          <t>Dokumentenlenkung</t>
        </is>
      </c>
      <c r="C48" s="11" t="inlineStr">
        <is>
          <t>GC.11.1</t>
        </is>
      </c>
      <c r="D48" s="11" t="inlineStr">
        <is>
          <t>Basis-Anforderungen</t>
        </is>
      </c>
      <c r="E48" s="12" t="inlineStr">
        <is>
          <t>Governance und Compliance MUSS ein Verfahren zur Lenkung der Dokumente im Rahmen des ISMS über ihren kompletten Lebenszyklus hinweg verankern.</t>
        </is>
      </c>
      <c r="F48" s="14" t="n"/>
      <c r="G48" s="14" t="n"/>
      <c r="H48" s="14" t="inlineStr">
        <is>
          <t>unbearbeitet</t>
        </is>
      </c>
      <c r="I48" s="14" t="n"/>
      <c r="J48" s="14" t="n"/>
      <c r="K48" s="14" t="n"/>
      <c r="L48" s="15" t="n"/>
      <c r="M48" s="11" t="inlineStr"/>
      <c r="N48" s="12" t="inlineStr"/>
      <c r="O48" s="11" t="inlineStr"/>
      <c r="P48" s="12" t="inlineStr">
        <is>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is>
      </c>
      <c r="Q48" s="11" t="inlineStr"/>
      <c r="R48" s="11" t="inlineStr">
        <is>
          <t>Richtlinie zur Lenkung von Dokumenten und Aufzeichnungen</t>
        </is>
      </c>
      <c r="S48" s="12" t="inlineStr">
        <is>
          <t>ein Verfahren zur Lenkung der Dokumente im Rahmen des ISMS</t>
        </is>
      </c>
      <c r="T48" s="12" t="inlineStr"/>
      <c r="U48" s="11" t="n">
        <v>0</v>
      </c>
      <c r="V48" s="11" t="n"/>
      <c r="W48" s="11" t="n"/>
      <c r="X48" s="11" t="n"/>
      <c r="Y48" s="11" t="n"/>
    </row>
    <row r="49">
      <c r="A49" s="9" t="inlineStr">
        <is>
          <t>GC.12.1</t>
        </is>
      </c>
      <c r="B49" s="10" t="inlineStr">
        <is>
          <t>Methodik für das Risikomanagement</t>
        </is>
      </c>
      <c r="C49" s="11" t="n"/>
      <c r="D49" s="11" t="inlineStr">
        <is>
          <t>Basis-Anforderungen</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c r="N49" s="12" t="inlineStr"/>
      <c r="O49" s="11" t="inlineStr"/>
      <c r="P49" s="12" t="inlineStr">
        <is>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is>
      </c>
      <c r="Q49" s="11" t="inlineStr"/>
      <c r="R49" s="11" t="inlineStr">
        <is>
          <t>Risikobewertung</t>
        </is>
      </c>
      <c r="S49" s="12" t="inlineStr">
        <is>
          <t>eine einheitliche Methodik für das Informationssicherheitsrisikomanagement</t>
        </is>
      </c>
      <c r="T49" s="12" t="inlineStr"/>
      <c r="U49" s="11" t="n">
        <v>0</v>
      </c>
      <c r="V49" s="11" t="n"/>
      <c r="W49" s="11" t="n"/>
      <c r="X49" s="11" t="n"/>
      <c r="Y49" s="11" t="n"/>
    </row>
    <row r="50">
      <c r="A50" s="11" t="inlineStr">
        <is>
          <t>GC.12.1</t>
        </is>
      </c>
      <c r="B50" s="12" t="inlineStr">
        <is>
          <t>Methodik für das Risikomanagement</t>
        </is>
      </c>
      <c r="C50" s="11" t="inlineStr">
        <is>
          <t>GC.12.1</t>
        </is>
      </c>
      <c r="D50" s="11" t="inlineStr">
        <is>
          <t>Basis-Anforderungen</t>
        </is>
      </c>
      <c r="E50" s="12" t="inlineStr">
        <is>
          <t>Governance und Compliance MUSS eine einheitliche Methodik für das Informationssicherheitsrisikomanagement unter Berücksichtigungen von Kontext, Geschäftsprozessanalyse und interessierten Parteien verankern.</t>
        </is>
      </c>
      <c r="F50" s="14" t="n"/>
      <c r="G50" s="14" t="n"/>
      <c r="H50" s="14" t="inlineStr">
        <is>
          <t>unbearbeitet</t>
        </is>
      </c>
      <c r="I50" s="14" t="n"/>
      <c r="J50" s="14" t="n"/>
      <c r="K50" s="14" t="n"/>
      <c r="L50" s="15" t="n"/>
      <c r="M50" s="11" t="inlineStr"/>
      <c r="N50" s="12" t="inlineStr"/>
      <c r="O50" s="11" t="inlineStr"/>
      <c r="P50" s="12" t="inlineStr">
        <is>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is>
      </c>
      <c r="Q50" s="11" t="inlineStr"/>
      <c r="R50" s="11" t="inlineStr">
        <is>
          <t>Risikobewertung</t>
        </is>
      </c>
      <c r="S50" s="12" t="inlineStr">
        <is>
          <t>eine einheitliche Methodik für das Informationssicherheitsrisikomanagement</t>
        </is>
      </c>
      <c r="T50" s="12" t="inlineStr"/>
      <c r="U50" s="11" t="n">
        <v>0</v>
      </c>
      <c r="V50" s="11" t="n"/>
      <c r="W50" s="11" t="n"/>
      <c r="X50" s="11" t="n"/>
      <c r="Y50" s="11" t="n"/>
    </row>
  </sheetData>
  <autoFilter ref="A6:Y6"/>
  <conditionalFormatting sqref="H7:H50">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10 H12 H14 H16 H17 H18 H19 H21 H23 H25 H26 H27 H28 H30 H32 H33 H35 H37 H39 H40 H41 H42 H43 H45 H46 H48 H50"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26"/>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GEB</t>
        </is>
      </c>
      <c r="B3" s="6" t="inlineStr">
        <is>
          <t>Gebäudemanagement</t>
        </is>
      </c>
    </row>
    <row r="4">
      <c r="A4" s="3" t="inlineStr">
        <is>
          <t>Zielobjekte</t>
        </is>
      </c>
      <c r="B4" s="7">
        <f>IF('Praktiken'!D13="","",'Praktiken'!D13)</f>
        <v/>
      </c>
    </row>
    <row r="5">
      <c r="A5" s="3" t="inlineStr">
        <is>
          <t>Zuständig</t>
        </is>
      </c>
      <c r="B5" s="7">
        <f>IF('Praktiken'!S13="","",'Praktiken'!S13)</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GEB.1.1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is>
          <t>Verfügbarkeit</t>
        </is>
      </c>
      <c r="N7" s="12" t="inlineStr">
        <is>
          <t>INF.1.A1-UA.1</t>
        </is>
      </c>
      <c r="O7" s="11" t="inlineStr">
        <is>
          <t>intersects-with</t>
        </is>
      </c>
      <c r="P7" s="12" t="inlineStr">
        <is>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is>
      </c>
      <c r="Q7" s="11" t="inlineStr">
        <is>
          <t>Standorte</t>
        </is>
      </c>
      <c r="R7" s="11" t="inlineStr">
        <is>
          <t>Prozess Gebäudemanagement</t>
        </is>
      </c>
      <c r="S7" s="12" t="inlineStr">
        <is>
          <t>Verfahren und Regelungen zum physischen Schutz von Standorten, an denen schützenswerte Informationen verarbeitet oder gespeichert werden,</t>
        </is>
      </c>
      <c r="T7" s="12" t="inlineStr">
        <is>
          <t>G 0.18 – Fehlplanung oder fehlende Anpassung</t>
        </is>
      </c>
      <c r="U7" s="11" t="n">
        <v>0</v>
      </c>
      <c r="V7" s="11" t="n">
        <v>1</v>
      </c>
      <c r="W7" s="11" t="n">
        <v>1</v>
      </c>
      <c r="X7" s="11" t="n">
        <v>2</v>
      </c>
      <c r="Y7" s="11" t="n">
        <v>0</v>
      </c>
    </row>
    <row r="8">
      <c r="A8" s="11" t="inlineStr">
        <is>
          <t>GEB.1.1</t>
        </is>
      </c>
      <c r="B8" s="12" t="inlineStr">
        <is>
          <t>Verfahren und Regelungen</t>
        </is>
      </c>
      <c r="C8" s="11" t="inlineStr">
        <is>
          <t>GEB.1.1.1</t>
        </is>
      </c>
      <c r="D8" s="11" t="inlineStr">
        <is>
          <t>Basis-Anforderungen</t>
        </is>
      </c>
      <c r="E8" s="12" t="inlineStr">
        <is>
          <t>Gebäudemanagement für Standorte MUSS die Verfahren und Regelungen dokumentieren.</t>
        </is>
      </c>
      <c r="F8" s="14" t="n"/>
      <c r="G8" s="14" t="n"/>
      <c r="H8" s="14" t="inlineStr">
        <is>
          <t>unbearbeitet</t>
        </is>
      </c>
      <c r="I8" s="14" t="n"/>
      <c r="J8" s="14" t="n"/>
      <c r="K8" s="14" t="n"/>
      <c r="L8" s="15" t="n"/>
      <c r="M8" s="11" t="inlineStr">
        <is>
          <t>Integrität</t>
        </is>
      </c>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is>
          <t>Standorte</t>
        </is>
      </c>
      <c r="R8" s="11" t="inlineStr">
        <is>
          <t>IT-Betriebskonzept</t>
        </is>
      </c>
      <c r="S8" s="12" t="inlineStr">
        <is>
          <t>die Verfahren und Regelungen</t>
        </is>
      </c>
      <c r="T8" s="12" t="inlineStr">
        <is>
          <t>G 0.18 – Fehlplanung oder fehlende Anpassung; G 0.37 – Abstreiten von Handlungen</t>
        </is>
      </c>
      <c r="U8" s="11" t="n">
        <v>0</v>
      </c>
      <c r="V8" s="11" t="n">
        <v>1</v>
      </c>
      <c r="W8" s="11" t="n">
        <v>2</v>
      </c>
      <c r="X8" s="11" t="n">
        <v>1</v>
      </c>
      <c r="Y8" s="11" t="n">
        <v>1</v>
      </c>
    </row>
    <row r="9">
      <c r="A9" s="11" t="inlineStr">
        <is>
          <t>GEB.1.1</t>
        </is>
      </c>
      <c r="B9" s="12" t="inlineStr">
        <is>
          <t>Verfahren und Regelungen</t>
        </is>
      </c>
      <c r="C9" s="11" t="inlineStr">
        <is>
          <t>GEB.1.1.2</t>
        </is>
      </c>
      <c r="D9" s="11" t="inlineStr">
        <is>
          <t>Basis-Anforderungen</t>
        </is>
      </c>
      <c r="E9" s="12" t="inlineStr">
        <is>
          <t>Gebäudemanagement für Standorte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is>
          <t>Standorte</t>
        </is>
      </c>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GEB.1.1</t>
        </is>
      </c>
      <c r="B10" s="12" t="inlineStr">
        <is>
          <t>Verfahren und Regelungen</t>
        </is>
      </c>
      <c r="C10" s="11" t="inlineStr">
        <is>
          <t>GEB.1.1.3</t>
        </is>
      </c>
      <c r="D10" s="11" t="inlineStr">
        <is>
          <t>Basis-Anforderungen</t>
        </is>
      </c>
      <c r="E10" s="12" t="inlineStr">
        <is>
          <t>Gebäudemanagement für Standorte MUSS die zuständigen Personen oder Rollen über die Verfahren und Regelungen informieren.</t>
        </is>
      </c>
      <c r="F10" s="14" t="n"/>
      <c r="G10" s="14" t="n"/>
      <c r="H10" s="14" t="inlineStr">
        <is>
          <t>unbearbeitet</t>
        </is>
      </c>
      <c r="I10" s="14" t="n"/>
      <c r="J10" s="14" t="n"/>
      <c r="K10" s="14" t="n"/>
      <c r="L10" s="15" t="n"/>
      <c r="M10" s="11" t="inlineStr">
        <is>
          <t>Integrität</t>
        </is>
      </c>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is>
          <t>Standorte</t>
        </is>
      </c>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2</v>
      </c>
      <c r="X10" s="11" t="n">
        <v>1</v>
      </c>
      <c r="Y10" s="11" t="n">
        <v>0</v>
      </c>
    </row>
    <row r="11">
      <c r="A11" s="9" t="inlineStr">
        <is>
          <t>GEB.1.2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is>
          <t>Standorte</t>
        </is>
      </c>
      <c r="R11" s="11" t="inlineStr">
        <is>
          <t>Übungs- und 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GEB.1.2</t>
        </is>
      </c>
      <c r="B12" s="12" t="inlineStr">
        <is>
          <t>Regelmäßige Überprüfung</t>
        </is>
      </c>
      <c r="C12" s="11" t="inlineStr">
        <is>
          <t>GEB.1.2</t>
        </is>
      </c>
      <c r="D12" s="11" t="inlineStr">
        <is>
          <t>Basis-Anforderungen</t>
        </is>
      </c>
      <c r="E12" s="12" t="inlineStr">
        <is>
          <t>Gebäudemanagement für Standorte MUSS die Verfahren und Regelungen regelmäßig und anlassbezogen auf Aktualität überprüfen.</t>
        </is>
      </c>
      <c r="F12" s="14" t="n"/>
      <c r="G12" s="14" t="n"/>
      <c r="H12" s="14" t="inlineStr">
        <is>
          <t>unbearbeitet</t>
        </is>
      </c>
      <c r="I12" s="14" t="n"/>
      <c r="J12" s="14" t="n"/>
      <c r="K12" s="14" t="n"/>
      <c r="L12" s="15" t="n"/>
      <c r="M12" s="11" t="inlineStr"/>
      <c r="N12" s="12" t="inlineStr"/>
      <c r="O12" s="11" t="inlineStr"/>
      <c r="P12"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is>
          <t>Standorte</t>
        </is>
      </c>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GEB.1.3</t>
        </is>
      </c>
      <c r="B13" s="10" t="inlineStr">
        <is>
          <t>Autorisierung von Standorten</t>
        </is>
      </c>
      <c r="C13" s="11" t="n"/>
      <c r="D13" s="11" t="inlineStr">
        <is>
          <t>Standard-Anforderungen</t>
        </is>
      </c>
      <c r="E13" s="12" t="inlineStr">
        <is>
          <t>Gesamt:</t>
        </is>
      </c>
      <c r="F13" s="11" t="n"/>
      <c r="G13" s="11" t="n"/>
      <c r="H13" s="13">
        <f>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
      </c>
      <c r="I13" s="11" t="n"/>
      <c r="J13" s="11" t="n"/>
      <c r="K13" s="11" t="n"/>
      <c r="L13" s="11" t="n"/>
      <c r="M13" s="11" t="inlineStr">
        <is>
          <t>Verfügbarkeit</t>
        </is>
      </c>
      <c r="N13" s="12" t="inlineStr"/>
      <c r="O13" s="11" t="inlineStr"/>
      <c r="P13" s="12" t="inlineStr">
        <is>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is>
      </c>
      <c r="Q13" s="11" t="inlineStr">
        <is>
          <t>Standorte</t>
        </is>
      </c>
      <c r="R13" s="11" t="inlineStr">
        <is>
          <t>Prozess Gebäudemanagement</t>
        </is>
      </c>
      <c r="S13" s="12" t="inlineStr">
        <is>
          <t>Standorte für die Stationierung von Assets</t>
        </is>
      </c>
      <c r="T13" s="12" t="inlineStr">
        <is>
          <t>G 0.18 – Fehlplanung oder fehlende Anpassung; G 0.29 – Verstoß gegen Gesetze oder Regelungen</t>
        </is>
      </c>
      <c r="U13" s="11" t="n">
        <v>2</v>
      </c>
      <c r="V13" s="11" t="n">
        <v>1</v>
      </c>
      <c r="W13" s="11" t="n">
        <v>1</v>
      </c>
      <c r="X13" s="11" t="n">
        <v>2</v>
      </c>
      <c r="Y13" s="11" t="n">
        <v>0</v>
      </c>
    </row>
    <row r="14">
      <c r="A14" s="11" t="inlineStr">
        <is>
          <t>GEB.1.3</t>
        </is>
      </c>
      <c r="B14" s="12" t="inlineStr">
        <is>
          <t>Autorisierung von Standorten</t>
        </is>
      </c>
      <c r="C14" s="11" t="inlineStr">
        <is>
          <t>GEB.1.3</t>
        </is>
      </c>
      <c r="D14" s="11" t="inlineStr">
        <is>
          <t>Standard-Anforderungen</t>
        </is>
      </c>
      <c r="E14" s="12" t="inlineStr">
        <is>
          <t>Gebäudemanagement für Standorte SOLLTE Standorte für die Stationierung von Assets autorisieren.</t>
        </is>
      </c>
      <c r="F14" s="14" t="n"/>
      <c r="G14" s="14" t="n"/>
      <c r="H14" s="14" t="inlineStr">
        <is>
          <t>unbearbeitet</t>
        </is>
      </c>
      <c r="I14" s="14" t="n"/>
      <c r="J14" s="14" t="n"/>
      <c r="K14" s="14" t="n"/>
      <c r="L14" s="15" t="n"/>
      <c r="M14" s="11" t="inlineStr">
        <is>
          <t>Verfügbarkeit</t>
        </is>
      </c>
      <c r="N14" s="12" t="inlineStr"/>
      <c r="O14" s="11" t="inlineStr"/>
      <c r="P14" s="12" t="inlineStr">
        <is>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is>
      </c>
      <c r="Q14" s="11" t="inlineStr">
        <is>
          <t>Standorte</t>
        </is>
      </c>
      <c r="R14" s="11" t="inlineStr">
        <is>
          <t>Prozess Gebäudemanagement</t>
        </is>
      </c>
      <c r="S14" s="12" t="inlineStr">
        <is>
          <t>Standorte für die Stationierung von Assets</t>
        </is>
      </c>
      <c r="T14" s="12" t="inlineStr">
        <is>
          <t>G 0.18 – Fehlplanung oder fehlende Anpassung; G 0.29 – Verstoß gegen Gesetze oder Regelungen</t>
        </is>
      </c>
      <c r="U14" s="11" t="n">
        <v>2</v>
      </c>
      <c r="V14" s="11" t="n">
        <v>1</v>
      </c>
      <c r="W14" s="11" t="n">
        <v>1</v>
      </c>
      <c r="X14" s="11" t="n">
        <v>2</v>
      </c>
      <c r="Y14" s="11" t="n">
        <v>0</v>
      </c>
    </row>
    <row r="15">
      <c r="A15" s="11" t="inlineStr">
        <is>
          <t>GEB.1.3</t>
        </is>
      </c>
      <c r="B15" s="12" t="inlineStr">
        <is>
          <t>Autorisierung von Standorten</t>
        </is>
      </c>
      <c r="C15" s="11" t="inlineStr">
        <is>
          <t>GEB.1.3.1</t>
        </is>
      </c>
      <c r="D15" s="11" t="inlineStr">
        <is>
          <t>Standard-Anforderungen</t>
        </is>
      </c>
      <c r="E15" s="12" t="inlineStr">
        <is>
          <t>Gebäudemanagement für Standorte SOLLTE Standorte vor Autorisierung anhand von Kriterien testen.</t>
        </is>
      </c>
      <c r="F15" s="14" t="n"/>
      <c r="G15" s="14" t="n"/>
      <c r="H15" s="14" t="inlineStr">
        <is>
          <t>unbearbeitet</t>
        </is>
      </c>
      <c r="I15" s="14" t="n"/>
      <c r="J15" s="14" t="n"/>
      <c r="K15" s="14" t="n"/>
      <c r="L15" s="15" t="n"/>
      <c r="M15" s="11" t="inlineStr"/>
      <c r="N15" s="12" t="inlineStr"/>
      <c r="O15" s="11" t="inlineStr"/>
      <c r="P15" s="12" t="inlineStr">
        <is>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is>
      </c>
      <c r="Q15" s="11" t="inlineStr">
        <is>
          <t>Standorte</t>
        </is>
      </c>
      <c r="R15" s="11" t="inlineStr">
        <is>
          <t>Prozess Gebäudemanagement</t>
        </is>
      </c>
      <c r="S15" s="12" t="inlineStr">
        <is>
          <t>Standorte</t>
        </is>
      </c>
      <c r="T15" s="12" t="inlineStr">
        <is>
          <t>G 0.18 – Fehlplanung oder fehlende Anpassung; G 0.26 – Fehlfunktion von Geräten oder Systemen</t>
        </is>
      </c>
      <c r="U15" s="11" t="n">
        <v>3</v>
      </c>
      <c r="V15" s="11" t="n">
        <v>1</v>
      </c>
      <c r="W15" s="11" t="n">
        <v>1</v>
      </c>
      <c r="X15" s="11" t="n">
        <v>1</v>
      </c>
      <c r="Y15" s="11" t="n">
        <v>0</v>
      </c>
    </row>
    <row r="16">
      <c r="A16" s="9" t="inlineStr">
        <is>
          <t>GEB.1.4</t>
        </is>
      </c>
      <c r="B16" s="10" t="inlineStr">
        <is>
          <t>Exponierte Bereiche</t>
        </is>
      </c>
      <c r="C16" s="11" t="n"/>
      <c r="D16" s="11" t="inlineStr">
        <is>
          <t>Standard-Anforderungen</t>
        </is>
      </c>
      <c r="E16" s="12" t="inlineStr">
        <is>
          <t>Gesamt:</t>
        </is>
      </c>
      <c r="F16" s="11" t="n"/>
      <c r="G16" s="11" t="n"/>
      <c r="H16" s="13">
        <f>IF(OR(COUNTBLANK($H$17:$H$17)&gt;0,COUNTIF($H$17:$H$17,"unbearbeitet")=COUNTA($H$17:$H$17)),"Bitte Teilanforderungen ausfüllen",IF(COUNTIF($H$17:$H$17,"zu klären")&gt;0,"zu klären",IF(COUNTIF($H$17:$H$17,"entbehrlich")=COUNTA($H$17:$H$17),"entbehrlich",IF(COUNTIF($H$17:$H$17,"verwiesen")=COUNTA($H$17:$H$17),"verwiesen",IF(COUNTIF($H$17:$H$17,"nein")+COUNTIF($H$17:$H$17,"entbehrlich")=COUNTA($H$17:$H$17),"nein",IF(COUNTIF($H$17:$H$17,"ja")+COUNTIF($H$17:$H$17,"entbehrlich")+COUNTIF($H$17:$H$17,"verwiesen")=COUNTA($H$17:$H$17),"ja","teilweise"))))))</f>
        <v/>
      </c>
      <c r="I16" s="11" t="n"/>
      <c r="J16" s="11" t="n"/>
      <c r="K16" s="11" t="n"/>
      <c r="L16" s="11" t="n"/>
      <c r="M16" s="11" t="inlineStr"/>
      <c r="N16" s="12" t="inlineStr"/>
      <c r="O16" s="11" t="inlineStr"/>
      <c r="P16" s="12" t="inlineStr">
        <is>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is>
      </c>
      <c r="Q16" s="11" t="inlineStr">
        <is>
          <t>Standorte</t>
        </is>
      </c>
      <c r="R16" s="11" t="inlineStr">
        <is>
          <t>Gebäudedokumentation</t>
        </is>
      </c>
      <c r="S16" s="12" t="inlineStr">
        <is>
          <t>schützenswerte Assets oder zugehörige Infrastrukturen nur außerhalb exponierter oder besonders gefährdeter Bereiche</t>
        </is>
      </c>
      <c r="T16" s="12" t="inlineStr">
        <is>
          <t>G 0.18 – Fehlplanung oder fehlende Anpassung</t>
        </is>
      </c>
      <c r="U16" s="11" t="n">
        <v>3</v>
      </c>
      <c r="V16" s="11" t="n">
        <v>1</v>
      </c>
      <c r="W16" s="11" t="n">
        <v>1</v>
      </c>
      <c r="X16" s="11" t="n">
        <v>1</v>
      </c>
      <c r="Y16" s="11" t="n">
        <v>0</v>
      </c>
    </row>
    <row r="17">
      <c r="A17" s="11" t="inlineStr">
        <is>
          <t>GEB.1.4</t>
        </is>
      </c>
      <c r="B17" s="12" t="inlineStr">
        <is>
          <t>Exponierte Bereiche</t>
        </is>
      </c>
      <c r="C17" s="11" t="inlineStr">
        <is>
          <t>GEB.1.4</t>
        </is>
      </c>
      <c r="D17" s="11" t="inlineStr">
        <is>
          <t>Standard-Anforderungen</t>
        </is>
      </c>
      <c r="E17" s="12" t="inlineStr">
        <is>
          <t>Gebäudemanagement für Standorte SOLLTE schützenswerte Assets oder zugehörige Infrastrukturen nur außerhalb exponierter oder besonders gefährdeter Bereiche platzieren.</t>
        </is>
      </c>
      <c r="F17" s="14" t="n"/>
      <c r="G17" s="14" t="n"/>
      <c r="H17" s="14" t="inlineStr">
        <is>
          <t>unbearbeitet</t>
        </is>
      </c>
      <c r="I17" s="14" t="n"/>
      <c r="J17" s="14" t="n"/>
      <c r="K17" s="14" t="n"/>
      <c r="L17" s="15" t="n"/>
      <c r="M17" s="11" t="inlineStr"/>
      <c r="N17" s="12" t="inlineStr"/>
      <c r="O17" s="11" t="inlineStr"/>
      <c r="P17" s="12" t="inlineStr">
        <is>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is>
      </c>
      <c r="Q17" s="11" t="inlineStr">
        <is>
          <t>Standorte</t>
        </is>
      </c>
      <c r="R17" s="11" t="inlineStr">
        <is>
          <t>Gebäudedokumentation</t>
        </is>
      </c>
      <c r="S17" s="12" t="inlineStr">
        <is>
          <t>schützenswerte Assets oder zugehörige Infrastrukturen nur außerhalb exponierter oder besonders gefährdeter Bereiche</t>
        </is>
      </c>
      <c r="T17" s="12" t="inlineStr">
        <is>
          <t>G 0.18 – Fehlplanung oder fehlende Anpassung</t>
        </is>
      </c>
      <c r="U17" s="11" t="n">
        <v>3</v>
      </c>
      <c r="V17" s="11" t="n">
        <v>1</v>
      </c>
      <c r="W17" s="11" t="n">
        <v>1</v>
      </c>
      <c r="X17" s="11" t="n">
        <v>1</v>
      </c>
      <c r="Y17" s="11" t="n">
        <v>0</v>
      </c>
    </row>
    <row r="18">
      <c r="A18" s="9" t="inlineStr">
        <is>
          <t>GEB.1.5</t>
        </is>
      </c>
      <c r="B18" s="10" t="inlineStr">
        <is>
          <t>Strukturpläne</t>
        </is>
      </c>
      <c r="C18" s="11" t="n"/>
      <c r="D18" s="11" t="inlineStr">
        <is>
          <t>Standard-Anforderungen</t>
        </is>
      </c>
      <c r="E18" s="12" t="inlineStr">
        <is>
          <t>Gesamt:</t>
        </is>
      </c>
      <c r="F18" s="11" t="n"/>
      <c r="G18" s="11" t="n"/>
      <c r="H18" s="13">
        <f>IF(OR(COUNTBLANK($H$19:$H$19)&gt;0,COUNTIF($H$19:$H$19,"unbearbeitet")=COUNTA($H$19:$H$19)),"Bitte Teilanforderungen ausfüllen",IF(COUNTIF($H$19:$H$19,"zu klären")&gt;0,"zu klären",IF(COUNTIF($H$19:$H$19,"entbehrlich")=COUNTA($H$19:$H$19),"entbehrlich",IF(COUNTIF($H$19:$H$19,"verwiesen")=COUNTA($H$19:$H$19),"verwiesen",IF(COUNTIF($H$19:$H$19,"nein")+COUNTIF($H$19:$H$19,"entbehrlich")=COUNTA($H$19:$H$19),"nein",IF(COUNTIF($H$19:$H$19,"ja")+COUNTIF($H$19:$H$19,"entbehrlich")+COUNTIF($H$19:$H$19,"verwiesen")=COUNTA($H$19:$H$19),"ja","teilweise"))))))</f>
        <v/>
      </c>
      <c r="I18" s="11" t="n"/>
      <c r="J18" s="11" t="n"/>
      <c r="K18" s="11" t="n"/>
      <c r="L18" s="11" t="n"/>
      <c r="M18" s="11" t="inlineStr"/>
      <c r="N18" s="12" t="inlineStr"/>
      <c r="O18" s="11" t="inlineStr"/>
      <c r="P18" s="12" t="inlineStr">
        <is>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is>
      </c>
      <c r="Q18" s="11" t="inlineStr">
        <is>
          <t>Standorte</t>
        </is>
      </c>
      <c r="R18" s="11" t="inlineStr">
        <is>
          <t>Gebäudedokumentation</t>
        </is>
      </c>
      <c r="S18" s="12" t="inlineStr">
        <is>
          <t>Strukturpläne</t>
        </is>
      </c>
      <c r="T18" s="12" t="inlineStr">
        <is>
          <t>G 0.18 – Fehlplanung oder fehlende Anpassung</t>
        </is>
      </c>
      <c r="U18" s="11" t="n">
        <v>3</v>
      </c>
      <c r="V18" s="11" t="n">
        <v>1</v>
      </c>
      <c r="W18" s="11" t="n">
        <v>1</v>
      </c>
      <c r="X18" s="11" t="n">
        <v>1</v>
      </c>
      <c r="Y18" s="11" t="n">
        <v>0</v>
      </c>
    </row>
    <row r="19">
      <c r="A19" s="11" t="inlineStr">
        <is>
          <t>GEB.1.5</t>
        </is>
      </c>
      <c r="B19" s="12" t="inlineStr">
        <is>
          <t>Strukturpläne</t>
        </is>
      </c>
      <c r="C19" s="11" t="inlineStr">
        <is>
          <t>GEB.1.5</t>
        </is>
      </c>
      <c r="D19" s="11" t="inlineStr">
        <is>
          <t>Standard-Anforderungen</t>
        </is>
      </c>
      <c r="E19" s="12" t="inlineStr">
        <is>
          <t>Gebäudemanagement für Standorte SOLLTE Strukturpläne dokumentieren.</t>
        </is>
      </c>
      <c r="F19" s="14" t="n"/>
      <c r="G19" s="14" t="n"/>
      <c r="H19" s="14" t="inlineStr">
        <is>
          <t>unbearbeitet</t>
        </is>
      </c>
      <c r="I19" s="14" t="n"/>
      <c r="J19" s="14" t="n"/>
      <c r="K19" s="14" t="n"/>
      <c r="L19" s="15" t="n"/>
      <c r="M19" s="11" t="inlineStr"/>
      <c r="N19" s="12" t="inlineStr"/>
      <c r="O19" s="11" t="inlineStr"/>
      <c r="P19" s="12" t="inlineStr">
        <is>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is>
      </c>
      <c r="Q19" s="11" t="inlineStr">
        <is>
          <t>Standorte</t>
        </is>
      </c>
      <c r="R19" s="11" t="inlineStr">
        <is>
          <t>Gebäudedokumentation</t>
        </is>
      </c>
      <c r="S19" s="12" t="inlineStr">
        <is>
          <t>Strukturpläne</t>
        </is>
      </c>
      <c r="T19" s="12" t="inlineStr">
        <is>
          <t>G 0.18 – Fehlplanung oder fehlende Anpassung</t>
        </is>
      </c>
      <c r="U19" s="11" t="n">
        <v>3</v>
      </c>
      <c r="V19" s="11" t="n">
        <v>1</v>
      </c>
      <c r="W19" s="11" t="n">
        <v>1</v>
      </c>
      <c r="X19" s="11" t="n">
        <v>1</v>
      </c>
      <c r="Y19" s="11" t="n">
        <v>0</v>
      </c>
    </row>
    <row r="20">
      <c r="A20" s="9" t="inlineStr">
        <is>
          <t>GEB.2.1</t>
        </is>
      </c>
      <c r="B20" s="10" t="inlineStr">
        <is>
          <t>Installation von Perimetern</t>
        </is>
      </c>
      <c r="C20" s="11" t="n"/>
      <c r="D20" s="11" t="inlineStr">
        <is>
          <t>Standard-Anforderungen</t>
        </is>
      </c>
      <c r="E20" s="12" t="inlineStr">
        <is>
          <t>Gesamt:</t>
        </is>
      </c>
      <c r="F20" s="11" t="n"/>
      <c r="G20" s="11" t="n"/>
      <c r="H20" s="13">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
      </c>
      <c r="I20" s="11" t="n"/>
      <c r="J20" s="11" t="n"/>
      <c r="K20" s="11" t="n"/>
      <c r="L20" s="11" t="n"/>
      <c r="M20" s="11" t="inlineStr">
        <is>
          <t>Integrität</t>
        </is>
      </c>
      <c r="N20" s="12" t="inlineStr"/>
      <c r="O20" s="11" t="inlineStr"/>
      <c r="P20" s="12" t="inlineStr">
        <is>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is>
      </c>
      <c r="Q20" s="11" t="inlineStr">
        <is>
          <t>Standorte</t>
        </is>
      </c>
      <c r="R20" s="11" t="inlineStr">
        <is>
          <t>Gebäudedokumentation</t>
        </is>
      </c>
      <c r="S20" s="12" t="inlineStr">
        <is>
          <t>Sicherheitsperimeter</t>
        </is>
      </c>
      <c r="T20" s="12" t="inlineStr">
        <is>
          <t>G 0.18 – Fehlplanung oder fehlende Anpassung; G 0.44 – Unbefugtes Eindringen in Räumlichkeiten; G 0.16 – Diebstahl von Geräten, Datenträgern oder Dokumenten; G 0.24 – Zerstörung von Geräten oder Datenträgern</t>
        </is>
      </c>
      <c r="U20" s="11" t="n">
        <v>2</v>
      </c>
      <c r="V20" s="11" t="n">
        <v>1</v>
      </c>
      <c r="W20" s="11" t="n">
        <v>2</v>
      </c>
      <c r="X20" s="11" t="n">
        <v>1</v>
      </c>
      <c r="Y20" s="11" t="n">
        <v>0</v>
      </c>
    </row>
    <row r="21">
      <c r="A21" s="11" t="inlineStr">
        <is>
          <t>GEB.2.1</t>
        </is>
      </c>
      <c r="B21" s="12" t="inlineStr">
        <is>
          <t>Installation von Perimetern</t>
        </is>
      </c>
      <c r="C21" s="11" t="inlineStr">
        <is>
          <t>GEB.2.1</t>
        </is>
      </c>
      <c r="D21" s="11" t="inlineStr">
        <is>
          <t>Standard-Anforderungen</t>
        </is>
      </c>
      <c r="E21" s="12" t="inlineStr">
        <is>
          <t>Gebäudemanagement für Standorte SOLLTE Sicherheitsperimeter installieren.</t>
        </is>
      </c>
      <c r="F21" s="14" t="n"/>
      <c r="G21" s="14" t="n"/>
      <c r="H21" s="14" t="inlineStr">
        <is>
          <t>unbearbeitet</t>
        </is>
      </c>
      <c r="I21" s="14" t="n"/>
      <c r="J21" s="14" t="n"/>
      <c r="K21" s="14" t="n"/>
      <c r="L21" s="15" t="n"/>
      <c r="M21" s="11" t="inlineStr">
        <is>
          <t>Integrität</t>
        </is>
      </c>
      <c r="N21" s="12" t="inlineStr"/>
      <c r="O21" s="11" t="inlineStr"/>
      <c r="P21" s="12" t="inlineStr">
        <is>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is>
      </c>
      <c r="Q21" s="11" t="inlineStr">
        <is>
          <t>Standorte</t>
        </is>
      </c>
      <c r="R21" s="11" t="inlineStr">
        <is>
          <t>Gebäudedokumentation</t>
        </is>
      </c>
      <c r="S21" s="12" t="inlineStr">
        <is>
          <t>Sicherheitsperimeter</t>
        </is>
      </c>
      <c r="T21" s="12" t="inlineStr">
        <is>
          <t>G 0.18 – Fehlplanung oder fehlende Anpassung; G 0.44 – Unbefugtes Eindringen in Räumlichkeiten; G 0.16 – Diebstahl von Geräten, Datenträgern oder Dokumenten; G 0.24 – Zerstörung von Geräten oder Datenträgern</t>
        </is>
      </c>
      <c r="U21" s="11" t="n">
        <v>2</v>
      </c>
      <c r="V21" s="11" t="n">
        <v>1</v>
      </c>
      <c r="W21" s="11" t="n">
        <v>2</v>
      </c>
      <c r="X21" s="11" t="n">
        <v>1</v>
      </c>
      <c r="Y21" s="11" t="n">
        <v>0</v>
      </c>
    </row>
    <row r="22">
      <c r="A22" s="9" t="inlineStr">
        <is>
          <t>GEB.2.2</t>
        </is>
      </c>
      <c r="B22" s="10" t="inlineStr">
        <is>
          <t>Dokumentation öffentlicher Bereiche</t>
        </is>
      </c>
      <c r="C22" s="11" t="n"/>
      <c r="D22" s="11" t="inlineStr">
        <is>
          <t>Standard-Anforderungen</t>
        </is>
      </c>
      <c r="E22" s="12" t="inlineStr">
        <is>
          <t>Gesamt:</t>
        </is>
      </c>
      <c r="F22" s="11" t="n"/>
      <c r="G22" s="11" t="n"/>
      <c r="H22" s="13">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
      </c>
      <c r="I22" s="11" t="n"/>
      <c r="J22" s="11" t="n"/>
      <c r="K22" s="11" t="n"/>
      <c r="L22" s="11" t="n"/>
      <c r="M22" s="11" t="inlineStr">
        <is>
          <t>Integrität</t>
        </is>
      </c>
      <c r="N22" s="12" t="inlineStr"/>
      <c r="O22" s="11" t="inlineStr"/>
      <c r="P22" s="12" t="inlineStr">
        <is>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is>
      </c>
      <c r="Q22" s="11" t="inlineStr">
        <is>
          <t>Gebäude</t>
        </is>
      </c>
      <c r="R22" s="11" t="inlineStr">
        <is>
          <t>Gebäudedokumentation</t>
        </is>
      </c>
      <c r="S22" s="12" t="inlineStr">
        <is>
          <t>Bereiche, die ohne Authentifizierung zugänglich sind,</t>
        </is>
      </c>
      <c r="T22" s="12" t="inlineStr">
        <is>
          <t>G 0.18 – Fehlplanung oder fehlende Anpassung; G 0.44 – Unbefugtes Eindringen in Räumlichkeiten; G 0.16 – Diebstahl von Geräten, Datenträgern oder Dokumenten; G 0.24 – Zerstörung von Geräten oder Datenträgern</t>
        </is>
      </c>
      <c r="U22" s="11" t="n">
        <v>4</v>
      </c>
      <c r="V22" s="11" t="n">
        <v>1</v>
      </c>
      <c r="W22" s="11" t="n">
        <v>2</v>
      </c>
      <c r="X22" s="11" t="n">
        <v>1</v>
      </c>
      <c r="Y22" s="11" t="n">
        <v>0</v>
      </c>
    </row>
    <row r="23">
      <c r="A23" s="11" t="inlineStr">
        <is>
          <t>GEB.2.2</t>
        </is>
      </c>
      <c r="B23" s="12" t="inlineStr">
        <is>
          <t>Dokumentation öffentlicher Bereiche</t>
        </is>
      </c>
      <c r="C23" s="11" t="inlineStr">
        <is>
          <t>GEB.2.2</t>
        </is>
      </c>
      <c r="D23" s="11" t="inlineStr">
        <is>
          <t>Standard-Anforderungen</t>
        </is>
      </c>
      <c r="E23" s="12" t="inlineStr">
        <is>
          <t>Gebäudemanagement für Gebäude SOLLTE Bereiche, die ohne Authentifizierung zugänglich sind, mit Begründung dokumentieren.</t>
        </is>
      </c>
      <c r="F23" s="14" t="n"/>
      <c r="G23" s="14" t="n"/>
      <c r="H23" s="14" t="inlineStr">
        <is>
          <t>unbearbeitet</t>
        </is>
      </c>
      <c r="I23" s="14" t="n"/>
      <c r="J23" s="14" t="n"/>
      <c r="K23" s="14" t="n"/>
      <c r="L23" s="15" t="n"/>
      <c r="M23" s="11" t="inlineStr">
        <is>
          <t>Integrität</t>
        </is>
      </c>
      <c r="N23" s="12" t="inlineStr"/>
      <c r="O23" s="11" t="inlineStr"/>
      <c r="P23" s="12" t="inlineStr">
        <is>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is>
      </c>
      <c r="Q23" s="11" t="inlineStr">
        <is>
          <t>Gebäude</t>
        </is>
      </c>
      <c r="R23" s="11" t="inlineStr">
        <is>
          <t>Gebäudedokumentation</t>
        </is>
      </c>
      <c r="S23" s="12" t="inlineStr">
        <is>
          <t>Bereiche, die ohne Authentifizierung zugänglich sind,</t>
        </is>
      </c>
      <c r="T23" s="12" t="inlineStr">
        <is>
          <t>G 0.18 – Fehlplanung oder fehlende Anpassung; G 0.44 – Unbefugtes Eindringen in Räumlichkeiten; G 0.16 – Diebstahl von Geräten, Datenträgern oder Dokumenten; G 0.24 – Zerstörung von Geräten oder Datenträgern</t>
        </is>
      </c>
      <c r="U23" s="11" t="n">
        <v>4</v>
      </c>
      <c r="V23" s="11" t="n">
        <v>1</v>
      </c>
      <c r="W23" s="11" t="n">
        <v>2</v>
      </c>
      <c r="X23" s="11" t="n">
        <v>1</v>
      </c>
      <c r="Y23" s="11" t="n">
        <v>0</v>
      </c>
    </row>
    <row r="24">
      <c r="A24" s="9" t="inlineStr">
        <is>
          <t>GEB.2.3</t>
        </is>
      </c>
      <c r="B24" s="10" t="inlineStr">
        <is>
          <t>Erkundung aus dem öffentlichen Raum</t>
        </is>
      </c>
      <c r="C24" s="11" t="n"/>
      <c r="D24" s="11" t="inlineStr">
        <is>
          <t>Standard-Anforderungen</t>
        </is>
      </c>
      <c r="E24" s="12" t="inlineStr">
        <is>
          <t>Gesamt:</t>
        </is>
      </c>
      <c r="F24" s="11" t="n"/>
      <c r="G24" s="11" t="n"/>
      <c r="H24" s="13">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
      </c>
      <c r="I24" s="11" t="n"/>
      <c r="J24" s="11" t="n"/>
      <c r="K24" s="11" t="n"/>
      <c r="L24" s="11" t="n"/>
      <c r="M24" s="11" t="inlineStr">
        <is>
          <t>Vertraulichkeit</t>
        </is>
      </c>
      <c r="N24" s="12" t="inlineStr"/>
      <c r="O24" s="11" t="inlineStr"/>
      <c r="P24" s="12" t="inlineStr">
        <is>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is>
      </c>
      <c r="Q24" s="11" t="inlineStr">
        <is>
          <t>Standorte</t>
        </is>
      </c>
      <c r="R24" s="11" t="inlineStr">
        <is>
          <t>Abnahmeprotokoll</t>
        </is>
      </c>
      <c r="S24" s="12" t="inlineStr">
        <is>
          <t>Hör- und Sehschutz gegen den öffentlichen Raum</t>
        </is>
      </c>
      <c r="T24" s="12" t="inlineStr">
        <is>
          <t>G 0.44 – Unbefugtes Eindringen in Räumlichkeiten; G 0.16 – Diebstahl von Geräten, Datenträgern oder Dokumenten; G 0.24 – Zerstörung von Geräten oder Datenträgern; G 0.19 – Offenlegung schützenswerter Informationen</t>
        </is>
      </c>
      <c r="U24" s="11" t="n">
        <v>4</v>
      </c>
      <c r="V24" s="11" t="n">
        <v>2</v>
      </c>
      <c r="W24" s="11" t="n">
        <v>1</v>
      </c>
      <c r="X24" s="11" t="n">
        <v>1</v>
      </c>
      <c r="Y24" s="11" t="n">
        <v>0</v>
      </c>
    </row>
    <row r="25">
      <c r="A25" s="11" t="inlineStr">
        <is>
          <t>GEB.2.3</t>
        </is>
      </c>
      <c r="B25" s="12" t="inlineStr">
        <is>
          <t>Erkundung aus dem öffentlichen Raum</t>
        </is>
      </c>
      <c r="C25" s="11" t="inlineStr">
        <is>
          <t>GEB.2.3</t>
        </is>
      </c>
      <c r="D25" s="11" t="inlineStr">
        <is>
          <t>Standard-Anforderungen</t>
        </is>
      </c>
      <c r="E25" s="12" t="inlineStr">
        <is>
          <t>Gebäudemanagement für Standorte SOLLTE Hör- und Sehschutz gegen den öffentlichen Raum testen.</t>
        </is>
      </c>
      <c r="F25" s="14" t="n"/>
      <c r="G25" s="14" t="n"/>
      <c r="H25" s="14" t="inlineStr">
        <is>
          <t>unbearbeitet</t>
        </is>
      </c>
      <c r="I25" s="14" t="n"/>
      <c r="J25" s="14" t="n"/>
      <c r="K25" s="14" t="n"/>
      <c r="L25" s="15" t="n"/>
      <c r="M25" s="11" t="inlineStr">
        <is>
          <t>Vertraulichkeit</t>
        </is>
      </c>
      <c r="N25" s="12" t="inlineStr"/>
      <c r="O25" s="11" t="inlineStr"/>
      <c r="P25" s="12" t="inlineStr">
        <is>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is>
      </c>
      <c r="Q25" s="11" t="inlineStr">
        <is>
          <t>Standorte</t>
        </is>
      </c>
      <c r="R25" s="11" t="inlineStr">
        <is>
          <t>Abnahmeprotokoll</t>
        </is>
      </c>
      <c r="S25" s="12" t="inlineStr">
        <is>
          <t>Hör- und Sehschutz gegen den öffentlichen Raum</t>
        </is>
      </c>
      <c r="T25" s="12" t="inlineStr">
        <is>
          <t>G 0.44 – Unbefugtes Eindringen in Räumlichkeiten; G 0.16 – Diebstahl von Geräten, Datenträgern oder Dokumenten; G 0.24 – Zerstörung von Geräten oder Datenträgern; G 0.19 – Offenlegung schützenswerter Informationen</t>
        </is>
      </c>
      <c r="U25" s="11" t="n">
        <v>4</v>
      </c>
      <c r="V25" s="11" t="n">
        <v>2</v>
      </c>
      <c r="W25" s="11" t="n">
        <v>1</v>
      </c>
      <c r="X25" s="11" t="n">
        <v>1</v>
      </c>
      <c r="Y25" s="11" t="n">
        <v>0</v>
      </c>
    </row>
    <row r="26">
      <c r="A26" s="9" t="inlineStr">
        <is>
          <t>GEB.2.4</t>
        </is>
      </c>
      <c r="B26" s="10" t="inlineStr">
        <is>
          <t>Elektromagnetische Abschirmung</t>
        </is>
      </c>
      <c r="C26" s="11" t="n"/>
      <c r="D26" s="11" t="inlineStr">
        <is>
          <t>Anforderungen bei erhöhtem Schutzbedarf</t>
        </is>
      </c>
      <c r="E26" s="12" t="inlineStr">
        <is>
          <t>Gesamt:</t>
        </is>
      </c>
      <c r="F26" s="11" t="n"/>
      <c r="G26" s="11" t="n"/>
      <c r="H26" s="13">
        <f>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
      </c>
      <c r="I26" s="11" t="n"/>
      <c r="J26" s="11" t="n"/>
      <c r="K26" s="11" t="n"/>
      <c r="L26" s="11" t="n"/>
      <c r="M26" s="11" t="inlineStr">
        <is>
          <t>Vertraulichkeit</t>
        </is>
      </c>
      <c r="N26" s="12" t="inlineStr"/>
      <c r="O26" s="11" t="inlineStr"/>
      <c r="P26" s="12" t="inlineStr">
        <is>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is>
      </c>
      <c r="Q26" s="11" t="inlineStr">
        <is>
          <t>Standorte</t>
        </is>
      </c>
      <c r="R26" s="11" t="inlineStr">
        <is>
          <t>Abnahmeprotokoll</t>
        </is>
      </c>
      <c r="S26" s="12" t="inlineStr">
        <is>
          <t>die Elektromagnetische Abschirmung</t>
        </is>
      </c>
      <c r="T26" s="12" t="inlineStr">
        <is>
          <t>G 0.19 – Offenlegung schützenswerter Informationen; G 0.13 – Abfangen kompromittierender Strahlung; G 0.12 – Elektromagnetische Störstrahlung</t>
        </is>
      </c>
      <c r="U26" s="11" t="n">
        <v>5</v>
      </c>
      <c r="V26" s="11" t="n">
        <v>2</v>
      </c>
      <c r="W26" s="11" t="n">
        <v>1</v>
      </c>
      <c r="X26" s="11" t="n">
        <v>1</v>
      </c>
      <c r="Y26" s="11" t="n">
        <v>0</v>
      </c>
    </row>
    <row r="27">
      <c r="A27" s="11" t="inlineStr">
        <is>
          <t>GEB.2.4</t>
        </is>
      </c>
      <c r="B27" s="12" t="inlineStr">
        <is>
          <t>Elektromagnetische Abschirmung</t>
        </is>
      </c>
      <c r="C27" s="11" t="inlineStr">
        <is>
          <t>GEB.2.4</t>
        </is>
      </c>
      <c r="D27" s="11" t="inlineStr">
        <is>
          <t>Anforderungen bei erhöhtem Schutzbedarf</t>
        </is>
      </c>
      <c r="E27" s="12" t="inlineStr">
        <is>
          <t>Gebäudemanagement für Standorte KANN die Elektromagnetische Abschirmung testen.</t>
        </is>
      </c>
      <c r="F27" s="14" t="n"/>
      <c r="G27" s="14" t="n"/>
      <c r="H27" s="14" t="inlineStr">
        <is>
          <t>unbearbeitet</t>
        </is>
      </c>
      <c r="I27" s="14" t="n"/>
      <c r="J27" s="14" t="n"/>
      <c r="K27" s="14" t="n"/>
      <c r="L27" s="15" t="n"/>
      <c r="M27" s="11" t="inlineStr">
        <is>
          <t>Vertraulichkeit</t>
        </is>
      </c>
      <c r="N27" s="12" t="inlineStr"/>
      <c r="O27" s="11" t="inlineStr"/>
      <c r="P27" s="12" t="inlineStr">
        <is>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is>
      </c>
      <c r="Q27" s="11" t="inlineStr">
        <is>
          <t>Standorte</t>
        </is>
      </c>
      <c r="R27" s="11" t="inlineStr">
        <is>
          <t>Abnahmeprotokoll</t>
        </is>
      </c>
      <c r="S27" s="12" t="inlineStr">
        <is>
          <t>die Elektromagnetische Abschirmung</t>
        </is>
      </c>
      <c r="T27" s="12" t="inlineStr">
        <is>
          <t>G 0.19 – Offenlegung schützenswerter Informationen; G 0.13 – Abfangen kompromittierender Strahlung; G 0.12 – Elektromagnetische Störstrahlung</t>
        </is>
      </c>
      <c r="U27" s="11" t="n">
        <v>5</v>
      </c>
      <c r="V27" s="11" t="n">
        <v>2</v>
      </c>
      <c r="W27" s="11" t="n">
        <v>1</v>
      </c>
      <c r="X27" s="11" t="n">
        <v>1</v>
      </c>
      <c r="Y27" s="11" t="n">
        <v>0</v>
      </c>
    </row>
    <row r="28">
      <c r="A28" s="9" t="inlineStr">
        <is>
          <t>GEB.3.1</t>
        </is>
      </c>
      <c r="B28" s="10" t="inlineStr">
        <is>
          <t>Überwachung von Zutrittspunkten</t>
        </is>
      </c>
      <c r="C28" s="11" t="n"/>
      <c r="D28" s="11" t="inlineStr">
        <is>
          <t>Standard-Anforderungen</t>
        </is>
      </c>
      <c r="E28" s="12" t="inlineStr">
        <is>
          <t>Gesamt:</t>
        </is>
      </c>
      <c r="F28" s="11" t="n"/>
      <c r="G28" s="11" t="n"/>
      <c r="H28" s="13">
        <f>IF(OR(COUNTBLANK($H$29:$H$31)&gt;0,COUNTIF($H$29:$H$31,"unbearbeitet")=COUNTA($H$29:$H$31)),"Bitte Teilanforderungen ausfüllen",IF(COUNTIF($H$29:$H$31,"zu klären")&gt;0,"zu klären",IF(COUNTIF($H$29:$H$31,"entbehrlich")=COUNTA($H$29:$H$31),"entbehrlich",IF(COUNTIF($H$29:$H$31,"verwiesen")=COUNTA($H$29:$H$31),"verwiesen",IF(COUNTIF($H$29:$H$31,"nein")+COUNTIF($H$29:$H$31,"entbehrlich")=COUNTA($H$29:$H$31),"nein",IF(COUNTIF($H$29:$H$31,"ja")+COUNTIF($H$29:$H$31,"entbehrlich")+COUNTIF($H$29:$H$31,"verwiesen")=COUNTA($H$29:$H$31),"ja","teilweise"))))))</f>
        <v/>
      </c>
      <c r="I28" s="11" t="n"/>
      <c r="J28" s="11" t="n"/>
      <c r="K28" s="11" t="n"/>
      <c r="L28" s="11" t="n"/>
      <c r="M28" s="11" t="inlineStr"/>
      <c r="N28" s="12" t="inlineStr"/>
      <c r="O28" s="11" t="inlineStr"/>
      <c r="P28" s="12" t="inlineStr">
        <is>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is>
      </c>
      <c r="Q28" s="11" t="inlineStr">
        <is>
          <t>Standorte</t>
        </is>
      </c>
      <c r="R28" s="11" t="inlineStr">
        <is>
          <t>Prozess Gebäudemanagement</t>
        </is>
      </c>
      <c r="S28" s="12" t="inlineStr">
        <is>
          <t>Zutrittspunkte auf unbefugte Zutritte</t>
        </is>
      </c>
      <c r="T28" s="12" t="inlineStr">
        <is>
          <t>G 0.44 – Unbefugtes Eindringen in Räumlichkeiten; G 0.16 – Diebstahl von Geräten, Datenträgern oder Dokumenten; G 0.24 – Zerstörung von Geräten oder Datenträgern; G 0.19 – Offenlegung schützenswerter Informationen</t>
        </is>
      </c>
      <c r="U28" s="11" t="n">
        <v>3</v>
      </c>
      <c r="V28" s="11" t="n">
        <v>1</v>
      </c>
      <c r="W28" s="11" t="n">
        <v>1</v>
      </c>
      <c r="X28" s="11" t="n">
        <v>1</v>
      </c>
      <c r="Y28" s="11" t="n">
        <v>0</v>
      </c>
    </row>
    <row r="29">
      <c r="A29" s="11" t="inlineStr">
        <is>
          <t>GEB.3.1</t>
        </is>
      </c>
      <c r="B29" s="12" t="inlineStr">
        <is>
          <t>Überwachung von Zutrittspunkten</t>
        </is>
      </c>
      <c r="C29" s="11" t="inlineStr">
        <is>
          <t>GEB.3.1</t>
        </is>
      </c>
      <c r="D29" s="11" t="inlineStr">
        <is>
          <t>Standard-Anforderungen</t>
        </is>
      </c>
      <c r="E29" s="12" t="inlineStr">
        <is>
          <t>Gebäudemanagement für Standorte SOLLTE Zutrittspunkte auf unbefugte Zutritte überwachen.</t>
        </is>
      </c>
      <c r="F29" s="14" t="n"/>
      <c r="G29" s="14" t="n"/>
      <c r="H29" s="14" t="inlineStr">
        <is>
          <t>unbearbeitet</t>
        </is>
      </c>
      <c r="I29" s="14" t="n"/>
      <c r="J29" s="14" t="n"/>
      <c r="K29" s="14" t="n"/>
      <c r="L29" s="15" t="n"/>
      <c r="M29" s="11" t="inlineStr"/>
      <c r="N29" s="12" t="inlineStr"/>
      <c r="O29" s="11" t="inlineStr"/>
      <c r="P29" s="12" t="inlineStr">
        <is>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is>
      </c>
      <c r="Q29" s="11" t="inlineStr">
        <is>
          <t>Standorte</t>
        </is>
      </c>
      <c r="R29" s="11" t="inlineStr">
        <is>
          <t>Prozess Gebäudemanagement</t>
        </is>
      </c>
      <c r="S29" s="12" t="inlineStr">
        <is>
          <t>Zutrittspunkte auf unbefugte Zutritte</t>
        </is>
      </c>
      <c r="T29" s="12" t="inlineStr">
        <is>
          <t>G 0.44 – Unbefugtes Eindringen in Räumlichkeiten; G 0.16 – Diebstahl von Geräten, Datenträgern oder Dokumenten; G 0.24 – Zerstörung von Geräten oder Datenträgern; G 0.19 – Offenlegung schützenswerter Informationen</t>
        </is>
      </c>
      <c r="U29" s="11" t="n">
        <v>3</v>
      </c>
      <c r="V29" s="11" t="n">
        <v>1</v>
      </c>
      <c r="W29" s="11" t="n">
        <v>1</v>
      </c>
      <c r="X29" s="11" t="n">
        <v>1</v>
      </c>
      <c r="Y29" s="11" t="n">
        <v>0</v>
      </c>
    </row>
    <row r="30">
      <c r="A30" s="11" t="inlineStr">
        <is>
          <t>GEB.3.1</t>
        </is>
      </c>
      <c r="B30" s="12" t="inlineStr">
        <is>
          <t>Überwachung von Zutrittspunkten</t>
        </is>
      </c>
      <c r="C30" s="11" t="inlineStr">
        <is>
          <t>GEB.3.1.1</t>
        </is>
      </c>
      <c r="D30" s="11" t="inlineStr">
        <is>
          <t>Anforderungen bei erhöhtem Schutzbedarf</t>
        </is>
      </c>
      <c r="E30" s="12" t="inlineStr">
        <is>
          <t>Gebäudemanagement für Standorte KANN Zutritte per Video überwachen.</t>
        </is>
      </c>
      <c r="F30" s="14" t="n"/>
      <c r="G30" s="14" t="n"/>
      <c r="H30" s="14" t="inlineStr">
        <is>
          <t>unbearbeitet</t>
        </is>
      </c>
      <c r="I30" s="14" t="n"/>
      <c r="J30" s="14" t="n"/>
      <c r="K30" s="14" t="n"/>
      <c r="L30" s="15" t="n"/>
      <c r="M30" s="11" t="inlineStr"/>
      <c r="N30" s="12" t="inlineStr"/>
      <c r="O30" s="11" t="inlineStr"/>
      <c r="P30" s="12" t="inlineStr">
        <is>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is>
      </c>
      <c r="Q30" s="11" t="inlineStr">
        <is>
          <t>Standorte</t>
        </is>
      </c>
      <c r="R30" s="11" t="inlineStr">
        <is>
          <t>Prozess Gebäudemanagement</t>
        </is>
      </c>
      <c r="S30" s="12" t="inlineStr">
        <is>
          <t>Zutritte</t>
        </is>
      </c>
      <c r="T30" s="12" t="inlineStr">
        <is>
          <t>G 0.44 – Unbefugtes Eindringen in Räumlichkeiten; G 0.16 – Diebstahl von Geräten, Datenträgern oder Dokumenten; G 0.24 – Zerstörung von Geräten oder Datenträgern</t>
        </is>
      </c>
      <c r="U30" s="11" t="n">
        <v>4</v>
      </c>
      <c r="V30" s="11" t="n">
        <v>1</v>
      </c>
      <c r="W30" s="11" t="n">
        <v>1</v>
      </c>
      <c r="X30" s="11" t="n">
        <v>1</v>
      </c>
      <c r="Y30" s="11" t="n">
        <v>0</v>
      </c>
    </row>
    <row r="31">
      <c r="A31" s="11" t="inlineStr">
        <is>
          <t>GEB.3.1</t>
        </is>
      </c>
      <c r="B31" s="12" t="inlineStr">
        <is>
          <t>Überwachung von Zutrittspunkten</t>
        </is>
      </c>
      <c r="C31" s="11" t="inlineStr">
        <is>
          <t>GEB.3.1.2</t>
        </is>
      </c>
      <c r="D31" s="11" t="inlineStr">
        <is>
          <t>Anforderungen bei erhöhtem Schutzbedarf</t>
        </is>
      </c>
      <c r="E31" s="12" t="inlineStr">
        <is>
          <t>Gebäudemanagement für Standorte KANN das Mitführen von Gegenständen überwachen.</t>
        </is>
      </c>
      <c r="F31" s="14" t="n"/>
      <c r="G31" s="14" t="n"/>
      <c r="H31" s="14" t="inlineStr">
        <is>
          <t>unbearbeitet</t>
        </is>
      </c>
      <c r="I31" s="14" t="n"/>
      <c r="J31" s="14" t="n"/>
      <c r="K31" s="14" t="n"/>
      <c r="L31" s="15" t="n"/>
      <c r="M31" s="11" t="inlineStr"/>
      <c r="N31" s="12" t="inlineStr"/>
      <c r="O31" s="11" t="inlineStr"/>
      <c r="P31" s="12" t="inlineStr">
        <is>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is>
      </c>
      <c r="Q31" s="11" t="inlineStr">
        <is>
          <t>Standorte</t>
        </is>
      </c>
      <c r="R31" s="11" t="inlineStr">
        <is>
          <t>Prozess Gebäudemanagement</t>
        </is>
      </c>
      <c r="S31" s="12" t="inlineStr">
        <is>
          <t>das Mitführen von Gegenständen</t>
        </is>
      </c>
      <c r="T31" s="12" t="inlineStr">
        <is>
          <t>G 0.44 – Unbefugtes Eindringen in Räumlichkeiten; G 0.16 – Diebstahl von Geräten, Datenträgern oder Dokumenten; G 0.24 – Zerstörung von Geräten oder Datenträgern; G 0.19 – Offenlegung schützenswerter Informationen</t>
        </is>
      </c>
      <c r="U31" s="11" t="n">
        <v>5</v>
      </c>
      <c r="V31" s="11" t="n">
        <v>1</v>
      </c>
      <c r="W31" s="11" t="n">
        <v>1</v>
      </c>
      <c r="X31" s="11" t="n">
        <v>1</v>
      </c>
      <c r="Y31" s="11" t="n">
        <v>0</v>
      </c>
    </row>
    <row r="32">
      <c r="A32" s="9" t="inlineStr">
        <is>
          <t>GEB.3.2</t>
        </is>
      </c>
      <c r="B32" s="10" t="inlineStr">
        <is>
          <t>Anmelde- und Empfangsbereiche</t>
        </is>
      </c>
      <c r="C32" s="11" t="n"/>
      <c r="D32" s="11" t="inlineStr">
        <is>
          <t>Standard-Anforderungen</t>
        </is>
      </c>
      <c r="E32" s="12" t="inlineStr">
        <is>
          <t>Gesamt:</t>
        </is>
      </c>
      <c r="F32" s="11" t="n"/>
      <c r="G32" s="11" t="n"/>
      <c r="H32" s="13">
        <f>IF(OR(COUNTBLANK($H$33:$H$33)&gt;0,COUNTIF($H$33:$H$33,"unbearbeitet")=COUNTA($H$33:$H$33)),"Bitte Teilanforderungen ausfüllen",IF(COUNTIF($H$33:$H$33,"zu klären")&gt;0,"zu klären",IF(COUNTIF($H$33:$H$33,"entbehrlich")=COUNTA($H$33:$H$33),"entbehrlich",IF(COUNTIF($H$33:$H$33,"verwiesen")=COUNTA($H$33:$H$33),"verwiesen",IF(COUNTIF($H$33:$H$33,"nein")+COUNTIF($H$33:$H$33,"entbehrlich")=COUNTA($H$33:$H$33),"nein",IF(COUNTIF($H$33:$H$33,"ja")+COUNTIF($H$33:$H$33,"entbehrlich")+COUNTIF($H$33:$H$33,"verwiesen")=COUNTA($H$33:$H$33),"ja","teilweise"))))))</f>
        <v/>
      </c>
      <c r="I32" s="11" t="n"/>
      <c r="J32" s="11" t="n"/>
      <c r="K32" s="11" t="n"/>
      <c r="L32" s="11" t="n"/>
      <c r="M32" s="11" t="inlineStr"/>
      <c r="N32" s="12" t="inlineStr"/>
      <c r="O32" s="11" t="inlineStr"/>
      <c r="P32" s="12" t="inlineStr">
        <is>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is>
      </c>
      <c r="Q32" s="11" t="inlineStr">
        <is>
          <t>Standorte</t>
        </is>
      </c>
      <c r="R32" s="11" t="inlineStr">
        <is>
          <t>Gebäudedokumentation</t>
        </is>
      </c>
      <c r="S32" s="12" t="inlineStr">
        <is>
          <t>Anmelde- und Empfangsbereiche</t>
        </is>
      </c>
      <c r="T32" s="12" t="inlineStr">
        <is>
          <t>G 0.44 – Unbefugtes Eindringen in Räumlichkeiten; G 0.16 – Diebstahl von Geräten, Datenträgern oder Dokumenten; G 0.24 – Zerstörung von Geräten oder Datenträgern</t>
        </is>
      </c>
      <c r="U32" s="11" t="n">
        <v>4</v>
      </c>
      <c r="V32" s="11" t="n">
        <v>1</v>
      </c>
      <c r="W32" s="11" t="n">
        <v>1</v>
      </c>
      <c r="X32" s="11" t="n">
        <v>1</v>
      </c>
      <c r="Y32" s="11" t="n">
        <v>0</v>
      </c>
    </row>
    <row r="33">
      <c r="A33" s="11" t="inlineStr">
        <is>
          <t>GEB.3.2</t>
        </is>
      </c>
      <c r="B33" s="12" t="inlineStr">
        <is>
          <t>Anmelde- und Empfangsbereiche</t>
        </is>
      </c>
      <c r="C33" s="11" t="inlineStr">
        <is>
          <t>GEB.3.2</t>
        </is>
      </c>
      <c r="D33" s="11" t="inlineStr">
        <is>
          <t>Standard-Anforderungen</t>
        </is>
      </c>
      <c r="E33" s="12" t="inlineStr">
        <is>
          <t>Gebäudemanagement für Standorte SOLLTE Anmelde- und Empfangsbereiche installieren.</t>
        </is>
      </c>
      <c r="F33" s="14" t="n"/>
      <c r="G33" s="14" t="n"/>
      <c r="H33" s="14" t="inlineStr">
        <is>
          <t>unbearbeitet</t>
        </is>
      </c>
      <c r="I33" s="14" t="n"/>
      <c r="J33" s="14" t="n"/>
      <c r="K33" s="14" t="n"/>
      <c r="L33" s="15" t="n"/>
      <c r="M33" s="11" t="inlineStr"/>
      <c r="N33" s="12" t="inlineStr"/>
      <c r="O33" s="11" t="inlineStr"/>
      <c r="P33" s="12" t="inlineStr">
        <is>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is>
      </c>
      <c r="Q33" s="11" t="inlineStr">
        <is>
          <t>Standorte</t>
        </is>
      </c>
      <c r="R33" s="11" t="inlineStr">
        <is>
          <t>Gebäudedokumentation</t>
        </is>
      </c>
      <c r="S33" s="12" t="inlineStr">
        <is>
          <t>Anmelde- und Empfangsbereiche</t>
        </is>
      </c>
      <c r="T33" s="12" t="inlineStr">
        <is>
          <t>G 0.44 – Unbefugtes Eindringen in Räumlichkeiten; G 0.16 – Diebstahl von Geräten, Datenträgern oder Dokumenten; G 0.24 – Zerstörung von Geräten oder Datenträgern</t>
        </is>
      </c>
      <c r="U33" s="11" t="n">
        <v>4</v>
      </c>
      <c r="V33" s="11" t="n">
        <v>1</v>
      </c>
      <c r="W33" s="11" t="n">
        <v>1</v>
      </c>
      <c r="X33" s="11" t="n">
        <v>1</v>
      </c>
      <c r="Y33" s="11" t="n">
        <v>0</v>
      </c>
    </row>
    <row r="34">
      <c r="A34" s="9" t="inlineStr">
        <is>
          <t>GEB.3.3</t>
        </is>
      </c>
      <c r="B34" s="10" t="inlineStr">
        <is>
          <t>Authentifizierung vor Zutritt</t>
        </is>
      </c>
      <c r="C34" s="11" t="n"/>
      <c r="D34" s="11" t="inlineStr">
        <is>
          <t>Standard-Anforderungen</t>
        </is>
      </c>
      <c r="E34" s="12" t="inlineStr">
        <is>
          <t>Gesamt:</t>
        </is>
      </c>
      <c r="F34" s="11" t="n"/>
      <c r="G34" s="11" t="n"/>
      <c r="H34" s="13">
        <f>IF(OR(COUNTBLANK($H$35:$H$38)&gt;0,COUNTIF($H$35:$H$38,"unbearbeitet")=COUNTA($H$35:$H$38)),"Bitte Teilanforderungen ausfüllen",IF(COUNTIF($H$35:$H$38,"zu klären")&gt;0,"zu klären",IF(COUNTIF($H$35:$H$38,"entbehrlich")=COUNTA($H$35:$H$38),"entbehrlich",IF(COUNTIF($H$35:$H$38,"verwiesen")=COUNTA($H$35:$H$38),"verwiesen",IF(COUNTIF($H$35:$H$38,"nein")+COUNTIF($H$35:$H$38,"entbehrlich")=COUNTA($H$35:$H$38),"nein",IF(COUNTIF($H$35:$H$38,"ja")+COUNTIF($H$35:$H$38,"entbehrlich")+COUNTIF($H$35:$H$38,"verwiesen")=COUNTA($H$35:$H$38),"ja","teilweise"))))))</f>
        <v/>
      </c>
      <c r="I34" s="11" t="n"/>
      <c r="J34" s="11" t="n"/>
      <c r="K34" s="11" t="n"/>
      <c r="L34" s="11" t="n"/>
      <c r="M34" s="11" t="inlineStr">
        <is>
          <t>Integrität</t>
        </is>
      </c>
      <c r="N34" s="12" t="inlineStr"/>
      <c r="O34" s="11" t="inlineStr"/>
      <c r="P34" s="12" t="inlineStr">
        <is>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34" s="11" t="inlineStr">
        <is>
          <t>Standorte</t>
        </is>
      </c>
      <c r="R34" s="11" t="inlineStr">
        <is>
          <t>Prozess Gebäudemanagement</t>
        </is>
      </c>
      <c r="S34" s="12" t="inlineStr">
        <is>
          <t>Zutritte</t>
        </is>
      </c>
      <c r="T34" s="12" t="inlineStr">
        <is>
          <t>G 0.44 – Unbefugtes Eindringen in Räumlichkeiten; G 0.16 – Diebstahl von Geräten, Datenträgern oder Dokumenten; G 0.24 – Zerstörung von Geräten oder Datenträgern; G 0.19 – Offenlegung schützenswerter Informationen</t>
        </is>
      </c>
      <c r="U34" s="11" t="n">
        <v>3</v>
      </c>
      <c r="V34" s="11" t="n">
        <v>1</v>
      </c>
      <c r="W34" s="11" t="n">
        <v>2</v>
      </c>
      <c r="X34" s="11" t="n">
        <v>1</v>
      </c>
      <c r="Y34" s="11" t="n">
        <v>0</v>
      </c>
    </row>
    <row r="35">
      <c r="A35" s="11" t="inlineStr">
        <is>
          <t>GEB.3.3</t>
        </is>
      </c>
      <c r="B35" s="12" t="inlineStr">
        <is>
          <t>Authentifizierung vor Zutritt</t>
        </is>
      </c>
      <c r="C35" s="11" t="inlineStr">
        <is>
          <t>GEB.3.3</t>
        </is>
      </c>
      <c r="D35" s="11" t="inlineStr">
        <is>
          <t>Standard-Anforderungen</t>
        </is>
      </c>
      <c r="E35" s="12" t="inlineStr">
        <is>
          <t>Gebäudemanagement für Standorte SOLLTE Zutritte im Einklang mit den Festlegungen des Identitäts- und Berechtigungsmanagements authentifizieren.</t>
        </is>
      </c>
      <c r="F35" s="14" t="n"/>
      <c r="G35" s="14" t="n"/>
      <c r="H35" s="14" t="inlineStr">
        <is>
          <t>unbearbeitet</t>
        </is>
      </c>
      <c r="I35" s="14" t="n"/>
      <c r="J35" s="14" t="n"/>
      <c r="K35" s="14" t="n"/>
      <c r="L35" s="15" t="n"/>
      <c r="M35" s="11" t="inlineStr">
        <is>
          <t>Integrität</t>
        </is>
      </c>
      <c r="N35" s="12" t="inlineStr"/>
      <c r="O35" s="11" t="inlineStr"/>
      <c r="P35" s="12" t="inlineStr">
        <is>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35" s="11" t="inlineStr">
        <is>
          <t>Standorte</t>
        </is>
      </c>
      <c r="R35" s="11" t="inlineStr">
        <is>
          <t>Prozess Gebäudemanagement</t>
        </is>
      </c>
      <c r="S35" s="12" t="inlineStr">
        <is>
          <t>Zutritte</t>
        </is>
      </c>
      <c r="T35" s="12" t="inlineStr">
        <is>
          <t>G 0.44 – Unbefugtes Eindringen in Räumlichkeiten; G 0.16 – Diebstahl von Geräten, Datenträgern oder Dokumenten; G 0.24 – Zerstörung von Geräten oder Datenträgern; G 0.19 – Offenlegung schützenswerter Informationen</t>
        </is>
      </c>
      <c r="U35" s="11" t="n">
        <v>3</v>
      </c>
      <c r="V35" s="11" t="n">
        <v>1</v>
      </c>
      <c r="W35" s="11" t="n">
        <v>2</v>
      </c>
      <c r="X35" s="11" t="n">
        <v>1</v>
      </c>
      <c r="Y35" s="11" t="n">
        <v>0</v>
      </c>
    </row>
    <row r="36">
      <c r="A36" s="11" t="inlineStr">
        <is>
          <t>GEB.3.3</t>
        </is>
      </c>
      <c r="B36" s="12" t="inlineStr">
        <is>
          <t>Authentifizierung vor Zutritt</t>
        </is>
      </c>
      <c r="C36" s="11" t="inlineStr">
        <is>
          <t>GEB.3.3.1</t>
        </is>
      </c>
      <c r="D36" s="11" t="inlineStr">
        <is>
          <t>Anforderungen bei erhöhtem Schutzbedarf</t>
        </is>
      </c>
      <c r="E36" s="12" t="inlineStr">
        <is>
          <t>Gebäudemanagement für Standorte KANN Zutritte durch einen automatiserten Mechanismus im Einklang mit den Festlegungen des Identitäts- und Berechtigungsmanagements authentifizieren.</t>
        </is>
      </c>
      <c r="F36" s="14" t="n"/>
      <c r="G36" s="14" t="n"/>
      <c r="H36" s="14" t="inlineStr">
        <is>
          <t>unbearbeitet</t>
        </is>
      </c>
      <c r="I36" s="14" t="n"/>
      <c r="J36" s="14" t="n"/>
      <c r="K36" s="14" t="n"/>
      <c r="L36" s="15" t="n"/>
      <c r="M36" s="11" t="inlineStr">
        <is>
          <t>Integrität</t>
        </is>
      </c>
      <c r="N36" s="12" t="inlineStr"/>
      <c r="O36" s="11" t="inlineStr"/>
      <c r="P36" s="12" t="inlineStr">
        <is>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36" s="11" t="inlineStr">
        <is>
          <t>Standorte</t>
        </is>
      </c>
      <c r="R36" s="11" t="inlineStr">
        <is>
          <t>Prozess Gebäudemanagement</t>
        </is>
      </c>
      <c r="S36" s="12" t="inlineStr">
        <is>
          <t>Zutritte durch {{einen automatiserten Mechanismus}}</t>
        </is>
      </c>
      <c r="T36" s="12" t="inlineStr">
        <is>
          <t>G 0.44 – Unbefugtes Eindringen in Räumlichkeiten; G 0.16 – Diebstahl von Geräten, Datenträgern oder Dokumenten; G 0.24 – Zerstörung von Geräten oder Datenträgern; G 0.19 – Offenlegung schützenswerter Informationen</t>
        </is>
      </c>
      <c r="U36" s="11" t="n">
        <v>5</v>
      </c>
      <c r="V36" s="11" t="n">
        <v>1</v>
      </c>
      <c r="W36" s="11" t="n">
        <v>2</v>
      </c>
      <c r="X36" s="11" t="n">
        <v>1</v>
      </c>
      <c r="Y36" s="11" t="n">
        <v>0</v>
      </c>
    </row>
    <row r="37">
      <c r="A37" s="11" t="inlineStr">
        <is>
          <t>GEB.3.3</t>
        </is>
      </c>
      <c r="B37" s="12" t="inlineStr">
        <is>
          <t>Authentifizierung vor Zutritt</t>
        </is>
      </c>
      <c r="C37" s="11" t="inlineStr">
        <is>
          <t>GEB.3.3.2</t>
        </is>
      </c>
      <c r="D37" s="11" t="inlineStr">
        <is>
          <t>Anforderungen bei erhöhtem Schutzbedarf</t>
        </is>
      </c>
      <c r="E37" s="12" t="inlineStr">
        <is>
          <t>Gebäudemanagement für Standorte KANN Zutritte und Austritte mit Identität und Zeitpunkt dokumentieren.</t>
        </is>
      </c>
      <c r="F37" s="14" t="n"/>
      <c r="G37" s="14" t="n"/>
      <c r="H37" s="14" t="inlineStr">
        <is>
          <t>unbearbeitet</t>
        </is>
      </c>
      <c r="I37" s="14" t="n"/>
      <c r="J37" s="14" t="n"/>
      <c r="K37" s="14" t="n"/>
      <c r="L37" s="15" t="n"/>
      <c r="M37" s="11" t="inlineStr"/>
      <c r="N37" s="12" t="inlineStr"/>
      <c r="O37" s="11" t="inlineStr"/>
      <c r="P37" s="12" t="inlineStr">
        <is>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is>
      </c>
      <c r="Q37" s="11" t="inlineStr">
        <is>
          <t>Standorte</t>
        </is>
      </c>
      <c r="R37" s="11" t="inlineStr">
        <is>
          <t>Audit Log</t>
        </is>
      </c>
      <c r="S37" s="12" t="inlineStr">
        <is>
          <t>Zutritte und Austritte</t>
        </is>
      </c>
      <c r="T37" s="12" t="inlineStr">
        <is>
          <t>G 0.18 – Fehlplanung oder fehlende Anpassung; G 0.44 – Unbefugtes Eindringen in Räumlichkeiten; G 0.16 – Diebstahl von Geräten, Datenträgern oder Dokumenten; G 0.24 – Zerstörung von Geräten oder Datenträgern</t>
        </is>
      </c>
      <c r="U37" s="11" t="n">
        <v>5</v>
      </c>
      <c r="V37" s="11" t="n">
        <v>1</v>
      </c>
      <c r="W37" s="11" t="n">
        <v>1</v>
      </c>
      <c r="X37" s="11" t="n">
        <v>1</v>
      </c>
      <c r="Y37" s="11" t="n">
        <v>0</v>
      </c>
    </row>
    <row r="38">
      <c r="A38" s="11" t="inlineStr">
        <is>
          <t>GEB.3.3</t>
        </is>
      </c>
      <c r="B38" s="12" t="inlineStr">
        <is>
          <t>Authentifizierung vor Zutritt</t>
        </is>
      </c>
      <c r="C38" s="11" t="inlineStr">
        <is>
          <t>GEB.3.3.3</t>
        </is>
      </c>
      <c r="D38" s="11" t="inlineStr">
        <is>
          <t>Standard-Anforderungen</t>
        </is>
      </c>
      <c r="E38" s="12" t="inlineStr">
        <is>
          <t>Gebäudemanagement für Standorte SOLLTE Besuche durch eine zuständige Person oder Rolle autorisieren.</t>
        </is>
      </c>
      <c r="F38" s="14" t="n"/>
      <c r="G38" s="14" t="n"/>
      <c r="H38" s="14" t="inlineStr">
        <is>
          <t>unbearbeitet</t>
        </is>
      </c>
      <c r="I38" s="14" t="n"/>
      <c r="J38" s="14" t="n"/>
      <c r="K38" s="14" t="n"/>
      <c r="L38" s="15" t="n"/>
      <c r="M38" s="11" t="inlineStr">
        <is>
          <t>Integrität</t>
        </is>
      </c>
      <c r="N38" s="12" t="inlineStr"/>
      <c r="O38" s="11" t="inlineStr"/>
      <c r="P38" s="12" t="inlineStr">
        <is>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is>
      </c>
      <c r="Q38" s="11" t="inlineStr">
        <is>
          <t>Standorte</t>
        </is>
      </c>
      <c r="R38" s="11" t="inlineStr">
        <is>
          <t>Prozess Gebäudemanagement</t>
        </is>
      </c>
      <c r="S38" s="12" t="inlineStr">
        <is>
          <t>Besuche</t>
        </is>
      </c>
      <c r="T38" s="12" t="inlineStr">
        <is>
          <t>G 0.44 – Unbefugtes Eindringen in Räumlichkeiten; G 0.16 – Diebstahl von Geräten, Datenträgern oder Dokumenten; G 0.24 – Zerstörung von Geräten oder Datenträgern; G 0.19 – Offenlegung schützenswerter Informationen</t>
        </is>
      </c>
      <c r="U38" s="11" t="n">
        <v>3</v>
      </c>
      <c r="V38" s="11" t="n">
        <v>1</v>
      </c>
      <c r="W38" s="11" t="n">
        <v>2</v>
      </c>
      <c r="X38" s="11" t="n">
        <v>1</v>
      </c>
      <c r="Y38" s="11" t="n">
        <v>0</v>
      </c>
    </row>
    <row r="39">
      <c r="A39" s="9" t="inlineStr">
        <is>
          <t>GEB.3.4</t>
        </is>
      </c>
      <c r="B39" s="10" t="inlineStr">
        <is>
          <t>Berechtigungsmarkierung</t>
        </is>
      </c>
      <c r="C39" s="11" t="n"/>
      <c r="D39" s="11" t="inlineStr">
        <is>
          <t>Anforderungen bei erhöhtem Schutzbedarf</t>
        </is>
      </c>
      <c r="E39" s="12" t="inlineStr">
        <is>
          <t>Gesamt:</t>
        </is>
      </c>
      <c r="F39" s="11" t="n"/>
      <c r="G39" s="11" t="n"/>
      <c r="H39" s="13">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
      </c>
      <c r="I39" s="11" t="n"/>
      <c r="J39" s="11" t="n"/>
      <c r="K39" s="11" t="n"/>
      <c r="L39" s="11" t="n"/>
      <c r="M39" s="11" t="inlineStr"/>
      <c r="N39" s="12" t="inlineStr"/>
      <c r="O39" s="11" t="inlineStr"/>
      <c r="P39" s="12" t="inlineStr">
        <is>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is>
      </c>
      <c r="Q39" s="11" t="inlineStr">
        <is>
          <t>Nutzende, Standorte</t>
        </is>
      </c>
      <c r="R39" s="11" t="inlineStr">
        <is>
          <t>Arbeitsanweisung</t>
        </is>
      </c>
      <c r="S39" s="12" t="inlineStr">
        <is>
          <t>zum Tragen von gut sichtbaren Berechtigungsmarkierungen innerhalb des Sicherheitsperimeters</t>
        </is>
      </c>
      <c r="T39" s="12" t="inlineStr">
        <is>
          <t>G 0.44 – Unbefugtes Eindringen in Räumlichkeiten; G 0.16 – Diebstahl von Geräten, Datenträgern oder Dokumenten; G 0.24 – Zerstörung von Geräten oder Datenträgern</t>
        </is>
      </c>
      <c r="U39" s="11" t="n">
        <v>5</v>
      </c>
      <c r="V39" s="11" t="n">
        <v>1</v>
      </c>
      <c r="W39" s="11" t="n">
        <v>1</v>
      </c>
      <c r="X39" s="11" t="n">
        <v>1</v>
      </c>
      <c r="Y39" s="11" t="n">
        <v>0</v>
      </c>
    </row>
    <row r="40">
      <c r="A40" s="11" t="inlineStr">
        <is>
          <t>GEB.3.4</t>
        </is>
      </c>
      <c r="B40" s="12" t="inlineStr">
        <is>
          <t>Berechtigungsmarkierung</t>
        </is>
      </c>
      <c r="C40" s="11" t="inlineStr">
        <is>
          <t>GEB.3.4</t>
        </is>
      </c>
      <c r="D40" s="11" t="inlineStr">
        <is>
          <t>Anforderungen bei erhöhtem Schutzbedarf</t>
        </is>
      </c>
      <c r="E40" s="12" t="inlineStr">
        <is>
          <t>Gebäudemanagement für Nutzende von Standorten KANN zum Tragen von gut sichtbaren Berechtigungsmarkierungen innerhalb des Sicherheitsperimeters anweisen.</t>
        </is>
      </c>
      <c r="F40" s="14" t="n"/>
      <c r="G40" s="14" t="n"/>
      <c r="H40" s="14" t="inlineStr">
        <is>
          <t>unbearbeitet</t>
        </is>
      </c>
      <c r="I40" s="14" t="n"/>
      <c r="J40" s="14" t="n"/>
      <c r="K40" s="14" t="n"/>
      <c r="L40" s="15" t="n"/>
      <c r="M40" s="11" t="inlineStr"/>
      <c r="N40" s="12" t="inlineStr"/>
      <c r="O40" s="11" t="inlineStr"/>
      <c r="P40" s="12" t="inlineStr">
        <is>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is>
      </c>
      <c r="Q40" s="11" t="inlineStr">
        <is>
          <t>Nutzende, Standorte</t>
        </is>
      </c>
      <c r="R40" s="11" t="inlineStr">
        <is>
          <t>Arbeitsanweisung</t>
        </is>
      </c>
      <c r="S40" s="12" t="inlineStr">
        <is>
          <t>zum Tragen von gut sichtbaren Berechtigungsmarkierungen innerhalb des Sicherheitsperimeters</t>
        </is>
      </c>
      <c r="T40" s="12" t="inlineStr">
        <is>
          <t>G 0.44 – Unbefugtes Eindringen in Räumlichkeiten; G 0.16 – Diebstahl von Geräten, Datenträgern oder Dokumenten; G 0.24 – Zerstörung von Geräten oder Datenträgern</t>
        </is>
      </c>
      <c r="U40" s="11" t="n">
        <v>5</v>
      </c>
      <c r="V40" s="11" t="n">
        <v>1</v>
      </c>
      <c r="W40" s="11" t="n">
        <v>1</v>
      </c>
      <c r="X40" s="11" t="n">
        <v>1</v>
      </c>
      <c r="Y40" s="11" t="n">
        <v>0</v>
      </c>
    </row>
    <row r="41">
      <c r="A41" s="9" t="inlineStr">
        <is>
          <t>GEB.3.5</t>
        </is>
      </c>
      <c r="B41" s="10" t="inlineStr">
        <is>
          <t>Einbruchhemmung</t>
        </is>
      </c>
      <c r="C41" s="11" t="n"/>
      <c r="D41" s="11" t="inlineStr">
        <is>
          <t>Anforderungen bei erhöhtem Schutzbedarf</t>
        </is>
      </c>
      <c r="E41" s="12" t="inlineStr">
        <is>
          <t>Gesamt:</t>
        </is>
      </c>
      <c r="F41" s="11" t="n"/>
      <c r="G41" s="11" t="n"/>
      <c r="H41" s="13">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
      </c>
      <c r="I41" s="11" t="n"/>
      <c r="J41" s="11" t="n"/>
      <c r="K41" s="11" t="n"/>
      <c r="L41" s="11" t="n"/>
      <c r="M41" s="11" t="inlineStr">
        <is>
          <t>Verfügbarkeit</t>
        </is>
      </c>
      <c r="N41" s="12" t="inlineStr">
        <is>
          <t>INF.10.A1-UA.1</t>
        </is>
      </c>
      <c r="O41" s="11" t="inlineStr">
        <is>
          <t>intersects-with</t>
        </is>
      </c>
      <c r="P41" s="12" t="inlineStr">
        <is>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is>
      </c>
      <c r="Q41" s="11" t="inlineStr">
        <is>
          <t>Standorte</t>
        </is>
      </c>
      <c r="R41" s="11" t="inlineStr">
        <is>
          <t>Gebäudedokumentation</t>
        </is>
      </c>
      <c r="S41" s="12" t="inlineStr">
        <is>
          <t>einbruchhemmende Bauteile</t>
        </is>
      </c>
      <c r="T41" s="12" t="inlineStr">
        <is>
          <t>G 0.44 – Unbefugtes Eindringen in Räumlichkeiten; G 0.16 – Diebstahl von Geräten, Datenträgern oder Dokumenten; G 0.24 – Zerstörung von Geräten oder Datenträgern; G 0.19 – Offenlegung schützenswerter Informationen</t>
        </is>
      </c>
      <c r="U41" s="11" t="n">
        <v>5</v>
      </c>
      <c r="V41" s="11" t="n">
        <v>1</v>
      </c>
      <c r="W41" s="11" t="n">
        <v>1</v>
      </c>
      <c r="X41" s="11" t="n">
        <v>2</v>
      </c>
      <c r="Y41" s="11" t="n">
        <v>0</v>
      </c>
    </row>
    <row r="42">
      <c r="A42" s="11" t="inlineStr">
        <is>
          <t>GEB.3.5</t>
        </is>
      </c>
      <c r="B42" s="12" t="inlineStr">
        <is>
          <t>Einbruchhemmung</t>
        </is>
      </c>
      <c r="C42" s="11" t="inlineStr">
        <is>
          <t>GEB.3.5</t>
        </is>
      </c>
      <c r="D42" s="11" t="inlineStr">
        <is>
          <t>Anforderungen bei erhöhtem Schutzbedarf</t>
        </is>
      </c>
      <c r="E42" s="12" t="inlineStr">
        <is>
          <t>Gebäudemanagement für Standorte KANN einbruchhemmende Bauteile nach einer entsprechenden Norm installieren.</t>
        </is>
      </c>
      <c r="F42" s="14" t="n"/>
      <c r="G42" s="14" t="n"/>
      <c r="H42" s="14" t="inlineStr">
        <is>
          <t>unbearbeitet</t>
        </is>
      </c>
      <c r="I42" s="14" t="n"/>
      <c r="J42" s="14" t="n"/>
      <c r="K42" s="14" t="n"/>
      <c r="L42" s="15" t="n"/>
      <c r="M42" s="11" t="inlineStr">
        <is>
          <t>Verfügbarkeit</t>
        </is>
      </c>
      <c r="N42" s="12" t="inlineStr">
        <is>
          <t>INF.10.A1-UA.1</t>
        </is>
      </c>
      <c r="O42" s="11" t="inlineStr">
        <is>
          <t>intersects-with</t>
        </is>
      </c>
      <c r="P42" s="12" t="inlineStr">
        <is>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is>
      </c>
      <c r="Q42" s="11" t="inlineStr">
        <is>
          <t>Standorte</t>
        </is>
      </c>
      <c r="R42" s="11" t="inlineStr">
        <is>
          <t>Gebäudedokumentation</t>
        </is>
      </c>
      <c r="S42" s="12" t="inlineStr">
        <is>
          <t>einbruchhemmende Bauteile</t>
        </is>
      </c>
      <c r="T42" s="12" t="inlineStr">
        <is>
          <t>G 0.44 – Unbefugtes Eindringen in Räumlichkeiten; G 0.16 – Diebstahl von Geräten, Datenträgern oder Dokumenten; G 0.24 – Zerstörung von Geräten oder Datenträgern; G 0.19 – Offenlegung schützenswerter Informationen</t>
        </is>
      </c>
      <c r="U42" s="11" t="n">
        <v>5</v>
      </c>
      <c r="V42" s="11" t="n">
        <v>1</v>
      </c>
      <c r="W42" s="11" t="n">
        <v>1</v>
      </c>
      <c r="X42" s="11" t="n">
        <v>2</v>
      </c>
      <c r="Y42" s="11" t="n">
        <v>0</v>
      </c>
    </row>
    <row r="43">
      <c r="A43" s="9" t="inlineStr">
        <is>
          <t>GEB.3.6</t>
        </is>
      </c>
      <c r="B43" s="10" t="inlineStr">
        <is>
          <t>Einbruchmeldeanlagen</t>
        </is>
      </c>
      <c r="C43" s="11" t="n"/>
      <c r="D43" s="11" t="inlineStr">
        <is>
          <t>Anforderungen bei erhöhtem Schutzbedarf</t>
        </is>
      </c>
      <c r="E43" s="12" t="inlineStr">
        <is>
          <t>Gesamt:</t>
        </is>
      </c>
      <c r="F43" s="11" t="n"/>
      <c r="G43" s="11" t="n"/>
      <c r="H43" s="13">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
      </c>
      <c r="I43" s="11" t="n"/>
      <c r="J43" s="11" t="n"/>
      <c r="K43" s="11" t="n"/>
      <c r="L43" s="11" t="n"/>
      <c r="M43" s="11" t="inlineStr">
        <is>
          <t>Verfügbarkeit</t>
        </is>
      </c>
      <c r="N43" s="12" t="inlineStr"/>
      <c r="O43" s="11" t="inlineStr"/>
      <c r="P43" s="12" t="inlineStr">
        <is>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is>
      </c>
      <c r="Q43" s="11" t="inlineStr">
        <is>
          <t>Standorte</t>
        </is>
      </c>
      <c r="R43" s="11" t="inlineStr">
        <is>
          <t>Prozess Gebäudemanagement</t>
        </is>
      </c>
      <c r="S43" s="12" t="inlineStr">
        <is>
          <t>Einbrüche</t>
        </is>
      </c>
      <c r="T43" s="12" t="inlineStr">
        <is>
          <t>G 0.44 – Unbefugtes Eindringen in Räumlichkeiten; G 0.16 – Diebstahl von Geräten, Datenträgern oder Dokumenten; G 0.24 – Zerstörung von Geräten oder Datenträgern; G 0.19 – Offenlegung schützenswerter Informationen</t>
        </is>
      </c>
      <c r="U43" s="11" t="n">
        <v>5</v>
      </c>
      <c r="V43" s="11" t="n">
        <v>1</v>
      </c>
      <c r="W43" s="11" t="n">
        <v>1</v>
      </c>
      <c r="X43" s="11" t="n">
        <v>2</v>
      </c>
      <c r="Y43" s="11" t="n">
        <v>0</v>
      </c>
    </row>
    <row r="44">
      <c r="A44" s="11" t="inlineStr">
        <is>
          <t>GEB.3.6</t>
        </is>
      </c>
      <c r="B44" s="12" t="inlineStr">
        <is>
          <t>Einbruchmeldeanlagen</t>
        </is>
      </c>
      <c r="C44" s="11" t="inlineStr">
        <is>
          <t>GEB.3.6</t>
        </is>
      </c>
      <c r="D44" s="11" t="inlineStr">
        <is>
          <t>Anforderungen bei erhöhtem Schutzbedarf</t>
        </is>
      </c>
      <c r="E44" s="12" t="inlineStr">
        <is>
          <t>Gebäudemanagement für Standorte KANN Einbrüche nach einer entsprechenden Norm überwachen.</t>
        </is>
      </c>
      <c r="F44" s="14" t="n"/>
      <c r="G44" s="14" t="n"/>
      <c r="H44" s="14" t="inlineStr">
        <is>
          <t>unbearbeitet</t>
        </is>
      </c>
      <c r="I44" s="14" t="n"/>
      <c r="J44" s="14" t="n"/>
      <c r="K44" s="14" t="n"/>
      <c r="L44" s="15" t="n"/>
      <c r="M44" s="11" t="inlineStr">
        <is>
          <t>Verfügbarkeit</t>
        </is>
      </c>
      <c r="N44" s="12" t="inlineStr"/>
      <c r="O44" s="11" t="inlineStr"/>
      <c r="P44" s="12" t="inlineStr">
        <is>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is>
      </c>
      <c r="Q44" s="11" t="inlineStr">
        <is>
          <t>Standorte</t>
        </is>
      </c>
      <c r="R44" s="11" t="inlineStr">
        <is>
          <t>Prozess Gebäudemanagement</t>
        </is>
      </c>
      <c r="S44" s="12" t="inlineStr">
        <is>
          <t>Einbrüche</t>
        </is>
      </c>
      <c r="T44" s="12" t="inlineStr">
        <is>
          <t>G 0.44 – Unbefugtes Eindringen in Räumlichkeiten; G 0.16 – Diebstahl von Geräten, Datenträgern oder Dokumenten; G 0.24 – Zerstörung von Geräten oder Datenträgern; G 0.19 – Offenlegung schützenswerter Informationen</t>
        </is>
      </c>
      <c r="U44" s="11" t="n">
        <v>5</v>
      </c>
      <c r="V44" s="11" t="n">
        <v>1</v>
      </c>
      <c r="W44" s="11" t="n">
        <v>1</v>
      </c>
      <c r="X44" s="11" t="n">
        <v>2</v>
      </c>
      <c r="Y44" s="11" t="n">
        <v>0</v>
      </c>
    </row>
    <row r="45">
      <c r="A45" s="9" t="inlineStr">
        <is>
          <t>GEB.3.7</t>
        </is>
      </c>
      <c r="B45" s="10" t="inlineStr">
        <is>
          <t>Kontrolle der Zutrittskontrolle</t>
        </is>
      </c>
      <c r="C45" s="11" t="n"/>
      <c r="D45" s="11" t="inlineStr">
        <is>
          <t>Standard-Anforderungen</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c r="N45" s="12" t="inlineStr"/>
      <c r="O45" s="11" t="inlineStr"/>
      <c r="P45" s="12" t="inlineStr">
        <is>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is>
      </c>
      <c r="Q45" s="11" t="inlineStr">
        <is>
          <t>Standorte</t>
        </is>
      </c>
      <c r="R45" s="11" t="inlineStr">
        <is>
          <t>Übungs- und Prüfplan</t>
        </is>
      </c>
      <c r="S45" s="12" t="inlineStr">
        <is>
          <t>die angewendeten Zutrittskontrollmaßnahmen</t>
        </is>
      </c>
      <c r="T45" s="12" t="inlineStr">
        <is>
          <t>G 0.44 – Unbefugtes Eindringen in Räumlichkeiten; G 0.16 – Diebstahl von Geräten, Datenträgern oder Dokumenten; G 0.24 – Zerstörung von Geräten oder Datenträgern</t>
        </is>
      </c>
      <c r="U45" s="11" t="n">
        <v>4</v>
      </c>
      <c r="V45" s="11" t="n">
        <v>1</v>
      </c>
      <c r="W45" s="11" t="n">
        <v>1</v>
      </c>
      <c r="X45" s="11" t="n">
        <v>1</v>
      </c>
      <c r="Y45" s="11" t="n">
        <v>0</v>
      </c>
    </row>
    <row r="46">
      <c r="A46" s="11" t="inlineStr">
        <is>
          <t>GEB.3.7</t>
        </is>
      </c>
      <c r="B46" s="12" t="inlineStr">
        <is>
          <t>Kontrolle der Zutrittskontrolle</t>
        </is>
      </c>
      <c r="C46" s="11" t="inlineStr">
        <is>
          <t>GEB.3.7</t>
        </is>
      </c>
      <c r="D46" s="11" t="inlineStr">
        <is>
          <t>Standard-Anforderungen</t>
        </is>
      </c>
      <c r="E46" s="12" t="inlineStr">
        <is>
          <t>Gebäudemanagement für Standorte SOLLTE die angewendeten Zutrittskontrollmaßnahmen regelmäßig überprüfen.</t>
        </is>
      </c>
      <c r="F46" s="14" t="n"/>
      <c r="G46" s="14" t="n"/>
      <c r="H46" s="14" t="inlineStr">
        <is>
          <t>unbearbeitet</t>
        </is>
      </c>
      <c r="I46" s="14" t="n"/>
      <c r="J46" s="14" t="n"/>
      <c r="K46" s="14" t="n"/>
      <c r="L46" s="15" t="n"/>
      <c r="M46" s="11" t="inlineStr"/>
      <c r="N46" s="12" t="inlineStr"/>
      <c r="O46" s="11" t="inlineStr"/>
      <c r="P46" s="12" t="inlineStr">
        <is>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is>
      </c>
      <c r="Q46" s="11" t="inlineStr">
        <is>
          <t>Standorte</t>
        </is>
      </c>
      <c r="R46" s="11" t="inlineStr">
        <is>
          <t>Übungs- und Prüfplan</t>
        </is>
      </c>
      <c r="S46" s="12" t="inlineStr">
        <is>
          <t>die angewendeten Zutrittskontrollmaßnahmen</t>
        </is>
      </c>
      <c r="T46" s="12" t="inlineStr">
        <is>
          <t>G 0.44 – Unbefugtes Eindringen in Räumlichkeiten; G 0.16 – Diebstahl von Geräten, Datenträgern oder Dokumenten; G 0.24 – Zerstörung von Geräten oder Datenträgern</t>
        </is>
      </c>
      <c r="U46" s="11" t="n">
        <v>4</v>
      </c>
      <c r="V46" s="11" t="n">
        <v>1</v>
      </c>
      <c r="W46" s="11" t="n">
        <v>1</v>
      </c>
      <c r="X46" s="11" t="n">
        <v>1</v>
      </c>
      <c r="Y46" s="11" t="n">
        <v>0</v>
      </c>
    </row>
    <row r="47">
      <c r="A47" s="9" t="inlineStr">
        <is>
          <t>GEB.4.1</t>
        </is>
      </c>
      <c r="B47" s="10" t="inlineStr">
        <is>
          <t>Einrichtung</t>
        </is>
      </c>
      <c r="C47" s="11" t="n"/>
      <c r="D47" s="11" t="inlineStr">
        <is>
          <t>Anforderungen bei erhöhtem Schutzbedarf</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c r="N47" s="12" t="inlineStr"/>
      <c r="O47" s="11" t="inlineStr"/>
      <c r="P47" s="12" t="inlineStr">
        <is>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is>
      </c>
      <c r="Q47" s="11" t="inlineStr">
        <is>
          <t>Standorte</t>
        </is>
      </c>
      <c r="R47" s="11" t="inlineStr">
        <is>
          <t>Gebäudedokumentation</t>
        </is>
      </c>
      <c r="S47" s="12" t="inlineStr">
        <is>
          <t>geschlossene Sicherheitsbereiche</t>
        </is>
      </c>
      <c r="T47" s="12" t="inlineStr">
        <is>
          <t>G 0.44 – Unbefugtes Eindringen in Räumlichkeiten; G 0.16 – Diebstahl von Geräten, Datenträgern oder Dokumenten; G 0.24 – Zerstörung von Geräten oder Datenträgern; G 0.19 – Offenlegung schützenswerter Informationen</t>
        </is>
      </c>
      <c r="U47" s="11" t="n">
        <v>5</v>
      </c>
      <c r="V47" s="11" t="n">
        <v>1</v>
      </c>
      <c r="W47" s="11" t="n">
        <v>1</v>
      </c>
      <c r="X47" s="11" t="n">
        <v>1</v>
      </c>
      <c r="Y47" s="11" t="n">
        <v>0</v>
      </c>
    </row>
    <row r="48">
      <c r="A48" s="11" t="inlineStr">
        <is>
          <t>GEB.4.1</t>
        </is>
      </c>
      <c r="B48" s="12" t="inlineStr">
        <is>
          <t>Einrichtung</t>
        </is>
      </c>
      <c r="C48" s="11" t="inlineStr">
        <is>
          <t>GEB.4.1</t>
        </is>
      </c>
      <c r="D48" s="11" t="inlineStr">
        <is>
          <t>Anforderungen bei erhöhtem Schutzbedarf</t>
        </is>
      </c>
      <c r="E48" s="12" t="inlineStr">
        <is>
          <t>Gebäudemanagement für Standorte KANN geschlossene Sicherheitsbereiche installieren.</t>
        </is>
      </c>
      <c r="F48" s="14" t="n"/>
      <c r="G48" s="14" t="n"/>
      <c r="H48" s="14" t="inlineStr">
        <is>
          <t>unbearbeitet</t>
        </is>
      </c>
      <c r="I48" s="14" t="n"/>
      <c r="J48" s="14" t="n"/>
      <c r="K48" s="14" t="n"/>
      <c r="L48" s="15" t="n"/>
      <c r="M48" s="11" t="inlineStr"/>
      <c r="N48" s="12" t="inlineStr"/>
      <c r="O48" s="11" t="inlineStr"/>
      <c r="P48" s="12" t="inlineStr">
        <is>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is>
      </c>
      <c r="Q48" s="11" t="inlineStr">
        <is>
          <t>Standorte</t>
        </is>
      </c>
      <c r="R48" s="11" t="inlineStr">
        <is>
          <t>Gebäudedokumentation</t>
        </is>
      </c>
      <c r="S48" s="12" t="inlineStr">
        <is>
          <t>geschlossene Sicherheitsbereiche</t>
        </is>
      </c>
      <c r="T48" s="12" t="inlineStr">
        <is>
          <t>G 0.44 – Unbefugtes Eindringen in Räumlichkeiten; G 0.16 – Diebstahl von Geräten, Datenträgern oder Dokumenten; G 0.24 – Zerstörung von Geräten oder Datenträgern; G 0.19 – Offenlegung schützenswerter Informationen</t>
        </is>
      </c>
      <c r="U48" s="11" t="n">
        <v>5</v>
      </c>
      <c r="V48" s="11" t="n">
        <v>1</v>
      </c>
      <c r="W48" s="11" t="n">
        <v>1</v>
      </c>
      <c r="X48" s="11" t="n">
        <v>1</v>
      </c>
      <c r="Y48" s="11" t="n">
        <v>0</v>
      </c>
    </row>
    <row r="49">
      <c r="A49" s="9" t="inlineStr">
        <is>
          <t>GEB.4.2</t>
        </is>
      </c>
      <c r="B49" s="10" t="inlineStr">
        <is>
          <t>Gesonderte Autorisierung</t>
        </is>
      </c>
      <c r="C49" s="11" t="n"/>
      <c r="D49" s="11" t="inlineStr">
        <is>
          <t>Anforderungen bei erhöhtem Schutzbedarf</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is>
          <t>Vertraulichkeit</t>
        </is>
      </c>
      <c r="N49" s="12" t="inlineStr"/>
      <c r="O49" s="11" t="inlineStr"/>
      <c r="P49" s="12" t="inlineStr">
        <is>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is>
      </c>
      <c r="Q49" s="11" t="inlineStr">
        <is>
          <t>Standorte</t>
        </is>
      </c>
      <c r="R49" s="11" t="inlineStr">
        <is>
          <t>Prozess Identitäts- und Berechtigungsmanagement</t>
        </is>
      </c>
      <c r="S49" s="12" t="inlineStr">
        <is>
          <t>die Zutrittsberechtigung zu diesem Sicherheitsbereich</t>
        </is>
      </c>
      <c r="T49" s="12" t="inlineStr">
        <is>
          <t>G 0.44 – Unbefugtes Eindringen in Räumlichkeiten; G 0.16 – Diebstahl von Geräten, Datenträgern oder Dokumenten; G 0.24 – Zerstörung von Geräten oder Datenträgern; G 0.32 – Missbrauch von Berechtigungen</t>
        </is>
      </c>
      <c r="U49" s="11" t="n">
        <v>5</v>
      </c>
      <c r="V49" s="11" t="n">
        <v>2</v>
      </c>
      <c r="W49" s="11" t="n">
        <v>1</v>
      </c>
      <c r="X49" s="11" t="n">
        <v>1</v>
      </c>
      <c r="Y49" s="11" t="n">
        <v>0</v>
      </c>
    </row>
    <row r="50">
      <c r="A50" s="11" t="inlineStr">
        <is>
          <t>GEB.4.2</t>
        </is>
      </c>
      <c r="B50" s="12" t="inlineStr">
        <is>
          <t>Gesonderte Autorisierung</t>
        </is>
      </c>
      <c r="C50" s="11" t="inlineStr">
        <is>
          <t>GEB.4.2</t>
        </is>
      </c>
      <c r="D50" s="11" t="inlineStr">
        <is>
          <t>Anforderungen bei erhöhtem Schutzbedarf</t>
        </is>
      </c>
      <c r="E50" s="12" t="inlineStr">
        <is>
          <t>Gebäudemanagement für Standorte KANN die Zutrittsberechtigung zu diesem Sicherheitsbereich durch eine zuständige Person oder Rolle autorisieren.</t>
        </is>
      </c>
      <c r="F50" s="14" t="n"/>
      <c r="G50" s="14" t="n"/>
      <c r="H50" s="14" t="inlineStr">
        <is>
          <t>unbearbeitet</t>
        </is>
      </c>
      <c r="I50" s="14" t="n"/>
      <c r="J50" s="14" t="n"/>
      <c r="K50" s="14" t="n"/>
      <c r="L50" s="15" t="n"/>
      <c r="M50" s="11" t="inlineStr">
        <is>
          <t>Vertraulichkeit</t>
        </is>
      </c>
      <c r="N50" s="12" t="inlineStr"/>
      <c r="O50" s="11" t="inlineStr"/>
      <c r="P50" s="12" t="inlineStr">
        <is>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is>
      </c>
      <c r="Q50" s="11" t="inlineStr">
        <is>
          <t>Standorte</t>
        </is>
      </c>
      <c r="R50" s="11" t="inlineStr">
        <is>
          <t>Prozess Identitäts- und Berechtigungsmanagement</t>
        </is>
      </c>
      <c r="S50" s="12" t="inlineStr">
        <is>
          <t>die Zutrittsberechtigung zu diesem Sicherheitsbereich</t>
        </is>
      </c>
      <c r="T50" s="12" t="inlineStr">
        <is>
          <t>G 0.44 – Unbefugtes Eindringen in Räumlichkeiten; G 0.16 – Diebstahl von Geräten, Datenträgern oder Dokumenten; G 0.24 – Zerstörung von Geräten oder Datenträgern; G 0.32 – Missbrauch von Berechtigungen</t>
        </is>
      </c>
      <c r="U50" s="11" t="n">
        <v>5</v>
      </c>
      <c r="V50" s="11" t="n">
        <v>2</v>
      </c>
      <c r="W50" s="11" t="n">
        <v>1</v>
      </c>
      <c r="X50" s="11" t="n">
        <v>1</v>
      </c>
      <c r="Y50" s="11" t="n">
        <v>0</v>
      </c>
    </row>
    <row r="51">
      <c r="A51" s="9" t="inlineStr">
        <is>
          <t>GEB.4.3</t>
        </is>
      </c>
      <c r="B51" s="10" t="inlineStr">
        <is>
          <t>Schleusen</t>
        </is>
      </c>
      <c r="C51" s="11" t="n"/>
      <c r="D51" s="11" t="inlineStr">
        <is>
          <t>Anforderungen bei erhöhtem Schutzbedarf</t>
        </is>
      </c>
      <c r="E51" s="12" t="inlineStr">
        <is>
          <t>Gesamt:</t>
        </is>
      </c>
      <c r="F51" s="11" t="n"/>
      <c r="G51" s="11" t="n"/>
      <c r="H51" s="13">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
      </c>
      <c r="I51" s="11" t="n"/>
      <c r="J51" s="11" t="n"/>
      <c r="K51" s="11" t="n"/>
      <c r="L51" s="11" t="n"/>
      <c r="M51" s="11" t="inlineStr"/>
      <c r="N51" s="12" t="inlineStr"/>
      <c r="O51" s="11" t="inlineStr"/>
      <c r="P51" s="12" t="inlineStr">
        <is>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is>
      </c>
      <c r="Q51" s="11" t="inlineStr">
        <is>
          <t>Standorte</t>
        </is>
      </c>
      <c r="R51" s="11" t="inlineStr">
        <is>
          <t>Gebäudedokumentation</t>
        </is>
      </c>
      <c r="S51" s="12" t="inlineStr">
        <is>
          <t>Schleusen an Zugangspunkten</t>
        </is>
      </c>
      <c r="T51" s="12" t="inlineStr">
        <is>
          <t>G 0.44 – Unbefugtes Eindringen in Räumlichkeiten; G 0.16 – Diebstahl von Geräten, Datenträgern oder Dokumenten; G 0.24 – Zerstörung von Geräten oder Datenträgern</t>
        </is>
      </c>
      <c r="U51" s="11" t="n">
        <v>5</v>
      </c>
      <c r="V51" s="11" t="n">
        <v>1</v>
      </c>
      <c r="W51" s="11" t="n">
        <v>1</v>
      </c>
      <c r="X51" s="11" t="n">
        <v>1</v>
      </c>
      <c r="Y51" s="11" t="n">
        <v>0</v>
      </c>
    </row>
    <row r="52">
      <c r="A52" s="11" t="inlineStr">
        <is>
          <t>GEB.4.3</t>
        </is>
      </c>
      <c r="B52" s="12" t="inlineStr">
        <is>
          <t>Schleusen</t>
        </is>
      </c>
      <c r="C52" s="11" t="inlineStr">
        <is>
          <t>GEB.4.3</t>
        </is>
      </c>
      <c r="D52" s="11" t="inlineStr">
        <is>
          <t>Anforderungen bei erhöhtem Schutzbedarf</t>
        </is>
      </c>
      <c r="E52" s="12" t="inlineStr">
        <is>
          <t>Gebäudemanagement für Standorte KANN Schleusen an Zugangspunkten installieren.</t>
        </is>
      </c>
      <c r="F52" s="14" t="n"/>
      <c r="G52" s="14" t="n"/>
      <c r="H52" s="14" t="inlineStr">
        <is>
          <t>unbearbeitet</t>
        </is>
      </c>
      <c r="I52" s="14" t="n"/>
      <c r="J52" s="14" t="n"/>
      <c r="K52" s="14" t="n"/>
      <c r="L52" s="15" t="n"/>
      <c r="M52" s="11" t="inlineStr"/>
      <c r="N52" s="12" t="inlineStr"/>
      <c r="O52" s="11" t="inlineStr"/>
      <c r="P52" s="12" t="inlineStr">
        <is>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is>
      </c>
      <c r="Q52" s="11" t="inlineStr">
        <is>
          <t>Standorte</t>
        </is>
      </c>
      <c r="R52" s="11" t="inlineStr">
        <is>
          <t>Gebäudedokumentation</t>
        </is>
      </c>
      <c r="S52" s="12" t="inlineStr">
        <is>
          <t>Schleusen an Zugangspunkten</t>
        </is>
      </c>
      <c r="T52" s="12" t="inlineStr">
        <is>
          <t>G 0.44 – Unbefugtes Eindringen in Räumlichkeiten; G 0.16 – Diebstahl von Geräten, Datenträgern oder Dokumenten; G 0.24 – Zerstörung von Geräten oder Datenträgern</t>
        </is>
      </c>
      <c r="U52" s="11" t="n">
        <v>5</v>
      </c>
      <c r="V52" s="11" t="n">
        <v>1</v>
      </c>
      <c r="W52" s="11" t="n">
        <v>1</v>
      </c>
      <c r="X52" s="11" t="n">
        <v>1</v>
      </c>
      <c r="Y52" s="11" t="n">
        <v>0</v>
      </c>
    </row>
    <row r="53">
      <c r="A53" s="9" t="inlineStr">
        <is>
          <t>GEB.4.4</t>
        </is>
      </c>
      <c r="B53" s="10" t="inlineStr">
        <is>
          <t>Vereinzelungsanlage</t>
        </is>
      </c>
      <c r="C53" s="11" t="n"/>
      <c r="D53" s="11" t="inlineStr">
        <is>
          <t>Anforderungen bei erhöhtem Schutzbedarf</t>
        </is>
      </c>
      <c r="E53" s="12" t="inlineStr">
        <is>
          <t>Gesamt:</t>
        </is>
      </c>
      <c r="F53" s="11" t="n"/>
      <c r="G53" s="11" t="n"/>
      <c r="H53" s="13">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
      </c>
      <c r="I53" s="11" t="n"/>
      <c r="J53" s="11" t="n"/>
      <c r="K53" s="11" t="n"/>
      <c r="L53" s="11" t="n"/>
      <c r="M53" s="11" t="inlineStr"/>
      <c r="N53" s="12" t="inlineStr"/>
      <c r="O53" s="11" t="inlineStr"/>
      <c r="P53" s="12" t="inlineStr">
        <is>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is>
      </c>
      <c r="Q53" s="11" t="inlineStr">
        <is>
          <t>Standorte</t>
        </is>
      </c>
      <c r="R53" s="11" t="inlineStr">
        <is>
          <t>Gebäudedokumentation</t>
        </is>
      </c>
      <c r="S53" s="12" t="inlineStr">
        <is>
          <t>Vereinzelungsanlagen an Zugangspunkten</t>
        </is>
      </c>
      <c r="T53" s="12" t="inlineStr">
        <is>
          <t>G 0.44 – Unbefugtes Eindringen in Räumlichkeiten; G 0.16 – Diebstahl von Geräten, Datenträgern oder Dokumenten; G 0.24 – Zerstörung von Geräten oder Datenträgern; G 0.19 – Offenlegung schützenswerter Informationen</t>
        </is>
      </c>
      <c r="U53" s="11" t="n">
        <v>5</v>
      </c>
      <c r="V53" s="11" t="n">
        <v>1</v>
      </c>
      <c r="W53" s="11" t="n">
        <v>1</v>
      </c>
      <c r="X53" s="11" t="n">
        <v>1</v>
      </c>
      <c r="Y53" s="11" t="n">
        <v>0</v>
      </c>
    </row>
    <row r="54">
      <c r="A54" s="11" t="inlineStr">
        <is>
          <t>GEB.4.4</t>
        </is>
      </c>
      <c r="B54" s="12" t="inlineStr">
        <is>
          <t>Vereinzelungsanlage</t>
        </is>
      </c>
      <c r="C54" s="11" t="inlineStr">
        <is>
          <t>GEB.4.4</t>
        </is>
      </c>
      <c r="D54" s="11" t="inlineStr">
        <is>
          <t>Anforderungen bei erhöhtem Schutzbedarf</t>
        </is>
      </c>
      <c r="E54" s="12" t="inlineStr">
        <is>
          <t>Gebäudemanagement für Standorte KANN Vereinzelungsanlagen an Zugangspunkten installieren.</t>
        </is>
      </c>
      <c r="F54" s="14" t="n"/>
      <c r="G54" s="14" t="n"/>
      <c r="H54" s="14" t="inlineStr">
        <is>
          <t>unbearbeitet</t>
        </is>
      </c>
      <c r="I54" s="14" t="n"/>
      <c r="J54" s="14" t="n"/>
      <c r="K54" s="14" t="n"/>
      <c r="L54" s="15" t="n"/>
      <c r="M54" s="11" t="inlineStr"/>
      <c r="N54" s="12" t="inlineStr"/>
      <c r="O54" s="11" t="inlineStr"/>
      <c r="P54" s="12" t="inlineStr">
        <is>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is>
      </c>
      <c r="Q54" s="11" t="inlineStr">
        <is>
          <t>Standorte</t>
        </is>
      </c>
      <c r="R54" s="11" t="inlineStr">
        <is>
          <t>Gebäudedokumentation</t>
        </is>
      </c>
      <c r="S54" s="12" t="inlineStr">
        <is>
          <t>Vereinzelungsanlagen an Zugangspunkten</t>
        </is>
      </c>
      <c r="T54" s="12" t="inlineStr">
        <is>
          <t>G 0.44 – Unbefugtes Eindringen in Räumlichkeiten; G 0.16 – Diebstahl von Geräten, Datenträgern oder Dokumenten; G 0.24 – Zerstörung von Geräten oder Datenträgern; G 0.19 – Offenlegung schützenswerter Informationen</t>
        </is>
      </c>
      <c r="U54" s="11" t="n">
        <v>5</v>
      </c>
      <c r="V54" s="11" t="n">
        <v>1</v>
      </c>
      <c r="W54" s="11" t="n">
        <v>1</v>
      </c>
      <c r="X54" s="11" t="n">
        <v>1</v>
      </c>
      <c r="Y54" s="11" t="n">
        <v>0</v>
      </c>
    </row>
    <row r="55">
      <c r="A55" s="9" t="inlineStr">
        <is>
          <t>GEB.5.1</t>
        </is>
      </c>
      <c r="B55" s="10" t="inlineStr">
        <is>
          <t>Lieferzugang</t>
        </is>
      </c>
      <c r="C55" s="11" t="n"/>
      <c r="D55" s="11" t="inlineStr">
        <is>
          <t>Standard-Anforderungen</t>
        </is>
      </c>
      <c r="E55" s="12" t="inlineStr">
        <is>
          <t>Gesamt:</t>
        </is>
      </c>
      <c r="F55" s="11" t="n"/>
      <c r="G55" s="11" t="n"/>
      <c r="H55" s="13">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
      </c>
      <c r="I55" s="11" t="n"/>
      <c r="J55" s="11" t="n"/>
      <c r="K55" s="11" t="n"/>
      <c r="L55" s="11" t="n"/>
      <c r="M55" s="11" t="inlineStr">
        <is>
          <t>Vertraulichkeit</t>
        </is>
      </c>
      <c r="N55" s="12" t="inlineStr">
        <is>
          <t>INF.8.A1-UA.3</t>
        </is>
      </c>
      <c r="O55" s="11" t="inlineStr">
        <is>
          <t>intersects-with</t>
        </is>
      </c>
      <c r="P55" s="12" t="inlineStr">
        <is>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is>
      </c>
      <c r="Q55" s="11" t="inlineStr">
        <is>
          <t>Standorte</t>
        </is>
      </c>
      <c r="R55" s="11" t="inlineStr">
        <is>
          <t>Gebäudedokumentation</t>
        </is>
      </c>
      <c r="S55" s="12" t="inlineStr">
        <is>
          <t>einen Zugang für die Abwicklung von Lieferungen</t>
        </is>
      </c>
      <c r="T55" s="12" t="inlineStr">
        <is>
          <t>G 0.44 – Unbefugtes Eindringen in Räumlichkeiten; G 0.19 – Offenlegung schützenswerter Informationen; G 0.21 – Manipulation von Hard- oder Software</t>
        </is>
      </c>
      <c r="U55" s="11" t="n">
        <v>4</v>
      </c>
      <c r="V55" s="11" t="n">
        <v>2</v>
      </c>
      <c r="W55" s="11" t="n">
        <v>1</v>
      </c>
      <c r="X55" s="11" t="n">
        <v>1</v>
      </c>
      <c r="Y55" s="11" t="n">
        <v>1</v>
      </c>
    </row>
    <row r="56">
      <c r="A56" s="11" t="inlineStr">
        <is>
          <t>GEB.5.1</t>
        </is>
      </c>
      <c r="B56" s="12" t="inlineStr">
        <is>
          <t>Lieferzugang</t>
        </is>
      </c>
      <c r="C56" s="11" t="inlineStr">
        <is>
          <t>GEB.5.1</t>
        </is>
      </c>
      <c r="D56" s="11" t="inlineStr">
        <is>
          <t>Standard-Anforderungen</t>
        </is>
      </c>
      <c r="E56" s="12" t="inlineStr">
        <is>
          <t>Gebäudemanagement für Standorte SOLLTE einen Zugang für die Abwicklung von Lieferungen ohne unbefugten Zugang zum restlichen Standort installieren.</t>
        </is>
      </c>
      <c r="F56" s="14" t="n"/>
      <c r="G56" s="14" t="n"/>
      <c r="H56" s="14" t="inlineStr">
        <is>
          <t>unbearbeitet</t>
        </is>
      </c>
      <c r="I56" s="14" t="n"/>
      <c r="J56" s="14" t="n"/>
      <c r="K56" s="14" t="n"/>
      <c r="L56" s="15" t="n"/>
      <c r="M56" s="11" t="inlineStr">
        <is>
          <t>Vertraulichkeit</t>
        </is>
      </c>
      <c r="N56" s="12" t="inlineStr">
        <is>
          <t>INF.8.A1-UA.3</t>
        </is>
      </c>
      <c r="O56" s="11" t="inlineStr">
        <is>
          <t>intersects-with</t>
        </is>
      </c>
      <c r="P56" s="12" t="inlineStr">
        <is>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is>
      </c>
      <c r="Q56" s="11" t="inlineStr">
        <is>
          <t>Standorte</t>
        </is>
      </c>
      <c r="R56" s="11" t="inlineStr">
        <is>
          <t>Gebäudedokumentation</t>
        </is>
      </c>
      <c r="S56" s="12" t="inlineStr">
        <is>
          <t>einen Zugang für die Abwicklung von Lieferungen</t>
        </is>
      </c>
      <c r="T56" s="12" t="inlineStr">
        <is>
          <t>G 0.44 – Unbefugtes Eindringen in Räumlichkeiten; G 0.19 – Offenlegung schützenswerter Informationen; G 0.21 – Manipulation von Hard- oder Software</t>
        </is>
      </c>
      <c r="U56" s="11" t="n">
        <v>4</v>
      </c>
      <c r="V56" s="11" t="n">
        <v>2</v>
      </c>
      <c r="W56" s="11" t="n">
        <v>1</v>
      </c>
      <c r="X56" s="11" t="n">
        <v>1</v>
      </c>
      <c r="Y56" s="11" t="n">
        <v>1</v>
      </c>
    </row>
    <row r="57">
      <c r="A57" s="9" t="inlineStr">
        <is>
          <t>GEB.5.2</t>
        </is>
      </c>
      <c r="B57" s="10" t="inlineStr">
        <is>
          <t>Schutz gegen Manipulation</t>
        </is>
      </c>
      <c r="C57" s="11" t="n"/>
      <c r="D57" s="11" t="inlineStr">
        <is>
          <t>Anforderungen bei erhöhtem Schutzbedarf</t>
        </is>
      </c>
      <c r="E57" s="12" t="inlineStr">
        <is>
          <t>Gesamt:</t>
        </is>
      </c>
      <c r="F57" s="11" t="n"/>
      <c r="G57" s="11" t="n"/>
      <c r="H57" s="13">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
      </c>
      <c r="I57" s="11" t="n"/>
      <c r="J57" s="11" t="n"/>
      <c r="K57" s="11" t="n"/>
      <c r="L57" s="11" t="n"/>
      <c r="M57" s="11" t="inlineStr">
        <is>
          <t>Integrität</t>
        </is>
      </c>
      <c r="N57" s="12" t="inlineStr"/>
      <c r="O57" s="11" t="inlineStr"/>
      <c r="P57" s="12" t="inlineStr">
        <is>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is>
      </c>
      <c r="Q57" s="11" t="inlineStr">
        <is>
          <t>IT-Systeme</t>
        </is>
      </c>
      <c r="R57" s="11" t="inlineStr">
        <is>
          <t>Betriebshandbuch</t>
        </is>
      </c>
      <c r="S57" s="12" t="inlineStr">
        <is>
          <t>Manipulationsschutzvorkehrungen</t>
        </is>
      </c>
      <c r="T57" s="12" t="inlineStr">
        <is>
          <t>G 0.44 – Unbefugtes Eindringen in Räumlichkeiten; G 0.19 – Offenlegung schützenswerter Informationen; G 0.21 – Manipulation von Hard- oder Software</t>
        </is>
      </c>
      <c r="U57" s="11" t="n">
        <v>5</v>
      </c>
      <c r="V57" s="11" t="n">
        <v>1</v>
      </c>
      <c r="W57" s="11" t="n">
        <v>2</v>
      </c>
      <c r="X57" s="11" t="n">
        <v>1</v>
      </c>
      <c r="Y57" s="11" t="n">
        <v>1</v>
      </c>
    </row>
    <row r="58">
      <c r="A58" s="11" t="inlineStr">
        <is>
          <t>GEB.5.2</t>
        </is>
      </c>
      <c r="B58" s="12" t="inlineStr">
        <is>
          <t>Schutz gegen Manipulation</t>
        </is>
      </c>
      <c r="C58" s="11" t="inlineStr">
        <is>
          <t>GEB.5.2</t>
        </is>
      </c>
      <c r="D58" s="11" t="inlineStr">
        <is>
          <t>Anforderungen bei erhöhtem Schutzbedarf</t>
        </is>
      </c>
      <c r="E58" s="12" t="inlineStr">
        <is>
          <t>Gebäudemanagement für IT-Systeme KANN Manipulationsschutzvorkehrungen installieren.</t>
        </is>
      </c>
      <c r="F58" s="14" t="n"/>
      <c r="G58" s="14" t="n"/>
      <c r="H58" s="14" t="inlineStr">
        <is>
          <t>unbearbeitet</t>
        </is>
      </c>
      <c r="I58" s="14" t="n"/>
      <c r="J58" s="14" t="n"/>
      <c r="K58" s="14" t="n"/>
      <c r="L58" s="15" t="n"/>
      <c r="M58" s="11" t="inlineStr">
        <is>
          <t>Integrität</t>
        </is>
      </c>
      <c r="N58" s="12" t="inlineStr"/>
      <c r="O58" s="11" t="inlineStr"/>
      <c r="P58" s="12" t="inlineStr">
        <is>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is>
      </c>
      <c r="Q58" s="11" t="inlineStr">
        <is>
          <t>IT-Systeme</t>
        </is>
      </c>
      <c r="R58" s="11" t="inlineStr">
        <is>
          <t>Betriebshandbuch</t>
        </is>
      </c>
      <c r="S58" s="12" t="inlineStr">
        <is>
          <t>Manipulationsschutzvorkehrungen</t>
        </is>
      </c>
      <c r="T58" s="12" t="inlineStr">
        <is>
          <t>G 0.44 – Unbefugtes Eindringen in Räumlichkeiten; G 0.19 – Offenlegung schützenswerter Informationen; G 0.21 – Manipulation von Hard- oder Software</t>
        </is>
      </c>
      <c r="U58" s="11" t="n">
        <v>5</v>
      </c>
      <c r="V58" s="11" t="n">
        <v>1</v>
      </c>
      <c r="W58" s="11" t="n">
        <v>2</v>
      </c>
      <c r="X58" s="11" t="n">
        <v>1</v>
      </c>
      <c r="Y58" s="11" t="n">
        <v>1</v>
      </c>
    </row>
    <row r="59">
      <c r="A59" s="9" t="inlineStr">
        <is>
          <t>GEB.5.3</t>
        </is>
      </c>
      <c r="B59" s="10" t="inlineStr">
        <is>
          <t>Physische Mikrosegmentierung</t>
        </is>
      </c>
      <c r="C59" s="11" t="n"/>
      <c r="D59" s="11" t="inlineStr">
        <is>
          <t>Anforderungen bei erhöhtem Schutzbedarf</t>
        </is>
      </c>
      <c r="E59" s="12" t="inlineStr">
        <is>
          <t>Gesamt:</t>
        </is>
      </c>
      <c r="F59" s="11" t="n"/>
      <c r="G59" s="11" t="n"/>
      <c r="H59" s="13">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
      </c>
      <c r="I59" s="11" t="n"/>
      <c r="J59" s="11" t="n"/>
      <c r="K59" s="11" t="n"/>
      <c r="L59" s="11" t="n"/>
      <c r="M59" s="11" t="inlineStr">
        <is>
          <t>Integrität</t>
        </is>
      </c>
      <c r="N59" s="12" t="inlineStr"/>
      <c r="O59" s="11" t="inlineStr"/>
      <c r="P59" s="12" t="inlineStr">
        <is>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is>
      </c>
      <c r="Q59" s="11" t="inlineStr">
        <is>
          <t>IT-Systeme</t>
        </is>
      </c>
      <c r="R59" s="11" t="inlineStr">
        <is>
          <t>Gebäudedokumentation</t>
        </is>
      </c>
      <c r="S59" s="12" t="inlineStr">
        <is>
          <t>eine physische Mikrosegmentierung</t>
        </is>
      </c>
      <c r="T59" s="12" t="inlineStr">
        <is>
          <t>G 0.44 – Unbefugtes Eindringen in Räumlichkeiten; G 0.21 – Manipulation von Hard- oder Software</t>
        </is>
      </c>
      <c r="U59" s="11" t="n">
        <v>5</v>
      </c>
      <c r="V59" s="11" t="n">
        <v>1</v>
      </c>
      <c r="W59" s="11" t="n">
        <v>2</v>
      </c>
      <c r="X59" s="11" t="n">
        <v>1</v>
      </c>
      <c r="Y59" s="11" t="n">
        <v>1</v>
      </c>
    </row>
    <row r="60">
      <c r="A60" s="11" t="inlineStr">
        <is>
          <t>GEB.5.3</t>
        </is>
      </c>
      <c r="B60" s="12" t="inlineStr">
        <is>
          <t>Physische Mikrosegmentierung</t>
        </is>
      </c>
      <c r="C60" s="11" t="inlineStr">
        <is>
          <t>GEB.5.3</t>
        </is>
      </c>
      <c r="D60" s="11" t="inlineStr">
        <is>
          <t>Anforderungen bei erhöhtem Schutzbedarf</t>
        </is>
      </c>
      <c r="E60" s="12" t="inlineStr">
        <is>
          <t>Gebäudemanagement für IT-Systeme KANN eine physische Mikrosegmentierung installieren.</t>
        </is>
      </c>
      <c r="F60" s="14" t="n"/>
      <c r="G60" s="14" t="n"/>
      <c r="H60" s="14" t="inlineStr">
        <is>
          <t>unbearbeitet</t>
        </is>
      </c>
      <c r="I60" s="14" t="n"/>
      <c r="J60" s="14" t="n"/>
      <c r="K60" s="14" t="n"/>
      <c r="L60" s="15" t="n"/>
      <c r="M60" s="11" t="inlineStr">
        <is>
          <t>Integrität</t>
        </is>
      </c>
      <c r="N60" s="12" t="inlineStr"/>
      <c r="O60" s="11" t="inlineStr"/>
      <c r="P60" s="12" t="inlineStr">
        <is>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is>
      </c>
      <c r="Q60" s="11" t="inlineStr">
        <is>
          <t>IT-Systeme</t>
        </is>
      </c>
      <c r="R60" s="11" t="inlineStr">
        <is>
          <t>Gebäudedokumentation</t>
        </is>
      </c>
      <c r="S60" s="12" t="inlineStr">
        <is>
          <t>eine physische Mikrosegmentierung</t>
        </is>
      </c>
      <c r="T60" s="12" t="inlineStr">
        <is>
          <t>G 0.44 – Unbefugtes Eindringen in Räumlichkeiten; G 0.21 – Manipulation von Hard- oder Software</t>
        </is>
      </c>
      <c r="U60" s="11" t="n">
        <v>5</v>
      </c>
      <c r="V60" s="11" t="n">
        <v>1</v>
      </c>
      <c r="W60" s="11" t="n">
        <v>2</v>
      </c>
      <c r="X60" s="11" t="n">
        <v>1</v>
      </c>
      <c r="Y60" s="11" t="n">
        <v>1</v>
      </c>
    </row>
    <row r="61">
      <c r="A61" s="9" t="inlineStr">
        <is>
          <t>GEB.6.1</t>
        </is>
      </c>
      <c r="B61" s="10" t="inlineStr">
        <is>
          <t>Zugang zu Ausgabesystemen</t>
        </is>
      </c>
      <c r="C61" s="11" t="n"/>
      <c r="D61" s="11" t="inlineStr">
        <is>
          <t>Standard-Anforderungen</t>
        </is>
      </c>
      <c r="E61" s="12" t="inlineStr">
        <is>
          <t>Gesamt:</t>
        </is>
      </c>
      <c r="F61" s="11" t="n"/>
      <c r="G61" s="11" t="n"/>
      <c r="H61" s="13">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
      </c>
      <c r="I61" s="11" t="n"/>
      <c r="J61" s="11" t="n"/>
      <c r="K61" s="11" t="n"/>
      <c r="L61" s="11" t="n"/>
      <c r="M61" s="11" t="inlineStr">
        <is>
          <t>Integrität</t>
        </is>
      </c>
      <c r="N61" s="12" t="inlineStr"/>
      <c r="O61" s="11" t="inlineStr"/>
      <c r="P61" s="12" t="inlineStr">
        <is>
          <t>Ausgabesysteme sind z.B. Monitore oder Drucker. Nicht-öffentlich sind diese, wenn darauf schützenswerte Inhalte ausgegeben werden, z.B. Arbeitsplätze von internen Sachbearbeitern, Netzdrucker der Personalabteilung.</t>
        </is>
      </c>
      <c r="Q61" s="11" t="inlineStr">
        <is>
          <t>IT-Systeme</t>
        </is>
      </c>
      <c r="R61" s="11" t="inlineStr">
        <is>
          <t>Gebäudedokumentation</t>
        </is>
      </c>
      <c r="S61" s="12" t="inlineStr">
        <is>
          <t>den Zugang zu nicht-öffentlichen Ausgabesystemen</t>
        </is>
      </c>
      <c r="T61" s="12" t="inlineStr">
        <is>
          <t>G 0.18 – Fehlplanung oder fehlende Anpassung</t>
        </is>
      </c>
      <c r="U61" s="11" t="n">
        <v>4</v>
      </c>
      <c r="V61" s="11" t="n">
        <v>1</v>
      </c>
      <c r="W61" s="11" t="n">
        <v>2</v>
      </c>
      <c r="X61" s="11" t="n">
        <v>1</v>
      </c>
      <c r="Y61" s="11" t="n">
        <v>0</v>
      </c>
    </row>
    <row r="62">
      <c r="A62" s="11" t="inlineStr">
        <is>
          <t>GEB.6.1</t>
        </is>
      </c>
      <c r="B62" s="12" t="inlineStr">
        <is>
          <t>Zugang zu Ausgabesystemen</t>
        </is>
      </c>
      <c r="C62" s="11" t="inlineStr">
        <is>
          <t>GEB.6.1</t>
        </is>
      </c>
      <c r="D62" s="11" t="inlineStr">
        <is>
          <t>Standard-Anforderungen</t>
        </is>
      </c>
      <c r="E62" s="12" t="inlineStr">
        <is>
          <t>Gebäudemanagement für IT-Systeme SOLLTE den Zugang zu nicht-öffentlichen Ausgabesystemen einschränken.</t>
        </is>
      </c>
      <c r="F62" s="14" t="n"/>
      <c r="G62" s="14" t="n"/>
      <c r="H62" s="14" t="inlineStr">
        <is>
          <t>unbearbeitet</t>
        </is>
      </c>
      <c r="I62" s="14" t="n"/>
      <c r="J62" s="14" t="n"/>
      <c r="K62" s="14" t="n"/>
      <c r="L62" s="15" t="n"/>
      <c r="M62" s="11" t="inlineStr">
        <is>
          <t>Integrität</t>
        </is>
      </c>
      <c r="N62" s="12" t="inlineStr"/>
      <c r="O62" s="11" t="inlineStr"/>
      <c r="P62" s="12" t="inlineStr">
        <is>
          <t>Ausgabesysteme sind z.B. Monitore oder Drucker. Nicht-öffentlich sind diese, wenn darauf schützenswerte Inhalte ausgegeben werden, z.B. Arbeitsplätze von internen Sachbearbeitern, Netzdrucker der Personalabteilung.</t>
        </is>
      </c>
      <c r="Q62" s="11" t="inlineStr">
        <is>
          <t>IT-Systeme</t>
        </is>
      </c>
      <c r="R62" s="11" t="inlineStr">
        <is>
          <t>Gebäudedokumentation</t>
        </is>
      </c>
      <c r="S62" s="12" t="inlineStr">
        <is>
          <t>den Zugang zu nicht-öffentlichen Ausgabesystemen</t>
        </is>
      </c>
      <c r="T62" s="12" t="inlineStr">
        <is>
          <t>G 0.18 – Fehlplanung oder fehlende Anpassung</t>
        </is>
      </c>
      <c r="U62" s="11" t="n">
        <v>4</v>
      </c>
      <c r="V62" s="11" t="n">
        <v>1</v>
      </c>
      <c r="W62" s="11" t="n">
        <v>2</v>
      </c>
      <c r="X62" s="11" t="n">
        <v>1</v>
      </c>
      <c r="Y62" s="11" t="n">
        <v>0</v>
      </c>
    </row>
    <row r="63">
      <c r="A63" s="9" t="inlineStr">
        <is>
          <t>GEB.6.2</t>
        </is>
      </c>
      <c r="B63" s="10" t="inlineStr">
        <is>
          <t>Geschützte Aufstellung</t>
        </is>
      </c>
      <c r="C63" s="11" t="n"/>
      <c r="D63" s="11" t="inlineStr">
        <is>
          <t>Standard-Anforderungen</t>
        </is>
      </c>
      <c r="E63" s="12" t="inlineStr">
        <is>
          <t>Gesamt:</t>
        </is>
      </c>
      <c r="F63" s="11" t="n"/>
      <c r="G63" s="11" t="n"/>
      <c r="H63" s="13">
        <f>IF(OR(COUNTBLANK($H$64:$H$65)&gt;0,COUNTIF($H$64:$H$65,"unbearbeitet")=COUNTA($H$64:$H$65)),"Bitte Teilanforderungen ausfüllen",IF(COUNTIF($H$64:$H$65,"zu klären")&gt;0,"zu klären",IF(COUNTIF($H$64:$H$65,"entbehrlich")=COUNTA($H$64:$H$65),"entbehrlich",IF(COUNTIF($H$64:$H$65,"verwiesen")=COUNTA($H$64:$H$65),"verwiesen",IF(COUNTIF($H$64:$H$65,"nein")+COUNTIF($H$64:$H$65,"entbehrlich")=COUNTA($H$64:$H$65),"nein",IF(COUNTIF($H$64:$H$65,"ja")+COUNTIF($H$64:$H$65,"entbehrlich")+COUNTIF($H$64:$H$65,"verwiesen")=COUNTA($H$64:$H$65),"ja","teilweise"))))))</f>
        <v/>
      </c>
      <c r="I63" s="11" t="n"/>
      <c r="J63" s="11" t="n"/>
      <c r="K63" s="11" t="n"/>
      <c r="L63" s="11" t="n"/>
      <c r="M63" s="11" t="inlineStr">
        <is>
          <t>Integrität</t>
        </is>
      </c>
      <c r="N63" s="12" t="inlineStr"/>
      <c r="O63" s="11" t="inlineStr"/>
      <c r="P63" s="12" t="inlineStr">
        <is>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is>
      </c>
      <c r="Q63" s="11" t="inlineStr">
        <is>
          <t>IT-Systeme</t>
        </is>
      </c>
      <c r="R63" s="11" t="inlineStr">
        <is>
          <t>Gebäudedokumentation</t>
        </is>
      </c>
      <c r="S63" s="12" t="inlineStr">
        <is>
          <t>diese geschützt vor dem Zugriff von Unbefugten</t>
        </is>
      </c>
      <c r="T63" s="12" t="inlineStr">
        <is>
          <t>G 0.18 – Fehlplanung oder fehlende Anpassung</t>
        </is>
      </c>
      <c r="U63" s="11" t="n">
        <v>3</v>
      </c>
      <c r="V63" s="11" t="n">
        <v>1</v>
      </c>
      <c r="W63" s="11" t="n">
        <v>2</v>
      </c>
      <c r="X63" s="11" t="n">
        <v>1</v>
      </c>
      <c r="Y63" s="11" t="n">
        <v>0</v>
      </c>
    </row>
    <row r="64">
      <c r="A64" s="11" t="inlineStr">
        <is>
          <t>GEB.6.2</t>
        </is>
      </c>
      <c r="B64" s="12" t="inlineStr">
        <is>
          <t>Geschützte Aufstellung</t>
        </is>
      </c>
      <c r="C64" s="11" t="inlineStr">
        <is>
          <t>GEB.6.2</t>
        </is>
      </c>
      <c r="D64" s="11" t="inlineStr">
        <is>
          <t>Standard-Anforderungen</t>
        </is>
      </c>
      <c r="E64" s="12" t="inlineStr">
        <is>
          <t>Gebäudemanagement für IT-Systeme SOLLTE diese geschützt vor dem Zugriff von Unbefugten platzieren.</t>
        </is>
      </c>
      <c r="F64" s="14" t="n"/>
      <c r="G64" s="14" t="n"/>
      <c r="H64" s="14" t="inlineStr">
        <is>
          <t>unbearbeitet</t>
        </is>
      </c>
      <c r="I64" s="14" t="n"/>
      <c r="J64" s="14" t="n"/>
      <c r="K64" s="14" t="n"/>
      <c r="L64" s="15" t="n"/>
      <c r="M64" s="11" t="inlineStr">
        <is>
          <t>Integrität</t>
        </is>
      </c>
      <c r="N64" s="12" t="inlineStr"/>
      <c r="O64" s="11" t="inlineStr"/>
      <c r="P64" s="12" t="inlineStr">
        <is>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is>
      </c>
      <c r="Q64" s="11" t="inlineStr">
        <is>
          <t>IT-Systeme</t>
        </is>
      </c>
      <c r="R64" s="11" t="inlineStr">
        <is>
          <t>Gebäudedokumentation</t>
        </is>
      </c>
      <c r="S64" s="12" t="inlineStr">
        <is>
          <t>diese geschützt vor dem Zugriff von Unbefugten</t>
        </is>
      </c>
      <c r="T64" s="12" t="inlineStr">
        <is>
          <t>G 0.18 – Fehlplanung oder fehlende Anpassung</t>
        </is>
      </c>
      <c r="U64" s="11" t="n">
        <v>3</v>
      </c>
      <c r="V64" s="11" t="n">
        <v>1</v>
      </c>
      <c r="W64" s="11" t="n">
        <v>2</v>
      </c>
      <c r="X64" s="11" t="n">
        <v>1</v>
      </c>
      <c r="Y64" s="11" t="n">
        <v>0</v>
      </c>
    </row>
    <row r="65">
      <c r="A65" s="11" t="inlineStr">
        <is>
          <t>GEB.6.2</t>
        </is>
      </c>
      <c r="B65" s="12" t="inlineStr">
        <is>
          <t>Geschützte Aufstellung</t>
        </is>
      </c>
      <c r="C65" s="11" t="inlineStr">
        <is>
          <t>GEB.6.2.1</t>
        </is>
      </c>
      <c r="D65" s="11" t="inlineStr">
        <is>
          <t>Standard-Anforderungen</t>
        </is>
      </c>
      <c r="E65" s="12" t="inlineStr">
        <is>
          <t>Gebäudemanagement für Hostsysteme SOLLTE diese ausschließlich in Serverräumen platzieren.</t>
        </is>
      </c>
      <c r="F65" s="14" t="n"/>
      <c r="G65" s="14" t="n"/>
      <c r="H65" s="14" t="inlineStr">
        <is>
          <t>unbearbeitet</t>
        </is>
      </c>
      <c r="I65" s="14" t="n"/>
      <c r="J65" s="14" t="n"/>
      <c r="K65" s="14" t="n"/>
      <c r="L65" s="15" t="n"/>
      <c r="M65" s="11" t="inlineStr">
        <is>
          <t>Integrität</t>
        </is>
      </c>
      <c r="N65" s="12" t="inlineStr"/>
      <c r="O65" s="11" t="inlineStr"/>
      <c r="P65" s="12" t="inlineStr">
        <is>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is>
      </c>
      <c r="Q65" s="11" t="inlineStr">
        <is>
          <t>Hostsysteme</t>
        </is>
      </c>
      <c r="R65" s="11" t="inlineStr">
        <is>
          <t>Gebäudedokumentation</t>
        </is>
      </c>
      <c r="S65" s="12" t="inlineStr">
        <is>
          <t>diese ausschließlich in Serverräumen</t>
        </is>
      </c>
      <c r="T65" s="12" t="inlineStr">
        <is>
          <t>G 0.18 – Fehlplanung oder fehlende Anpassung</t>
        </is>
      </c>
      <c r="U65" s="11" t="n">
        <v>3</v>
      </c>
      <c r="V65" s="11" t="n">
        <v>1</v>
      </c>
      <c r="W65" s="11" t="n">
        <v>2</v>
      </c>
      <c r="X65" s="11" t="n">
        <v>1</v>
      </c>
      <c r="Y65" s="11" t="n">
        <v>0</v>
      </c>
    </row>
    <row r="66">
      <c r="A66" s="9" t="inlineStr">
        <is>
          <t>GEB.6.3</t>
        </is>
      </c>
      <c r="B66" s="10" t="inlineStr">
        <is>
          <t>Netzkomponenten</t>
        </is>
      </c>
      <c r="C66" s="11" t="n"/>
      <c r="D66" s="11" t="inlineStr">
        <is>
          <t>Standard-Anforderungen</t>
        </is>
      </c>
      <c r="E66" s="12" t="inlineStr">
        <is>
          <t>Gesamt:</t>
        </is>
      </c>
      <c r="F66" s="11" t="n"/>
      <c r="G66" s="11" t="n"/>
      <c r="H66" s="13">
        <f>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
      </c>
      <c r="I66" s="11" t="n"/>
      <c r="J66" s="11" t="n"/>
      <c r="K66" s="11" t="n"/>
      <c r="L66" s="11" t="n"/>
      <c r="M66" s="11" t="inlineStr"/>
      <c r="N66" s="12" t="inlineStr"/>
      <c r="O66" s="11" t="inlineStr"/>
      <c r="P66" s="12" t="inlineStr">
        <is>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is>
      </c>
      <c r="Q66" s="11" t="inlineStr">
        <is>
          <t>Netze</t>
        </is>
      </c>
      <c r="R66" s="11" t="inlineStr">
        <is>
          <t>Gebäudedokumentation</t>
        </is>
      </c>
      <c r="S66" s="12" t="inlineStr">
        <is>
          <t>für die Funktionsfähigkeit des Netzes erforderliche Systeme ausschließlich in Räumen für technische Infrastruktur</t>
        </is>
      </c>
      <c r="T66" s="12" t="inlineStr">
        <is>
          <t>G 0.18 – Fehlplanung oder fehlende Anpassung</t>
        </is>
      </c>
      <c r="U66" s="11" t="n">
        <v>3</v>
      </c>
      <c r="V66" s="11" t="n">
        <v>1</v>
      </c>
      <c r="W66" s="11" t="n">
        <v>1</v>
      </c>
      <c r="X66" s="11" t="n">
        <v>1</v>
      </c>
      <c r="Y66" s="11" t="n">
        <v>0</v>
      </c>
    </row>
    <row r="67">
      <c r="A67" s="11" t="inlineStr">
        <is>
          <t>GEB.6.3</t>
        </is>
      </c>
      <c r="B67" s="12" t="inlineStr">
        <is>
          <t>Netzkomponenten</t>
        </is>
      </c>
      <c r="C67" s="11" t="inlineStr">
        <is>
          <t>GEB.6.3</t>
        </is>
      </c>
      <c r="D67" s="11" t="inlineStr">
        <is>
          <t>Standard-Anforderungen</t>
        </is>
      </c>
      <c r="E67" s="12" t="inlineStr">
        <is>
          <t>Gebäudemanagement für Netze SOLLTE für die Funktionsfähigkeit des Netzes erforderliche Systeme ausschließlich in Räumen für technische Infrastruktur platzieren.</t>
        </is>
      </c>
      <c r="F67" s="14" t="n"/>
      <c r="G67" s="14" t="n"/>
      <c r="H67" s="14" t="inlineStr">
        <is>
          <t>unbearbeitet</t>
        </is>
      </c>
      <c r="I67" s="14" t="n"/>
      <c r="J67" s="14" t="n"/>
      <c r="K67" s="14" t="n"/>
      <c r="L67" s="15" t="n"/>
      <c r="M67" s="11" t="inlineStr"/>
      <c r="N67" s="12" t="inlineStr"/>
      <c r="O67" s="11" t="inlineStr"/>
      <c r="P67" s="12" t="inlineStr">
        <is>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is>
      </c>
      <c r="Q67" s="11" t="inlineStr">
        <is>
          <t>Netze</t>
        </is>
      </c>
      <c r="R67" s="11" t="inlineStr">
        <is>
          <t>Gebäudedokumentation</t>
        </is>
      </c>
      <c r="S67" s="12" t="inlineStr">
        <is>
          <t>für die Funktionsfähigkeit des Netzes erforderliche Systeme ausschließlich in Räumen für technische Infrastruktur</t>
        </is>
      </c>
      <c r="T67" s="12" t="inlineStr">
        <is>
          <t>G 0.18 – Fehlplanung oder fehlende Anpassung</t>
        </is>
      </c>
      <c r="U67" s="11" t="n">
        <v>3</v>
      </c>
      <c r="V67" s="11" t="n">
        <v>1</v>
      </c>
      <c r="W67" s="11" t="n">
        <v>1</v>
      </c>
      <c r="X67" s="11" t="n">
        <v>1</v>
      </c>
      <c r="Y67" s="11" t="n">
        <v>0</v>
      </c>
    </row>
    <row r="68">
      <c r="A68" s="9" t="inlineStr">
        <is>
          <t>GEB.6.4</t>
        </is>
      </c>
      <c r="B68" s="10" t="inlineStr">
        <is>
          <t>Normgerechte Rechenzentren</t>
        </is>
      </c>
      <c r="C68" s="11" t="n"/>
      <c r="D68" s="11" t="inlineStr">
        <is>
          <t>Anforderungen bei erhöhtem Schutzbedarf</t>
        </is>
      </c>
      <c r="E68" s="12" t="inlineStr">
        <is>
          <t>Gesamt:</t>
        </is>
      </c>
      <c r="F68" s="11" t="n"/>
      <c r="G68" s="11" t="n"/>
      <c r="H68" s="13">
        <f>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
      </c>
      <c r="I68" s="11" t="n"/>
      <c r="J68" s="11" t="n"/>
      <c r="K68" s="11" t="n"/>
      <c r="L68" s="11" t="n"/>
      <c r="M68" s="11" t="inlineStr"/>
      <c r="N68" s="12" t="inlineStr">
        <is>
          <t>INF.2.A1-UA.1</t>
        </is>
      </c>
      <c r="O68" s="11" t="inlineStr">
        <is>
          <t>intersects-with</t>
        </is>
      </c>
      <c r="P68" s="12" t="inlineStr">
        <is>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is>
      </c>
      <c r="Q68" s="11" t="inlineStr">
        <is>
          <t>Serverräume</t>
        </is>
      </c>
      <c r="R68" s="11" t="inlineStr">
        <is>
          <t>Gebäudedokumentation</t>
        </is>
      </c>
      <c r="S68" s="12" t="inlineStr">
        <is>
          <t>diese ausschließlich in Rechenzentren</t>
        </is>
      </c>
      <c r="T68" s="12" t="inlineStr">
        <is>
          <t>G 0.2 – Ungünstige klimatische Bedingungen; G 0.1 – Feuer</t>
        </is>
      </c>
      <c r="U68" s="11" t="n">
        <v>5</v>
      </c>
      <c r="V68" s="11" t="n">
        <v>0</v>
      </c>
      <c r="W68" s="11" t="n">
        <v>1</v>
      </c>
      <c r="X68" s="11" t="n">
        <v>1</v>
      </c>
      <c r="Y68" s="11" t="n">
        <v>0</v>
      </c>
    </row>
    <row r="69">
      <c r="A69" s="11" t="inlineStr">
        <is>
          <t>GEB.6.4</t>
        </is>
      </c>
      <c r="B69" s="12" t="inlineStr">
        <is>
          <t>Normgerechte Rechenzentren</t>
        </is>
      </c>
      <c r="C69" s="11" t="inlineStr">
        <is>
          <t>GEB.6.4</t>
        </is>
      </c>
      <c r="D69" s="11" t="inlineStr">
        <is>
          <t>Anforderungen bei erhöhtem Schutzbedarf</t>
        </is>
      </c>
      <c r="E69" s="12" t="inlineStr">
        <is>
          <t>Gebäudemanagement für Serverräume KANN diese ausschließlich in Rechenzentren nach einer anerkannten Norm platzieren.</t>
        </is>
      </c>
      <c r="F69" s="14" t="n"/>
      <c r="G69" s="14" t="n"/>
      <c r="H69" s="14" t="inlineStr">
        <is>
          <t>unbearbeitet</t>
        </is>
      </c>
      <c r="I69" s="14" t="n"/>
      <c r="J69" s="14" t="n"/>
      <c r="K69" s="14" t="n"/>
      <c r="L69" s="15" t="n"/>
      <c r="M69" s="11" t="inlineStr"/>
      <c r="N69" s="12" t="inlineStr">
        <is>
          <t>INF.2.A1-UA.1</t>
        </is>
      </c>
      <c r="O69" s="11" t="inlineStr">
        <is>
          <t>intersects-with</t>
        </is>
      </c>
      <c r="P69" s="12" t="inlineStr">
        <is>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is>
      </c>
      <c r="Q69" s="11" t="inlineStr">
        <is>
          <t>Serverräume</t>
        </is>
      </c>
      <c r="R69" s="11" t="inlineStr">
        <is>
          <t>Gebäudedokumentation</t>
        </is>
      </c>
      <c r="S69" s="12" t="inlineStr">
        <is>
          <t>diese ausschließlich in Rechenzentren</t>
        </is>
      </c>
      <c r="T69" s="12" t="inlineStr">
        <is>
          <t>G 0.2 – Ungünstige klimatische Bedingungen; G 0.1 – Feuer</t>
        </is>
      </c>
      <c r="U69" s="11" t="n">
        <v>5</v>
      </c>
      <c r="V69" s="11" t="n">
        <v>0</v>
      </c>
      <c r="W69" s="11" t="n">
        <v>1</v>
      </c>
      <c r="X69" s="11" t="n">
        <v>1</v>
      </c>
      <c r="Y69" s="11" t="n">
        <v>0</v>
      </c>
    </row>
    <row r="70">
      <c r="A70" s="9" t="inlineStr">
        <is>
          <t>GEB.7.1</t>
        </is>
      </c>
      <c r="B70" s="10" t="inlineStr">
        <is>
          <t>Schlüsselbeauftragte</t>
        </is>
      </c>
      <c r="C70" s="11" t="n"/>
      <c r="D70" s="11" t="inlineStr">
        <is>
          <t>Standard-Anforderungen</t>
        </is>
      </c>
      <c r="E70" s="12" t="inlineStr">
        <is>
          <t>Gesamt:</t>
        </is>
      </c>
      <c r="F70" s="11" t="n"/>
      <c r="G70" s="11" t="n"/>
      <c r="H70" s="13">
        <f>IF(OR(COUNTBLANK($H$71:$H$71)&gt;0,COUNTIF($H$71:$H$71,"unbearbeitet")=COUNTA($H$71:$H$71)),"Bitte Teilanforderungen ausfüllen",IF(COUNTIF($H$71:$H$71,"zu klären")&gt;0,"zu klären",IF(COUNTIF($H$71:$H$71,"entbehrlich")=COUNTA($H$71:$H$71),"entbehrlich",IF(COUNTIF($H$71:$H$71,"verwiesen")=COUNTA($H$71:$H$71),"verwiesen",IF(COUNTIF($H$71:$H$71,"nein")+COUNTIF($H$71:$H$71,"entbehrlich")=COUNTA($H$71:$H$71),"nein",IF(COUNTIF($H$71:$H$71,"ja")+COUNTIF($H$71:$H$71,"entbehrlich")+COUNTIF($H$71:$H$71,"verwiesen")=COUNTA($H$71:$H$71),"ja","teilweise"))))))</f>
        <v/>
      </c>
      <c r="I70" s="11" t="n"/>
      <c r="J70" s="11" t="n"/>
      <c r="K70" s="11" t="n"/>
      <c r="L70" s="11" t="n"/>
      <c r="M70" s="11" t="inlineStr"/>
      <c r="N70" s="12" t="inlineStr"/>
      <c r="O70" s="11" t="inlineStr"/>
      <c r="P70" s="12" t="inlineStr">
        <is>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is>
      </c>
      <c r="Q70" s="11" t="inlineStr">
        <is>
          <t>Standorte</t>
        </is>
      </c>
      <c r="R70" s="11" t="inlineStr">
        <is>
          <t>Geschäftsverteilungsplan</t>
        </is>
      </c>
      <c r="S70" s="12" t="inlineStr">
        <is>
          <t>die Verwaltung von Schlüsseln</t>
        </is>
      </c>
      <c r="T70" s="12" t="inlineStr">
        <is>
          <t>G 0.18 – Fehlplanung oder fehlende Anpassung</t>
        </is>
      </c>
      <c r="U70" s="11" t="n">
        <v>3</v>
      </c>
      <c r="V70" s="11" t="n">
        <v>1</v>
      </c>
      <c r="W70" s="11" t="n">
        <v>1</v>
      </c>
      <c r="X70" s="11" t="n">
        <v>1</v>
      </c>
      <c r="Y70" s="11" t="n">
        <v>0</v>
      </c>
    </row>
    <row r="71">
      <c r="A71" s="11" t="inlineStr">
        <is>
          <t>GEB.7.1</t>
        </is>
      </c>
      <c r="B71" s="12" t="inlineStr">
        <is>
          <t>Schlüsselbeauftragte</t>
        </is>
      </c>
      <c r="C71" s="11" t="inlineStr">
        <is>
          <t>GEB.7.1</t>
        </is>
      </c>
      <c r="D71" s="11" t="inlineStr">
        <is>
          <t>Standard-Anforderungen</t>
        </is>
      </c>
      <c r="E71" s="12" t="inlineStr">
        <is>
          <t>Gebäudemanagement für Standorte SOLLTE die Verwaltung von Schlüsseln zuständigen Personen oder Rollen zuweisen.</t>
        </is>
      </c>
      <c r="F71" s="14" t="n"/>
      <c r="G71" s="14" t="n"/>
      <c r="H71" s="14" t="inlineStr">
        <is>
          <t>unbearbeitet</t>
        </is>
      </c>
      <c r="I71" s="14" t="n"/>
      <c r="J71" s="14" t="n"/>
      <c r="K71" s="14" t="n"/>
      <c r="L71" s="15" t="n"/>
      <c r="M71" s="11" t="inlineStr"/>
      <c r="N71" s="12" t="inlineStr"/>
      <c r="O71" s="11" t="inlineStr"/>
      <c r="P71" s="12" t="inlineStr">
        <is>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is>
      </c>
      <c r="Q71" s="11" t="inlineStr">
        <is>
          <t>Standorte</t>
        </is>
      </c>
      <c r="R71" s="11" t="inlineStr">
        <is>
          <t>Geschäftsverteilungsplan</t>
        </is>
      </c>
      <c r="S71" s="12" t="inlineStr">
        <is>
          <t>die Verwaltung von Schlüsseln</t>
        </is>
      </c>
      <c r="T71" s="12" t="inlineStr">
        <is>
          <t>G 0.18 – Fehlplanung oder fehlende Anpassung</t>
        </is>
      </c>
      <c r="U71" s="11" t="n">
        <v>3</v>
      </c>
      <c r="V71" s="11" t="n">
        <v>1</v>
      </c>
      <c r="W71" s="11" t="n">
        <v>1</v>
      </c>
      <c r="X71" s="11" t="n">
        <v>1</v>
      </c>
      <c r="Y71" s="11" t="n">
        <v>0</v>
      </c>
    </row>
    <row r="72">
      <c r="A72" s="9" t="inlineStr">
        <is>
          <t>GEB.7.2</t>
        </is>
      </c>
      <c r="B72" s="10" t="inlineStr">
        <is>
          <t>Verwahrung von Schlüsseln</t>
        </is>
      </c>
      <c r="C72" s="11" t="n"/>
      <c r="D72" s="11" t="inlineStr">
        <is>
          <t>Standard-Anforderungen</t>
        </is>
      </c>
      <c r="E72" s="12" t="inlineStr">
        <is>
          <t>Gesamt:</t>
        </is>
      </c>
      <c r="F72" s="11" t="n"/>
      <c r="G72" s="11" t="n"/>
      <c r="H72" s="13">
        <f>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
      </c>
      <c r="I72" s="11" t="n"/>
      <c r="J72" s="11" t="n"/>
      <c r="K72" s="11" t="n"/>
      <c r="L72" s="11" t="n"/>
      <c r="M72" s="11" t="inlineStr"/>
      <c r="N72" s="12" t="inlineStr"/>
      <c r="O72" s="11" t="inlineStr"/>
      <c r="P72" s="12" t="inlineStr">
        <is>
          <t>Eine Verwahrung ist eine Aufbewahrung von Zugangssschlüsseln derart, dass Unbefugte keinen Zugriff hierauf haben. Dies kann durch das Mitführen der Schlüssel, oder durch eine verschlossene Aufbewahrung, z.B. in einem Schlüsselschrank, umgesetzt werden.</t>
        </is>
      </c>
      <c r="Q72" s="11" t="inlineStr">
        <is>
          <t>Nutzende, Standorte</t>
        </is>
      </c>
      <c r="R72" s="11" t="inlineStr">
        <is>
          <t>Arbeitsanweisung</t>
        </is>
      </c>
      <c r="S72" s="12" t="inlineStr">
        <is>
          <t>zur Verwahrung von Schlüsseln</t>
        </is>
      </c>
      <c r="T72" s="12" t="inlineStr">
        <is>
          <t>G 0.18 – Fehlplanung oder fehlende Anpassung</t>
        </is>
      </c>
      <c r="U72" s="11" t="n">
        <v>2</v>
      </c>
      <c r="V72" s="11" t="n">
        <v>1</v>
      </c>
      <c r="W72" s="11" t="n">
        <v>1</v>
      </c>
      <c r="X72" s="11" t="n">
        <v>1</v>
      </c>
      <c r="Y72" s="11" t="n">
        <v>0</v>
      </c>
    </row>
    <row r="73">
      <c r="A73" s="11" t="inlineStr">
        <is>
          <t>GEB.7.2</t>
        </is>
      </c>
      <c r="B73" s="12" t="inlineStr">
        <is>
          <t>Verwahrung von Schlüsseln</t>
        </is>
      </c>
      <c r="C73" s="11" t="inlineStr">
        <is>
          <t>GEB.7.2</t>
        </is>
      </c>
      <c r="D73" s="11" t="inlineStr">
        <is>
          <t>Standard-Anforderungen</t>
        </is>
      </c>
      <c r="E73" s="12" t="inlineStr">
        <is>
          <t>Gebäudemanagement für Nutzende von Standorten SOLLTE zur Verwahrung von Schlüsseln anweisen.</t>
        </is>
      </c>
      <c r="F73" s="14" t="n"/>
      <c r="G73" s="14" t="n"/>
      <c r="H73" s="14" t="inlineStr">
        <is>
          <t>unbearbeitet</t>
        </is>
      </c>
      <c r="I73" s="14" t="n"/>
      <c r="J73" s="14" t="n"/>
      <c r="K73" s="14" t="n"/>
      <c r="L73" s="15" t="n"/>
      <c r="M73" s="11" t="inlineStr"/>
      <c r="N73" s="12" t="inlineStr"/>
      <c r="O73" s="11" t="inlineStr"/>
      <c r="P73" s="12" t="inlineStr">
        <is>
          <t>Eine Verwahrung ist eine Aufbewahrung von Zugangssschlüsseln derart, dass Unbefugte keinen Zugriff hierauf haben. Dies kann durch das Mitführen der Schlüssel, oder durch eine verschlossene Aufbewahrung, z.B. in einem Schlüsselschrank, umgesetzt werden.</t>
        </is>
      </c>
      <c r="Q73" s="11" t="inlineStr">
        <is>
          <t>Nutzende, Standorte</t>
        </is>
      </c>
      <c r="R73" s="11" t="inlineStr">
        <is>
          <t>Arbeitsanweisung</t>
        </is>
      </c>
      <c r="S73" s="12" t="inlineStr">
        <is>
          <t>zur Verwahrung von Schlüsseln</t>
        </is>
      </c>
      <c r="T73" s="12" t="inlineStr">
        <is>
          <t>G 0.18 – Fehlplanung oder fehlende Anpassung</t>
        </is>
      </c>
      <c r="U73" s="11" t="n">
        <v>2</v>
      </c>
      <c r="V73" s="11" t="n">
        <v>1</v>
      </c>
      <c r="W73" s="11" t="n">
        <v>1</v>
      </c>
      <c r="X73" s="11" t="n">
        <v>1</v>
      </c>
      <c r="Y73" s="11" t="n">
        <v>0</v>
      </c>
    </row>
    <row r="74">
      <c r="A74" s="9" t="inlineStr">
        <is>
          <t>GEB.7.3</t>
        </is>
      </c>
      <c r="B74" s="10" t="inlineStr">
        <is>
          <t>Schlüsselaudit</t>
        </is>
      </c>
      <c r="C74" s="11" t="n"/>
      <c r="D74" s="11" t="inlineStr">
        <is>
          <t>Standard-Anforderungen</t>
        </is>
      </c>
      <c r="E74" s="12" t="inlineStr">
        <is>
          <t>Gesamt:</t>
        </is>
      </c>
      <c r="F74" s="11" t="n"/>
      <c r="G74" s="11" t="n"/>
      <c r="H74" s="13">
        <f>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
      </c>
      <c r="I74" s="11" t="n"/>
      <c r="J74" s="11" t="n"/>
      <c r="K74" s="11" t="n"/>
      <c r="L74" s="11" t="n"/>
      <c r="M74" s="11" t="inlineStr"/>
      <c r="N74" s="12" t="inlineStr"/>
      <c r="O74" s="11" t="inlineStr"/>
      <c r="P74" s="12" t="inlineStr">
        <is>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is>
      </c>
      <c r="Q74" s="11" t="inlineStr">
        <is>
          <t>Standorte</t>
        </is>
      </c>
      <c r="R74" s="11" t="inlineStr">
        <is>
          <t>Übungs- und Prüfplan</t>
        </is>
      </c>
      <c r="S74" s="12" t="inlineStr">
        <is>
          <t>die vorhandenen Schlüssel</t>
        </is>
      </c>
      <c r="T74" s="12" t="inlineStr">
        <is>
          <t>G 0.18 – Fehlplanung oder fehlende Anpassung</t>
        </is>
      </c>
      <c r="U74" s="11" t="n">
        <v>3</v>
      </c>
      <c r="V74" s="11" t="n">
        <v>1</v>
      </c>
      <c r="W74" s="11" t="n">
        <v>1</v>
      </c>
      <c r="X74" s="11" t="n">
        <v>1</v>
      </c>
      <c r="Y74" s="11" t="n">
        <v>0</v>
      </c>
    </row>
    <row r="75">
      <c r="A75" s="11" t="inlineStr">
        <is>
          <t>GEB.7.3</t>
        </is>
      </c>
      <c r="B75" s="12" t="inlineStr">
        <is>
          <t>Schlüsselaudit</t>
        </is>
      </c>
      <c r="C75" s="11" t="inlineStr">
        <is>
          <t>GEB.7.3</t>
        </is>
      </c>
      <c r="D75" s="11" t="inlineStr">
        <is>
          <t>Standard-Anforderungen</t>
        </is>
      </c>
      <c r="E75" s="12" t="inlineStr">
        <is>
          <t>Gebäudemanagement für Standorte SOLLTE die vorhandenen Schlüssel regelmäßig überprüfen.</t>
        </is>
      </c>
      <c r="F75" s="14" t="n"/>
      <c r="G75" s="14" t="n"/>
      <c r="H75" s="14" t="inlineStr">
        <is>
          <t>unbearbeitet</t>
        </is>
      </c>
      <c r="I75" s="14" t="n"/>
      <c r="J75" s="14" t="n"/>
      <c r="K75" s="14" t="n"/>
      <c r="L75" s="15" t="n"/>
      <c r="M75" s="11" t="inlineStr"/>
      <c r="N75" s="12" t="inlineStr"/>
      <c r="O75" s="11" t="inlineStr"/>
      <c r="P75" s="12" t="inlineStr">
        <is>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is>
      </c>
      <c r="Q75" s="11" t="inlineStr">
        <is>
          <t>Standorte</t>
        </is>
      </c>
      <c r="R75" s="11" t="inlineStr">
        <is>
          <t>Übungs- und Prüfplan</t>
        </is>
      </c>
      <c r="S75" s="12" t="inlineStr">
        <is>
          <t>die vorhandenen Schlüssel</t>
        </is>
      </c>
      <c r="T75" s="12" t="inlineStr">
        <is>
          <t>G 0.18 – Fehlplanung oder fehlende Anpassung</t>
        </is>
      </c>
      <c r="U75" s="11" t="n">
        <v>3</v>
      </c>
      <c r="V75" s="11" t="n">
        <v>1</v>
      </c>
      <c r="W75" s="11" t="n">
        <v>1</v>
      </c>
      <c r="X75" s="11" t="n">
        <v>1</v>
      </c>
      <c r="Y75" s="11" t="n">
        <v>0</v>
      </c>
    </row>
    <row r="76">
      <c r="A76" s="9" t="inlineStr">
        <is>
          <t>GEB.8.1</t>
        </is>
      </c>
      <c r="B76" s="10" t="inlineStr">
        <is>
          <t>Gesonderte Aufbewahrung</t>
        </is>
      </c>
      <c r="C76" s="11" t="n"/>
      <c r="D76" s="11" t="inlineStr">
        <is>
          <t>Standard-Anforderungen</t>
        </is>
      </c>
      <c r="E76" s="12" t="inlineStr">
        <is>
          <t>Gesamt:</t>
        </is>
      </c>
      <c r="F76" s="11" t="n"/>
      <c r="G76" s="11" t="n"/>
      <c r="H76" s="13">
        <f>IF(OR(COUNTBLANK($H$77:$H$78)&gt;0,COUNTIF($H$77:$H$78,"unbearbeitet")=COUNTA($H$77:$H$78)),"Bitte Teilanforderungen ausfüllen",IF(COUNTIF($H$77:$H$78,"zu klären")&gt;0,"zu klären",IF(COUNTIF($H$77:$H$78,"entbehrlich")=COUNTA($H$77:$H$78),"entbehrlich",IF(COUNTIF($H$77:$H$78,"verwiesen")=COUNTA($H$77:$H$78),"verwiesen",IF(COUNTIF($H$77:$H$78,"nein")+COUNTIF($H$77:$H$78,"entbehrlich")=COUNTA($H$77:$H$78),"nein",IF(COUNTIF($H$77:$H$78,"ja")+COUNTIF($H$77:$H$78,"entbehrlich")+COUNTIF($H$77:$H$78,"verwiesen")=COUNTA($H$77:$H$78),"ja","teilweise"))))))</f>
        <v/>
      </c>
      <c r="I76" s="11" t="n"/>
      <c r="J76" s="11" t="n"/>
      <c r="K76" s="11" t="n"/>
      <c r="L76" s="11" t="n"/>
      <c r="M76" s="11" t="inlineStr">
        <is>
          <t>Vertraulichkeit</t>
        </is>
      </c>
      <c r="N76" s="12" t="inlineStr">
        <is>
          <t>INF.10.A1-UA.1</t>
        </is>
      </c>
      <c r="O76" s="11" t="inlineStr">
        <is>
          <t>intersects-with</t>
        </is>
      </c>
      <c r="P76" s="12" t="inlineStr">
        <is>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is>
      </c>
      <c r="Q76" s="11" t="inlineStr">
        <is>
          <t>Standorte</t>
        </is>
      </c>
      <c r="R76" s="11" t="inlineStr">
        <is>
          <t>Gebäudedokumentation</t>
        </is>
      </c>
      <c r="S76" s="12" t="inlineStr">
        <is>
          <t>geschäftskritische Speichermedien in verschließbaren Schutzeinrichtungen</t>
        </is>
      </c>
      <c r="T76" s="12" t="inlineStr">
        <is>
          <t>G 0.16 – Diebstahl von Geräten, Datenträgern oder Dokumenten</t>
        </is>
      </c>
      <c r="U76" s="11" t="n">
        <v>2</v>
      </c>
      <c r="V76" s="11" t="n">
        <v>2</v>
      </c>
      <c r="W76" s="11" t="n">
        <v>1</v>
      </c>
      <c r="X76" s="11" t="n">
        <v>1</v>
      </c>
      <c r="Y76" s="11" t="n">
        <v>0</v>
      </c>
    </row>
    <row r="77">
      <c r="A77" s="11" t="inlineStr">
        <is>
          <t>GEB.8.1</t>
        </is>
      </c>
      <c r="B77" s="12" t="inlineStr">
        <is>
          <t>Gesonderte Aufbewahrung</t>
        </is>
      </c>
      <c r="C77" s="11" t="inlineStr">
        <is>
          <t>GEB.8.1</t>
        </is>
      </c>
      <c r="D77" s="11" t="inlineStr">
        <is>
          <t>Standard-Anforderungen</t>
        </is>
      </c>
      <c r="E77" s="12" t="inlineStr">
        <is>
          <t>Gebäudemanagement für Standorte SOLLTE geschäftskritische Speichermedien in verschließbaren Schutzeinrichtungen platzieren.</t>
        </is>
      </c>
      <c r="F77" s="14" t="n"/>
      <c r="G77" s="14" t="n"/>
      <c r="H77" s="14" t="inlineStr">
        <is>
          <t>unbearbeitet</t>
        </is>
      </c>
      <c r="I77" s="14" t="n"/>
      <c r="J77" s="14" t="n"/>
      <c r="K77" s="14" t="n"/>
      <c r="L77" s="15" t="n"/>
      <c r="M77" s="11" t="inlineStr">
        <is>
          <t>Vertraulichkeit</t>
        </is>
      </c>
      <c r="N77" s="12" t="inlineStr">
        <is>
          <t>INF.10.A1-UA.1</t>
        </is>
      </c>
      <c r="O77" s="11" t="inlineStr">
        <is>
          <t>intersects-with</t>
        </is>
      </c>
      <c r="P77" s="12" t="inlineStr">
        <is>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is>
      </c>
      <c r="Q77" s="11" t="inlineStr">
        <is>
          <t>Standorte</t>
        </is>
      </c>
      <c r="R77" s="11" t="inlineStr">
        <is>
          <t>Gebäudedokumentation</t>
        </is>
      </c>
      <c r="S77" s="12" t="inlineStr">
        <is>
          <t>geschäftskritische Speichermedien in verschließbaren Schutzeinrichtungen</t>
        </is>
      </c>
      <c r="T77" s="12" t="inlineStr">
        <is>
          <t>G 0.16 – Diebstahl von Geräten, Datenträgern oder Dokumenten</t>
        </is>
      </c>
      <c r="U77" s="11" t="n">
        <v>2</v>
      </c>
      <c r="V77" s="11" t="n">
        <v>2</v>
      </c>
      <c r="W77" s="11" t="n">
        <v>1</v>
      </c>
      <c r="X77" s="11" t="n">
        <v>1</v>
      </c>
      <c r="Y77" s="11" t="n">
        <v>0</v>
      </c>
    </row>
    <row r="78">
      <c r="A78" s="11" t="inlineStr">
        <is>
          <t>GEB.8.1</t>
        </is>
      </c>
      <c r="B78" s="12" t="inlineStr">
        <is>
          <t>Gesonderte Aufbewahrung</t>
        </is>
      </c>
      <c r="C78" s="11" t="inlineStr">
        <is>
          <t>GEB.8.1.1</t>
        </is>
      </c>
      <c r="D78" s="11" t="inlineStr">
        <is>
          <t>Anforderungen bei erhöhtem Schutzbedarf</t>
        </is>
      </c>
      <c r="E78" s="12" t="inlineStr">
        <is>
          <t>Gebäudemanagement für Standorte KANN geschäftskritische Speichermedien in Datenträgerarchiven platzieren.</t>
        </is>
      </c>
      <c r="F78" s="14" t="n"/>
      <c r="G78" s="14" t="n"/>
      <c r="H78" s="14" t="inlineStr">
        <is>
          <t>unbearbeitet</t>
        </is>
      </c>
      <c r="I78" s="14" t="n"/>
      <c r="J78" s="14" t="n"/>
      <c r="K78" s="14" t="n"/>
      <c r="L78" s="15" t="n"/>
      <c r="M78" s="11" t="inlineStr">
        <is>
          <t>Verfügbarkeit</t>
        </is>
      </c>
      <c r="N78" s="12" t="inlineStr"/>
      <c r="O78" s="11" t="inlineStr"/>
      <c r="P78" s="12" t="inlineStr">
        <is>
          <t>Geschäftskritische Datenträger lagern in gesicherten, klimatisierten Archiven mit Zugriffskontrolle, Brandschutz und nachvollziehbarer Aus-/Rückgabedokumentation.</t>
        </is>
      </c>
      <c r="Q78" s="11" t="inlineStr">
        <is>
          <t>Standorte</t>
        </is>
      </c>
      <c r="R78" s="11" t="inlineStr">
        <is>
          <t>Gebäudedokumentation</t>
        </is>
      </c>
      <c r="S78" s="12" t="inlineStr">
        <is>
          <t>geschäftskritische Speichermedien in Datenträgerarchiven</t>
        </is>
      </c>
      <c r="T78" s="12" t="inlineStr">
        <is>
          <t>G 0.18 – Fehlplanung oder fehlende Anpassung</t>
        </is>
      </c>
      <c r="U78" s="11" t="n">
        <v>4</v>
      </c>
      <c r="V78" s="11" t="n">
        <v>1</v>
      </c>
      <c r="W78" s="11" t="n">
        <v>1</v>
      </c>
      <c r="X78" s="11" t="n">
        <v>2</v>
      </c>
      <c r="Y78" s="11" t="n">
        <v>0</v>
      </c>
    </row>
    <row r="79">
      <c r="A79" s="9" t="inlineStr">
        <is>
          <t>GEB.8.2</t>
        </is>
      </c>
      <c r="B79" s="10" t="inlineStr">
        <is>
          <t>Staub und Schmutz</t>
        </is>
      </c>
      <c r="C79" s="11" t="n"/>
      <c r="D79" s="11" t="inlineStr">
        <is>
          <t>Anforderungen bei erhöhtem Schutzbedarf</t>
        </is>
      </c>
      <c r="E79" s="12" t="inlineStr">
        <is>
          <t>Gesamt:</t>
        </is>
      </c>
      <c r="F79" s="11" t="n"/>
      <c r="G79" s="11" t="n"/>
      <c r="H79" s="13">
        <f>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
      </c>
      <c r="I79" s="11" t="n"/>
      <c r="J79" s="11" t="n"/>
      <c r="K79" s="11" t="n"/>
      <c r="L79" s="11" t="n"/>
      <c r="M79" s="11" t="inlineStr">
        <is>
          <t>Verfügbarkeit</t>
        </is>
      </c>
      <c r="N79" s="12" t="inlineStr"/>
      <c r="O79" s="11" t="inlineStr"/>
      <c r="P79" s="12" t="inlineStr">
        <is>
          <t>Werden analoge und digitale Datenträger länger im Archiv aufbewahrt, so besteht das Risiko der schleichenden Zersetzung durch Staub und Schmutz. Maßnahmen sind z.B. staubdichte und antistatische Lagerung in Schutzschränken, Klimatisierung, Schutzkleidung, trockene Reinigung.</t>
        </is>
      </c>
      <c r="Q79" s="11" t="inlineStr">
        <is>
          <t>Datenträgerarchiv</t>
        </is>
      </c>
      <c r="R79" s="11" t="inlineStr">
        <is>
          <t>IT-Betriebskonzept</t>
        </is>
      </c>
      <c r="S79" s="12" t="inlineStr">
        <is>
          <t>Maßnahmen zum Schutz der Datenträger vor Staub und Schmutz</t>
        </is>
      </c>
      <c r="T79" s="12" t="inlineStr">
        <is>
          <t>G 0.2 – Ungünstige klimatische Bedingungen; G 0.4 – Verschmutzung, Staub, Korrosion</t>
        </is>
      </c>
      <c r="U79" s="11" t="n">
        <v>5</v>
      </c>
      <c r="V79" s="11" t="n">
        <v>1</v>
      </c>
      <c r="W79" s="11" t="n">
        <v>1</v>
      </c>
      <c r="X79" s="11" t="n">
        <v>2</v>
      </c>
      <c r="Y79" s="11" t="n">
        <v>0</v>
      </c>
    </row>
    <row r="80">
      <c r="A80" s="11" t="inlineStr">
        <is>
          <t>GEB.8.2</t>
        </is>
      </c>
      <c r="B80" s="12" t="inlineStr">
        <is>
          <t>Staub und Schmutz</t>
        </is>
      </c>
      <c r="C80" s="11" t="inlineStr">
        <is>
          <t>GEB.8.2</t>
        </is>
      </c>
      <c r="D80" s="11" t="inlineStr">
        <is>
          <t>Anforderungen bei erhöhtem Schutzbedarf</t>
        </is>
      </c>
      <c r="E80" s="12" t="inlineStr">
        <is>
          <t>Gebäudemanagement für Datenträgerarchiv KANN Maßnahmen zum Schutz der Datenträger vor Staub und Schmutz verankern.</t>
        </is>
      </c>
      <c r="F80" s="14" t="n"/>
      <c r="G80" s="14" t="n"/>
      <c r="H80" s="14" t="inlineStr">
        <is>
          <t>unbearbeitet</t>
        </is>
      </c>
      <c r="I80" s="14" t="n"/>
      <c r="J80" s="14" t="n"/>
      <c r="K80" s="14" t="n"/>
      <c r="L80" s="15" t="n"/>
      <c r="M80" s="11" t="inlineStr">
        <is>
          <t>Verfügbarkeit</t>
        </is>
      </c>
      <c r="N80" s="12" t="inlineStr"/>
      <c r="O80" s="11" t="inlineStr"/>
      <c r="P80" s="12" t="inlineStr">
        <is>
          <t>Werden analoge und digitale Datenträger länger im Archiv aufbewahrt, so besteht das Risiko der schleichenden Zersetzung durch Staub und Schmutz. Maßnahmen sind z.B. staubdichte und antistatische Lagerung in Schutzschränken, Klimatisierung, Schutzkleidung, trockene Reinigung.</t>
        </is>
      </c>
      <c r="Q80" s="11" t="inlineStr">
        <is>
          <t>Datenträgerarchiv</t>
        </is>
      </c>
      <c r="R80" s="11" t="inlineStr">
        <is>
          <t>IT-Betriebskonzept</t>
        </is>
      </c>
      <c r="S80" s="12" t="inlineStr">
        <is>
          <t>Maßnahmen zum Schutz der Datenträger vor Staub und Schmutz</t>
        </is>
      </c>
      <c r="T80" s="12" t="inlineStr">
        <is>
          <t>G 0.2 – Ungünstige klimatische Bedingungen; G 0.4 – Verschmutzung, Staub, Korrosion</t>
        </is>
      </c>
      <c r="U80" s="11" t="n">
        <v>5</v>
      </c>
      <c r="V80" s="11" t="n">
        <v>1</v>
      </c>
      <c r="W80" s="11" t="n">
        <v>1</v>
      </c>
      <c r="X80" s="11" t="n">
        <v>2</v>
      </c>
      <c r="Y80" s="11" t="n">
        <v>0</v>
      </c>
    </row>
    <row r="81">
      <c r="A81" s="9" t="inlineStr">
        <is>
          <t>GEB.8.3</t>
        </is>
      </c>
      <c r="B81" s="10" t="inlineStr">
        <is>
          <t>Schutz der Datenträger vor Brandschäden</t>
        </is>
      </c>
      <c r="C81" s="11" t="n"/>
      <c r="D81" s="11" t="inlineStr">
        <is>
          <t>Anforderungen bei erhöhtem Schutzbedarf</t>
        </is>
      </c>
      <c r="E81" s="12" t="inlineStr">
        <is>
          <t>Gesamt:</t>
        </is>
      </c>
      <c r="F81" s="11" t="n"/>
      <c r="G81" s="11" t="n"/>
      <c r="H81" s="13">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
      </c>
      <c r="I81" s="11" t="n"/>
      <c r="J81" s="11" t="n"/>
      <c r="K81" s="11" t="n"/>
      <c r="L81" s="11" t="n"/>
      <c r="M81" s="11" t="inlineStr">
        <is>
          <t>Verfügbarkeit</t>
        </is>
      </c>
      <c r="N81" s="12" t="inlineStr"/>
      <c r="O81" s="11" t="inlineStr"/>
      <c r="P81" s="12" t="inlineStr">
        <is>
          <t>Datenträgerarchive sind bei Bränden besonders schützenswert, da hier häufig die langzeitig kritischen Daten gelagert werden. Kann durch Brandschutzschränke oder Datensafes umgesetzt werden, die nach DIN EN 1047-1 oder ISO 11799 zertifiziert sind.</t>
        </is>
      </c>
      <c r="Q81" s="11" t="inlineStr">
        <is>
          <t>Standorte</t>
        </is>
      </c>
      <c r="R81" s="11" t="inlineStr">
        <is>
          <t>Gebäudedokumentation</t>
        </is>
      </c>
      <c r="S81" s="12" t="inlineStr">
        <is>
          <t>feuerfeste Behältnisse</t>
        </is>
      </c>
      <c r="T81" s="12" t="inlineStr">
        <is>
          <t>G 0.18 – Fehlplanung oder fehlende Anpassung</t>
        </is>
      </c>
      <c r="U81" s="11" t="n">
        <v>5</v>
      </c>
      <c r="V81" s="11" t="n">
        <v>1</v>
      </c>
      <c r="W81" s="11" t="n">
        <v>1</v>
      </c>
      <c r="X81" s="11" t="n">
        <v>2</v>
      </c>
      <c r="Y81" s="11" t="n">
        <v>0</v>
      </c>
    </row>
    <row r="82">
      <c r="A82" s="11" t="inlineStr">
        <is>
          <t>GEB.8.3</t>
        </is>
      </c>
      <c r="B82" s="12" t="inlineStr">
        <is>
          <t>Schutz der Datenträger vor Brandschäden</t>
        </is>
      </c>
      <c r="C82" s="11" t="inlineStr">
        <is>
          <t>GEB.8.3</t>
        </is>
      </c>
      <c r="D82" s="11" t="inlineStr">
        <is>
          <t>Anforderungen bei erhöhtem Schutzbedarf</t>
        </is>
      </c>
      <c r="E82" s="12" t="inlineStr">
        <is>
          <t>Gebäudemanagement für Standorte KANN feuerfeste Behältnisse nach einem anerkannten Standard installieren.</t>
        </is>
      </c>
      <c r="F82" s="14" t="n"/>
      <c r="G82" s="14" t="n"/>
      <c r="H82" s="14" t="inlineStr">
        <is>
          <t>unbearbeitet</t>
        </is>
      </c>
      <c r="I82" s="14" t="n"/>
      <c r="J82" s="14" t="n"/>
      <c r="K82" s="14" t="n"/>
      <c r="L82" s="15" t="n"/>
      <c r="M82" s="11" t="inlineStr">
        <is>
          <t>Verfügbarkeit</t>
        </is>
      </c>
      <c r="N82" s="12" t="inlineStr"/>
      <c r="O82" s="11" t="inlineStr"/>
      <c r="P82" s="12" t="inlineStr">
        <is>
          <t>Datenträgerarchive sind bei Bränden besonders schützenswert, da hier häufig die langzeitig kritischen Daten gelagert werden. Kann durch Brandschutzschränke oder Datensafes umgesetzt werden, die nach DIN EN 1047-1 oder ISO 11799 zertifiziert sind.</t>
        </is>
      </c>
      <c r="Q82" s="11" t="inlineStr">
        <is>
          <t>Standorte</t>
        </is>
      </c>
      <c r="R82" s="11" t="inlineStr">
        <is>
          <t>Gebäudedokumentation</t>
        </is>
      </c>
      <c r="S82" s="12" t="inlineStr">
        <is>
          <t>feuerfeste Behältnisse</t>
        </is>
      </c>
      <c r="T82" s="12" t="inlineStr">
        <is>
          <t>G 0.18 – Fehlplanung oder fehlende Anpassung</t>
        </is>
      </c>
      <c r="U82" s="11" t="n">
        <v>5</v>
      </c>
      <c r="V82" s="11" t="n">
        <v>1</v>
      </c>
      <c r="W82" s="11" t="n">
        <v>1</v>
      </c>
      <c r="X82" s="11" t="n">
        <v>2</v>
      </c>
      <c r="Y82" s="11" t="n">
        <v>0</v>
      </c>
    </row>
    <row r="83">
      <c r="A83" s="9" t="inlineStr">
        <is>
          <t>GEB.8.4</t>
        </is>
      </c>
      <c r="B83" s="10" t="inlineStr">
        <is>
          <t>Überwachung schonender Klimatisierung</t>
        </is>
      </c>
      <c r="C83" s="11" t="n"/>
      <c r="D83" s="11" t="inlineStr">
        <is>
          <t>Anforderungen bei erhöhtem Schutzbedarf</t>
        </is>
      </c>
      <c r="E83" s="12" t="inlineStr">
        <is>
          <t>Gesamt:</t>
        </is>
      </c>
      <c r="F83" s="11" t="n"/>
      <c r="G83" s="11" t="n"/>
      <c r="H83" s="13">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
      </c>
      <c r="I83" s="11" t="n"/>
      <c r="J83" s="11" t="n"/>
      <c r="K83" s="11" t="n"/>
      <c r="L83" s="11" t="n"/>
      <c r="M83" s="11" t="inlineStr">
        <is>
          <t>Verfügbarkeit</t>
        </is>
      </c>
      <c r="N83" s="12" t="inlineStr"/>
      <c r="O83" s="11" t="inlineStr"/>
      <c r="P83" s="12" t="inlineStr">
        <is>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is>
      </c>
      <c r="Q83" s="11" t="inlineStr">
        <is>
          <t>Datenträgerarchiv</t>
        </is>
      </c>
      <c r="R83" s="11" t="inlineStr">
        <is>
          <t>IT-Betriebskonzept</t>
        </is>
      </c>
      <c r="S83" s="12" t="inlineStr">
        <is>
          <t>für die Datenträger schonende Temperatur und Luftfeuchtigkeit</t>
        </is>
      </c>
      <c r="T83" s="12" t="inlineStr">
        <is>
          <t>G 0.2 – Ungünstige klimatische Bedingungen</t>
        </is>
      </c>
      <c r="U83" s="11" t="n">
        <v>5</v>
      </c>
      <c r="V83" s="11" t="n">
        <v>0</v>
      </c>
      <c r="W83" s="11" t="n">
        <v>1</v>
      </c>
      <c r="X83" s="11" t="n">
        <v>2</v>
      </c>
      <c r="Y83" s="11" t="n">
        <v>0</v>
      </c>
    </row>
    <row r="84">
      <c r="A84" s="11" t="inlineStr">
        <is>
          <t>GEB.8.4</t>
        </is>
      </c>
      <c r="B84" s="12" t="inlineStr">
        <is>
          <t>Überwachung schonender Klimatisierung</t>
        </is>
      </c>
      <c r="C84" s="11" t="inlineStr">
        <is>
          <t>GEB.8.4</t>
        </is>
      </c>
      <c r="D84" s="11" t="inlineStr">
        <is>
          <t>Anforderungen bei erhöhtem Schutzbedarf</t>
        </is>
      </c>
      <c r="E84" s="12" t="inlineStr">
        <is>
          <t>Gebäudemanagement für Datenträgerarchiv KANN für die Datenträger schonende Temperatur und Luftfeuchtigkeit anhand von Schwellwerten überwachen.</t>
        </is>
      </c>
      <c r="F84" s="14" t="n"/>
      <c r="G84" s="14" t="n"/>
      <c r="H84" s="14" t="inlineStr">
        <is>
          <t>unbearbeitet</t>
        </is>
      </c>
      <c r="I84" s="14" t="n"/>
      <c r="J84" s="14" t="n"/>
      <c r="K84" s="14" t="n"/>
      <c r="L84" s="15" t="n"/>
      <c r="M84" s="11" t="inlineStr">
        <is>
          <t>Verfügbarkeit</t>
        </is>
      </c>
      <c r="N84" s="12" t="inlineStr"/>
      <c r="O84" s="11" t="inlineStr"/>
      <c r="P84" s="12" t="inlineStr">
        <is>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is>
      </c>
      <c r="Q84" s="11" t="inlineStr">
        <is>
          <t>Datenträgerarchiv</t>
        </is>
      </c>
      <c r="R84" s="11" t="inlineStr">
        <is>
          <t>IT-Betriebskonzept</t>
        </is>
      </c>
      <c r="S84" s="12" t="inlineStr">
        <is>
          <t>für die Datenträger schonende Temperatur und Luftfeuchtigkeit</t>
        </is>
      </c>
      <c r="T84" s="12" t="inlineStr">
        <is>
          <t>G 0.2 – Ungünstige klimatische Bedingungen</t>
        </is>
      </c>
      <c r="U84" s="11" t="n">
        <v>5</v>
      </c>
      <c r="V84" s="11" t="n">
        <v>0</v>
      </c>
      <c r="W84" s="11" t="n">
        <v>1</v>
      </c>
      <c r="X84" s="11" t="n">
        <v>2</v>
      </c>
      <c r="Y84" s="11" t="n">
        <v>0</v>
      </c>
    </row>
    <row r="85">
      <c r="A85" s="9" t="inlineStr">
        <is>
          <t>GEB.9.1</t>
        </is>
      </c>
      <c r="B85" s="10" t="inlineStr">
        <is>
          <t>Normgerechte Stromversorgung</t>
        </is>
      </c>
      <c r="C85" s="11" t="n"/>
      <c r="D85" s="11" t="inlineStr">
        <is>
          <t>Standard-Anforderungen</t>
        </is>
      </c>
      <c r="E85" s="12" t="inlineStr">
        <is>
          <t>Gesamt:</t>
        </is>
      </c>
      <c r="F85" s="11" t="n"/>
      <c r="G85" s="11" t="n"/>
      <c r="H85" s="13">
        <f>IF(OR(COUNTBLANK($H$86:$H$90)&gt;0,COUNTIF($H$86:$H$90,"unbearbeitet")=COUNTA($H$86:$H$90)),"Bitte Teilanforderungen ausfüllen",IF(COUNTIF($H$86:$H$90,"zu klären")&gt;0,"zu klären",IF(COUNTIF($H$86:$H$90,"entbehrlich")=COUNTA($H$86:$H$90),"entbehrlich",IF(COUNTIF($H$86:$H$90,"verwiesen")=COUNTA($H$86:$H$90),"verwiesen",IF(COUNTIF($H$86:$H$90,"nein")+COUNTIF($H$86:$H$90,"entbehrlich")=COUNTA($H$86:$H$90),"nein",IF(COUNTIF($H$86:$H$90,"ja")+COUNTIF($H$86:$H$90,"entbehrlich")+COUNTIF($H$86:$H$90,"verwiesen")=COUNTA($H$86:$H$90),"ja","teilweise"))))))</f>
        <v/>
      </c>
      <c r="I85" s="11" t="n"/>
      <c r="J85" s="11" t="n"/>
      <c r="K85" s="11" t="n"/>
      <c r="L85" s="11" t="n"/>
      <c r="M85" s="11" t="inlineStr">
        <is>
          <t>Verfügbarkeit</t>
        </is>
      </c>
      <c r="N85" s="12" t="inlineStr"/>
      <c r="O85" s="11" t="inlineStr"/>
      <c r="P85" s="12" t="inlineStr">
        <is>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is>
      </c>
      <c r="Q85" s="11" t="inlineStr">
        <is>
          <t>Standorte</t>
        </is>
      </c>
      <c r="R85" s="11" t="inlineStr">
        <is>
          <t>Gebäudedokumentation</t>
        </is>
      </c>
      <c r="S85" s="12" t="inlineStr">
        <is>
          <t>eine norm- und bedarfsgerechte Stromversorgung und -verkabelung</t>
        </is>
      </c>
      <c r="T85" s="12" t="inlineStr">
        <is>
          <t>G 0.25 – Ausfall von Geräten oder Systemen; G 0.8 – Ausfall oder Störung der Stromversorgung; G 0.10 – Ausfall oder Störung von Versorgungsnetzen</t>
        </is>
      </c>
      <c r="U85" s="11" t="n">
        <v>3</v>
      </c>
      <c r="V85" s="11" t="n">
        <v>0</v>
      </c>
      <c r="W85" s="11" t="n">
        <v>1</v>
      </c>
      <c r="X85" s="11" t="n">
        <v>2</v>
      </c>
      <c r="Y85" s="11" t="n">
        <v>0</v>
      </c>
    </row>
    <row r="86">
      <c r="A86" s="11" t="inlineStr">
        <is>
          <t>GEB.9.1</t>
        </is>
      </c>
      <c r="B86" s="12" t="inlineStr">
        <is>
          <t>Normgerechte Stromversorgung</t>
        </is>
      </c>
      <c r="C86" s="11" t="inlineStr">
        <is>
          <t>GEB.9.1</t>
        </is>
      </c>
      <c r="D86" s="11" t="inlineStr">
        <is>
          <t>Standard-Anforderungen</t>
        </is>
      </c>
      <c r="E86" s="12" t="inlineStr">
        <is>
          <t>Gebäudemanagement für Standorte SOLLTE eine norm- und bedarfsgerechte Stromversorgung und -verkabelung installieren.</t>
        </is>
      </c>
      <c r="F86" s="14" t="n"/>
      <c r="G86" s="14" t="n"/>
      <c r="H86" s="14" t="inlineStr">
        <is>
          <t>unbearbeitet</t>
        </is>
      </c>
      <c r="I86" s="14" t="n"/>
      <c r="J86" s="14" t="n"/>
      <c r="K86" s="14" t="n"/>
      <c r="L86" s="15" t="n"/>
      <c r="M86" s="11" t="inlineStr">
        <is>
          <t>Verfügbarkeit</t>
        </is>
      </c>
      <c r="N86" s="12" t="inlineStr"/>
      <c r="O86" s="11" t="inlineStr"/>
      <c r="P86" s="12" t="inlineStr">
        <is>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is>
      </c>
      <c r="Q86" s="11" t="inlineStr">
        <is>
          <t>Standorte</t>
        </is>
      </c>
      <c r="R86" s="11" t="inlineStr">
        <is>
          <t>Gebäudedokumentation</t>
        </is>
      </c>
      <c r="S86" s="12" t="inlineStr">
        <is>
          <t>eine norm- und bedarfsgerechte Stromversorgung und -verkabelung</t>
        </is>
      </c>
      <c r="T86" s="12" t="inlineStr">
        <is>
          <t>G 0.25 – Ausfall von Geräten oder Systemen; G 0.8 – Ausfall oder Störung der Stromversorgung; G 0.10 – Ausfall oder Störung von Versorgungsnetzen</t>
        </is>
      </c>
      <c r="U86" s="11" t="n">
        <v>3</v>
      </c>
      <c r="V86" s="11" t="n">
        <v>0</v>
      </c>
      <c r="W86" s="11" t="n">
        <v>1</v>
      </c>
      <c r="X86" s="11" t="n">
        <v>2</v>
      </c>
      <c r="Y86" s="11" t="n">
        <v>0</v>
      </c>
    </row>
    <row r="87">
      <c r="A87" s="11" t="inlineStr">
        <is>
          <t>GEB.9.1</t>
        </is>
      </c>
      <c r="B87" s="12" t="inlineStr">
        <is>
          <t>Normgerechte Stromversorgung</t>
        </is>
      </c>
      <c r="C87" s="11" t="inlineStr">
        <is>
          <t>GEB.9.1.1</t>
        </is>
      </c>
      <c r="D87" s="11" t="inlineStr">
        <is>
          <t>Anforderungen bei erhöhtem Schutzbedarf</t>
        </is>
      </c>
      <c r="E87" s="12" t="inlineStr">
        <is>
          <t>Gebäudemanagement für Standorte KANN die bedarfsgerechte Stromversorgung regelmäßig vorausschauend überprüfen.</t>
        </is>
      </c>
      <c r="F87" s="14" t="n"/>
      <c r="G87" s="14" t="n"/>
      <c r="H87" s="14" t="inlineStr">
        <is>
          <t>unbearbeitet</t>
        </is>
      </c>
      <c r="I87" s="14" t="n"/>
      <c r="J87" s="14" t="n"/>
      <c r="K87" s="14" t="n"/>
      <c r="L87" s="15" t="n"/>
      <c r="M87" s="11" t="inlineStr">
        <is>
          <t>Verfügbarkeit</t>
        </is>
      </c>
      <c r="N87" s="12" t="inlineStr"/>
      <c r="O87" s="11" t="inlineStr"/>
      <c r="P87" s="12" t="inlineStr">
        <is>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is>
      </c>
      <c r="Q87" s="11" t="inlineStr">
        <is>
          <t>Standorte</t>
        </is>
      </c>
      <c r="R87" s="11" t="inlineStr">
        <is>
          <t>Übungs- und Prüfplan</t>
        </is>
      </c>
      <c r="S87" s="12" t="inlineStr">
        <is>
          <t>die bedarfsgerechte Stromversorgung</t>
        </is>
      </c>
      <c r="T87" s="12" t="inlineStr">
        <is>
          <t>G 0.25 – Ausfall von Geräten oder Systemen</t>
        </is>
      </c>
      <c r="U87" s="11" t="n">
        <v>5</v>
      </c>
      <c r="V87" s="11" t="n">
        <v>0</v>
      </c>
      <c r="W87" s="11" t="n">
        <v>0</v>
      </c>
      <c r="X87" s="11" t="n">
        <v>2</v>
      </c>
      <c r="Y87" s="11" t="n">
        <v>0</v>
      </c>
    </row>
    <row r="88">
      <c r="A88" s="11" t="inlineStr">
        <is>
          <t>GEB.9.1</t>
        </is>
      </c>
      <c r="B88" s="12" t="inlineStr">
        <is>
          <t>Normgerechte Stromversorgung</t>
        </is>
      </c>
      <c r="C88" s="11" t="inlineStr">
        <is>
          <t>GEB.9.1.2</t>
        </is>
      </c>
      <c r="D88" s="11" t="inlineStr">
        <is>
          <t>Anforderungen bei erhöhtem Schutzbedarf</t>
        </is>
      </c>
      <c r="E88" s="12" t="inlineStr">
        <is>
          <t>Gebäudemanagement für Standorte KANN eine ausschließlich für diesen Standort bestimmte Elektrounterverteilung die direkt von der Niederspannungshauptverteilung (NSHV) versorgt wird installieren.</t>
        </is>
      </c>
      <c r="F88" s="14" t="n"/>
      <c r="G88" s="14" t="n"/>
      <c r="H88" s="14" t="inlineStr">
        <is>
          <t>unbearbeitet</t>
        </is>
      </c>
      <c r="I88" s="14" t="n"/>
      <c r="J88" s="14" t="n"/>
      <c r="K88" s="14" t="n"/>
      <c r="L88" s="15" t="n"/>
      <c r="M88" s="11" t="inlineStr">
        <is>
          <t>Verfügbarkeit</t>
        </is>
      </c>
      <c r="N88" s="12" t="inlineStr"/>
      <c r="O88" s="11" t="inlineStr"/>
      <c r="P88" s="12" t="inlineStr">
        <is>
          <t>Eine eigene, direkt aus der NSHV gespeiste Unterverteilung trennt kritische Abgänge (IT/USV/Kälte), stellt Selektivität und eindeutige Kennzeichnung sicher, ermöglicht Zustandsüberwachung und hält Ausbaureserven vor.</t>
        </is>
      </c>
      <c r="Q88" s="11" t="inlineStr">
        <is>
          <t>Standorte</t>
        </is>
      </c>
      <c r="R88" s="11" t="inlineStr">
        <is>
          <t>Gebäudedokumentation</t>
        </is>
      </c>
      <c r="S88" s="12" t="inlineStr">
        <is>
          <t>eine ausschließlich für diesen Standort bestimmte Elektrounterverteilung</t>
        </is>
      </c>
      <c r="T88" s="12" t="inlineStr">
        <is>
          <t>G 0.18 – Fehlplanung oder fehlende Anpassung</t>
        </is>
      </c>
      <c r="U88" s="11" t="n">
        <v>5</v>
      </c>
      <c r="V88" s="11" t="n">
        <v>1</v>
      </c>
      <c r="W88" s="11" t="n">
        <v>1</v>
      </c>
      <c r="X88" s="11" t="n">
        <v>2</v>
      </c>
      <c r="Y88" s="11" t="n">
        <v>0</v>
      </c>
    </row>
    <row r="89">
      <c r="A89" s="11" t="inlineStr">
        <is>
          <t>GEB.9.1</t>
        </is>
      </c>
      <c r="B89" s="12" t="inlineStr">
        <is>
          <t>Normgerechte Stromversorgung</t>
        </is>
      </c>
      <c r="C89" s="11" t="inlineStr">
        <is>
          <t>GEB.9.1.3</t>
        </is>
      </c>
      <c r="D89" s="11" t="inlineStr">
        <is>
          <t>Anforderungen bei erhöhtem Schutzbedarf</t>
        </is>
      </c>
      <c r="E89" s="12" t="inlineStr">
        <is>
          <t>Gebäudemanagement für Standorte KANN eine redundante Stromversorgung für eine Stützzeit installieren.</t>
        </is>
      </c>
      <c r="F89" s="14" t="n"/>
      <c r="G89" s="14" t="n"/>
      <c r="H89" s="14" t="inlineStr">
        <is>
          <t>unbearbeitet</t>
        </is>
      </c>
      <c r="I89" s="14" t="n"/>
      <c r="J89" s="14" t="n"/>
      <c r="K89" s="14" t="n"/>
      <c r="L89" s="15" t="n"/>
      <c r="M89" s="11" t="inlineStr">
        <is>
          <t>Verfügbarkeit</t>
        </is>
      </c>
      <c r="N89" s="12" t="inlineStr"/>
      <c r="O89" s="11" t="inlineStr"/>
      <c r="P89" s="12" t="inlineStr">
        <is>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is>
      </c>
      <c r="Q89" s="11" t="inlineStr">
        <is>
          <t>Standorte</t>
        </is>
      </c>
      <c r="R89" s="11" t="inlineStr">
        <is>
          <t>IT-Betriebskonzept</t>
        </is>
      </c>
      <c r="S89" s="12" t="inlineStr">
        <is>
          <t>eine redundante Stromversorgung</t>
        </is>
      </c>
      <c r="T89" s="12" t="inlineStr">
        <is>
          <t>G 0.8 – Ausfall oder Störung der Stromversorgung; G 0.25 – Ausfall von Geräten oder Systemen; G 0.10 – Ausfall oder Störung von Versorgungsnetzen</t>
        </is>
      </c>
      <c r="U89" s="11" t="n">
        <v>5</v>
      </c>
      <c r="V89" s="11" t="n">
        <v>0</v>
      </c>
      <c r="W89" s="11" t="n">
        <v>1</v>
      </c>
      <c r="X89" s="11" t="n">
        <v>2</v>
      </c>
      <c r="Y89" s="11" t="n">
        <v>0</v>
      </c>
    </row>
    <row r="90">
      <c r="A90" s="11" t="inlineStr">
        <is>
          <t>GEB.9.1</t>
        </is>
      </c>
      <c r="B90" s="12" t="inlineStr">
        <is>
          <t>Normgerechte Stromversorgung</t>
        </is>
      </c>
      <c r="C90" s="11" t="inlineStr">
        <is>
          <t>GEB.9.1.4</t>
        </is>
      </c>
      <c r="D90" s="11" t="inlineStr">
        <is>
          <t>Anforderungen bei erhöhtem Schutzbedarf</t>
        </is>
      </c>
      <c r="E90" s="12" t="inlineStr">
        <is>
          <t>Gebäudemanagement für Standorte KANN eine redundante Stromversorgung für eine längere Stützzeit installieren.</t>
        </is>
      </c>
      <c r="F90" s="14" t="n"/>
      <c r="G90" s="14" t="n"/>
      <c r="H90" s="14" t="inlineStr">
        <is>
          <t>unbearbeitet</t>
        </is>
      </c>
      <c r="I90" s="14" t="n"/>
      <c r="J90" s="14" t="n"/>
      <c r="K90" s="14" t="n"/>
      <c r="L90" s="15" t="n"/>
      <c r="M90" s="11" t="inlineStr">
        <is>
          <t>Verfügbarkeit</t>
        </is>
      </c>
      <c r="N90" s="12" t="inlineStr"/>
      <c r="O90" s="11" t="inlineStr"/>
      <c r="P90" s="12" t="inlineStr">
        <is>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is>
      </c>
      <c r="Q90" s="11" t="inlineStr">
        <is>
          <t>Standorte</t>
        </is>
      </c>
      <c r="R90" s="11" t="inlineStr">
        <is>
          <t>IT-Betriebskonzept</t>
        </is>
      </c>
      <c r="S90" s="12" t="inlineStr">
        <is>
          <t>eine redundante Stromversorgung</t>
        </is>
      </c>
      <c r="T90" s="12" t="inlineStr">
        <is>
          <t>G 0.25 – Ausfall von Geräten oder Systemen</t>
        </is>
      </c>
      <c r="U90" s="11" t="n">
        <v>5</v>
      </c>
      <c r="V90" s="11" t="n">
        <v>0</v>
      </c>
      <c r="W90" s="11" t="n">
        <v>0</v>
      </c>
      <c r="X90" s="11" t="n">
        <v>2</v>
      </c>
      <c r="Y90" s="11" t="n">
        <v>0</v>
      </c>
    </row>
    <row r="91">
      <c r="A91" s="9" t="inlineStr">
        <is>
          <t>GEB.9.2</t>
        </is>
      </c>
      <c r="B91" s="10" t="inlineStr">
        <is>
          <t>Lasttest</t>
        </is>
      </c>
      <c r="C91" s="11" t="n"/>
      <c r="D91" s="11" t="inlineStr">
        <is>
          <t>Anforderungen bei erhöhtem Schutzbedarf</t>
        </is>
      </c>
      <c r="E91" s="12" t="inlineStr">
        <is>
          <t>Gesamt:</t>
        </is>
      </c>
      <c r="F91" s="11" t="n"/>
      <c r="G91" s="11" t="n"/>
      <c r="H91" s="13">
        <f>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
      </c>
      <c r="I91" s="11" t="n"/>
      <c r="J91" s="11" t="n"/>
      <c r="K91" s="11" t="n"/>
      <c r="L91" s="11" t="n"/>
      <c r="M91" s="11" t="inlineStr">
        <is>
          <t>Verfügbarkeit</t>
        </is>
      </c>
      <c r="N91" s="12" t="inlineStr"/>
      <c r="O91" s="11" t="inlineStr"/>
      <c r="P91" s="12" t="inlineStr">
        <is>
          <t>Die Maßnahmen richten sich nach den geltenden Anforderungen an die Stromversorgung. Beispiele sind ein monatlicher USV-Selbsttest oder ein halbjährlicher Volllastbetrieb des Generators für mindestens 30 Minuten.</t>
        </is>
      </c>
      <c r="Q91" s="11" t="inlineStr">
        <is>
          <t>Standorte</t>
        </is>
      </c>
      <c r="R91" s="11" t="inlineStr">
        <is>
          <t>Übungs- und Prüfplan</t>
        </is>
      </c>
      <c r="S91" s="12" t="inlineStr">
        <is>
          <t>die Belastbarkeit der Stromversorgung</t>
        </is>
      </c>
      <c r="T91" s="12" t="inlineStr">
        <is>
          <t>G 0.18 – Fehlplanung oder fehlende Anpassung</t>
        </is>
      </c>
      <c r="U91" s="11" t="n">
        <v>5</v>
      </c>
      <c r="V91" s="11" t="n">
        <v>1</v>
      </c>
      <c r="W91" s="11" t="n">
        <v>1</v>
      </c>
      <c r="X91" s="11" t="n">
        <v>2</v>
      </c>
      <c r="Y91" s="11" t="n">
        <v>0</v>
      </c>
    </row>
    <row r="92">
      <c r="A92" s="11" t="inlineStr">
        <is>
          <t>GEB.9.2</t>
        </is>
      </c>
      <c r="B92" s="12" t="inlineStr">
        <is>
          <t>Lasttest</t>
        </is>
      </c>
      <c r="C92" s="11" t="inlineStr">
        <is>
          <t>GEB.9.2</t>
        </is>
      </c>
      <c r="D92" s="11" t="inlineStr">
        <is>
          <t>Anforderungen bei erhöhtem Schutzbedarf</t>
        </is>
      </c>
      <c r="E92" s="12" t="inlineStr">
        <is>
          <t>Gebäudemanagement für Standorte KANN die Belastbarkeit der Stromversorgung regelmäßig überprüfen.</t>
        </is>
      </c>
      <c r="F92" s="14" t="n"/>
      <c r="G92" s="14" t="n"/>
      <c r="H92" s="14" t="inlineStr">
        <is>
          <t>unbearbeitet</t>
        </is>
      </c>
      <c r="I92" s="14" t="n"/>
      <c r="J92" s="14" t="n"/>
      <c r="K92" s="14" t="n"/>
      <c r="L92" s="15" t="n"/>
      <c r="M92" s="11" t="inlineStr">
        <is>
          <t>Verfügbarkeit</t>
        </is>
      </c>
      <c r="N92" s="12" t="inlineStr"/>
      <c r="O92" s="11" t="inlineStr"/>
      <c r="P92" s="12" t="inlineStr">
        <is>
          <t>Die Maßnahmen richten sich nach den geltenden Anforderungen an die Stromversorgung. Beispiele sind ein monatlicher USV-Selbsttest oder ein halbjährlicher Volllastbetrieb des Generators für mindestens 30 Minuten.</t>
        </is>
      </c>
      <c r="Q92" s="11" t="inlineStr">
        <is>
          <t>Standorte</t>
        </is>
      </c>
      <c r="R92" s="11" t="inlineStr">
        <is>
          <t>Übungs- und Prüfplan</t>
        </is>
      </c>
      <c r="S92" s="12" t="inlineStr">
        <is>
          <t>die Belastbarkeit der Stromversorgung</t>
        </is>
      </c>
      <c r="T92" s="12" t="inlineStr">
        <is>
          <t>G 0.18 – Fehlplanung oder fehlende Anpassung</t>
        </is>
      </c>
      <c r="U92" s="11" t="n">
        <v>5</v>
      </c>
      <c r="V92" s="11" t="n">
        <v>1</v>
      </c>
      <c r="W92" s="11" t="n">
        <v>1</v>
      </c>
      <c r="X92" s="11" t="n">
        <v>2</v>
      </c>
      <c r="Y92" s="11" t="n">
        <v>0</v>
      </c>
    </row>
    <row r="93">
      <c r="A93" s="9" t="inlineStr">
        <is>
          <t>GEB.9.3</t>
        </is>
      </c>
      <c r="B93" s="10" t="inlineStr">
        <is>
          <t>Notaus</t>
        </is>
      </c>
      <c r="C93" s="11" t="n"/>
      <c r="D93" s="11" t="inlineStr">
        <is>
          <t>Anforderungen bei erhöhtem Schutzbedarf</t>
        </is>
      </c>
      <c r="E93" s="12" t="inlineStr">
        <is>
          <t>Gesamt:</t>
        </is>
      </c>
      <c r="F93" s="11" t="n"/>
      <c r="G93" s="11" t="n"/>
      <c r="H93" s="13">
        <f>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
      </c>
      <c r="I93" s="11" t="n"/>
      <c r="J93" s="11" t="n"/>
      <c r="K93" s="11" t="n"/>
      <c r="L93" s="11" t="n"/>
      <c r="M93" s="11" t="inlineStr">
        <is>
          <t>Verfügbarkeit</t>
        </is>
      </c>
      <c r="N93" s="12" t="inlineStr"/>
      <c r="O93" s="11" t="inlineStr"/>
      <c r="P93" s="12" t="inlineStr">
        <is>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is>
      </c>
      <c r="Q93" s="11" t="inlineStr">
        <is>
          <t>Standorte</t>
        </is>
      </c>
      <c r="R93" s="11" t="inlineStr">
        <is>
          <t>Gebäudedokumentation</t>
        </is>
      </c>
      <c r="S93" s="12" t="inlineStr">
        <is>
          <t>eine Notausschaltung für die Versorgungseinrichtungen</t>
        </is>
      </c>
      <c r="T93" s="12" t="inlineStr">
        <is>
          <t>G 0.1 – Feuer; G 0.8 – Ausfall oder Störung der Stromversorgung; G 0.10 – Ausfall oder Störung von Versorgungsnetzen; G 0.25 – Ausfall von Geräten oder Systemen</t>
        </is>
      </c>
      <c r="U93" s="11" t="n">
        <v>5</v>
      </c>
      <c r="V93" s="11" t="n">
        <v>0</v>
      </c>
      <c r="W93" s="11" t="n">
        <v>1</v>
      </c>
      <c r="X93" s="11" t="n">
        <v>2</v>
      </c>
      <c r="Y93" s="11" t="n">
        <v>0</v>
      </c>
    </row>
    <row r="94">
      <c r="A94" s="11" t="inlineStr">
        <is>
          <t>GEB.9.3</t>
        </is>
      </c>
      <c r="B94" s="12" t="inlineStr">
        <is>
          <t>Notaus</t>
        </is>
      </c>
      <c r="C94" s="11" t="inlineStr">
        <is>
          <t>GEB.9.3</t>
        </is>
      </c>
      <c r="D94" s="11" t="inlineStr">
        <is>
          <t>Anforderungen bei erhöhtem Schutzbedarf</t>
        </is>
      </c>
      <c r="E94" s="12" t="inlineStr">
        <is>
          <t>Gebäudemanagement für Standorte KANN eine Notausschaltung für die Versorgungseinrichtungen installieren.</t>
        </is>
      </c>
      <c r="F94" s="14" t="n"/>
      <c r="G94" s="14" t="n"/>
      <c r="H94" s="14" t="inlineStr">
        <is>
          <t>unbearbeitet</t>
        </is>
      </c>
      <c r="I94" s="14" t="n"/>
      <c r="J94" s="14" t="n"/>
      <c r="K94" s="14" t="n"/>
      <c r="L94" s="15" t="n"/>
      <c r="M94" s="11" t="inlineStr">
        <is>
          <t>Verfügbarkeit</t>
        </is>
      </c>
      <c r="N94" s="12" t="inlineStr"/>
      <c r="O94" s="11" t="inlineStr"/>
      <c r="P94" s="12" t="inlineStr">
        <is>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is>
      </c>
      <c r="Q94" s="11" t="inlineStr">
        <is>
          <t>Standorte</t>
        </is>
      </c>
      <c r="R94" s="11" t="inlineStr">
        <is>
          <t>Gebäudedokumentation</t>
        </is>
      </c>
      <c r="S94" s="12" t="inlineStr">
        <is>
          <t>eine Notausschaltung für die Versorgungseinrichtungen</t>
        </is>
      </c>
      <c r="T94" s="12" t="inlineStr">
        <is>
          <t>G 0.1 – Feuer; G 0.8 – Ausfall oder Störung der Stromversorgung; G 0.10 – Ausfall oder Störung von Versorgungsnetzen; G 0.25 – Ausfall von Geräten oder Systemen</t>
        </is>
      </c>
      <c r="U94" s="11" t="n">
        <v>5</v>
      </c>
      <c r="V94" s="11" t="n">
        <v>0</v>
      </c>
      <c r="W94" s="11" t="n">
        <v>1</v>
      </c>
      <c r="X94" s="11" t="n">
        <v>2</v>
      </c>
      <c r="Y94" s="11" t="n">
        <v>0</v>
      </c>
    </row>
    <row r="95">
      <c r="A95" s="9" t="inlineStr">
        <is>
          <t>GEB.9.4</t>
        </is>
      </c>
      <c r="B95" s="10" t="inlineStr">
        <is>
          <t>Überspannungsschutz</t>
        </is>
      </c>
      <c r="C95" s="11" t="n"/>
      <c r="D95" s="11" t="inlineStr">
        <is>
          <t>Anforderungen bei erhöhtem Schutzbedarf</t>
        </is>
      </c>
      <c r="E95" s="12" t="inlineStr">
        <is>
          <t>Gesamt:</t>
        </is>
      </c>
      <c r="F95" s="11" t="n"/>
      <c r="G95" s="11" t="n"/>
      <c r="H95" s="13">
        <f>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
      </c>
      <c r="I95" s="11" t="n"/>
      <c r="J95" s="11" t="n"/>
      <c r="K95" s="11" t="n"/>
      <c r="L95" s="11" t="n"/>
      <c r="M95" s="11" t="inlineStr">
        <is>
          <t>Verfügbarkeit</t>
        </is>
      </c>
      <c r="N95" s="12" t="inlineStr"/>
      <c r="O95" s="11" t="inlineStr"/>
      <c r="P95" s="12" t="inlineStr">
        <is>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is>
      </c>
      <c r="Q95" s="11" t="inlineStr">
        <is>
          <t>Standorte</t>
        </is>
      </c>
      <c r="R95" s="11" t="inlineStr">
        <is>
          <t>Gebäudedokumentation</t>
        </is>
      </c>
      <c r="S95" s="12" t="inlineStr">
        <is>
          <t>Überspannungsschutzeinrichtungen</t>
        </is>
      </c>
      <c r="T95" s="12" t="inlineStr">
        <is>
          <t>G 0.25 – Ausfall von Geräten oder Systemen</t>
        </is>
      </c>
      <c r="U95" s="11" t="n">
        <v>4</v>
      </c>
      <c r="V95" s="11" t="n">
        <v>0</v>
      </c>
      <c r="W95" s="11" t="n">
        <v>0</v>
      </c>
      <c r="X95" s="11" t="n">
        <v>2</v>
      </c>
      <c r="Y95" s="11" t="n">
        <v>0</v>
      </c>
    </row>
    <row r="96">
      <c r="A96" s="11" t="inlineStr">
        <is>
          <t>GEB.9.4</t>
        </is>
      </c>
      <c r="B96" s="12" t="inlineStr">
        <is>
          <t>Überspannungsschutz</t>
        </is>
      </c>
      <c r="C96" s="11" t="inlineStr">
        <is>
          <t>GEB.9.4</t>
        </is>
      </c>
      <c r="D96" s="11" t="inlineStr">
        <is>
          <t>Anforderungen bei erhöhtem Schutzbedarf</t>
        </is>
      </c>
      <c r="E96" s="12" t="inlineStr">
        <is>
          <t>Gebäudemanagement für Standorte KANN Überspannungsschutzeinrichtungen installieren.</t>
        </is>
      </c>
      <c r="F96" s="14" t="n"/>
      <c r="G96" s="14" t="n"/>
      <c r="H96" s="14" t="inlineStr">
        <is>
          <t>unbearbeitet</t>
        </is>
      </c>
      <c r="I96" s="14" t="n"/>
      <c r="J96" s="14" t="n"/>
      <c r="K96" s="14" t="n"/>
      <c r="L96" s="15" t="n"/>
      <c r="M96" s="11" t="inlineStr">
        <is>
          <t>Verfügbarkeit</t>
        </is>
      </c>
      <c r="N96" s="12" t="inlineStr"/>
      <c r="O96" s="11" t="inlineStr"/>
      <c r="P96" s="12" t="inlineStr">
        <is>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is>
      </c>
      <c r="Q96" s="11" t="inlineStr">
        <is>
          <t>Standorte</t>
        </is>
      </c>
      <c r="R96" s="11" t="inlineStr">
        <is>
          <t>Gebäudedokumentation</t>
        </is>
      </c>
      <c r="S96" s="12" t="inlineStr">
        <is>
          <t>Überspannungsschutzeinrichtungen</t>
        </is>
      </c>
      <c r="T96" s="12" t="inlineStr">
        <is>
          <t>G 0.25 – Ausfall von Geräten oder Systemen</t>
        </is>
      </c>
      <c r="U96" s="11" t="n">
        <v>4</v>
      </c>
      <c r="V96" s="11" t="n">
        <v>0</v>
      </c>
      <c r="W96" s="11" t="n">
        <v>0</v>
      </c>
      <c r="X96" s="11" t="n">
        <v>2</v>
      </c>
      <c r="Y96" s="11" t="n">
        <v>0</v>
      </c>
    </row>
    <row r="97">
      <c r="A97" s="9" t="inlineStr">
        <is>
          <t>GEB.9.5</t>
        </is>
      </c>
      <c r="B97" s="10" t="inlineStr">
        <is>
          <t>Strukturierte Datenverkabelung</t>
        </is>
      </c>
      <c r="C97" s="11" t="n"/>
      <c r="D97" s="11" t="inlineStr">
        <is>
          <t>Standard-Anforderungen</t>
        </is>
      </c>
      <c r="E97" s="12" t="inlineStr">
        <is>
          <t>Gesamt:</t>
        </is>
      </c>
      <c r="F97" s="11" t="n"/>
      <c r="G97" s="11" t="n"/>
      <c r="H97" s="13">
        <f>IF(OR(COUNTBLANK($H$98:$H$99)&gt;0,COUNTIF($H$98:$H$99,"unbearbeitet")=COUNTA($H$98:$H$99)),"Bitte Teilanforderungen ausfüllen",IF(COUNTIF($H$98:$H$99,"zu klären")&gt;0,"zu klären",IF(COUNTIF($H$98:$H$99,"entbehrlich")=COUNTA($H$98:$H$99),"entbehrlich",IF(COUNTIF($H$98:$H$99,"verwiesen")=COUNTA($H$98:$H$99),"verwiesen",IF(COUNTIF($H$98:$H$99,"nein")+COUNTIF($H$98:$H$99,"entbehrlich")=COUNTA($H$98:$H$99),"nein",IF(COUNTIF($H$98:$H$99,"ja")+COUNTIF($H$98:$H$99,"entbehrlich")+COUNTIF($H$98:$H$99,"verwiesen")=COUNTA($H$98:$H$99),"ja","teilweise"))))))</f>
        <v/>
      </c>
      <c r="I97" s="11" t="n"/>
      <c r="J97" s="11" t="n"/>
      <c r="K97" s="11" t="n"/>
      <c r="L97" s="11" t="n"/>
      <c r="M97" s="11" t="inlineStr"/>
      <c r="N97" s="12" t="inlineStr"/>
      <c r="O97" s="11" t="inlineStr"/>
      <c r="P97" s="12" t="inlineStr">
        <is>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is>
      </c>
      <c r="Q97" s="11" t="inlineStr">
        <is>
          <t>Standorte</t>
        </is>
      </c>
      <c r="R97" s="11" t="inlineStr">
        <is>
          <t>Gebäudedokumentation</t>
        </is>
      </c>
      <c r="S97" s="12" t="inlineStr">
        <is>
          <t>eine norm- und bedarfsgerechte Datenverkabelung</t>
        </is>
      </c>
      <c r="T97" s="12" t="inlineStr">
        <is>
          <t>G 0.18 – Fehlplanung oder fehlende Anpassung</t>
        </is>
      </c>
      <c r="U97" s="11" t="n">
        <v>3</v>
      </c>
      <c r="V97" s="11" t="n">
        <v>1</v>
      </c>
      <c r="W97" s="11" t="n">
        <v>1</v>
      </c>
      <c r="X97" s="11" t="n">
        <v>1</v>
      </c>
      <c r="Y97" s="11" t="n">
        <v>0</v>
      </c>
    </row>
    <row r="98">
      <c r="A98" s="11" t="inlineStr">
        <is>
          <t>GEB.9.5</t>
        </is>
      </c>
      <c r="B98" s="12" t="inlineStr">
        <is>
          <t>Strukturierte Datenverkabelung</t>
        </is>
      </c>
      <c r="C98" s="11" t="inlineStr">
        <is>
          <t>GEB.9.5</t>
        </is>
      </c>
      <c r="D98" s="11" t="inlineStr">
        <is>
          <t>Standard-Anforderungen</t>
        </is>
      </c>
      <c r="E98" s="12" t="inlineStr">
        <is>
          <t>Gebäudemanagement für Standorte SOLLTE eine norm- und bedarfsgerechte Datenverkabelung installieren.</t>
        </is>
      </c>
      <c r="F98" s="14" t="n"/>
      <c r="G98" s="14" t="n"/>
      <c r="H98" s="14" t="inlineStr">
        <is>
          <t>unbearbeitet</t>
        </is>
      </c>
      <c r="I98" s="14" t="n"/>
      <c r="J98" s="14" t="n"/>
      <c r="K98" s="14" t="n"/>
      <c r="L98" s="15" t="n"/>
      <c r="M98" s="11" t="inlineStr"/>
      <c r="N98" s="12" t="inlineStr"/>
      <c r="O98" s="11" t="inlineStr"/>
      <c r="P98" s="12" t="inlineStr">
        <is>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is>
      </c>
      <c r="Q98" s="11" t="inlineStr">
        <is>
          <t>Standorte</t>
        </is>
      </c>
      <c r="R98" s="11" t="inlineStr">
        <is>
          <t>Gebäudedokumentation</t>
        </is>
      </c>
      <c r="S98" s="12" t="inlineStr">
        <is>
          <t>eine norm- und bedarfsgerechte Datenverkabelung</t>
        </is>
      </c>
      <c r="T98" s="12" t="inlineStr">
        <is>
          <t>G 0.18 – Fehlplanung oder fehlende Anpassung</t>
        </is>
      </c>
      <c r="U98" s="11" t="n">
        <v>3</v>
      </c>
      <c r="V98" s="11" t="n">
        <v>1</v>
      </c>
      <c r="W98" s="11" t="n">
        <v>1</v>
      </c>
      <c r="X98" s="11" t="n">
        <v>1</v>
      </c>
      <c r="Y98" s="11" t="n">
        <v>0</v>
      </c>
    </row>
    <row r="99">
      <c r="A99" s="11" t="inlineStr">
        <is>
          <t>GEB.9.5</t>
        </is>
      </c>
      <c r="B99" s="12" t="inlineStr">
        <is>
          <t>Strukturierte Datenverkabelung</t>
        </is>
      </c>
      <c r="C99" s="11" t="inlineStr">
        <is>
          <t>GEB.9.5.1</t>
        </is>
      </c>
      <c r="D99" s="11" t="inlineStr">
        <is>
          <t>Standard-Anforderungen</t>
        </is>
      </c>
      <c r="E99" s="12" t="inlineStr">
        <is>
          <t>Gebäudemanagement für Standorte SOLLTE eine geschützte Kabelverlegung installieren.</t>
        </is>
      </c>
      <c r="F99" s="14" t="n"/>
      <c r="G99" s="14" t="n"/>
      <c r="H99" s="14" t="inlineStr">
        <is>
          <t>unbearbeitet</t>
        </is>
      </c>
      <c r="I99" s="14" t="n"/>
      <c r="J99" s="14" t="n"/>
      <c r="K99" s="14" t="n"/>
      <c r="L99" s="15" t="n"/>
      <c r="M99" s="11" t="inlineStr">
        <is>
          <t>Verfügbarkeit</t>
        </is>
      </c>
      <c r="N99" s="12" t="inlineStr"/>
      <c r="O99" s="11" t="inlineStr"/>
      <c r="P99" s="12" t="inlineStr">
        <is>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is>
      </c>
      <c r="Q99" s="11" t="inlineStr">
        <is>
          <t>Standorte</t>
        </is>
      </c>
      <c r="R99" s="11" t="inlineStr">
        <is>
          <t>Gebäudedokumentation</t>
        </is>
      </c>
      <c r="S99" s="12" t="inlineStr">
        <is>
          <t>eine geschützte Kabelverlegung</t>
        </is>
      </c>
      <c r="T99" s="12" t="inlineStr">
        <is>
          <t>G 0.18 – Fehlplanung oder fehlende Anpassung</t>
        </is>
      </c>
      <c r="U99" s="11" t="n">
        <v>3</v>
      </c>
      <c r="V99" s="11" t="n">
        <v>1</v>
      </c>
      <c r="W99" s="11" t="n">
        <v>1</v>
      </c>
      <c r="X99" s="11" t="n">
        <v>2</v>
      </c>
      <c r="Y99" s="11" t="n">
        <v>0</v>
      </c>
    </row>
    <row r="100">
      <c r="A100" s="9" t="inlineStr">
        <is>
          <t>GEB.9.6</t>
        </is>
      </c>
      <c r="B100" s="10" t="inlineStr">
        <is>
          <t>Zugang zu Räumen für technische Infrastruktur</t>
        </is>
      </c>
      <c r="C100" s="11" t="n"/>
      <c r="D100" s="11" t="inlineStr">
        <is>
          <t>Standard-Anforderungen</t>
        </is>
      </c>
      <c r="E100" s="12" t="inlineStr">
        <is>
          <t>Gesamt:</t>
        </is>
      </c>
      <c r="F100" s="11" t="n"/>
      <c r="G100" s="11" t="n"/>
      <c r="H100" s="13">
        <f>IF(OR(COUNTBLANK($H$101:$H$101)&gt;0,COUNTIF($H$101:$H$101,"unbearbeitet")=COUNTA($H$101:$H$101)),"Bitte Teilanforderungen ausfüllen",IF(COUNTIF($H$101:$H$101,"zu klären")&gt;0,"zu klären",IF(COUNTIF($H$101:$H$101,"entbehrlich")=COUNTA($H$101:$H$101),"entbehrlich",IF(COUNTIF($H$101:$H$101,"verwiesen")=COUNTA($H$101:$H$101),"verwiesen",IF(COUNTIF($H$101:$H$101,"nein")+COUNTIF($H$101:$H$101,"entbehrlich")=COUNTA($H$101:$H$101),"nein",IF(COUNTIF($H$101:$H$101,"ja")+COUNTIF($H$101:$H$101,"entbehrlich")+COUNTIF($H$101:$H$101,"verwiesen")=COUNTA($H$101:$H$101),"ja","teilweise"))))))</f>
        <v/>
      </c>
      <c r="I100" s="11" t="n"/>
      <c r="J100" s="11" t="n"/>
      <c r="K100" s="11" t="n"/>
      <c r="L100" s="11" t="n"/>
      <c r="M100" s="11" t="inlineStr"/>
      <c r="N100" s="12" t="inlineStr"/>
      <c r="O100" s="11" t="inlineStr"/>
      <c r="P100" s="12" t="inlineStr">
        <is>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is>
      </c>
      <c r="Q100" s="11" t="inlineStr">
        <is>
          <t>Räume für technische Infrastruktur</t>
        </is>
      </c>
      <c r="R100" s="11" t="inlineStr">
        <is>
          <t>Inventar Berechtigungen</t>
        </is>
      </c>
      <c r="S100" s="12" t="inlineStr">
        <is>
          <t>den Zugang zu Räumen für technische Infrastruktur</t>
        </is>
      </c>
      <c r="T100" s="12" t="inlineStr">
        <is>
          <t>G 0.18 – Fehlplanung oder fehlende Anpassung</t>
        </is>
      </c>
      <c r="U100" s="11" t="n">
        <v>3</v>
      </c>
      <c r="V100" s="11" t="n">
        <v>1</v>
      </c>
      <c r="W100" s="11" t="n">
        <v>1</v>
      </c>
      <c r="X100" s="11" t="n">
        <v>1</v>
      </c>
      <c r="Y100" s="11" t="n">
        <v>0</v>
      </c>
    </row>
    <row r="101">
      <c r="A101" s="11" t="inlineStr">
        <is>
          <t>GEB.9.6</t>
        </is>
      </c>
      <c r="B101" s="12" t="inlineStr">
        <is>
          <t>Zugang zu Räumen für technische Infrastruktur</t>
        </is>
      </c>
      <c r="C101" s="11" t="inlineStr">
        <is>
          <t>GEB.9.6</t>
        </is>
      </c>
      <c r="D101" s="11" t="inlineStr">
        <is>
          <t>Standard-Anforderungen</t>
        </is>
      </c>
      <c r="E101" s="12" t="inlineStr">
        <is>
          <t>Gebäudemanagement für Räume für technische Infrastruktur SOLLTE den Zugang zu Räumen für technische Infrastruktur auf für den Betrieb zuständige Personen oder Rollen einschränken.</t>
        </is>
      </c>
      <c r="F101" s="14" t="n"/>
      <c r="G101" s="14" t="n"/>
      <c r="H101" s="14" t="inlineStr">
        <is>
          <t>unbearbeitet</t>
        </is>
      </c>
      <c r="I101" s="14" t="n"/>
      <c r="J101" s="14" t="n"/>
      <c r="K101" s="14" t="n"/>
      <c r="L101" s="15" t="n"/>
      <c r="M101" s="11" t="inlineStr"/>
      <c r="N101" s="12" t="inlineStr"/>
      <c r="O101" s="11" t="inlineStr"/>
      <c r="P101" s="12" t="inlineStr">
        <is>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is>
      </c>
      <c r="Q101" s="11" t="inlineStr">
        <is>
          <t>Räume für technische Infrastruktur</t>
        </is>
      </c>
      <c r="R101" s="11" t="inlineStr">
        <is>
          <t>Inventar Berechtigungen</t>
        </is>
      </c>
      <c r="S101" s="12" t="inlineStr">
        <is>
          <t>den Zugang zu Räumen für technische Infrastruktur</t>
        </is>
      </c>
      <c r="T101" s="12" t="inlineStr">
        <is>
          <t>G 0.18 – Fehlplanung oder fehlende Anpassung</t>
        </is>
      </c>
      <c r="U101" s="11" t="n">
        <v>3</v>
      </c>
      <c r="V101" s="11" t="n">
        <v>1</v>
      </c>
      <c r="W101" s="11" t="n">
        <v>1</v>
      </c>
      <c r="X101" s="11" t="n">
        <v>1</v>
      </c>
      <c r="Y101" s="11" t="n">
        <v>0</v>
      </c>
    </row>
    <row r="102">
      <c r="A102" s="9" t="inlineStr">
        <is>
          <t>GEB.9.7</t>
        </is>
      </c>
      <c r="B102" s="10" t="inlineStr">
        <is>
          <t>Zweckentfremdung</t>
        </is>
      </c>
      <c r="C102" s="11" t="n"/>
      <c r="D102" s="11" t="inlineStr">
        <is>
          <t>Standard-Anforderungen</t>
        </is>
      </c>
      <c r="E102" s="12" t="inlineStr">
        <is>
          <t>Gesamt:</t>
        </is>
      </c>
      <c r="F102" s="11" t="n"/>
      <c r="G102" s="11" t="n"/>
      <c r="H102" s="13">
        <f>IF(OR(COUNTBLANK($H$103:$H$103)&gt;0,COUNTIF($H$103:$H$103,"unbearbeitet")=COUNTA($H$103:$H$103)),"Bitte Teilanforderungen ausfüllen",IF(COUNTIF($H$103:$H$103,"zu klären")&gt;0,"zu klären",IF(COUNTIF($H$103:$H$103,"entbehrlich")=COUNTA($H$103:$H$103),"entbehrlich",IF(COUNTIF($H$103:$H$103,"verwiesen")=COUNTA($H$103:$H$103),"verwiesen",IF(COUNTIF($H$103:$H$103,"nein")+COUNTIF($H$103:$H$103,"entbehrlich")=COUNTA($H$103:$H$103),"nein",IF(COUNTIF($H$103:$H$103,"ja")+COUNTIF($H$103:$H$103,"entbehrlich")+COUNTIF($H$103:$H$103,"verwiesen")=COUNTA($H$103:$H$103),"ja","teilweise"))))))</f>
        <v/>
      </c>
      <c r="I102" s="11" t="n"/>
      <c r="J102" s="11" t="n"/>
      <c r="K102" s="11" t="n"/>
      <c r="L102" s="11" t="n"/>
      <c r="M102" s="11" t="inlineStr">
        <is>
          <t>Integrität</t>
        </is>
      </c>
      <c r="N102" s="12" t="inlineStr"/>
      <c r="O102" s="11" t="inlineStr"/>
      <c r="P102" s="12" t="inlineStr">
        <is>
          <t>Werden Räume für technische Infrastruktur zu weiteren Zwecken, z.B. als Arbeitsplatz, Durchgangsraum oder Abstellraum genutzt, so erhöht dies das Risiko versehentlicher Schäden oder des Zugriffs Unbefugter auf die Infrastruktur.</t>
        </is>
      </c>
      <c r="Q102" s="11" t="inlineStr">
        <is>
          <t>Räume für technische Infrastruktur</t>
        </is>
      </c>
      <c r="R102" s="11" t="inlineStr">
        <is>
          <t>Arbeitsanweisung</t>
        </is>
      </c>
      <c r="S102" s="12" t="inlineStr">
        <is>
          <t>die Verwendung der Räume zu anderen Zwecken</t>
        </is>
      </c>
      <c r="T102" s="12" t="inlineStr">
        <is>
          <t>G 0.18 – Fehlplanung oder fehlende Anpassung</t>
        </is>
      </c>
      <c r="U102" s="11" t="n">
        <v>3</v>
      </c>
      <c r="V102" s="11" t="n">
        <v>1</v>
      </c>
      <c r="W102" s="11" t="n">
        <v>2</v>
      </c>
      <c r="X102" s="11" t="n">
        <v>1</v>
      </c>
      <c r="Y102" s="11" t="n">
        <v>0</v>
      </c>
    </row>
    <row r="103">
      <c r="A103" s="11" t="inlineStr">
        <is>
          <t>GEB.9.7</t>
        </is>
      </c>
      <c r="B103" s="12" t="inlineStr">
        <is>
          <t>Zweckentfremdung</t>
        </is>
      </c>
      <c r="C103" s="11" t="inlineStr">
        <is>
          <t>GEB.9.7</t>
        </is>
      </c>
      <c r="D103" s="11" t="inlineStr">
        <is>
          <t>Standard-Anforderungen</t>
        </is>
      </c>
      <c r="E103" s="12" t="inlineStr">
        <is>
          <t>Gebäudemanagement für Räume für technische Infrastruktur SOLLTE die Verwendung der Räume zu anderen Zwecken untersagen.</t>
        </is>
      </c>
      <c r="F103" s="14" t="n"/>
      <c r="G103" s="14" t="n"/>
      <c r="H103" s="14" t="inlineStr">
        <is>
          <t>unbearbeitet</t>
        </is>
      </c>
      <c r="I103" s="14" t="n"/>
      <c r="J103" s="14" t="n"/>
      <c r="K103" s="14" t="n"/>
      <c r="L103" s="15" t="n"/>
      <c r="M103" s="11" t="inlineStr">
        <is>
          <t>Integrität</t>
        </is>
      </c>
      <c r="N103" s="12" t="inlineStr"/>
      <c r="O103" s="11" t="inlineStr"/>
      <c r="P103" s="12" t="inlineStr">
        <is>
          <t>Werden Räume für technische Infrastruktur zu weiteren Zwecken, z.B. als Arbeitsplatz, Durchgangsraum oder Abstellraum genutzt, so erhöht dies das Risiko versehentlicher Schäden oder des Zugriffs Unbefugter auf die Infrastruktur.</t>
        </is>
      </c>
      <c r="Q103" s="11" t="inlineStr">
        <is>
          <t>Räume für technische Infrastruktur</t>
        </is>
      </c>
      <c r="R103" s="11" t="inlineStr">
        <is>
          <t>Arbeitsanweisung</t>
        </is>
      </c>
      <c r="S103" s="12" t="inlineStr">
        <is>
          <t>die Verwendung der Räume zu anderen Zwecken</t>
        </is>
      </c>
      <c r="T103" s="12" t="inlineStr">
        <is>
          <t>G 0.18 – Fehlplanung oder fehlende Anpassung</t>
        </is>
      </c>
      <c r="U103" s="11" t="n">
        <v>3</v>
      </c>
      <c r="V103" s="11" t="n">
        <v>1</v>
      </c>
      <c r="W103" s="11" t="n">
        <v>2</v>
      </c>
      <c r="X103" s="11" t="n">
        <v>1</v>
      </c>
      <c r="Y103" s="11" t="n">
        <v>0</v>
      </c>
    </row>
    <row r="104">
      <c r="A104" s="9" t="inlineStr">
        <is>
          <t>GEB.10.1</t>
        </is>
      </c>
      <c r="B104" s="10" t="inlineStr">
        <is>
          <t>Klimatisierung</t>
        </is>
      </c>
      <c r="C104" s="11" t="n"/>
      <c r="D104" s="11" t="inlineStr">
        <is>
          <t>Standard-Anforderungen</t>
        </is>
      </c>
      <c r="E104" s="12" t="inlineStr">
        <is>
          <t>Gesamt:</t>
        </is>
      </c>
      <c r="F104" s="11" t="n"/>
      <c r="G104" s="11" t="n"/>
      <c r="H104" s="13">
        <f>IF(OR(COUNTBLANK($H$105:$H$108)&gt;0,COUNTIF($H$105:$H$108,"unbearbeitet")=COUNTA($H$105:$H$108)),"Bitte Teilanforderungen ausfüllen",IF(COUNTIF($H$105:$H$108,"zu klären")&gt;0,"zu klären",IF(COUNTIF($H$105:$H$108,"entbehrlich")=COUNTA($H$105:$H$108),"entbehrlich",IF(COUNTIF($H$105:$H$108,"verwiesen")=COUNTA($H$105:$H$108),"verwiesen",IF(COUNTIF($H$105:$H$108,"nein")+COUNTIF($H$105:$H$108,"entbehrlich")=COUNTA($H$105:$H$108),"nein",IF(COUNTIF($H$105:$H$108,"ja")+COUNTIF($H$105:$H$108,"entbehrlich")+COUNTIF($H$105:$H$108,"verwiesen")=COUNTA($H$105:$H$108),"ja","teilweise"))))))</f>
        <v/>
      </c>
      <c r="I104" s="11" t="n"/>
      <c r="J104" s="11" t="n"/>
      <c r="K104" s="11" t="n"/>
      <c r="L104" s="11" t="n"/>
      <c r="M104" s="11" t="inlineStr">
        <is>
          <t>Verfügbarkeit</t>
        </is>
      </c>
      <c r="N104" s="12" t="inlineStr"/>
      <c r="O104" s="11" t="inlineStr"/>
      <c r="P104" s="12" t="inlineStr">
        <is>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is>
      </c>
      <c r="Q104" s="11" t="inlineStr">
        <is>
          <t>Standorte</t>
        </is>
      </c>
      <c r="R104" s="11" t="inlineStr">
        <is>
          <t>Gebäudedokumentation</t>
        </is>
      </c>
      <c r="S104" s="12" t="inlineStr">
        <is>
          <t>eine ausreichende Klimatisierung von Räumlichkeiten</t>
        </is>
      </c>
      <c r="T104" s="12" t="inlineStr">
        <is>
          <t>G 0.2 – Ungünstige klimatische Bedingungen</t>
        </is>
      </c>
      <c r="U104" s="11" t="n">
        <v>3</v>
      </c>
      <c r="V104" s="11" t="n">
        <v>0</v>
      </c>
      <c r="W104" s="11" t="n">
        <v>1</v>
      </c>
      <c r="X104" s="11" t="n">
        <v>2</v>
      </c>
      <c r="Y104" s="11" t="n">
        <v>0</v>
      </c>
    </row>
    <row r="105">
      <c r="A105" s="11" t="inlineStr">
        <is>
          <t>GEB.10.1</t>
        </is>
      </c>
      <c r="B105" s="12" t="inlineStr">
        <is>
          <t>Klimatisierung</t>
        </is>
      </c>
      <c r="C105" s="11" t="inlineStr">
        <is>
          <t>GEB.10.1</t>
        </is>
      </c>
      <c r="D105" s="11" t="inlineStr">
        <is>
          <t>Standard-Anforderungen</t>
        </is>
      </c>
      <c r="E105" s="12" t="inlineStr">
        <is>
          <t>Gebäudemanagement für Standorte SOLLTE eine ausreichende Klimatisierung von Räumlichkeiten anhand von Schwellwerten installieren.</t>
        </is>
      </c>
      <c r="F105" s="14" t="n"/>
      <c r="G105" s="14" t="n"/>
      <c r="H105" s="14" t="inlineStr">
        <is>
          <t>unbearbeitet</t>
        </is>
      </c>
      <c r="I105" s="14" t="n"/>
      <c r="J105" s="14" t="n"/>
      <c r="K105" s="14" t="n"/>
      <c r="L105" s="15" t="n"/>
      <c r="M105" s="11" t="inlineStr">
        <is>
          <t>Verfügbarkeit</t>
        </is>
      </c>
      <c r="N105" s="12" t="inlineStr"/>
      <c r="O105" s="11" t="inlineStr"/>
      <c r="P105" s="12" t="inlineStr">
        <is>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is>
      </c>
      <c r="Q105" s="11" t="inlineStr">
        <is>
          <t>Standorte</t>
        </is>
      </c>
      <c r="R105" s="11" t="inlineStr">
        <is>
          <t>Gebäudedokumentation</t>
        </is>
      </c>
      <c r="S105" s="12" t="inlineStr">
        <is>
          <t>eine ausreichende Klimatisierung von Räumlichkeiten</t>
        </is>
      </c>
      <c r="T105" s="12" t="inlineStr">
        <is>
          <t>G 0.2 – Ungünstige klimatische Bedingungen</t>
        </is>
      </c>
      <c r="U105" s="11" t="n">
        <v>3</v>
      </c>
      <c r="V105" s="11" t="n">
        <v>0</v>
      </c>
      <c r="W105" s="11" t="n">
        <v>1</v>
      </c>
      <c r="X105" s="11" t="n">
        <v>2</v>
      </c>
      <c r="Y105" s="11" t="n">
        <v>0</v>
      </c>
    </row>
    <row r="106">
      <c r="A106" s="11" t="inlineStr">
        <is>
          <t>GEB.10.1</t>
        </is>
      </c>
      <c r="B106" s="12" t="inlineStr">
        <is>
          <t>Klimatisierung</t>
        </is>
      </c>
      <c r="C106" s="11" t="inlineStr">
        <is>
          <t>GEB.10.1.1</t>
        </is>
      </c>
      <c r="D106" s="11" t="inlineStr">
        <is>
          <t>Anforderungen bei erhöhtem Schutzbedarf</t>
        </is>
      </c>
      <c r="E106" s="12" t="inlineStr">
        <is>
          <t>Gebäudemanagement für Serverräume KANN den Klimatisierungsbedarf anhand einer Luftstrom-Analyse regelmäßig überprüfen.</t>
        </is>
      </c>
      <c r="F106" s="14" t="n"/>
      <c r="G106" s="14" t="n"/>
      <c r="H106" s="14" t="inlineStr">
        <is>
          <t>unbearbeitet</t>
        </is>
      </c>
      <c r="I106" s="14" t="n"/>
      <c r="J106" s="14" t="n"/>
      <c r="K106" s="14" t="n"/>
      <c r="L106" s="15" t="n"/>
      <c r="M106" s="11" t="inlineStr"/>
      <c r="N106" s="12" t="inlineStr"/>
      <c r="O106" s="11" t="inlineStr"/>
      <c r="P106" s="12" t="inlineStr">
        <is>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is>
      </c>
      <c r="Q106" s="11" t="inlineStr">
        <is>
          <t>Serverräume</t>
        </is>
      </c>
      <c r="R106" s="11" t="inlineStr">
        <is>
          <t>Übungs- und Prüfplan</t>
        </is>
      </c>
      <c r="S106" s="12" t="inlineStr">
        <is>
          <t>den Klimatisierungsbedarf anhand einer Luftstrom-Analyse</t>
        </is>
      </c>
      <c r="T106" s="12" t="inlineStr">
        <is>
          <t>G 0.18 – Fehlplanung oder fehlende Anpassung</t>
        </is>
      </c>
      <c r="U106" s="11" t="n">
        <v>4</v>
      </c>
      <c r="V106" s="11" t="n">
        <v>1</v>
      </c>
      <c r="W106" s="11" t="n">
        <v>1</v>
      </c>
      <c r="X106" s="11" t="n">
        <v>1</v>
      </c>
      <c r="Y106" s="11" t="n">
        <v>0</v>
      </c>
    </row>
    <row r="107">
      <c r="A107" s="11" t="inlineStr">
        <is>
          <t>GEB.10.1</t>
        </is>
      </c>
      <c r="B107" s="12" t="inlineStr">
        <is>
          <t>Klimatisierung</t>
        </is>
      </c>
      <c r="C107" s="11" t="inlineStr">
        <is>
          <t>GEB.10.1.2</t>
        </is>
      </c>
      <c r="D107" s="11" t="inlineStr">
        <is>
          <t>Standard-Anforderungen</t>
        </is>
      </c>
      <c r="E107" s="12" t="inlineStr">
        <is>
          <t>Gebäudemanagement für Serverräume SOLLTE Lufttemperatur und Luftfeuchtigkeit anhand von Schwellwerten überwachen.</t>
        </is>
      </c>
      <c r="F107" s="14" t="n"/>
      <c r="G107" s="14" t="n"/>
      <c r="H107" s="14" t="inlineStr">
        <is>
          <t>unbearbeitet</t>
        </is>
      </c>
      <c r="I107" s="14" t="n"/>
      <c r="J107" s="14" t="n"/>
      <c r="K107" s="14" t="n"/>
      <c r="L107" s="15" t="n"/>
      <c r="M107" s="11" t="inlineStr">
        <is>
          <t>Verfügbarkeit</t>
        </is>
      </c>
      <c r="N107" s="12" t="inlineStr"/>
      <c r="O107" s="11" t="inlineStr"/>
      <c r="P107" s="12" t="inlineStr">
        <is>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is>
      </c>
      <c r="Q107" s="11" t="inlineStr">
        <is>
          <t>Serverräume</t>
        </is>
      </c>
      <c r="R107" s="11" t="inlineStr">
        <is>
          <t>IT-Betriebskonzept</t>
        </is>
      </c>
      <c r="S107" s="12" t="inlineStr">
        <is>
          <t>Lufttemperatur und Luftfeuchtigkeit</t>
        </is>
      </c>
      <c r="T107" s="12" t="inlineStr">
        <is>
          <t>G 0.2 – Ungünstige klimatische Bedingungen</t>
        </is>
      </c>
      <c r="U107" s="11" t="n">
        <v>3</v>
      </c>
      <c r="V107" s="11" t="n">
        <v>0</v>
      </c>
      <c r="W107" s="11" t="n">
        <v>1</v>
      </c>
      <c r="X107" s="11" t="n">
        <v>2</v>
      </c>
      <c r="Y107" s="11" t="n">
        <v>0</v>
      </c>
    </row>
    <row r="108">
      <c r="A108" s="11" t="inlineStr">
        <is>
          <t>GEB.10.1</t>
        </is>
      </c>
      <c r="B108" s="12" t="inlineStr">
        <is>
          <t>Klimatisierung</t>
        </is>
      </c>
      <c r="C108" s="11" t="inlineStr">
        <is>
          <t>GEB.10.1.3</t>
        </is>
      </c>
      <c r="D108" s="11" t="inlineStr">
        <is>
          <t>Anforderungen bei erhöhtem Schutzbedarf</t>
        </is>
      </c>
      <c r="E108" s="12" t="inlineStr">
        <is>
          <t>Gebäudemanagement für Standorte KANN redundante Klimasysteme installieren.</t>
        </is>
      </c>
      <c r="F108" s="14" t="n"/>
      <c r="G108" s="14" t="n"/>
      <c r="H108" s="14" t="inlineStr">
        <is>
          <t>unbearbeitet</t>
        </is>
      </c>
      <c r="I108" s="14" t="n"/>
      <c r="J108" s="14" t="n"/>
      <c r="K108" s="14" t="n"/>
      <c r="L108" s="15" t="n"/>
      <c r="M108" s="11" t="inlineStr">
        <is>
          <t>Verfügbarkeit</t>
        </is>
      </c>
      <c r="N108" s="12" t="inlineStr"/>
      <c r="O108" s="11" t="inlineStr"/>
      <c r="P108" s="12" t="inlineStr">
        <is>
          <t>Redundant ist eine Klimatisierung, wenn alle zu ihrer Funktionsfähigkeit erforderlichen Komponenten und Anbindungen redundant sind, d.h. kein einzelner Fehlerpunkt zu einem Ausfall führen würde (Single Point of Failure).</t>
        </is>
      </c>
      <c r="Q108" s="11" t="inlineStr">
        <is>
          <t>Standorte</t>
        </is>
      </c>
      <c r="R108" s="11" t="inlineStr">
        <is>
          <t>IT-Betriebskonzept</t>
        </is>
      </c>
      <c r="S108" s="12" t="inlineStr">
        <is>
          <t>redundante Klimasysteme</t>
        </is>
      </c>
      <c r="T108" s="12" t="inlineStr">
        <is>
          <t>G 0.18 – Fehlplanung oder fehlende Anpassung</t>
        </is>
      </c>
      <c r="U108" s="11" t="n">
        <v>5</v>
      </c>
      <c r="V108" s="11" t="n">
        <v>1</v>
      </c>
      <c r="W108" s="11" t="n">
        <v>1</v>
      </c>
      <c r="X108" s="11" t="n">
        <v>2</v>
      </c>
      <c r="Y108" s="11" t="n">
        <v>0</v>
      </c>
    </row>
    <row r="109">
      <c r="A109" s="9" t="inlineStr">
        <is>
          <t>GEB.10.2</t>
        </is>
      </c>
      <c r="B109" s="10" t="inlineStr">
        <is>
          <t>Brandschutz</t>
        </is>
      </c>
      <c r="C109" s="11" t="n"/>
      <c r="D109" s="11" t="inlineStr">
        <is>
          <t>Standard-Anforderungen</t>
        </is>
      </c>
      <c r="E109" s="12" t="inlineStr">
        <is>
          <t>Gesamt:</t>
        </is>
      </c>
      <c r="F109" s="11" t="n"/>
      <c r="G109" s="11" t="n"/>
      <c r="H109" s="13">
        <f>IF(OR(COUNTBLANK($H$110:$H$117)&gt;0,COUNTIF($H$110:$H$117,"unbearbeitet")=COUNTA($H$110:$H$117)),"Bitte Teilanforderungen ausfüllen",IF(COUNTIF($H$110:$H$117,"zu klären")&gt;0,"zu klären",IF(COUNTIF($H$110:$H$117,"entbehrlich")=COUNTA($H$110:$H$117),"entbehrlich",IF(COUNTIF($H$110:$H$117,"verwiesen")=COUNTA($H$110:$H$117),"verwiesen",IF(COUNTIF($H$110:$H$117,"nein")+COUNTIF($H$110:$H$117,"entbehrlich")=COUNTA($H$110:$H$117),"nein",IF(COUNTIF($H$110:$H$117,"ja")+COUNTIF($H$110:$H$117,"entbehrlich")+COUNTIF($H$110:$H$117,"verwiesen")=COUNTA($H$110:$H$117),"ja","teilweise"))))))</f>
        <v/>
      </c>
      <c r="I109" s="11" t="n"/>
      <c r="J109" s="11" t="n"/>
      <c r="K109" s="11" t="n"/>
      <c r="L109" s="11" t="n"/>
      <c r="M109" s="11" t="inlineStr">
        <is>
          <t>Verfügbarkeit</t>
        </is>
      </c>
      <c r="N109" s="12" t="inlineStr"/>
      <c r="O109" s="11" t="inlineStr"/>
      <c r="P109" s="12" t="inlineStr">
        <is>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is>
      </c>
      <c r="Q109" s="11" t="inlineStr">
        <is>
          <t>Standorte</t>
        </is>
      </c>
      <c r="R109" s="11" t="inlineStr">
        <is>
          <t>Gebäudedokumentation</t>
        </is>
      </c>
      <c r="S109" s="12" t="inlineStr">
        <is>
          <t>Brandschutz</t>
        </is>
      </c>
      <c r="T109" s="12" t="inlineStr">
        <is>
          <t>G 0.18 – Fehlplanung oder fehlende Anpassung; G 0.29 – Verstoß gegen Gesetze oder Regelungen</t>
        </is>
      </c>
      <c r="U109" s="11" t="n">
        <v>2</v>
      </c>
      <c r="V109" s="11" t="n">
        <v>1</v>
      </c>
      <c r="W109" s="11" t="n">
        <v>1</v>
      </c>
      <c r="X109" s="11" t="n">
        <v>2</v>
      </c>
      <c r="Y109" s="11" t="n">
        <v>0</v>
      </c>
    </row>
    <row r="110">
      <c r="A110" s="11" t="inlineStr">
        <is>
          <t>GEB.10.2</t>
        </is>
      </c>
      <c r="B110" s="12" t="inlineStr">
        <is>
          <t>Brandschutz</t>
        </is>
      </c>
      <c r="C110" s="11" t="inlineStr">
        <is>
          <t>GEB.10.2</t>
        </is>
      </c>
      <c r="D110" s="11" t="inlineStr">
        <is>
          <t>Standard-Anforderungen</t>
        </is>
      </c>
      <c r="E110" s="12" t="inlineStr">
        <is>
          <t>Gebäudemanagement für Standorte SOLLTE Brandschutz nach den entsprechenden Normen verankern.</t>
        </is>
      </c>
      <c r="F110" s="14" t="n"/>
      <c r="G110" s="14" t="n"/>
      <c r="H110" s="14" t="inlineStr">
        <is>
          <t>unbearbeitet</t>
        </is>
      </c>
      <c r="I110" s="14" t="n"/>
      <c r="J110" s="14" t="n"/>
      <c r="K110" s="14" t="n"/>
      <c r="L110" s="15" t="n"/>
      <c r="M110" s="11" t="inlineStr">
        <is>
          <t>Verfügbarkeit</t>
        </is>
      </c>
      <c r="N110" s="12" t="inlineStr"/>
      <c r="O110" s="11" t="inlineStr"/>
      <c r="P110" s="12" t="inlineStr">
        <is>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is>
      </c>
      <c r="Q110" s="11" t="inlineStr">
        <is>
          <t>Standorte</t>
        </is>
      </c>
      <c r="R110" s="11" t="inlineStr">
        <is>
          <t>Gebäudedokumentation</t>
        </is>
      </c>
      <c r="S110" s="12" t="inlineStr">
        <is>
          <t>Brandschutz</t>
        </is>
      </c>
      <c r="T110" s="12" t="inlineStr">
        <is>
          <t>G 0.18 – Fehlplanung oder fehlende Anpassung; G 0.29 – Verstoß gegen Gesetze oder Regelungen</t>
        </is>
      </c>
      <c r="U110" s="11" t="n">
        <v>2</v>
      </c>
      <c r="V110" s="11" t="n">
        <v>1</v>
      </c>
      <c r="W110" s="11" t="n">
        <v>1</v>
      </c>
      <c r="X110" s="11" t="n">
        <v>2</v>
      </c>
      <c r="Y110" s="11" t="n">
        <v>0</v>
      </c>
    </row>
    <row r="111">
      <c r="A111" s="11" t="inlineStr">
        <is>
          <t>GEB.10.2</t>
        </is>
      </c>
      <c r="B111" s="12" t="inlineStr">
        <is>
          <t>Brandschutz</t>
        </is>
      </c>
      <c r="C111" s="11" t="inlineStr">
        <is>
          <t>GEB.10.2.1</t>
        </is>
      </c>
      <c r="D111" s="11" t="inlineStr">
        <is>
          <t>Standard-Anforderungen</t>
        </is>
      </c>
      <c r="E111" s="12" t="inlineStr">
        <is>
          <t>Gebäudemanagement für Räume SOLLTE bauliche Brandschutzeinrichtungen nach den entsprechenden Normen installieren.</t>
        </is>
      </c>
      <c r="F111" s="14" t="n"/>
      <c r="G111" s="14" t="n"/>
      <c r="H111" s="14" t="inlineStr">
        <is>
          <t>unbearbeitet</t>
        </is>
      </c>
      <c r="I111" s="14" t="n"/>
      <c r="J111" s="14" t="n"/>
      <c r="K111" s="14" t="n"/>
      <c r="L111" s="15" t="n"/>
      <c r="M111" s="11" t="inlineStr"/>
      <c r="N111" s="12" t="inlineStr"/>
      <c r="O111" s="11" t="inlineStr"/>
      <c r="P111" s="12" t="inlineStr">
        <is>
          <t>Relevant ist für das Brandverhalten von Bauprodukten und Bauarten die europäische Normenreihe DIN EN 13501 mit ihren sieben Klassen (A1, A2, B, C, D, E, F).</t>
        </is>
      </c>
      <c r="Q111" s="11" t="inlineStr">
        <is>
          <t>Räume</t>
        </is>
      </c>
      <c r="R111" s="11" t="inlineStr">
        <is>
          <t>Gebäudedokumentation</t>
        </is>
      </c>
      <c r="S111" s="12" t="inlineStr">
        <is>
          <t>bauliche Brandschutzeinrichtungen</t>
        </is>
      </c>
      <c r="T111" s="12" t="inlineStr">
        <is>
          <t>G 0.18 – Fehlplanung oder fehlende Anpassung</t>
        </is>
      </c>
      <c r="U111" s="11" t="n">
        <v>3</v>
      </c>
      <c r="V111" s="11" t="n">
        <v>1</v>
      </c>
      <c r="W111" s="11" t="n">
        <v>1</v>
      </c>
      <c r="X111" s="11" t="n">
        <v>1</v>
      </c>
      <c r="Y111" s="11" t="n">
        <v>0</v>
      </c>
    </row>
    <row r="112">
      <c r="A112" s="11" t="inlineStr">
        <is>
          <t>GEB.10.2</t>
        </is>
      </c>
      <c r="B112" s="12" t="inlineStr">
        <is>
          <t>Brandschutz</t>
        </is>
      </c>
      <c r="C112" s="11" t="inlineStr">
        <is>
          <t>GEB.10.2.2</t>
        </is>
      </c>
      <c r="D112" s="11" t="inlineStr">
        <is>
          <t>Standard-Anforderungen</t>
        </is>
      </c>
      <c r="E112" s="12" t="inlineStr">
        <is>
          <t>Gebäudemanagement für Räume SOLLTE Brandabschnitte nach den entsprechenden Normen installieren.</t>
        </is>
      </c>
      <c r="F112" s="14" t="n"/>
      <c r="G112" s="14" t="n"/>
      <c r="H112" s="14" t="inlineStr">
        <is>
          <t>unbearbeitet</t>
        </is>
      </c>
      <c r="I112" s="14" t="n"/>
      <c r="J112" s="14" t="n"/>
      <c r="K112" s="14" t="n"/>
      <c r="L112" s="15" t="n"/>
      <c r="M112" s="11" t="inlineStr">
        <is>
          <t>Verfügbarkeit</t>
        </is>
      </c>
      <c r="N112" s="12" t="inlineStr">
        <is>
          <t>INF.2.A2-UA.3</t>
        </is>
      </c>
      <c r="O112" s="11" t="inlineStr">
        <is>
          <t>equivalent-to</t>
        </is>
      </c>
      <c r="P112" s="12" t="inlineStr">
        <is>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is>
      </c>
      <c r="Q112" s="11" t="inlineStr">
        <is>
          <t>Räume</t>
        </is>
      </c>
      <c r="R112" s="11" t="inlineStr">
        <is>
          <t>Gebäudedokumentation</t>
        </is>
      </c>
      <c r="S112" s="12" t="inlineStr">
        <is>
          <t>Brandabschnitte</t>
        </is>
      </c>
      <c r="T112" s="12" t="inlineStr">
        <is>
          <t>G 0.18 – Fehlplanung oder fehlende Anpassung</t>
        </is>
      </c>
      <c r="U112" s="11" t="n">
        <v>4</v>
      </c>
      <c r="V112" s="11" t="n">
        <v>1</v>
      </c>
      <c r="W112" s="11" t="n">
        <v>1</v>
      </c>
      <c r="X112" s="11" t="n">
        <v>2</v>
      </c>
      <c r="Y112" s="11" t="n">
        <v>0</v>
      </c>
    </row>
    <row r="113">
      <c r="A113" s="11" t="inlineStr">
        <is>
          <t>GEB.10.2</t>
        </is>
      </c>
      <c r="B113" s="12" t="inlineStr">
        <is>
          <t>Brandschutz</t>
        </is>
      </c>
      <c r="C113" s="11" t="inlineStr">
        <is>
          <t>GEB.10.2.3</t>
        </is>
      </c>
      <c r="D113" s="11" t="inlineStr">
        <is>
          <t>Anforderungen bei erhöhtem Schutzbedarf</t>
        </is>
      </c>
      <c r="E113" s="12" t="inlineStr">
        <is>
          <t>Gebäudemanagement für Räume KANN alle raumbildende Teile rauchdicht installieren.</t>
        </is>
      </c>
      <c r="F113" s="14" t="n"/>
      <c r="G113" s="14" t="n"/>
      <c r="H113" s="14" t="inlineStr">
        <is>
          <t>unbearbeitet</t>
        </is>
      </c>
      <c r="I113" s="14" t="n"/>
      <c r="J113" s="14" t="n"/>
      <c r="K113" s="14" t="n"/>
      <c r="L113" s="15" t="n"/>
      <c r="M113" s="11" t="inlineStr">
        <is>
          <t>Verfügbarkeit</t>
        </is>
      </c>
      <c r="N113" s="12" t="inlineStr">
        <is>
          <t>INF.2.A2-UA.3</t>
        </is>
      </c>
      <c r="O113" s="11" t="inlineStr">
        <is>
          <t>equivalent-to</t>
        </is>
      </c>
      <c r="P113" s="12" t="inlineStr">
        <is>
          <t>Hierunter ist zu verstehen, dass alle raumbildenden Teile (Wände, Türen und falls benötigt Fenster) rauchdicht sind.</t>
        </is>
      </c>
      <c r="Q113" s="11" t="inlineStr">
        <is>
          <t>Räume</t>
        </is>
      </c>
      <c r="R113" s="11" t="inlineStr">
        <is>
          <t>Gebäudedokumentation</t>
        </is>
      </c>
      <c r="S113" s="12" t="inlineStr">
        <is>
          <t>alle raumbildende Teile rauchdicht</t>
        </is>
      </c>
      <c r="T113" s="12" t="inlineStr">
        <is>
          <t>G 0.18 – Fehlplanung oder fehlende Anpassung</t>
        </is>
      </c>
      <c r="U113" s="11" t="n">
        <v>5</v>
      </c>
      <c r="V113" s="11" t="n">
        <v>1</v>
      </c>
      <c r="W113" s="11" t="n">
        <v>1</v>
      </c>
      <c r="X113" s="11" t="n">
        <v>2</v>
      </c>
      <c r="Y113" s="11" t="n">
        <v>0</v>
      </c>
    </row>
    <row r="114">
      <c r="A114" s="11" t="inlineStr">
        <is>
          <t>GEB.10.2</t>
        </is>
      </c>
      <c r="B114" s="12" t="inlineStr">
        <is>
          <t>Brandschutz</t>
        </is>
      </c>
      <c r="C114" s="11" t="inlineStr">
        <is>
          <t>GEB.10.2.4</t>
        </is>
      </c>
      <c r="D114" s="11" t="inlineStr">
        <is>
          <t>Anforderungen bei erhöhtem Schutzbedarf</t>
        </is>
      </c>
      <c r="E114" s="12" t="inlineStr">
        <is>
          <t>Gebäudemanagement für Räume KANN feuerfeste Materialen für alle raumbildenden Teile , sodass sie Feuern für eine bestimmte Frist standhalten, installieren.</t>
        </is>
      </c>
      <c r="F114" s="14" t="n"/>
      <c r="G114" s="14" t="n"/>
      <c r="H114" s="14" t="inlineStr">
        <is>
          <t>unbearbeitet</t>
        </is>
      </c>
      <c r="I114" s="14" t="n"/>
      <c r="J114" s="14" t="n"/>
      <c r="K114" s="14" t="n"/>
      <c r="L114" s="15" t="n"/>
      <c r="M114" s="11" t="inlineStr">
        <is>
          <t>Verfügbarkeit</t>
        </is>
      </c>
      <c r="N114" s="12" t="inlineStr"/>
      <c r="O114" s="11" t="inlineStr"/>
      <c r="P114" s="12" t="inlineStr">
        <is>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is>
      </c>
      <c r="Q114" s="11" t="inlineStr">
        <is>
          <t>Räume</t>
        </is>
      </c>
      <c r="R114" s="11" t="inlineStr">
        <is>
          <t>Gebäudedokumentation</t>
        </is>
      </c>
      <c r="S114" s="12" t="inlineStr">
        <is>
          <t>feuerfeste Materialen für alle raumbildenden Teile</t>
        </is>
      </c>
      <c r="T114" s="12" t="inlineStr">
        <is>
          <t>G 0.1 – Feuer</t>
        </is>
      </c>
      <c r="U114" s="11" t="n">
        <v>5</v>
      </c>
      <c r="V114" s="11" t="n">
        <v>1</v>
      </c>
      <c r="W114" s="11" t="n">
        <v>1</v>
      </c>
      <c r="X114" s="11" t="n">
        <v>2</v>
      </c>
      <c r="Y114" s="11" t="n">
        <v>0</v>
      </c>
    </row>
    <row r="115">
      <c r="A115" s="11" t="inlineStr">
        <is>
          <t>GEB.10.2</t>
        </is>
      </c>
      <c r="B115" s="12" t="inlineStr">
        <is>
          <t>Brandschutz</t>
        </is>
      </c>
      <c r="C115" s="11" t="inlineStr">
        <is>
          <t>GEB.10.2.5</t>
        </is>
      </c>
      <c r="D115" s="11" t="inlineStr">
        <is>
          <t>Standard-Anforderungen</t>
        </is>
      </c>
      <c r="E115" s="12" t="inlineStr">
        <is>
          <t>Gebäudemanagement für Standorte SOLLTE das Entstehen von Bränden überwachen.</t>
        </is>
      </c>
      <c r="F115" s="14" t="n"/>
      <c r="G115" s="14" t="n"/>
      <c r="H115" s="14" t="inlineStr">
        <is>
          <t>unbearbeitet</t>
        </is>
      </c>
      <c r="I115" s="14" t="n"/>
      <c r="J115" s="14" t="n"/>
      <c r="K115" s="14" t="n"/>
      <c r="L115" s="15" t="n"/>
      <c r="M115" s="11" t="inlineStr">
        <is>
          <t>Verfügbarkeit</t>
        </is>
      </c>
      <c r="N115" s="12" t="inlineStr"/>
      <c r="O115" s="11" t="inlineStr"/>
      <c r="P115" s="12" t="inlineStr">
        <is>
          <t>Die Umsetzung kann durch Brandmeldezentralen oder dezentrale Brandmeldealarmierung erfolgen, siehe DIN EN 54 und DIN VDE 0833-2.</t>
        </is>
      </c>
      <c r="Q115" s="11" t="inlineStr">
        <is>
          <t>Standorte</t>
        </is>
      </c>
      <c r="R115" s="11" t="inlineStr">
        <is>
          <t>Gebäudedokumentation</t>
        </is>
      </c>
      <c r="S115" s="12" t="inlineStr">
        <is>
          <t>das Entstehen von Bränden</t>
        </is>
      </c>
      <c r="T115" s="12" t="inlineStr">
        <is>
          <t>G 0.18 – Fehlplanung oder fehlende Anpassung</t>
        </is>
      </c>
      <c r="U115" s="11" t="n">
        <v>3</v>
      </c>
      <c r="V115" s="11" t="n">
        <v>1</v>
      </c>
      <c r="W115" s="11" t="n">
        <v>1</v>
      </c>
      <c r="X115" s="11" t="n">
        <v>2</v>
      </c>
      <c r="Y115" s="11" t="n">
        <v>0</v>
      </c>
    </row>
    <row r="116">
      <c r="A116" s="11" t="inlineStr">
        <is>
          <t>GEB.10.2</t>
        </is>
      </c>
      <c r="B116" s="12" t="inlineStr">
        <is>
          <t>Brandschutz</t>
        </is>
      </c>
      <c r="C116" s="11" t="inlineStr">
        <is>
          <t>GEB.10.2.6</t>
        </is>
      </c>
      <c r="D116" s="11" t="inlineStr">
        <is>
          <t>Anforderungen bei erhöhtem Schutzbedarf</t>
        </is>
      </c>
      <c r="E116" s="12" t="inlineStr">
        <is>
          <t>Gebäudemanagement für Serverräume KANN Brandunterdrückungssysteme installieren.</t>
        </is>
      </c>
      <c r="F116" s="14" t="n"/>
      <c r="G116" s="14" t="n"/>
      <c r="H116" s="14" t="inlineStr">
        <is>
          <t>unbearbeitet</t>
        </is>
      </c>
      <c r="I116" s="14" t="n"/>
      <c r="J116" s="14" t="n"/>
      <c r="K116" s="14" t="n"/>
      <c r="L116" s="15" t="n"/>
      <c r="M116" s="11" t="inlineStr">
        <is>
          <t>Verfügbarkeit</t>
        </is>
      </c>
      <c r="N116" s="12" t="inlineStr"/>
      <c r="O116" s="11" t="inlineStr"/>
      <c r="P116" s="12" t="inlineStr">
        <is>
          <t>Kann z.B. durch eine Anlage zur Sauerstoffreduktion unter 15 Volumenprozent umgesetzt werden, da Feuer sich so kaum entzünden kann. Siehe ISO 20338. Denken Sie dabei auch an den Schutz des Personals, siehe Arbeitstättenverordnung (ArbStättV).</t>
        </is>
      </c>
      <c r="Q116" s="11" t="inlineStr">
        <is>
          <t>Serverräume</t>
        </is>
      </c>
      <c r="R116" s="11" t="inlineStr">
        <is>
          <t>Gebäudedokumentation</t>
        </is>
      </c>
      <c r="S116" s="12" t="inlineStr">
        <is>
          <t>Brandunterdrückungssysteme</t>
        </is>
      </c>
      <c r="T116" s="12" t="inlineStr">
        <is>
          <t>G 0.18 – Fehlplanung oder fehlende Anpassung</t>
        </is>
      </c>
      <c r="U116" s="11" t="n">
        <v>5</v>
      </c>
      <c r="V116" s="11" t="n">
        <v>1</v>
      </c>
      <c r="W116" s="11" t="n">
        <v>1</v>
      </c>
      <c r="X116" s="11" t="n">
        <v>2</v>
      </c>
      <c r="Y116" s="11" t="n">
        <v>0</v>
      </c>
    </row>
    <row r="117">
      <c r="A117" s="11" t="inlineStr">
        <is>
          <t>GEB.10.2</t>
        </is>
      </c>
      <c r="B117" s="12" t="inlineStr">
        <is>
          <t>Brandschutz</t>
        </is>
      </c>
      <c r="C117" s="11" t="inlineStr">
        <is>
          <t>GEB.10.2.7</t>
        </is>
      </c>
      <c r="D117" s="11" t="inlineStr">
        <is>
          <t>Standard-Anforderungen</t>
        </is>
      </c>
      <c r="E117" s="12" t="inlineStr">
        <is>
          <t>Gebäudemanagement für Standorte SOLLTE die Wirksamkeit der Brandschutzmaßnahmen regelmäßig überprüfen.</t>
        </is>
      </c>
      <c r="F117" s="14" t="n"/>
      <c r="G117" s="14" t="n"/>
      <c r="H117" s="14" t="inlineStr">
        <is>
          <t>unbearbeitet</t>
        </is>
      </c>
      <c r="I117" s="14" t="n"/>
      <c r="J117" s="14" t="n"/>
      <c r="K117" s="14" t="n"/>
      <c r="L117" s="15" t="n"/>
      <c r="M117" s="11" t="inlineStr"/>
      <c r="N117" s="12" t="inlineStr"/>
      <c r="O117" s="11" t="inlineStr"/>
      <c r="P117" s="12" t="inlineStr">
        <is>
          <t>Eine regelmäßige Überprüfung von Brandmeldeanlagen, Rauchmeldern und organisatorische Maßnahmen stellt sicher, dass diese weiterhin funktionieren. Hier besteht ein enger Zusammenhang zu Compliance-Verpflichtungen, die Brandschutzprüfungen fordern.</t>
        </is>
      </c>
      <c r="Q117" s="11" t="inlineStr">
        <is>
          <t>Standorte</t>
        </is>
      </c>
      <c r="R117" s="11" t="inlineStr">
        <is>
          <t>Übungs- und Prüfplan</t>
        </is>
      </c>
      <c r="S117" s="12" t="inlineStr">
        <is>
          <t>die Wirksamkeit der Brandschutzmaßnahmen</t>
        </is>
      </c>
      <c r="T117" s="12" t="inlineStr">
        <is>
          <t>G 0.18 – Fehlplanung oder fehlende Anpassung</t>
        </is>
      </c>
      <c r="U117" s="11" t="n">
        <v>3</v>
      </c>
      <c r="V117" s="11" t="n">
        <v>1</v>
      </c>
      <c r="W117" s="11" t="n">
        <v>1</v>
      </c>
      <c r="X117" s="11" t="n">
        <v>1</v>
      </c>
      <c r="Y117" s="11" t="n">
        <v>0</v>
      </c>
    </row>
    <row r="118">
      <c r="A118" s="9" t="inlineStr">
        <is>
          <t>GEB.10.3</t>
        </is>
      </c>
      <c r="B118" s="10" t="inlineStr">
        <is>
          <t>Wasserschutz</t>
        </is>
      </c>
      <c r="C118" s="11" t="n"/>
      <c r="D118" s="11" t="inlineStr">
        <is>
          <t>Standard-Anforderungen</t>
        </is>
      </c>
      <c r="E118" s="12" t="inlineStr">
        <is>
          <t>Gesamt:</t>
        </is>
      </c>
      <c r="F118" s="11" t="n"/>
      <c r="G118" s="11" t="n"/>
      <c r="H118" s="13">
        <f>IF(OR(COUNTBLANK($H$119:$H$121)&gt;0,COUNTIF($H$119:$H$121,"unbearbeitet")=COUNTA($H$119:$H$121)),"Bitte Teilanforderungen ausfüllen",IF(COUNTIF($H$119:$H$121,"zu klären")&gt;0,"zu klären",IF(COUNTIF($H$119:$H$121,"entbehrlich")=COUNTA($H$119:$H$121),"entbehrlich",IF(COUNTIF($H$119:$H$121,"verwiesen")=COUNTA($H$119:$H$121),"verwiesen",IF(COUNTIF($H$119:$H$121,"nein")+COUNTIF($H$119:$H$121,"entbehrlich")=COUNTA($H$119:$H$121),"nein",IF(COUNTIF($H$119:$H$121,"ja")+COUNTIF($H$119:$H$121,"entbehrlich")+COUNTIF($H$119:$H$121,"verwiesen")=COUNTA($H$119:$H$121),"ja","teilweise"))))))</f>
        <v/>
      </c>
      <c r="I118" s="11" t="n"/>
      <c r="J118" s="11" t="n"/>
      <c r="K118" s="11" t="n"/>
      <c r="L118" s="11" t="n"/>
      <c r="M118" s="11" t="inlineStr">
        <is>
          <t>Verfügbarkeit</t>
        </is>
      </c>
      <c r="N118" s="12" t="inlineStr"/>
      <c r="O118" s="11" t="inlineStr"/>
      <c r="P118" s="12" t="inlineStr">
        <is>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is>
      </c>
      <c r="Q118" s="11" t="inlineStr">
        <is>
          <t>Standorte</t>
        </is>
      </c>
      <c r="R118" s="11" t="inlineStr">
        <is>
          <t>Gebäudedokumentation</t>
        </is>
      </c>
      <c r="S118" s="12" t="inlineStr">
        <is>
          <t>zwischen Assets und Witterungs- sowie Wassergefahrenstellen mindestens eine physische Schutzmaßnahme vor Wasser</t>
        </is>
      </c>
      <c r="T118" s="12" t="inlineStr">
        <is>
          <t>G 0.3 – Wasser</t>
        </is>
      </c>
      <c r="U118" s="11" t="n">
        <v>2</v>
      </c>
      <c r="V118" s="11" t="n">
        <v>0</v>
      </c>
      <c r="W118" s="11" t="n">
        <v>1</v>
      </c>
      <c r="X118" s="11" t="n">
        <v>2</v>
      </c>
      <c r="Y118" s="11" t="n">
        <v>0</v>
      </c>
    </row>
    <row r="119">
      <c r="A119" s="11" t="inlineStr">
        <is>
          <t>GEB.10.3</t>
        </is>
      </c>
      <c r="B119" s="12" t="inlineStr">
        <is>
          <t>Wasserschutz</t>
        </is>
      </c>
      <c r="C119" s="11" t="inlineStr">
        <is>
          <t>GEB.10.3</t>
        </is>
      </c>
      <c r="D119" s="11" t="inlineStr">
        <is>
          <t>Standard-Anforderungen</t>
        </is>
      </c>
      <c r="E119" s="12" t="inlineStr">
        <is>
          <t>Gebäudemanagement für Standorte SOLLTE zwischen Assets und Witterungs- sowie Wassergefahrenstellen mindestens eine physische Schutzmaßnahme vor Wasser nach den entsprechenden Normen installieren.</t>
        </is>
      </c>
      <c r="F119" s="14" t="n"/>
      <c r="G119" s="14" t="n"/>
      <c r="H119" s="14" t="inlineStr">
        <is>
          <t>unbearbeitet</t>
        </is>
      </c>
      <c r="I119" s="14" t="n"/>
      <c r="J119" s="14" t="n"/>
      <c r="K119" s="14" t="n"/>
      <c r="L119" s="15" t="n"/>
      <c r="M119" s="11" t="inlineStr">
        <is>
          <t>Verfügbarkeit</t>
        </is>
      </c>
      <c r="N119" s="12" t="inlineStr"/>
      <c r="O119" s="11" t="inlineStr"/>
      <c r="P119" s="12" t="inlineStr">
        <is>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is>
      </c>
      <c r="Q119" s="11" t="inlineStr">
        <is>
          <t>Standorte</t>
        </is>
      </c>
      <c r="R119" s="11" t="inlineStr">
        <is>
          <t>Gebäudedokumentation</t>
        </is>
      </c>
      <c r="S119" s="12" t="inlineStr">
        <is>
          <t>zwischen Assets und Witterungs- sowie Wassergefahrenstellen mindestens eine physische Schutzmaßnahme vor Wasser</t>
        </is>
      </c>
      <c r="T119" s="12" t="inlineStr">
        <is>
          <t>G 0.3 – Wasser</t>
        </is>
      </c>
      <c r="U119" s="11" t="n">
        <v>2</v>
      </c>
      <c r="V119" s="11" t="n">
        <v>0</v>
      </c>
      <c r="W119" s="11" t="n">
        <v>1</v>
      </c>
      <c r="X119" s="11" t="n">
        <v>2</v>
      </c>
      <c r="Y119" s="11" t="n">
        <v>0</v>
      </c>
    </row>
    <row r="120">
      <c r="A120" s="11" t="inlineStr">
        <is>
          <t>GEB.10.3</t>
        </is>
      </c>
      <c r="B120" s="12" t="inlineStr">
        <is>
          <t>Wasserschutz</t>
        </is>
      </c>
      <c r="C120" s="11" t="inlineStr">
        <is>
          <t>GEB.10.3.1</t>
        </is>
      </c>
      <c r="D120" s="11" t="inlineStr">
        <is>
          <t>Anforderungen bei erhöhtem Schutzbedarf</t>
        </is>
      </c>
      <c r="E120" s="12" t="inlineStr">
        <is>
          <t>Gebäudemanagement für Standorte KANN zwischen Wassergefahrenstellen und Assets mindestens zwei bauliche Schutzmaßnahmen vor Wasser nach den entsprechenden Normen installieren.</t>
        </is>
      </c>
      <c r="F120" s="14" t="n"/>
      <c r="G120" s="14" t="n"/>
      <c r="H120" s="14" t="inlineStr">
        <is>
          <t>unbearbeitet</t>
        </is>
      </c>
      <c r="I120" s="14" t="n"/>
      <c r="J120" s="14" t="n"/>
      <c r="K120" s="14" t="n"/>
      <c r="L120" s="15" t="n"/>
      <c r="M120" s="11" t="inlineStr">
        <is>
          <t>Verfügbarkeit</t>
        </is>
      </c>
      <c r="N120" s="12" t="inlineStr"/>
      <c r="O120" s="11" t="inlineStr"/>
      <c r="P120" s="12" t="inlineStr">
        <is>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is>
      </c>
      <c r="Q120" s="11" t="inlineStr">
        <is>
          <t>Standorte</t>
        </is>
      </c>
      <c r="R120" s="11" t="inlineStr">
        <is>
          <t>Gebäudedokumentation</t>
        </is>
      </c>
      <c r="S120" s="12" t="inlineStr">
        <is>
          <t>zwischen Wassergefahrenstellen und Assets mindestens zwei bauliche Schutzmaßnahmen vor Wasser</t>
        </is>
      </c>
      <c r="T120" s="12" t="inlineStr">
        <is>
          <t>G 0.3 – Wasser</t>
        </is>
      </c>
      <c r="U120" s="11" t="n">
        <v>5</v>
      </c>
      <c r="V120" s="11" t="n">
        <v>0</v>
      </c>
      <c r="W120" s="11" t="n">
        <v>1</v>
      </c>
      <c r="X120" s="11" t="n">
        <v>2</v>
      </c>
      <c r="Y120" s="11" t="n">
        <v>0</v>
      </c>
    </row>
    <row r="121">
      <c r="A121" s="11" t="inlineStr">
        <is>
          <t>GEB.10.3</t>
        </is>
      </c>
      <c r="B121" s="12" t="inlineStr">
        <is>
          <t>Wasserschutz</t>
        </is>
      </c>
      <c r="C121" s="11" t="inlineStr">
        <is>
          <t>GEB.10.3.2</t>
        </is>
      </c>
      <c r="D121" s="11" t="inlineStr">
        <is>
          <t>Anforderungen bei erhöhtem Schutzbedarf</t>
        </is>
      </c>
      <c r="E121" s="12" t="inlineStr">
        <is>
          <t>Gebäudemanagement für Standorte KANN Wassereinbrüche überwachen.</t>
        </is>
      </c>
      <c r="F121" s="14" t="n"/>
      <c r="G121" s="14" t="n"/>
      <c r="H121" s="14" t="inlineStr">
        <is>
          <t>unbearbeitet</t>
        </is>
      </c>
      <c r="I121" s="14" t="n"/>
      <c r="J121" s="14" t="n"/>
      <c r="K121" s="14" t="n"/>
      <c r="L121" s="15" t="n"/>
      <c r="M121" s="11" t="inlineStr">
        <is>
          <t>Verfügbarkeit</t>
        </is>
      </c>
      <c r="N121" s="12" t="inlineStr"/>
      <c r="O121" s="11" t="inlineStr"/>
      <c r="P121" s="12" t="inlineStr">
        <is>
          <t>Maßnahmen können z.B. Wassersensorstreifen unter Doppelböden sein, die SNMP-Traps an ein Building Management System (BMS) senden.</t>
        </is>
      </c>
      <c r="Q121" s="11" t="inlineStr">
        <is>
          <t>Standorte</t>
        </is>
      </c>
      <c r="R121" s="11" t="inlineStr">
        <is>
          <t>Gebäudedokumentation</t>
        </is>
      </c>
      <c r="S121" s="12" t="inlineStr">
        <is>
          <t>Wassereinbrüche</t>
        </is>
      </c>
      <c r="T121" s="12" t="inlineStr">
        <is>
          <t>G 0.18 – Fehlplanung oder fehlende Anpassung</t>
        </is>
      </c>
      <c r="U121" s="11" t="n">
        <v>5</v>
      </c>
      <c r="V121" s="11" t="n">
        <v>1</v>
      </c>
      <c r="W121" s="11" t="n">
        <v>1</v>
      </c>
      <c r="X121" s="11" t="n">
        <v>2</v>
      </c>
      <c r="Y121" s="11" t="n">
        <v>0</v>
      </c>
    </row>
    <row r="122">
      <c r="A122" s="9" t="inlineStr">
        <is>
          <t>GEB.10.4</t>
        </is>
      </c>
      <c r="B122" s="10" t="inlineStr">
        <is>
          <t>Blitzschutzeinrichtungen</t>
        </is>
      </c>
      <c r="C122" s="11" t="n"/>
      <c r="D122" s="11" t="inlineStr">
        <is>
          <t>Standard-Anforderungen</t>
        </is>
      </c>
      <c r="E122" s="12" t="inlineStr">
        <is>
          <t>Gesamt:</t>
        </is>
      </c>
      <c r="F122" s="11" t="n"/>
      <c r="G122" s="11" t="n"/>
      <c r="H122" s="13">
        <f>IF(OR(COUNTBLANK($H$123:$H$124)&gt;0,COUNTIF($H$123:$H$124,"unbearbeitet")=COUNTA($H$123:$H$124)),"Bitte Teilanforderungen ausfüllen",IF(COUNTIF($H$123:$H$124,"zu klären")&gt;0,"zu klären",IF(COUNTIF($H$123:$H$124,"entbehrlich")=COUNTA($H$123:$H$124),"entbehrlich",IF(COUNTIF($H$123:$H$124,"verwiesen")=COUNTA($H$123:$H$124),"verwiesen",IF(COUNTIF($H$123:$H$124,"nein")+COUNTIF($H$123:$H$124,"entbehrlich")=COUNTA($H$123:$H$124),"nein",IF(COUNTIF($H$123:$H$124,"ja")+COUNTIF($H$123:$H$124,"entbehrlich")+COUNTIF($H$123:$H$124,"verwiesen")=COUNTA($H$123:$H$124),"ja","teilweise"))))))</f>
        <v/>
      </c>
      <c r="I122" s="11" t="n"/>
      <c r="J122" s="11" t="n"/>
      <c r="K122" s="11" t="n"/>
      <c r="L122" s="11" t="n"/>
      <c r="M122" s="11" t="inlineStr">
        <is>
          <t>Verfügbarkeit</t>
        </is>
      </c>
      <c r="N122" s="12" t="inlineStr"/>
      <c r="O122" s="11" t="inlineStr"/>
      <c r="P122" s="12" t="inlineStr">
        <is>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is>
      </c>
      <c r="Q122" s="11" t="inlineStr">
        <is>
          <t>Standorte</t>
        </is>
      </c>
      <c r="R122" s="11" t="inlineStr">
        <is>
          <t>Gebäudedokumentation</t>
        </is>
      </c>
      <c r="S122" s="12" t="inlineStr">
        <is>
          <t>Blitzschutzeinrichtungen</t>
        </is>
      </c>
      <c r="T122" s="12" t="inlineStr">
        <is>
          <t>G 0.18 – Fehlplanung oder fehlende Anpassung</t>
        </is>
      </c>
      <c r="U122" s="11" t="n">
        <v>3</v>
      </c>
      <c r="V122" s="11" t="n">
        <v>1</v>
      </c>
      <c r="W122" s="11" t="n">
        <v>1</v>
      </c>
      <c r="X122" s="11" t="n">
        <v>2</v>
      </c>
      <c r="Y122" s="11" t="n">
        <v>0</v>
      </c>
    </row>
    <row r="123">
      <c r="A123" s="11" t="inlineStr">
        <is>
          <t>GEB.10.4</t>
        </is>
      </c>
      <c r="B123" s="12" t="inlineStr">
        <is>
          <t>Blitzschutzeinrichtungen</t>
        </is>
      </c>
      <c r="C123" s="11" t="inlineStr">
        <is>
          <t>GEB.10.4</t>
        </is>
      </c>
      <c r="D123" s="11" t="inlineStr">
        <is>
          <t>Standard-Anforderungen</t>
        </is>
      </c>
      <c r="E123" s="12" t="inlineStr">
        <is>
          <t>Gebäudemanagement für Standorte SOLLTE Blitzschutzeinrichtungen nach einem anerkannten Standard installieren.</t>
        </is>
      </c>
      <c r="F123" s="14" t="n"/>
      <c r="G123" s="14" t="n"/>
      <c r="H123" s="14" t="inlineStr">
        <is>
          <t>unbearbeitet</t>
        </is>
      </c>
      <c r="I123" s="14" t="n"/>
      <c r="J123" s="14" t="n"/>
      <c r="K123" s="14" t="n"/>
      <c r="L123" s="15" t="n"/>
      <c r="M123" s="11" t="inlineStr">
        <is>
          <t>Verfügbarkeit</t>
        </is>
      </c>
      <c r="N123" s="12" t="inlineStr"/>
      <c r="O123" s="11" t="inlineStr"/>
      <c r="P123" s="12" t="inlineStr">
        <is>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is>
      </c>
      <c r="Q123" s="11" t="inlineStr">
        <is>
          <t>Standorte</t>
        </is>
      </c>
      <c r="R123" s="11" t="inlineStr">
        <is>
          <t>Gebäudedokumentation</t>
        </is>
      </c>
      <c r="S123" s="12" t="inlineStr">
        <is>
          <t>Blitzschutzeinrichtungen</t>
        </is>
      </c>
      <c r="T123" s="12" t="inlineStr">
        <is>
          <t>G 0.18 – Fehlplanung oder fehlende Anpassung</t>
        </is>
      </c>
      <c r="U123" s="11" t="n">
        <v>3</v>
      </c>
      <c r="V123" s="11" t="n">
        <v>1</v>
      </c>
      <c r="W123" s="11" t="n">
        <v>1</v>
      </c>
      <c r="X123" s="11" t="n">
        <v>2</v>
      </c>
      <c r="Y123" s="11" t="n">
        <v>0</v>
      </c>
    </row>
    <row r="124">
      <c r="A124" s="11" t="inlineStr">
        <is>
          <t>GEB.10.4</t>
        </is>
      </c>
      <c r="B124" s="12" t="inlineStr">
        <is>
          <t>Blitzschutzeinrichtungen</t>
        </is>
      </c>
      <c r="C124" s="11" t="inlineStr">
        <is>
          <t>GEB.10.4.1</t>
        </is>
      </c>
      <c r="D124" s="11" t="inlineStr">
        <is>
          <t>Anforderungen bei erhöhtem Schutzbedarf</t>
        </is>
      </c>
      <c r="E124" s="12" t="inlineStr">
        <is>
          <t>Gebäudemanagement für Standorte KANN Blitzschutzeinrichtungen regelmäßig auf Niederohmigkeit überprüfen.</t>
        </is>
      </c>
      <c r="F124" s="14" t="n"/>
      <c r="G124" s="14" t="n"/>
      <c r="H124" s="14" t="inlineStr">
        <is>
          <t>unbearbeitet</t>
        </is>
      </c>
      <c r="I124" s="14" t="n"/>
      <c r="J124" s="14" t="n"/>
      <c r="K124" s="14" t="n"/>
      <c r="L124" s="15" t="n"/>
      <c r="M124" s="11" t="inlineStr">
        <is>
          <t>Verfügbarkeit</t>
        </is>
      </c>
      <c r="N124" s="12" t="inlineStr"/>
      <c r="O124" s="11" t="inlineStr"/>
      <c r="P124" s="12" t="inlineStr">
        <is>
          <t>Eine niedrige Ohmzahl in Erdungs- und Potentialausgleichseinrichtungen gewährleistet, dass Blitzströme schnell und wirksam abgeleitet werden. Siehe DIN VDE 0100-443 u. -534. Beachten Sie dabei auch die Prüfpflicht aus der Betriebssicherheitsverordnung (BetrSichV).</t>
        </is>
      </c>
      <c r="Q124" s="11" t="inlineStr">
        <is>
          <t>Standorte</t>
        </is>
      </c>
      <c r="R124" s="11" t="inlineStr">
        <is>
          <t>Übungs- und Prüfplan</t>
        </is>
      </c>
      <c r="S124" s="12" t="inlineStr">
        <is>
          <t>Blitzschutzeinrichtungen</t>
        </is>
      </c>
      <c r="T124" s="12" t="inlineStr">
        <is>
          <t>G 0.18 – Fehlplanung oder fehlende Anpassung</t>
        </is>
      </c>
      <c r="U124" s="11" t="n">
        <v>5</v>
      </c>
      <c r="V124" s="11" t="n">
        <v>1</v>
      </c>
      <c r="W124" s="11" t="n">
        <v>1</v>
      </c>
      <c r="X124" s="11" t="n">
        <v>2</v>
      </c>
      <c r="Y124" s="11" t="n">
        <v>0</v>
      </c>
    </row>
    <row r="125">
      <c r="A125" s="9" t="inlineStr">
        <is>
          <t>GEB.10.5</t>
        </is>
      </c>
      <c r="B125" s="10" t="inlineStr">
        <is>
          <t>Ableitfähiger Fußbodenbelag</t>
        </is>
      </c>
      <c r="C125" s="11" t="n"/>
      <c r="D125" s="11" t="inlineStr">
        <is>
          <t>Anforderungen bei erhöhtem Schutzbedarf</t>
        </is>
      </c>
      <c r="E125" s="12" t="inlineStr">
        <is>
          <t>Gesamt:</t>
        </is>
      </c>
      <c r="F125" s="11" t="n"/>
      <c r="G125" s="11" t="n"/>
      <c r="H125" s="13">
        <f>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
      </c>
      <c r="I125" s="11" t="n"/>
      <c r="J125" s="11" t="n"/>
      <c r="K125" s="11" t="n"/>
      <c r="L125" s="11" t="n"/>
      <c r="M125" s="11" t="inlineStr">
        <is>
          <t>Verfügbarkeit</t>
        </is>
      </c>
      <c r="N125" s="12" t="inlineStr"/>
      <c r="O125" s="11" t="inlineStr"/>
      <c r="P125" s="12" t="inlineStr">
        <is>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is>
      </c>
      <c r="Q125" s="11" t="inlineStr">
        <is>
          <t>Räume für technische Infrastruktur</t>
        </is>
      </c>
      <c r="R125" s="11" t="inlineStr">
        <is>
          <t>Gebäudedokumentation</t>
        </is>
      </c>
      <c r="S125" s="12" t="inlineStr">
        <is>
          <t>im Nahfeld von Systemen einen ableitfähigen Fußbodenbelag</t>
        </is>
      </c>
      <c r="T125" s="12" t="inlineStr">
        <is>
          <t>G 0.18 – Fehlplanung oder fehlende Anpassung</t>
        </is>
      </c>
      <c r="U125" s="11" t="n">
        <v>4</v>
      </c>
      <c r="V125" s="11" t="n">
        <v>1</v>
      </c>
      <c r="W125" s="11" t="n">
        <v>1</v>
      </c>
      <c r="X125" s="11" t="n">
        <v>2</v>
      </c>
      <c r="Y125" s="11" t="n">
        <v>0</v>
      </c>
    </row>
    <row r="126">
      <c r="A126" s="11" t="inlineStr">
        <is>
          <t>GEB.10.5</t>
        </is>
      </c>
      <c r="B126" s="12" t="inlineStr">
        <is>
          <t>Ableitfähiger Fußbodenbelag</t>
        </is>
      </c>
      <c r="C126" s="11" t="inlineStr">
        <is>
          <t>GEB.10.5</t>
        </is>
      </c>
      <c r="D126" s="11" t="inlineStr">
        <is>
          <t>Anforderungen bei erhöhtem Schutzbedarf</t>
        </is>
      </c>
      <c r="E126" s="12" t="inlineStr">
        <is>
          <t>Gebäudemanagement für Räume für technische Infrastruktur KANN im Nahfeld von Systemen einen ableitfähigen Fußbodenbelag installieren.</t>
        </is>
      </c>
      <c r="F126" s="14" t="n"/>
      <c r="G126" s="14" t="n"/>
      <c r="H126" s="14" t="inlineStr">
        <is>
          <t>unbearbeitet</t>
        </is>
      </c>
      <c r="I126" s="14" t="n"/>
      <c r="J126" s="14" t="n"/>
      <c r="K126" s="14" t="n"/>
      <c r="L126" s="15" t="n"/>
      <c r="M126" s="11" t="inlineStr">
        <is>
          <t>Verfügbarkeit</t>
        </is>
      </c>
      <c r="N126" s="12" t="inlineStr"/>
      <c r="O126" s="11" t="inlineStr"/>
      <c r="P126" s="12" t="inlineStr">
        <is>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is>
      </c>
      <c r="Q126" s="11" t="inlineStr">
        <is>
          <t>Räume für technische Infrastruktur</t>
        </is>
      </c>
      <c r="R126" s="11" t="inlineStr">
        <is>
          <t>Gebäudedokumentation</t>
        </is>
      </c>
      <c r="S126" s="12" t="inlineStr">
        <is>
          <t>im Nahfeld von Systemen einen ableitfähigen Fußbodenbelag</t>
        </is>
      </c>
      <c r="T126" s="12" t="inlineStr">
        <is>
          <t>G 0.18 – Fehlplanung oder fehlende Anpassung</t>
        </is>
      </c>
      <c r="U126" s="11" t="n">
        <v>4</v>
      </c>
      <c r="V126" s="11" t="n">
        <v>1</v>
      </c>
      <c r="W126" s="11" t="n">
        <v>1</v>
      </c>
      <c r="X126" s="11" t="n">
        <v>2</v>
      </c>
      <c r="Y126" s="11" t="n">
        <v>0</v>
      </c>
    </row>
  </sheetData>
  <autoFilter ref="A6:Y6"/>
  <conditionalFormatting sqref="H7:H126">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5 H17 H19 H21 H23 H25 H27 H29 H30 H31 H33 H35 H36 H37 H38 H40 H42 H44 H46 H48 H50 H52 H54 H56 H58 H60 H62 H64 H65 H67 H69 H71 H73 H75 H77 H78 H80 H82 H84 H86 H87 H88 H89 H90 H92 H94 H96 H98 H99 H101 H103 H105 H106 H107 H108 H110 H111 H112 H113 H114 H115 H116 H117 H119 H120 H121 H123 H124 H126"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275"/>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KONF</t>
        </is>
      </c>
      <c r="B3" s="6" t="inlineStr">
        <is>
          <t>Konfiguration</t>
        </is>
      </c>
    </row>
    <row r="4">
      <c r="A4" s="3" t="inlineStr">
        <is>
          <t>Zielobjekte</t>
        </is>
      </c>
      <c r="B4" s="7">
        <f>IF('Praktiken'!D14="","",'Praktiken'!D14)</f>
        <v/>
      </c>
    </row>
    <row r="5">
      <c r="A5" s="3" t="inlineStr">
        <is>
          <t>Zuständig</t>
        </is>
      </c>
      <c r="B5" s="7">
        <f>IF('Praktiken'!S14="","",'Praktiken'!S14)</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KONF.1.1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NET.3.1.A1-UA.1</t>
        </is>
      </c>
      <c r="O7" s="11" t="inlineStr">
        <is>
          <t>intersects-with</t>
        </is>
      </c>
      <c r="P7" s="12" t="inlineStr">
        <is>
          <t>Die Umsetzung kann in einem eigenen Prozess, oder integriert in andere Prozesse und Aufgaben erfolgen. Die bei der Festlegung des Verfahrens im Einzelnen zu berücksichtigenden Inhalte ergeben sich aus den Anforderungen dieser Praktik.</t>
        </is>
      </c>
      <c r="Q7" s="11" t="inlineStr"/>
      <c r="R7" s="11" t="inlineStr">
        <is>
          <t>IT-Betriebskonzept</t>
        </is>
      </c>
      <c r="S7" s="12" t="inlineStr">
        <is>
          <t>Verfahren und Regelungen zum Konfigurationsmanagement</t>
        </is>
      </c>
      <c r="T7" s="12" t="inlineStr">
        <is>
          <t>G 0.18 – Fehlplanung oder fehlende Anpassung</t>
        </is>
      </c>
      <c r="U7" s="11" t="n">
        <v>0</v>
      </c>
      <c r="V7" s="11" t="n">
        <v>1</v>
      </c>
      <c r="W7" s="11" t="n">
        <v>1</v>
      </c>
      <c r="X7" s="11" t="n">
        <v>1</v>
      </c>
      <c r="Y7" s="11" t="n">
        <v>0</v>
      </c>
    </row>
    <row r="8">
      <c r="A8" s="11" t="inlineStr">
        <is>
          <t>KONF.1.1</t>
        </is>
      </c>
      <c r="B8" s="12" t="inlineStr">
        <is>
          <t>Verfahren und Regelungen</t>
        </is>
      </c>
      <c r="C8" s="11" t="inlineStr">
        <is>
          <t>KONF.1.1.1</t>
        </is>
      </c>
      <c r="D8" s="11" t="inlineStr">
        <is>
          <t>Basis-Anforderungen</t>
        </is>
      </c>
      <c r="E8" s="12" t="inlineStr">
        <is>
          <t>Konfiguration MUSS die Verfahren und Regelungen dokumentieren.</t>
        </is>
      </c>
      <c r="F8" s="14" t="n"/>
      <c r="G8" s="14" t="n"/>
      <c r="H8" s="14" t="inlineStr">
        <is>
          <t>unbearbeitet</t>
        </is>
      </c>
      <c r="I8" s="14" t="n"/>
      <c r="J8" s="14" t="n"/>
      <c r="K8" s="14" t="n"/>
      <c r="L8" s="15" t="n"/>
      <c r="M8" s="11" t="inlineStr"/>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t>
        </is>
      </c>
      <c r="U8" s="11" t="n">
        <v>0</v>
      </c>
      <c r="V8" s="11" t="n">
        <v>1</v>
      </c>
      <c r="W8" s="11" t="n">
        <v>1</v>
      </c>
      <c r="X8" s="11" t="n">
        <v>1</v>
      </c>
      <c r="Y8" s="11" t="n">
        <v>0</v>
      </c>
    </row>
    <row r="9">
      <c r="A9" s="11" t="inlineStr">
        <is>
          <t>KONF.1.1</t>
        </is>
      </c>
      <c r="B9" s="12" t="inlineStr">
        <is>
          <t>Verfahren und Regelungen</t>
        </is>
      </c>
      <c r="C9" s="11" t="inlineStr">
        <is>
          <t>KONF.1.1.2</t>
        </is>
      </c>
      <c r="D9" s="11" t="inlineStr">
        <is>
          <t>Basis-Anforderungen</t>
        </is>
      </c>
      <c r="E9" s="12" t="inlineStr">
        <is>
          <t>Konfiguration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t>
        </is>
      </c>
      <c r="U9" s="11" t="n">
        <v>0</v>
      </c>
      <c r="V9" s="11" t="n">
        <v>1</v>
      </c>
      <c r="W9" s="11" t="n">
        <v>1</v>
      </c>
      <c r="X9" s="11" t="n">
        <v>1</v>
      </c>
      <c r="Y9" s="11" t="n">
        <v>0</v>
      </c>
    </row>
    <row r="10">
      <c r="A10" s="11" t="inlineStr">
        <is>
          <t>KONF.1.1</t>
        </is>
      </c>
      <c r="B10" s="12" t="inlineStr">
        <is>
          <t>Verfahren und Regelungen</t>
        </is>
      </c>
      <c r="C10" s="11" t="inlineStr">
        <is>
          <t>KONF.1.1.3</t>
        </is>
      </c>
      <c r="D10" s="11" t="inlineStr">
        <is>
          <t>Basis-Anforderungen</t>
        </is>
      </c>
      <c r="E10" s="12" t="inlineStr">
        <is>
          <t>Konfiguration MUSS die zuständigen Personen oder Rollen über die Verfahren und Regelungen informieren.</t>
        </is>
      </c>
      <c r="F10" s="14" t="n"/>
      <c r="G10" s="14" t="n"/>
      <c r="H10" s="14" t="inlineStr">
        <is>
          <t>unbearbeitet</t>
        </is>
      </c>
      <c r="I10" s="14" t="n"/>
      <c r="J10" s="14" t="n"/>
      <c r="K10" s="14" t="n"/>
      <c r="L10" s="15" t="n"/>
      <c r="M10" s="11" t="inlineStr">
        <is>
          <t>Vertraulichkeit, Integrität, Verfügbarkeit</t>
        </is>
      </c>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2</v>
      </c>
      <c r="W10" s="11" t="n">
        <v>2</v>
      </c>
      <c r="X10" s="11" t="n">
        <v>2</v>
      </c>
      <c r="Y10" s="11" t="n">
        <v>0</v>
      </c>
    </row>
    <row r="11">
      <c r="A11" s="9" t="inlineStr">
        <is>
          <t>KONF.1.2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is>
          <t>Vertraulichkeit, Integrität, Verfügbarkeit</t>
        </is>
      </c>
      <c r="N11" s="12" t="inlineStr">
        <is>
          <t>APP.4.3.A1-UA.6</t>
        </is>
      </c>
      <c r="O11" s="11" t="inlineStr">
        <is>
          <t>intersects-with</t>
        </is>
      </c>
      <c r="P11"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 G 0.29 – Verstoß gegen Gesetze oder Regelungen</t>
        </is>
      </c>
      <c r="U11" s="11" t="n">
        <v>0</v>
      </c>
      <c r="V11" s="11" t="n">
        <v>2</v>
      </c>
      <c r="W11" s="11" t="n">
        <v>2</v>
      </c>
      <c r="X11" s="11" t="n">
        <v>2</v>
      </c>
      <c r="Y11" s="11" t="n">
        <v>0</v>
      </c>
    </row>
    <row r="12">
      <c r="A12" s="11" t="inlineStr">
        <is>
          <t>KONF.1.2</t>
        </is>
      </c>
      <c r="B12" s="12" t="inlineStr">
        <is>
          <t>Regelmäßige Überprüfung</t>
        </is>
      </c>
      <c r="C12" s="11" t="inlineStr">
        <is>
          <t>KONF.1.2</t>
        </is>
      </c>
      <c r="D12" s="11" t="inlineStr">
        <is>
          <t>Basis-Anforderungen</t>
        </is>
      </c>
      <c r="E12" s="12" t="inlineStr">
        <is>
          <t>Konfiguration MUSS die Verfahren und Regelungen regelmäßig und anlassbezogen auf Aktualität überprüfen.</t>
        </is>
      </c>
      <c r="F12" s="14" t="n"/>
      <c r="G12" s="14" t="n"/>
      <c r="H12" s="14" t="inlineStr">
        <is>
          <t>unbearbeitet</t>
        </is>
      </c>
      <c r="I12" s="14" t="n"/>
      <c r="J12" s="14" t="n"/>
      <c r="K12" s="14" t="n"/>
      <c r="L12" s="15" t="n"/>
      <c r="M12" s="11" t="inlineStr">
        <is>
          <t>Vertraulichkeit, Integrität, Verfügbarkeit</t>
        </is>
      </c>
      <c r="N12" s="12" t="inlineStr">
        <is>
          <t>APP.4.3.A1-UA.6</t>
        </is>
      </c>
      <c r="O12" s="11" t="inlineStr">
        <is>
          <t>intersects-with</t>
        </is>
      </c>
      <c r="P12"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 G 0.29 – Verstoß gegen Gesetze oder Regelungen</t>
        </is>
      </c>
      <c r="U12" s="11" t="n">
        <v>0</v>
      </c>
      <c r="V12" s="11" t="n">
        <v>2</v>
      </c>
      <c r="W12" s="11" t="n">
        <v>2</v>
      </c>
      <c r="X12" s="11" t="n">
        <v>2</v>
      </c>
      <c r="Y12" s="11" t="n">
        <v>0</v>
      </c>
    </row>
    <row r="13">
      <c r="A13" s="9" t="inlineStr">
        <is>
          <t>KONF.1.3</t>
        </is>
      </c>
      <c r="B13" s="10" t="inlineStr">
        <is>
          <t>Management von Werkzeugen</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is>
          <t>Vertraulichkeit, Integrität, Verfügbarkeit</t>
        </is>
      </c>
      <c r="N13" s="12" t="inlineStr"/>
      <c r="O13" s="11" t="inlineStr"/>
      <c r="P13" s="12" t="inlineStr">
        <is>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is>
      </c>
      <c r="Q13" s="11" t="inlineStr"/>
      <c r="R13" s="11" t="inlineStr">
        <is>
          <t>IT-Betriebskonzept</t>
        </is>
      </c>
      <c r="S13" s="12" t="inlineStr">
        <is>
          <t>verwendete Konfigurationswerkzeuge</t>
        </is>
      </c>
      <c r="T13" s="12" t="inlineStr">
        <is>
          <t>G 0.18 – Fehlplanung oder fehlende Anpassung; G 0.20 – Informationen oder Produkte aus unzuverlässiger Quelle</t>
        </is>
      </c>
      <c r="U13" s="11" t="n">
        <v>3</v>
      </c>
      <c r="V13" s="11" t="n">
        <v>2</v>
      </c>
      <c r="W13" s="11" t="n">
        <v>2</v>
      </c>
      <c r="X13" s="11" t="n">
        <v>2</v>
      </c>
      <c r="Y13" s="11" t="n">
        <v>1</v>
      </c>
    </row>
    <row r="14">
      <c r="A14" s="11" t="inlineStr">
        <is>
          <t>KONF.1.3</t>
        </is>
      </c>
      <c r="B14" s="12" t="inlineStr">
        <is>
          <t>Management von Werkzeugen</t>
        </is>
      </c>
      <c r="C14" s="11" t="inlineStr">
        <is>
          <t>KONF.1.3</t>
        </is>
      </c>
      <c r="D14" s="11" t="inlineStr">
        <is>
          <t>Standard-Anforderungen</t>
        </is>
      </c>
      <c r="E14" s="12" t="inlineStr">
        <is>
          <t>Konfiguration SOLLTE verwendete Konfigurationswerkzeuge einschließlich Verwendungszweck und Herkunft dokumentieren.</t>
        </is>
      </c>
      <c r="F14" s="14" t="n"/>
      <c r="G14" s="14" t="n"/>
      <c r="H14" s="14" t="inlineStr">
        <is>
          <t>unbearbeitet</t>
        </is>
      </c>
      <c r="I14" s="14" t="n"/>
      <c r="J14" s="14" t="n"/>
      <c r="K14" s="14" t="n"/>
      <c r="L14" s="15" t="n"/>
      <c r="M14" s="11" t="inlineStr">
        <is>
          <t>Vertraulichkeit, Integrität, Verfügbarkeit</t>
        </is>
      </c>
      <c r="N14" s="12" t="inlineStr"/>
      <c r="O14" s="11" t="inlineStr"/>
      <c r="P14" s="12" t="inlineStr">
        <is>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is>
      </c>
      <c r="Q14" s="11" t="inlineStr"/>
      <c r="R14" s="11" t="inlineStr">
        <is>
          <t>IT-Betriebskonzept</t>
        </is>
      </c>
      <c r="S14" s="12" t="inlineStr">
        <is>
          <t>verwendete Konfigurationswerkzeuge</t>
        </is>
      </c>
      <c r="T14" s="12" t="inlineStr">
        <is>
          <t>G 0.18 – Fehlplanung oder fehlende Anpassung; G 0.20 – Informationen oder Produkte aus unzuverlässiger Quelle</t>
        </is>
      </c>
      <c r="U14" s="11" t="n">
        <v>3</v>
      </c>
      <c r="V14" s="11" t="n">
        <v>2</v>
      </c>
      <c r="W14" s="11" t="n">
        <v>2</v>
      </c>
      <c r="X14" s="11" t="n">
        <v>2</v>
      </c>
      <c r="Y14" s="11" t="n">
        <v>1</v>
      </c>
    </row>
    <row r="15">
      <c r="A15" s="9" t="inlineStr">
        <is>
          <t>KONF.1.4</t>
        </is>
      </c>
      <c r="B15" s="10" t="inlineStr">
        <is>
          <t>Einschränkung des Zugriffs auf Dokumentation</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is>
          <t>Integrität</t>
        </is>
      </c>
      <c r="N15" s="12" t="inlineStr"/>
      <c r="O15" s="11" t="inlineStr"/>
      <c r="P15" s="12" t="inlineStr">
        <is>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is>
      </c>
      <c r="Q15" s="11" t="inlineStr"/>
      <c r="R15" s="11" t="inlineStr">
        <is>
          <t>Konfigurationshistorie</t>
        </is>
      </c>
      <c r="S15" s="12" t="inlineStr">
        <is>
          <t>den Zugriff auf dokumentierte Konfigurationen</t>
        </is>
      </c>
      <c r="T15" s="12" t="inlineStr">
        <is>
          <t>G 0.19 – Offenlegung schützenswerter Informationen; G 0.22 – Manipulation von Informationen; G 0.46 – Integritätsverlust schützenswerter Informationen</t>
        </is>
      </c>
      <c r="U15" s="11" t="n">
        <v>2</v>
      </c>
      <c r="V15" s="11" t="n">
        <v>1</v>
      </c>
      <c r="W15" s="11" t="n">
        <v>2</v>
      </c>
      <c r="X15" s="11" t="n">
        <v>0</v>
      </c>
      <c r="Y15" s="11" t="n">
        <v>1</v>
      </c>
    </row>
    <row r="16">
      <c r="A16" s="11" t="inlineStr">
        <is>
          <t>KONF.1.4</t>
        </is>
      </c>
      <c r="B16" s="12" t="inlineStr">
        <is>
          <t>Einschränkung des Zugriffs auf Dokumentation</t>
        </is>
      </c>
      <c r="C16" s="11" t="inlineStr">
        <is>
          <t>KONF.1.4</t>
        </is>
      </c>
      <c r="D16" s="11" t="inlineStr">
        <is>
          <t>Standard-Anforderungen</t>
        </is>
      </c>
      <c r="E16" s="12" t="inlineStr">
        <is>
          <t>Konfiguration SOLLTE den Zugriff auf dokumentierte Konfigurationen einschränken.</t>
        </is>
      </c>
      <c r="F16" s="14" t="n"/>
      <c r="G16" s="14" t="n"/>
      <c r="H16" s="14" t="inlineStr">
        <is>
          <t>unbearbeitet</t>
        </is>
      </c>
      <c r="I16" s="14" t="n"/>
      <c r="J16" s="14" t="n"/>
      <c r="K16" s="14" t="n"/>
      <c r="L16" s="15" t="n"/>
      <c r="M16" s="11" t="inlineStr">
        <is>
          <t>Integrität</t>
        </is>
      </c>
      <c r="N16" s="12" t="inlineStr"/>
      <c r="O16" s="11" t="inlineStr"/>
      <c r="P16" s="12" t="inlineStr">
        <is>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is>
      </c>
      <c r="Q16" s="11" t="inlineStr"/>
      <c r="R16" s="11" t="inlineStr">
        <is>
          <t>Konfigurationshistorie</t>
        </is>
      </c>
      <c r="S16" s="12" t="inlineStr">
        <is>
          <t>den Zugriff auf dokumentierte Konfigurationen</t>
        </is>
      </c>
      <c r="T16" s="12" t="inlineStr">
        <is>
          <t>G 0.19 – Offenlegung schützenswerter Informationen; G 0.22 – Manipulation von Informationen; G 0.46 – Integritätsverlust schützenswerter Informationen</t>
        </is>
      </c>
      <c r="U16" s="11" t="n">
        <v>2</v>
      </c>
      <c r="V16" s="11" t="n">
        <v>1</v>
      </c>
      <c r="W16" s="11" t="n">
        <v>2</v>
      </c>
      <c r="X16" s="11" t="n">
        <v>0</v>
      </c>
      <c r="Y16" s="11" t="n">
        <v>1</v>
      </c>
    </row>
    <row r="17">
      <c r="A17" s="9" t="inlineStr">
        <is>
          <t>KONF.1.5</t>
        </is>
      </c>
      <c r="B17" s="10" t="inlineStr">
        <is>
          <t>Verschlüsselung von Konfigurationsgeheimnissen</t>
        </is>
      </c>
      <c r="C17" s="11" t="n"/>
      <c r="D17" s="11" t="inlineStr">
        <is>
          <t>Standard-Anforderungen</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c r="N17" s="12" t="inlineStr"/>
      <c r="O17" s="11" t="inlineStr"/>
      <c r="P17" s="12" t="inlineStr">
        <is>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is>
      </c>
      <c r="Q17" s="11" t="inlineStr"/>
      <c r="R17" s="11" t="inlineStr">
        <is>
          <t>IT-Betriebskonzept</t>
        </is>
      </c>
      <c r="S17" s="12" t="inlineStr">
        <is>
          <t>Konfigurationsgeheimnisse</t>
        </is>
      </c>
      <c r="T17" s="12" t="inlineStr">
        <is>
          <t>G 0.19 – Offenlegung schützenswerter Informationen</t>
        </is>
      </c>
      <c r="U17" s="11" t="n">
        <v>3</v>
      </c>
      <c r="V17" s="11" t="n">
        <v>1</v>
      </c>
      <c r="W17" s="11" t="n">
        <v>0</v>
      </c>
      <c r="X17" s="11" t="n">
        <v>0</v>
      </c>
      <c r="Y17" s="11" t="n">
        <v>0</v>
      </c>
    </row>
    <row r="18">
      <c r="A18" s="11" t="inlineStr">
        <is>
          <t>KONF.1.5</t>
        </is>
      </c>
      <c r="B18" s="12" t="inlineStr">
        <is>
          <t>Verschlüsselung von Konfigurationsgeheimnissen</t>
        </is>
      </c>
      <c r="C18" s="11" t="inlineStr">
        <is>
          <t>KONF.1.5</t>
        </is>
      </c>
      <c r="D18" s="11" t="inlineStr">
        <is>
          <t>Standard-Anforderungen</t>
        </is>
      </c>
      <c r="E18" s="12" t="inlineStr">
        <is>
          <t>Konfiguration SOLLTE Konfigurationsgeheimnisse verschlüsseln.</t>
        </is>
      </c>
      <c r="F18" s="14" t="n"/>
      <c r="G18" s="14" t="n"/>
      <c r="H18" s="14" t="inlineStr">
        <is>
          <t>unbearbeitet</t>
        </is>
      </c>
      <c r="I18" s="14" t="n"/>
      <c r="J18" s="14" t="n"/>
      <c r="K18" s="14" t="n"/>
      <c r="L18" s="15" t="n"/>
      <c r="M18" s="11" t="inlineStr"/>
      <c r="N18" s="12" t="inlineStr"/>
      <c r="O18" s="11" t="inlineStr"/>
      <c r="P18" s="12" t="inlineStr">
        <is>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is>
      </c>
      <c r="Q18" s="11" t="inlineStr"/>
      <c r="R18" s="11" t="inlineStr">
        <is>
          <t>IT-Betriebskonzept</t>
        </is>
      </c>
      <c r="S18" s="12" t="inlineStr">
        <is>
          <t>Konfigurationsgeheimnisse</t>
        </is>
      </c>
      <c r="T18" s="12" t="inlineStr">
        <is>
          <t>G 0.19 – Offenlegung schützenswerter Informationen</t>
        </is>
      </c>
      <c r="U18" s="11" t="n">
        <v>3</v>
      </c>
      <c r="V18" s="11" t="n">
        <v>1</v>
      </c>
      <c r="W18" s="11" t="n">
        <v>0</v>
      </c>
      <c r="X18" s="11" t="n">
        <v>0</v>
      </c>
      <c r="Y18" s="11" t="n">
        <v>0</v>
      </c>
    </row>
    <row r="19">
      <c r="A19" s="9" t="inlineStr">
        <is>
          <t>KONF.2.1</t>
        </is>
      </c>
      <c r="B19" s="10" t="inlineStr">
        <is>
          <t>Grundkonfiguration für Systeme</t>
        </is>
      </c>
      <c r="C19" s="11" t="n"/>
      <c r="D19" s="11" t="inlineStr">
        <is>
          <t>Standard-Anforderungen</t>
        </is>
      </c>
      <c r="E19" s="12" t="inlineStr">
        <is>
          <t>Gesamt:</t>
        </is>
      </c>
      <c r="F19" s="11" t="n"/>
      <c r="G19" s="11" t="n"/>
      <c r="H19" s="13">
        <f>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
      </c>
      <c r="I19" s="11" t="n"/>
      <c r="J19" s="11" t="n"/>
      <c r="K19" s="11" t="n"/>
      <c r="L19" s="11" t="n"/>
      <c r="M19" s="11" t="inlineStr"/>
      <c r="N19" s="12" t="inlineStr">
        <is>
          <t>APP.3.2.A1-UA.1</t>
        </is>
      </c>
      <c r="O19" s="11" t="inlineStr">
        <is>
          <t>intersects-with</t>
        </is>
      </c>
      <c r="P19" s="12" t="inlineStr">
        <is>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is>
      </c>
      <c r="Q19" s="11" t="inlineStr">
        <is>
          <t>IT-Systeme</t>
        </is>
      </c>
      <c r="R19" s="11" t="inlineStr">
        <is>
          <t>Konfigurationshistorie</t>
        </is>
      </c>
      <c r="S19" s="12" t="inlineStr">
        <is>
          <t>eine Grundkonfiguration</t>
        </is>
      </c>
      <c r="T19" s="12" t="inlineStr">
        <is>
          <t>G 0.18 – Fehlplanung oder fehlende Anpassung</t>
        </is>
      </c>
      <c r="U19" s="11" t="n">
        <v>3</v>
      </c>
      <c r="V19" s="11" t="n">
        <v>1</v>
      </c>
      <c r="W19" s="11" t="n">
        <v>1</v>
      </c>
      <c r="X19" s="11" t="n">
        <v>1</v>
      </c>
      <c r="Y19" s="11" t="n">
        <v>0</v>
      </c>
    </row>
    <row r="20">
      <c r="A20" s="11" t="inlineStr">
        <is>
          <t>KONF.2.1</t>
        </is>
      </c>
      <c r="B20" s="12" t="inlineStr">
        <is>
          <t>Grundkonfiguration für Systeme</t>
        </is>
      </c>
      <c r="C20" s="11" t="inlineStr">
        <is>
          <t>KONF.2.1</t>
        </is>
      </c>
      <c r="D20" s="11" t="inlineStr">
        <is>
          <t>Standard-Anforderungen</t>
        </is>
      </c>
      <c r="E20" s="12" t="inlineStr">
        <is>
          <t>Konfiguration für IT-Systeme SOLLTE eine Grundkonfiguration dokumentieren.</t>
        </is>
      </c>
      <c r="F20" s="14" t="n"/>
      <c r="G20" s="14" t="n"/>
      <c r="H20" s="14" t="inlineStr">
        <is>
          <t>unbearbeitet</t>
        </is>
      </c>
      <c r="I20" s="14" t="n"/>
      <c r="J20" s="14" t="n"/>
      <c r="K20" s="14" t="n"/>
      <c r="L20" s="15" t="n"/>
      <c r="M20" s="11" t="inlineStr"/>
      <c r="N20" s="12" t="inlineStr">
        <is>
          <t>APP.3.2.A1-UA.1</t>
        </is>
      </c>
      <c r="O20" s="11" t="inlineStr">
        <is>
          <t>intersects-with</t>
        </is>
      </c>
      <c r="P20" s="12" t="inlineStr">
        <is>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is>
      </c>
      <c r="Q20" s="11" t="inlineStr">
        <is>
          <t>IT-Systeme</t>
        </is>
      </c>
      <c r="R20" s="11" t="inlineStr">
        <is>
          <t>Konfigurationshistorie</t>
        </is>
      </c>
      <c r="S20" s="12" t="inlineStr">
        <is>
          <t>eine Grundkonfiguration</t>
        </is>
      </c>
      <c r="T20" s="12" t="inlineStr">
        <is>
          <t>G 0.18 – Fehlplanung oder fehlende Anpassung</t>
        </is>
      </c>
      <c r="U20" s="11" t="n">
        <v>3</v>
      </c>
      <c r="V20" s="11" t="n">
        <v>1</v>
      </c>
      <c r="W20" s="11" t="n">
        <v>1</v>
      </c>
      <c r="X20" s="11" t="n">
        <v>1</v>
      </c>
      <c r="Y20" s="11" t="n">
        <v>0</v>
      </c>
    </row>
    <row r="21">
      <c r="A21" s="11" t="inlineStr">
        <is>
          <t>KONF.2.1</t>
        </is>
      </c>
      <c r="B21" s="12" t="inlineStr">
        <is>
          <t>Grundkonfiguration für Systeme</t>
        </is>
      </c>
      <c r="C21" s="11" t="inlineStr">
        <is>
          <t>KONF.2.1.1</t>
        </is>
      </c>
      <c r="D21" s="11" t="inlineStr">
        <is>
          <t>Standard-Anforderungen</t>
        </is>
      </c>
      <c r="E21" s="12" t="inlineStr">
        <is>
          <t>Konfiguration für IT-Systeme SOLLTE eine Versionierung vorheriger Konfigurationen verankern.</t>
        </is>
      </c>
      <c r="F21" s="14" t="n"/>
      <c r="G21" s="14" t="n"/>
      <c r="H21" s="14" t="inlineStr">
        <is>
          <t>unbearbeitet</t>
        </is>
      </c>
      <c r="I21" s="14" t="n"/>
      <c r="J21" s="14" t="n"/>
      <c r="K21" s="14" t="n"/>
      <c r="L21" s="15" t="n"/>
      <c r="M21" s="11" t="inlineStr">
        <is>
          <t>Verfügbarkeit</t>
        </is>
      </c>
      <c r="N21" s="12" t="inlineStr"/>
      <c r="O21" s="11" t="inlineStr"/>
      <c r="P21" s="12" t="inlineStr">
        <is>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is>
      </c>
      <c r="Q21" s="11" t="inlineStr">
        <is>
          <t>IT-Systeme</t>
        </is>
      </c>
      <c r="R21" s="11" t="inlineStr">
        <is>
          <t>Konfigurationshistorie</t>
        </is>
      </c>
      <c r="S21" s="12" t="inlineStr">
        <is>
          <t>eine Versionierung vorheriger Konfigurationen</t>
        </is>
      </c>
      <c r="T21" s="12" t="inlineStr">
        <is>
          <t>G 0.18 – Fehlplanung oder fehlende Anpassung; G 0.45 – Datenverlust</t>
        </is>
      </c>
      <c r="U21" s="11" t="n">
        <v>3</v>
      </c>
      <c r="V21" s="11" t="n">
        <v>1</v>
      </c>
      <c r="W21" s="11" t="n">
        <v>1</v>
      </c>
      <c r="X21" s="11" t="n">
        <v>2</v>
      </c>
      <c r="Y21" s="11" t="n">
        <v>0</v>
      </c>
    </row>
    <row r="22">
      <c r="A22" s="9" t="inlineStr">
        <is>
          <t>KONF.2.2</t>
        </is>
      </c>
      <c r="B22" s="10" t="inlineStr">
        <is>
          <t>Kryptographische Verfahren in IT-Systemen</t>
        </is>
      </c>
      <c r="C22" s="11" t="n"/>
      <c r="D22" s="11" t="inlineStr">
        <is>
          <t>Standard-Anforderungen</t>
        </is>
      </c>
      <c r="E22" s="12" t="inlineStr">
        <is>
          <t>Gesamt:</t>
        </is>
      </c>
      <c r="F22" s="11" t="n"/>
      <c r="G22" s="11" t="n"/>
      <c r="H22" s="13">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
      </c>
      <c r="I22" s="11" t="n"/>
      <c r="J22" s="11" t="n"/>
      <c r="K22" s="11" t="n"/>
      <c r="L22" s="11" t="n"/>
      <c r="M22" s="11" t="inlineStr">
        <is>
          <t>Vertraulichkeit, Integrität, Verfügbarkeit</t>
        </is>
      </c>
      <c r="N22" s="12" t="inlineStr">
        <is>
          <t>CON.1.A1-UA.1</t>
        </is>
      </c>
      <c r="O22" s="11" t="inlineStr">
        <is>
          <t>intersects-with</t>
        </is>
      </c>
      <c r="P22" s="12" t="inlineStr">
        <is>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is>
      </c>
      <c r="Q22" s="11" t="inlineStr">
        <is>
          <t>IT-Systeme</t>
        </is>
      </c>
      <c r="R22" s="11" t="inlineStr">
        <is>
          <t>Konfigurationshistorie</t>
        </is>
      </c>
      <c r="S22" s="12" t="inlineStr">
        <is>
          <t>kryptographische Verfahren</t>
        </is>
      </c>
      <c r="T22" s="12" t="inlineStr">
        <is>
          <t>G 0.18 – Fehlplanung oder fehlende Anpassung; G 0.29 – Verstoß gegen Gesetze oder Regelungen</t>
        </is>
      </c>
      <c r="U22" s="11" t="n">
        <v>3</v>
      </c>
      <c r="V22" s="11" t="n">
        <v>2</v>
      </c>
      <c r="W22" s="11" t="n">
        <v>2</v>
      </c>
      <c r="X22" s="11" t="n">
        <v>2</v>
      </c>
      <c r="Y22" s="11" t="n">
        <v>0</v>
      </c>
    </row>
    <row r="23">
      <c r="A23" s="11" t="inlineStr">
        <is>
          <t>KONF.2.2</t>
        </is>
      </c>
      <c r="B23" s="12" t="inlineStr">
        <is>
          <t>Kryptographische Verfahren in IT-Systemen</t>
        </is>
      </c>
      <c r="C23" s="11" t="inlineStr">
        <is>
          <t>KONF.2.2</t>
        </is>
      </c>
      <c r="D23" s="11" t="inlineStr">
        <is>
          <t>Standard-Anforderungen</t>
        </is>
      </c>
      <c r="E23" s="12" t="inlineStr">
        <is>
          <t>Konfiguration für IT-Systeme SOLLTE kryptographische Verfahren nach anerkannten Standards im Einklang mit den zugehörigen Anforderungen zum Identitäts- und Berechtigungsmanagement aktivieren.</t>
        </is>
      </c>
      <c r="F23" s="14" t="n"/>
      <c r="G23" s="14" t="n"/>
      <c r="H23" s="14" t="inlineStr">
        <is>
          <t>unbearbeitet</t>
        </is>
      </c>
      <c r="I23" s="14" t="n"/>
      <c r="J23" s="14" t="n"/>
      <c r="K23" s="14" t="n"/>
      <c r="L23" s="15" t="n"/>
      <c r="M23" s="11" t="inlineStr">
        <is>
          <t>Vertraulichkeit, Integrität, Verfügbarkeit</t>
        </is>
      </c>
      <c r="N23" s="12" t="inlineStr">
        <is>
          <t>CON.1.A1-UA.1</t>
        </is>
      </c>
      <c r="O23" s="11" t="inlineStr">
        <is>
          <t>intersects-with</t>
        </is>
      </c>
      <c r="P23" s="12" t="inlineStr">
        <is>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is>
      </c>
      <c r="Q23" s="11" t="inlineStr">
        <is>
          <t>IT-Systeme</t>
        </is>
      </c>
      <c r="R23" s="11" t="inlineStr">
        <is>
          <t>Konfigurationshistorie</t>
        </is>
      </c>
      <c r="S23" s="12" t="inlineStr">
        <is>
          <t>kryptographische Verfahren</t>
        </is>
      </c>
      <c r="T23" s="12" t="inlineStr">
        <is>
          <t>G 0.18 – Fehlplanung oder fehlende Anpassung; G 0.29 – Verstoß gegen Gesetze oder Regelungen</t>
        </is>
      </c>
      <c r="U23" s="11" t="n">
        <v>3</v>
      </c>
      <c r="V23" s="11" t="n">
        <v>2</v>
      </c>
      <c r="W23" s="11" t="n">
        <v>2</v>
      </c>
      <c r="X23" s="11" t="n">
        <v>2</v>
      </c>
      <c r="Y23" s="11" t="n">
        <v>0</v>
      </c>
    </row>
    <row r="24">
      <c r="A24" s="9" t="inlineStr">
        <is>
          <t>KONF.2.3</t>
        </is>
      </c>
      <c r="B24" s="10" t="inlineStr">
        <is>
          <t>Änderung von Default-Zugangsdaten</t>
        </is>
      </c>
      <c r="C24" s="11" t="n"/>
      <c r="D24" s="11" t="inlineStr">
        <is>
          <t>Standard-Anforderungen</t>
        </is>
      </c>
      <c r="E24" s="12" t="inlineStr">
        <is>
          <t>Gesamt:</t>
        </is>
      </c>
      <c r="F24" s="11" t="n"/>
      <c r="G24" s="11" t="n"/>
      <c r="H24" s="13">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
      </c>
      <c r="I24" s="11" t="n"/>
      <c r="J24" s="11" t="n"/>
      <c r="K24" s="11" t="n"/>
      <c r="L24" s="11" t="n"/>
      <c r="M24" s="11" t="inlineStr">
        <is>
          <t>Vertraulichkeit, Integrität</t>
        </is>
      </c>
      <c r="N24" s="12" t="inlineStr">
        <is>
          <t>IND.2.1.A1-UA.1</t>
        </is>
      </c>
      <c r="O24" s="11" t="inlineStr">
        <is>
          <t>intersects-with</t>
        </is>
      </c>
      <c r="P24" s="12" t="inlineStr">
        <is>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is>
      </c>
      <c r="Q24" s="11" t="inlineStr">
        <is>
          <t>IT-Systeme</t>
        </is>
      </c>
      <c r="R24" s="11" t="inlineStr">
        <is>
          <t>Konfigurationshistorie</t>
        </is>
      </c>
      <c r="S24" s="12" t="inlineStr">
        <is>
          <t>die Änderung von Default-Zugangsdaten</t>
        </is>
      </c>
      <c r="T24" s="12" t="inlineStr">
        <is>
          <t>G 0.30 – Unberechtigte Nutzung oder Administration von Geräten und Systemen; G 0.23 – Unbefugtes Eindringen in IT-Systeme</t>
        </is>
      </c>
      <c r="U24" s="11" t="n">
        <v>1</v>
      </c>
      <c r="V24" s="11" t="n">
        <v>2</v>
      </c>
      <c r="W24" s="11" t="n">
        <v>2</v>
      </c>
      <c r="X24" s="11" t="n">
        <v>1</v>
      </c>
      <c r="Y24" s="11" t="n">
        <v>1</v>
      </c>
    </row>
    <row r="25">
      <c r="A25" s="11" t="inlineStr">
        <is>
          <t>KONF.2.3</t>
        </is>
      </c>
      <c r="B25" s="12" t="inlineStr">
        <is>
          <t>Änderung von Default-Zugangsdaten</t>
        </is>
      </c>
      <c r="C25" s="11" t="inlineStr">
        <is>
          <t>KONF.2.3</t>
        </is>
      </c>
      <c r="D25" s="11" t="inlineStr">
        <is>
          <t>Standard-Anforderungen</t>
        </is>
      </c>
      <c r="E25" s="12" t="inlineStr">
        <is>
          <t>Konfiguration für IT-Systeme SOLLTE die Änderung von Default-Zugangsdaten ausführen.</t>
        </is>
      </c>
      <c r="F25" s="14" t="n"/>
      <c r="G25" s="14" t="n"/>
      <c r="H25" s="14" t="inlineStr">
        <is>
          <t>unbearbeitet</t>
        </is>
      </c>
      <c r="I25" s="14" t="n"/>
      <c r="J25" s="14" t="n"/>
      <c r="K25" s="14" t="n"/>
      <c r="L25" s="15" t="n"/>
      <c r="M25" s="11" t="inlineStr">
        <is>
          <t>Vertraulichkeit, Integrität</t>
        </is>
      </c>
      <c r="N25" s="12" t="inlineStr">
        <is>
          <t>IND.2.1.A1-UA.1</t>
        </is>
      </c>
      <c r="O25" s="11" t="inlineStr">
        <is>
          <t>intersects-with</t>
        </is>
      </c>
      <c r="P25" s="12" t="inlineStr">
        <is>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is>
      </c>
      <c r="Q25" s="11" t="inlineStr">
        <is>
          <t>IT-Systeme</t>
        </is>
      </c>
      <c r="R25" s="11" t="inlineStr">
        <is>
          <t>Konfigurationshistorie</t>
        </is>
      </c>
      <c r="S25" s="12" t="inlineStr">
        <is>
          <t>die Änderung von Default-Zugangsdaten</t>
        </is>
      </c>
      <c r="T25" s="12" t="inlineStr">
        <is>
          <t>G 0.30 – Unberechtigte Nutzung oder Administration von Geräten und Systemen; G 0.23 – Unbefugtes Eindringen in IT-Systeme</t>
        </is>
      </c>
      <c r="U25" s="11" t="n">
        <v>1</v>
      </c>
      <c r="V25" s="11" t="n">
        <v>2</v>
      </c>
      <c r="W25" s="11" t="n">
        <v>2</v>
      </c>
      <c r="X25" s="11" t="n">
        <v>1</v>
      </c>
      <c r="Y25" s="11" t="n">
        <v>1</v>
      </c>
    </row>
    <row r="26">
      <c r="A26" s="9" t="inlineStr">
        <is>
          <t>KONF.2.4</t>
        </is>
      </c>
      <c r="B26" s="10" t="inlineStr">
        <is>
          <t>Deaktivierung nicht benötigter Systemfunktionen</t>
        </is>
      </c>
      <c r="C26" s="11" t="n"/>
      <c r="D26" s="11" t="inlineStr">
        <is>
          <t>Standard-Anforderungen</t>
        </is>
      </c>
      <c r="E26" s="12" t="inlineStr">
        <is>
          <t>Gesamt:</t>
        </is>
      </c>
      <c r="F26" s="11" t="n"/>
      <c r="G26" s="11" t="n"/>
      <c r="H26" s="13">
        <f>IF(OR(COUNTBLANK($H$27:$H$29)&gt;0,COUNTIF($H$27:$H$29,"unbearbeitet")=COUNTA($H$27:$H$29)),"Bitte Teilanforderungen ausfüllen",IF(COUNTIF($H$27:$H$29,"zu klären")&gt;0,"zu klären",IF(COUNTIF($H$27:$H$29,"entbehrlich")=COUNTA($H$27:$H$29),"entbehrlich",IF(COUNTIF($H$27:$H$29,"verwiesen")=COUNTA($H$27:$H$29),"verwiesen",IF(COUNTIF($H$27:$H$29,"nein")+COUNTIF($H$27:$H$29,"entbehrlich")=COUNTA($H$27:$H$29),"nein",IF(COUNTIF($H$27:$H$29,"ja")+COUNTIF($H$27:$H$29,"entbehrlich")+COUNTIF($H$27:$H$29,"verwiesen")=COUNTA($H$27:$H$29),"ja","teilweise"))))))</f>
        <v/>
      </c>
      <c r="I26" s="11" t="n"/>
      <c r="J26" s="11" t="n"/>
      <c r="K26" s="11" t="n"/>
      <c r="L26" s="11" t="n"/>
      <c r="M26" s="11" t="inlineStr">
        <is>
          <t>Vertraulichkeit, Integrität</t>
        </is>
      </c>
      <c r="N26" s="12" t="inlineStr">
        <is>
          <t>APP.3.2.A1-UA.6; SYS.3.2.4.A2-UA.1</t>
        </is>
      </c>
      <c r="O26" s="11" t="inlineStr">
        <is>
          <t>intersects-with; intersects-with</t>
        </is>
      </c>
      <c r="P26" s="12" t="inlineStr">
        <is>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is>
      </c>
      <c r="Q26" s="11" t="inlineStr">
        <is>
          <t>IT-Systeme</t>
        </is>
      </c>
      <c r="R26" s="11" t="inlineStr">
        <is>
          <t>Konfigurationshistorie</t>
        </is>
      </c>
      <c r="S26" s="12" t="inlineStr">
        <is>
          <t>nicht benötigte Systemfunktionen</t>
        </is>
      </c>
      <c r="T26" s="12" t="inlineStr">
        <is>
          <t>G 0.23 – Unbefugtes Eindringen in IT-Systeme; G 0.28 – Software-Schwachstellen oder -Fehler</t>
        </is>
      </c>
      <c r="U26" s="11" t="n">
        <v>2</v>
      </c>
      <c r="V26" s="11" t="n">
        <v>2</v>
      </c>
      <c r="W26" s="11" t="n">
        <v>2</v>
      </c>
      <c r="X26" s="11" t="n">
        <v>1</v>
      </c>
      <c r="Y26" s="11" t="n">
        <v>0</v>
      </c>
    </row>
    <row r="27">
      <c r="A27" s="11" t="inlineStr">
        <is>
          <t>KONF.2.4</t>
        </is>
      </c>
      <c r="B27" s="12" t="inlineStr">
        <is>
          <t>Deaktivierung nicht benötigter Systemfunktionen</t>
        </is>
      </c>
      <c r="C27" s="11" t="inlineStr">
        <is>
          <t>KONF.2.4</t>
        </is>
      </c>
      <c r="D27" s="11" t="inlineStr">
        <is>
          <t>Standard-Anforderungen</t>
        </is>
      </c>
      <c r="E27" s="12" t="inlineStr">
        <is>
          <t>Konfiguration für IT-Systeme SOLLTE nicht benötigte Systemfunktionen deaktivieren.</t>
        </is>
      </c>
      <c r="F27" s="14" t="n"/>
      <c r="G27" s="14" t="n"/>
      <c r="H27" s="14" t="inlineStr">
        <is>
          <t>unbearbeitet</t>
        </is>
      </c>
      <c r="I27" s="14" t="n"/>
      <c r="J27" s="14" t="n"/>
      <c r="K27" s="14" t="n"/>
      <c r="L27" s="15" t="n"/>
      <c r="M27" s="11" t="inlineStr">
        <is>
          <t>Vertraulichkeit, Integrität</t>
        </is>
      </c>
      <c r="N27" s="12" t="inlineStr">
        <is>
          <t>APP.3.2.A1-UA.6; SYS.3.2.4.A2-UA.1</t>
        </is>
      </c>
      <c r="O27" s="11" t="inlineStr">
        <is>
          <t>intersects-with; intersects-with</t>
        </is>
      </c>
      <c r="P27" s="12" t="inlineStr">
        <is>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is>
      </c>
      <c r="Q27" s="11" t="inlineStr">
        <is>
          <t>IT-Systeme</t>
        </is>
      </c>
      <c r="R27" s="11" t="inlineStr">
        <is>
          <t>Konfigurationshistorie</t>
        </is>
      </c>
      <c r="S27" s="12" t="inlineStr">
        <is>
          <t>nicht benötigte Systemfunktionen</t>
        </is>
      </c>
      <c r="T27" s="12" t="inlineStr">
        <is>
          <t>G 0.23 – Unbefugtes Eindringen in IT-Systeme; G 0.28 – Software-Schwachstellen oder -Fehler</t>
        </is>
      </c>
      <c r="U27" s="11" t="n">
        <v>2</v>
      </c>
      <c r="V27" s="11" t="n">
        <v>2</v>
      </c>
      <c r="W27" s="11" t="n">
        <v>2</v>
      </c>
      <c r="X27" s="11" t="n">
        <v>1</v>
      </c>
      <c r="Y27" s="11" t="n">
        <v>0</v>
      </c>
    </row>
    <row r="28">
      <c r="A28" s="11" t="inlineStr">
        <is>
          <t>KONF.2.4</t>
        </is>
      </c>
      <c r="B28" s="12" t="inlineStr">
        <is>
          <t>Deaktivierung nicht benötigter Systemfunktionen</t>
        </is>
      </c>
      <c r="C28" s="11" t="inlineStr">
        <is>
          <t>KONF.2.4.1</t>
        </is>
      </c>
      <c r="D28" s="11" t="inlineStr">
        <is>
          <t>Standard-Anforderungen</t>
        </is>
      </c>
      <c r="E28" s="12" t="inlineStr">
        <is>
          <t>Konfiguration für IT-Systeme SOLLTE nicht benötigte Zertifikate deaktivieren.</t>
        </is>
      </c>
      <c r="F28" s="14" t="n"/>
      <c r="G28" s="14" t="n"/>
      <c r="H28" s="14" t="inlineStr">
        <is>
          <t>unbearbeitet</t>
        </is>
      </c>
      <c r="I28" s="14" t="n"/>
      <c r="J28" s="14" t="n"/>
      <c r="K28" s="14" t="n"/>
      <c r="L28" s="15" t="n"/>
      <c r="M28" s="11" t="inlineStr">
        <is>
          <t>Vertraulichkeit</t>
        </is>
      </c>
      <c r="N28" s="12" t="inlineStr"/>
      <c r="O28" s="11" t="inlineStr"/>
      <c r="P28" s="12" t="inlineStr">
        <is>
          <t>Hierbei ist insbesondere an die vom Betriebssystem als vertrauenswürdig eingestuften Zertifizierungsstellen zu denken, wenn sie nicht länger benötigt werden. Verfügt das IT-System über keine Zertifikate, so ist die Anforderung entbehrlich.</t>
        </is>
      </c>
      <c r="Q28" s="11" t="inlineStr">
        <is>
          <t>IT-Systeme</t>
        </is>
      </c>
      <c r="R28" s="11" t="inlineStr">
        <is>
          <t>Konfigurationshistorie</t>
        </is>
      </c>
      <c r="S28" s="12" t="inlineStr">
        <is>
          <t>nicht benötigte Zertifikate</t>
        </is>
      </c>
      <c r="T28" s="12" t="inlineStr">
        <is>
          <t>G 0.23 – Unbefugtes Eindringen in IT-Systeme; G 0.14 – Ausspähen von Informationen (Spionage)</t>
        </is>
      </c>
      <c r="U28" s="11" t="n">
        <v>3</v>
      </c>
      <c r="V28" s="11" t="n">
        <v>2</v>
      </c>
      <c r="W28" s="11" t="n">
        <v>1</v>
      </c>
      <c r="X28" s="11" t="n">
        <v>0</v>
      </c>
      <c r="Y28" s="11" t="n">
        <v>0</v>
      </c>
    </row>
    <row r="29">
      <c r="A29" s="11" t="inlineStr">
        <is>
          <t>KONF.2.4</t>
        </is>
      </c>
      <c r="B29" s="12" t="inlineStr">
        <is>
          <t>Deaktivierung nicht benötigter Systemfunktionen</t>
        </is>
      </c>
      <c r="C29" s="11" t="inlineStr">
        <is>
          <t>KONF.2.4.2</t>
        </is>
      </c>
      <c r="D29" s="11" t="inlineStr">
        <is>
          <t>Standard-Anforderungen</t>
        </is>
      </c>
      <c r="E29" s="12" t="inlineStr">
        <is>
          <t>Konfiguration für IT-Systeme SOLLTE nicht benötigte Cloud-Anbindungen deaktivieren.</t>
        </is>
      </c>
      <c r="F29" s="14" t="n"/>
      <c r="G29" s="14" t="n"/>
      <c r="H29" s="14" t="inlineStr">
        <is>
          <t>unbearbeitet</t>
        </is>
      </c>
      <c r="I29" s="14" t="n"/>
      <c r="J29" s="14" t="n"/>
      <c r="K29" s="14" t="n"/>
      <c r="L29" s="15" t="n"/>
      <c r="M29" s="11" t="inlineStr">
        <is>
          <t>Vertraulichkeit</t>
        </is>
      </c>
      <c r="N29" s="12" t="inlineStr">
        <is>
          <t>APP.1.1.A12-UA.1</t>
        </is>
      </c>
      <c r="O29" s="11" t="inlineStr">
        <is>
          <t>subset-of</t>
        </is>
      </c>
      <c r="P29" s="12" t="inlineStr">
        <is>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is>
      </c>
      <c r="Q29" s="11" t="inlineStr">
        <is>
          <t>IT-Systeme</t>
        </is>
      </c>
      <c r="R29" s="11" t="inlineStr">
        <is>
          <t>Konfigurationshistorie</t>
        </is>
      </c>
      <c r="S29" s="12" t="inlineStr">
        <is>
          <t>nicht benötigte Cloud-Anbindungen</t>
        </is>
      </c>
      <c r="T29" s="12" t="inlineStr">
        <is>
          <t>G 0.19 – Offenlegung schützenswerter Informationen; G 0.23 – Unbefugtes Eindringen in IT-Systeme</t>
        </is>
      </c>
      <c r="U29" s="11" t="n">
        <v>4</v>
      </c>
      <c r="V29" s="11" t="n">
        <v>2</v>
      </c>
      <c r="W29" s="11" t="n">
        <v>1</v>
      </c>
      <c r="X29" s="11" t="n">
        <v>0</v>
      </c>
      <c r="Y29" s="11" t="n">
        <v>0</v>
      </c>
    </row>
    <row r="30">
      <c r="A30" s="9" t="inlineStr">
        <is>
          <t>KONF.2.5</t>
        </is>
      </c>
      <c r="B30" s="10" t="inlineStr">
        <is>
          <t>Überprüfung der Konfiguration</t>
        </is>
      </c>
      <c r="C30" s="11" t="n"/>
      <c r="D30" s="11" t="inlineStr">
        <is>
          <t>Standard-Anforderungen</t>
        </is>
      </c>
      <c r="E30" s="12" t="inlineStr">
        <is>
          <t>Gesamt:</t>
        </is>
      </c>
      <c r="F30" s="11" t="n"/>
      <c r="G30" s="11" t="n"/>
      <c r="H30" s="13">
        <f>IF(OR(COUNTBLANK($H$31:$H$32)&gt;0,COUNTIF($H$31:$H$32,"unbearbeitet")=COUNTA($H$31:$H$32)),"Bitte Teilanforderungen ausfüllen",IF(COUNTIF($H$31:$H$32,"zu klären")&gt;0,"zu klären",IF(COUNTIF($H$31:$H$32,"entbehrlich")=COUNTA($H$31:$H$32),"entbehrlich",IF(COUNTIF($H$31:$H$32,"verwiesen")=COUNTA($H$31:$H$32),"verwiesen",IF(COUNTIF($H$31:$H$32,"nein")+COUNTIF($H$31:$H$32,"entbehrlich")=COUNTA($H$31:$H$32),"nein",IF(COUNTIF($H$31:$H$32,"ja")+COUNTIF($H$31:$H$32,"entbehrlich")+COUNTIF($H$31:$H$32,"verwiesen")=COUNTA($H$31:$H$32),"ja","teilweise"))))))</f>
        <v/>
      </c>
      <c r="I30" s="11" t="n"/>
      <c r="J30" s="11" t="n"/>
      <c r="K30" s="11" t="n"/>
      <c r="L30" s="11" t="n"/>
      <c r="M30" s="11" t="inlineStr">
        <is>
          <t>Integrität</t>
        </is>
      </c>
      <c r="N30" s="12" t="inlineStr">
        <is>
          <t>INF.13.A6-UA.4; OPS.1.1.1.A5-UA.6</t>
        </is>
      </c>
      <c r="O30" s="11" t="inlineStr">
        <is>
          <t>subset-of; intersects-with</t>
        </is>
      </c>
      <c r="P30" s="12" t="inlineStr">
        <is>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is>
      </c>
      <c r="Q30" s="11" t="inlineStr">
        <is>
          <t>IT-Systeme</t>
        </is>
      </c>
      <c r="R30" s="11" t="inlineStr">
        <is>
          <t>Konfigurationshistorie</t>
        </is>
      </c>
      <c r="S30" s="12" t="inlineStr">
        <is>
          <t>die Übereinstimmung der tatsächlichen Konfiguration mit dem Referenzzustand</t>
        </is>
      </c>
      <c r="T30" s="12" t="inlineStr">
        <is>
          <t>G 0.22 – Manipulation von Informationen; G 0.21 – Manipulation von Hard- oder Software; G 0.46 – Integritätsverlust schützenswerter Informationen; G 0.31 – Fehlerhafte Nutzung oder Administration von Geräten und Systemen</t>
        </is>
      </c>
      <c r="U30" s="11" t="n">
        <v>4</v>
      </c>
      <c r="V30" s="11" t="n">
        <v>1</v>
      </c>
      <c r="W30" s="11" t="n">
        <v>2</v>
      </c>
      <c r="X30" s="11" t="n">
        <v>1</v>
      </c>
      <c r="Y30" s="11" t="n">
        <v>1</v>
      </c>
    </row>
    <row r="31">
      <c r="A31" s="11" t="inlineStr">
        <is>
          <t>KONF.2.5</t>
        </is>
      </c>
      <c r="B31" s="12" t="inlineStr">
        <is>
          <t>Überprüfung der Konfiguration</t>
        </is>
      </c>
      <c r="C31" s="11" t="inlineStr">
        <is>
          <t>KONF.2.5</t>
        </is>
      </c>
      <c r="D31" s="11" t="inlineStr">
        <is>
          <t>Standard-Anforderungen</t>
        </is>
      </c>
      <c r="E31" s="12" t="inlineStr">
        <is>
          <t>Konfiguration für IT-Systeme SOLLTE die Übereinstimmung der tatsächlichen Konfiguration mit dem Referenzzustand regelmäßig überprüfen.</t>
        </is>
      </c>
      <c r="F31" s="14" t="n"/>
      <c r="G31" s="14" t="n"/>
      <c r="H31" s="14" t="inlineStr">
        <is>
          <t>unbearbeitet</t>
        </is>
      </c>
      <c r="I31" s="14" t="n"/>
      <c r="J31" s="14" t="n"/>
      <c r="K31" s="14" t="n"/>
      <c r="L31" s="15" t="n"/>
      <c r="M31" s="11" t="inlineStr">
        <is>
          <t>Integrität</t>
        </is>
      </c>
      <c r="N31" s="12" t="inlineStr">
        <is>
          <t>INF.13.A6-UA.4; OPS.1.1.1.A5-UA.6</t>
        </is>
      </c>
      <c r="O31" s="11" t="inlineStr">
        <is>
          <t>subset-of; intersects-with</t>
        </is>
      </c>
      <c r="P31" s="12" t="inlineStr">
        <is>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is>
      </c>
      <c r="Q31" s="11" t="inlineStr">
        <is>
          <t>IT-Systeme</t>
        </is>
      </c>
      <c r="R31" s="11" t="inlineStr">
        <is>
          <t>Konfigurationshistorie</t>
        </is>
      </c>
      <c r="S31" s="12" t="inlineStr">
        <is>
          <t>die Übereinstimmung der tatsächlichen Konfiguration mit dem Referenzzustand</t>
        </is>
      </c>
      <c r="T31" s="12" t="inlineStr">
        <is>
          <t>G 0.22 – Manipulation von Informationen; G 0.21 – Manipulation von Hard- oder Software; G 0.46 – Integritätsverlust schützenswerter Informationen; G 0.31 – Fehlerhafte Nutzung oder Administration von Geräten und Systemen</t>
        </is>
      </c>
      <c r="U31" s="11" t="n">
        <v>4</v>
      </c>
      <c r="V31" s="11" t="n">
        <v>1</v>
      </c>
      <c r="W31" s="11" t="n">
        <v>2</v>
      </c>
      <c r="X31" s="11" t="n">
        <v>1</v>
      </c>
      <c r="Y31" s="11" t="n">
        <v>1</v>
      </c>
    </row>
    <row r="32">
      <c r="A32" s="11" t="inlineStr">
        <is>
          <t>KONF.2.5</t>
        </is>
      </c>
      <c r="B32" s="12" t="inlineStr">
        <is>
          <t>Überprüfung der Konfiguration</t>
        </is>
      </c>
      <c r="C32" s="11" t="inlineStr">
        <is>
          <t>KONF.2.5.1</t>
        </is>
      </c>
      <c r="D32" s="11" t="inlineStr">
        <is>
          <t>Anforderungen bei erhöhtem Schutzbedarf</t>
        </is>
      </c>
      <c r="E32" s="12" t="inlineStr">
        <is>
          <t>Konfiguration für IT-Systeme KANN die Überprüfung der Konfiguration durch einen automatisierten Mechanismus aktivieren.</t>
        </is>
      </c>
      <c r="F32" s="14" t="n"/>
      <c r="G32" s="14" t="n"/>
      <c r="H32" s="14" t="inlineStr">
        <is>
          <t>unbearbeitet</t>
        </is>
      </c>
      <c r="I32" s="14" t="n"/>
      <c r="J32" s="14" t="n"/>
      <c r="K32" s="14" t="n"/>
      <c r="L32" s="15" t="n"/>
      <c r="M32" s="11" t="inlineStr">
        <is>
          <t>Integrität</t>
        </is>
      </c>
      <c r="N32" s="12" t="inlineStr"/>
      <c r="O32" s="11" t="inlineStr"/>
      <c r="P32" s="12" t="inlineStr">
        <is>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is>
      </c>
      <c r="Q32" s="11" t="inlineStr">
        <is>
          <t>IT-Systeme</t>
        </is>
      </c>
      <c r="R32" s="11" t="inlineStr">
        <is>
          <t>Konfigurationshistorie</t>
        </is>
      </c>
      <c r="S32" s="12" t="inlineStr">
        <is>
          <t>die Überprüfung der Konfiguration durch {{einen automatisierten Mechanismus}}</t>
        </is>
      </c>
      <c r="T32" s="12" t="inlineStr">
        <is>
          <t>G 0.31 – Fehlerhafte Nutzung oder Administration von Geräten und Systemen; G 0.23 – Unbefugtes Eindringen in IT-Systeme; G 0.21 – Manipulation von Hard- oder Software; G 0.22 – Manipulation von Informationen</t>
        </is>
      </c>
      <c r="U32" s="11" t="n">
        <v>5</v>
      </c>
      <c r="V32" s="11" t="n">
        <v>1</v>
      </c>
      <c r="W32" s="11" t="n">
        <v>2</v>
      </c>
      <c r="X32" s="11" t="n">
        <v>1</v>
      </c>
      <c r="Y32" s="11" t="n">
        <v>1</v>
      </c>
    </row>
    <row r="33">
      <c r="A33" s="9" t="inlineStr">
        <is>
          <t>KONF.2.6</t>
        </is>
      </c>
      <c r="B33" s="10" t="inlineStr">
        <is>
          <t>Automatische Konfigurationsverwaltung</t>
        </is>
      </c>
      <c r="C33" s="11" t="n"/>
      <c r="D33" s="11" t="inlineStr">
        <is>
          <t>Standard-Anforderungen</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is>
          <t>Vertraulichkeit, Integrität, Verfügbarkeit</t>
        </is>
      </c>
      <c r="N33" s="12" t="inlineStr"/>
      <c r="O33" s="11" t="inlineStr"/>
      <c r="P33" s="12" t="inlineStr">
        <is>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is>
      </c>
      <c r="Q33" s="11" t="inlineStr">
        <is>
          <t>Endgeräte</t>
        </is>
      </c>
      <c r="R33" s="11" t="inlineStr">
        <is>
          <t>Konfigurationshistorie</t>
        </is>
      </c>
      <c r="S33" s="12" t="inlineStr">
        <is>
          <t>die Verwaltung durch ein Mobile Device Management (MDM)</t>
        </is>
      </c>
      <c r="T33" s="12" t="inlineStr">
        <is>
          <t>G 0.31 – Fehlerhafte Nutzung oder Administration von Geräten und Systemen; G 0.30 – Unberechtigte Nutzung oder Administration von Geräten und Systemen; G 0.18 – Fehlplanung oder fehlende Anpassung</t>
        </is>
      </c>
      <c r="U33" s="11" t="n">
        <v>3</v>
      </c>
      <c r="V33" s="11" t="n">
        <v>2</v>
      </c>
      <c r="W33" s="11" t="n">
        <v>2</v>
      </c>
      <c r="X33" s="11" t="n">
        <v>2</v>
      </c>
      <c r="Y33" s="11" t="n">
        <v>1</v>
      </c>
    </row>
    <row r="34">
      <c r="A34" s="11" t="inlineStr">
        <is>
          <t>KONF.2.6</t>
        </is>
      </c>
      <c r="B34" s="12" t="inlineStr">
        <is>
          <t>Automatische Konfigurationsverwaltung</t>
        </is>
      </c>
      <c r="C34" s="11" t="inlineStr">
        <is>
          <t>KONF.2.6</t>
        </is>
      </c>
      <c r="D34" s="11" t="inlineStr">
        <is>
          <t>Standard-Anforderungen</t>
        </is>
      </c>
      <c r="E34" s="12" t="inlineStr">
        <is>
          <t>Konfiguration für Endgeräte SOLLTE die Verwaltung durch ein Mobile Device Management (MDM) aktivieren.</t>
        </is>
      </c>
      <c r="F34" s="14" t="n"/>
      <c r="G34" s="14" t="n"/>
      <c r="H34" s="14" t="inlineStr">
        <is>
          <t>unbearbeitet</t>
        </is>
      </c>
      <c r="I34" s="14" t="n"/>
      <c r="J34" s="14" t="n"/>
      <c r="K34" s="14" t="n"/>
      <c r="L34" s="15" t="n"/>
      <c r="M34" s="11" t="inlineStr">
        <is>
          <t>Vertraulichkeit, Integrität, Verfügbarkeit</t>
        </is>
      </c>
      <c r="N34" s="12" t="inlineStr"/>
      <c r="O34" s="11" t="inlineStr"/>
      <c r="P34" s="12" t="inlineStr">
        <is>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is>
      </c>
      <c r="Q34" s="11" t="inlineStr">
        <is>
          <t>Endgeräte</t>
        </is>
      </c>
      <c r="R34" s="11" t="inlineStr">
        <is>
          <t>Konfigurationshistorie</t>
        </is>
      </c>
      <c r="S34" s="12" t="inlineStr">
        <is>
          <t>die Verwaltung durch ein Mobile Device Management (MDM)</t>
        </is>
      </c>
      <c r="T34" s="12" t="inlineStr">
        <is>
          <t>G 0.31 – Fehlerhafte Nutzung oder Administration von Geräten und Systemen; G 0.30 – Unberechtigte Nutzung oder Administration von Geräten und Systemen; G 0.18 – Fehlplanung oder fehlende Anpassung</t>
        </is>
      </c>
      <c r="U34" s="11" t="n">
        <v>3</v>
      </c>
      <c r="V34" s="11" t="n">
        <v>2</v>
      </c>
      <c r="W34" s="11" t="n">
        <v>2</v>
      </c>
      <c r="X34" s="11" t="n">
        <v>2</v>
      </c>
      <c r="Y34" s="11" t="n">
        <v>1</v>
      </c>
    </row>
    <row r="35">
      <c r="A35" s="9" t="inlineStr">
        <is>
          <t>KONF.2.7</t>
        </is>
      </c>
      <c r="B35" s="10" t="inlineStr">
        <is>
          <t>Souveräne Werkzeuge</t>
        </is>
      </c>
      <c r="C35" s="11" t="n"/>
      <c r="D35" s="11" t="inlineStr">
        <is>
          <t>Anforderungen bei erhöhtem Schutzbedarf</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is>
          <t>Vertraulichkeit, Integrität, Verfügbarkeit</t>
        </is>
      </c>
      <c r="N35" s="12" t="inlineStr"/>
      <c r="O35" s="11" t="inlineStr"/>
      <c r="P35" s="12" t="inlineStr">
        <is>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is>
      </c>
      <c r="Q35" s="11" t="inlineStr">
        <is>
          <t>IT-Systeme</t>
        </is>
      </c>
      <c r="R35" s="11" t="inlineStr">
        <is>
          <t>IT-Betriebskonzept</t>
        </is>
      </c>
      <c r="S35" s="12" t="inlineStr">
        <is>
          <t>Souveräne Werkzeuge</t>
        </is>
      </c>
      <c r="T35" s="12" t="inlineStr">
        <is>
          <t>G 0.11 – Ausfall oder Störung von Dienstleistern; G 0.18 – Fehlplanung oder fehlende Anpassung</t>
        </is>
      </c>
      <c r="U35" s="11" t="n">
        <v>5</v>
      </c>
      <c r="V35" s="11" t="n">
        <v>2</v>
      </c>
      <c r="W35" s="11" t="n">
        <v>2</v>
      </c>
      <c r="X35" s="11" t="n">
        <v>2</v>
      </c>
      <c r="Y35" s="11" t="n">
        <v>0</v>
      </c>
    </row>
    <row r="36">
      <c r="A36" s="11" t="inlineStr">
        <is>
          <t>KONF.2.7</t>
        </is>
      </c>
      <c r="B36" s="12" t="inlineStr">
        <is>
          <t>Souveräne Werkzeuge</t>
        </is>
      </c>
      <c r="C36" s="11" t="inlineStr">
        <is>
          <t>KONF.2.7</t>
        </is>
      </c>
      <c r="D36" s="11" t="inlineStr">
        <is>
          <t>Anforderungen bei erhöhtem Schutzbedarf</t>
        </is>
      </c>
      <c r="E36" s="12" t="inlineStr">
        <is>
          <t>Konfiguration für IT-Systeme KANN Souveräne Werkzeuge installieren.</t>
        </is>
      </c>
      <c r="F36" s="14" t="n"/>
      <c r="G36" s="14" t="n"/>
      <c r="H36" s="14" t="inlineStr">
        <is>
          <t>unbearbeitet</t>
        </is>
      </c>
      <c r="I36" s="14" t="n"/>
      <c r="J36" s="14" t="n"/>
      <c r="K36" s="14" t="n"/>
      <c r="L36" s="15" t="n"/>
      <c r="M36" s="11" t="inlineStr">
        <is>
          <t>Vertraulichkeit, Integrität, Verfügbarkeit</t>
        </is>
      </c>
      <c r="N36" s="12" t="inlineStr"/>
      <c r="O36" s="11" t="inlineStr"/>
      <c r="P36" s="12" t="inlineStr">
        <is>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is>
      </c>
      <c r="Q36" s="11" t="inlineStr">
        <is>
          <t>IT-Systeme</t>
        </is>
      </c>
      <c r="R36" s="11" t="inlineStr">
        <is>
          <t>IT-Betriebskonzept</t>
        </is>
      </c>
      <c r="S36" s="12" t="inlineStr">
        <is>
          <t>Souveräne Werkzeuge</t>
        </is>
      </c>
      <c r="T36" s="12" t="inlineStr">
        <is>
          <t>G 0.11 – Ausfall oder Störung von Dienstleistern; G 0.18 – Fehlplanung oder fehlende Anpassung</t>
        </is>
      </c>
      <c r="U36" s="11" t="n">
        <v>5</v>
      </c>
      <c r="V36" s="11" t="n">
        <v>2</v>
      </c>
      <c r="W36" s="11" t="n">
        <v>2</v>
      </c>
      <c r="X36" s="11" t="n">
        <v>2</v>
      </c>
      <c r="Y36" s="11" t="n">
        <v>0</v>
      </c>
    </row>
    <row r="37">
      <c r="A37" s="9" t="inlineStr">
        <is>
          <t>KONF.2.8</t>
        </is>
      </c>
      <c r="B37" s="10" t="inlineStr">
        <is>
          <t>Alternative Administrationszugänge</t>
        </is>
      </c>
      <c r="C37" s="11" t="n"/>
      <c r="D37" s="11" t="inlineStr">
        <is>
          <t>Anforderungen bei erhöhtem Schutzbedarf</t>
        </is>
      </c>
      <c r="E37" s="12" t="inlineStr">
        <is>
          <t>Gesamt:</t>
        </is>
      </c>
      <c r="F37" s="11" t="n"/>
      <c r="G37" s="11" t="n"/>
      <c r="H37" s="13">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
      </c>
      <c r="I37" s="11" t="n"/>
      <c r="J37" s="11" t="n"/>
      <c r="K37" s="11" t="n"/>
      <c r="L37" s="11" t="n"/>
      <c r="M37" s="11" t="inlineStr">
        <is>
          <t>Verfügbarkeit</t>
        </is>
      </c>
      <c r="N37" s="12" t="inlineStr">
        <is>
          <t>SYS.2.1.A36-UA.1</t>
        </is>
      </c>
      <c r="O37" s="11" t="inlineStr">
        <is>
          <t>intersects-with</t>
        </is>
      </c>
      <c r="P37" s="12" t="inlineStr">
        <is>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is>
      </c>
      <c r="Q37" s="11" t="inlineStr">
        <is>
          <t>IT-Systeme</t>
        </is>
      </c>
      <c r="R37" s="11" t="inlineStr">
        <is>
          <t>IT-Betriebskonzept</t>
        </is>
      </c>
      <c r="S37" s="12" t="inlineStr">
        <is>
          <t>alternative Administrationszugänge</t>
        </is>
      </c>
      <c r="T37" s="12" t="inlineStr">
        <is>
          <t>G 0.27 – Ressourcenmangel; G 0.18 – Fehlplanung oder fehlende Anpassung</t>
        </is>
      </c>
      <c r="U37" s="11" t="n">
        <v>5</v>
      </c>
      <c r="V37" s="11" t="n">
        <v>1</v>
      </c>
      <c r="W37" s="11" t="n">
        <v>1</v>
      </c>
      <c r="X37" s="11" t="n">
        <v>2</v>
      </c>
      <c r="Y37" s="11" t="n">
        <v>0</v>
      </c>
    </row>
    <row r="38">
      <c r="A38" s="11" t="inlineStr">
        <is>
          <t>KONF.2.8</t>
        </is>
      </c>
      <c r="B38" s="12" t="inlineStr">
        <is>
          <t>Alternative Administrationszugänge</t>
        </is>
      </c>
      <c r="C38" s="11" t="inlineStr">
        <is>
          <t>KONF.2.8</t>
        </is>
      </c>
      <c r="D38" s="11" t="inlineStr">
        <is>
          <t>Anforderungen bei erhöhtem Schutzbedarf</t>
        </is>
      </c>
      <c r="E38" s="12" t="inlineStr">
        <is>
          <t>Konfiguration für IT-Systeme KANN alternative Administrationszugänge installieren.</t>
        </is>
      </c>
      <c r="F38" s="14" t="n"/>
      <c r="G38" s="14" t="n"/>
      <c r="H38" s="14" t="inlineStr">
        <is>
          <t>unbearbeitet</t>
        </is>
      </c>
      <c r="I38" s="14" t="n"/>
      <c r="J38" s="14" t="n"/>
      <c r="K38" s="14" t="n"/>
      <c r="L38" s="15" t="n"/>
      <c r="M38" s="11" t="inlineStr">
        <is>
          <t>Verfügbarkeit</t>
        </is>
      </c>
      <c r="N38" s="12" t="inlineStr">
        <is>
          <t>SYS.2.1.A36-UA.1</t>
        </is>
      </c>
      <c r="O38" s="11" t="inlineStr">
        <is>
          <t>intersects-with</t>
        </is>
      </c>
      <c r="P38" s="12" t="inlineStr">
        <is>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is>
      </c>
      <c r="Q38" s="11" t="inlineStr">
        <is>
          <t>IT-Systeme</t>
        </is>
      </c>
      <c r="R38" s="11" t="inlineStr">
        <is>
          <t>IT-Betriebskonzept</t>
        </is>
      </c>
      <c r="S38" s="12" t="inlineStr">
        <is>
          <t>alternative Administrationszugänge</t>
        </is>
      </c>
      <c r="T38" s="12" t="inlineStr">
        <is>
          <t>G 0.27 – Ressourcenmangel; G 0.18 – Fehlplanung oder fehlende Anpassung</t>
        </is>
      </c>
      <c r="U38" s="11" t="n">
        <v>5</v>
      </c>
      <c r="V38" s="11" t="n">
        <v>1</v>
      </c>
      <c r="W38" s="11" t="n">
        <v>1</v>
      </c>
      <c r="X38" s="11" t="n">
        <v>2</v>
      </c>
      <c r="Y38" s="11" t="n">
        <v>0</v>
      </c>
    </row>
    <row r="39">
      <c r="A39" s="9" t="inlineStr">
        <is>
          <t>KONF.2.9</t>
        </is>
      </c>
      <c r="B39" s="10" t="inlineStr">
        <is>
          <t>Abgesicherter und authentisierter Bootprozess</t>
        </is>
      </c>
      <c r="C39" s="11" t="n"/>
      <c r="D39" s="11" t="inlineStr">
        <is>
          <t>Anforderungen bei erhöhtem Schutzbedarf</t>
        </is>
      </c>
      <c r="E39" s="12" t="inlineStr">
        <is>
          <t>Gesamt:</t>
        </is>
      </c>
      <c r="F39" s="11" t="n"/>
      <c r="G39" s="11" t="n"/>
      <c r="H39" s="13">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
      </c>
      <c r="I39" s="11" t="n"/>
      <c r="J39" s="11" t="n"/>
      <c r="K39" s="11" t="n"/>
      <c r="L39" s="11" t="n"/>
      <c r="M39" s="11" t="inlineStr">
        <is>
          <t>Vertraulichkeit, Integrität, Verfügbarkeit</t>
        </is>
      </c>
      <c r="N39" s="12" t="inlineStr"/>
      <c r="O39" s="11" t="inlineStr"/>
      <c r="P39" s="12" t="inlineStr">
        <is>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is>
      </c>
      <c r="Q39" s="11" t="inlineStr">
        <is>
          <t>IT-Systeme</t>
        </is>
      </c>
      <c r="R39" s="11" t="inlineStr">
        <is>
          <t>Konfigurationshistorie</t>
        </is>
      </c>
      <c r="S39" s="12" t="inlineStr">
        <is>
          <t>einen abgesicherten und authentisierten Bootprozess</t>
        </is>
      </c>
      <c r="T39" s="12" t="inlineStr">
        <is>
          <t>G 0.21 – Manipulation von Hard- oder Software; G 0.39 – Schadprogramme</t>
        </is>
      </c>
      <c r="U39" s="11" t="n">
        <v>5</v>
      </c>
      <c r="V39" s="11" t="n">
        <v>2</v>
      </c>
      <c r="W39" s="11" t="n">
        <v>2</v>
      </c>
      <c r="X39" s="11" t="n">
        <v>2</v>
      </c>
      <c r="Y39" s="11" t="n">
        <v>1</v>
      </c>
    </row>
    <row r="40">
      <c r="A40" s="11" t="inlineStr">
        <is>
          <t>KONF.2.9</t>
        </is>
      </c>
      <c r="B40" s="12" t="inlineStr">
        <is>
          <t>Abgesicherter und authentisierter Bootprozess</t>
        </is>
      </c>
      <c r="C40" s="11" t="inlineStr">
        <is>
          <t>KONF.2.9</t>
        </is>
      </c>
      <c r="D40" s="11" t="inlineStr">
        <is>
          <t>Anforderungen bei erhöhtem Schutzbedarf</t>
        </is>
      </c>
      <c r="E40" s="12" t="inlineStr">
        <is>
          <t>Konfiguration für IT-Systeme KANN einen abgesicherten und authentisierten Bootprozess aktivieren.</t>
        </is>
      </c>
      <c r="F40" s="14" t="n"/>
      <c r="G40" s="14" t="n"/>
      <c r="H40" s="14" t="inlineStr">
        <is>
          <t>unbearbeitet</t>
        </is>
      </c>
      <c r="I40" s="14" t="n"/>
      <c r="J40" s="14" t="n"/>
      <c r="K40" s="14" t="n"/>
      <c r="L40" s="15" t="n"/>
      <c r="M40" s="11" t="inlineStr">
        <is>
          <t>Vertraulichkeit, Integrität, Verfügbarkeit</t>
        </is>
      </c>
      <c r="N40" s="12" t="inlineStr"/>
      <c r="O40" s="11" t="inlineStr"/>
      <c r="P40" s="12" t="inlineStr">
        <is>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is>
      </c>
      <c r="Q40" s="11" t="inlineStr">
        <is>
          <t>IT-Systeme</t>
        </is>
      </c>
      <c r="R40" s="11" t="inlineStr">
        <is>
          <t>Konfigurationshistorie</t>
        </is>
      </c>
      <c r="S40" s="12" t="inlineStr">
        <is>
          <t>einen abgesicherten und authentisierten Bootprozess</t>
        </is>
      </c>
      <c r="T40" s="12" t="inlineStr">
        <is>
          <t>G 0.21 – Manipulation von Hard- oder Software; G 0.39 – Schadprogramme</t>
        </is>
      </c>
      <c r="U40" s="11" t="n">
        <v>5</v>
      </c>
      <c r="V40" s="11" t="n">
        <v>2</v>
      </c>
      <c r="W40" s="11" t="n">
        <v>2</v>
      </c>
      <c r="X40" s="11" t="n">
        <v>2</v>
      </c>
      <c r="Y40" s="11" t="n">
        <v>1</v>
      </c>
    </row>
    <row r="41">
      <c r="A41" s="9" t="inlineStr">
        <is>
          <t>KONF.3.1</t>
        </is>
      </c>
      <c r="B41" s="10" t="inlineStr">
        <is>
          <t>Kryptographischer Hardwarespeicher</t>
        </is>
      </c>
      <c r="C41" s="11" t="n"/>
      <c r="D41" s="11" t="inlineStr">
        <is>
          <t>Standard-Anforderungen</t>
        </is>
      </c>
      <c r="E41" s="12" t="inlineStr">
        <is>
          <t>Gesamt:</t>
        </is>
      </c>
      <c r="F41" s="11" t="n"/>
      <c r="G41" s="11" t="n"/>
      <c r="H41" s="13">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
      </c>
      <c r="I41" s="11" t="n"/>
      <c r="J41" s="11" t="n"/>
      <c r="K41" s="11" t="n"/>
      <c r="L41" s="11" t="n"/>
      <c r="M41" s="11" t="inlineStr">
        <is>
          <t>Vertraulichkeit</t>
        </is>
      </c>
      <c r="N41" s="12" t="inlineStr"/>
      <c r="O41" s="11" t="inlineStr"/>
      <c r="P41" s="12" t="inlineStr">
        <is>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is>
      </c>
      <c r="Q41" s="11" t="inlineStr">
        <is>
          <t>IT-Systeme</t>
        </is>
      </c>
      <c r="R41" s="11" t="inlineStr">
        <is>
          <t>Konfigurationshistorie</t>
        </is>
      </c>
      <c r="S41" s="12" t="inlineStr">
        <is>
          <t>einen kryptographischen Hardwarespeicher</t>
        </is>
      </c>
      <c r="T41" s="12" t="inlineStr">
        <is>
          <t>G 0.19 – Offenlegung schützenswerter Informationen; G 0.21 – Manipulation von Hard- oder Software</t>
        </is>
      </c>
      <c r="U41" s="11" t="n">
        <v>3</v>
      </c>
      <c r="V41" s="11" t="n">
        <v>2</v>
      </c>
      <c r="W41" s="11" t="n">
        <v>1</v>
      </c>
      <c r="X41" s="11" t="n">
        <v>1</v>
      </c>
      <c r="Y41" s="11" t="n">
        <v>1</v>
      </c>
    </row>
    <row r="42">
      <c r="A42" s="11" t="inlineStr">
        <is>
          <t>KONF.3.1</t>
        </is>
      </c>
      <c r="B42" s="12" t="inlineStr">
        <is>
          <t>Kryptographischer Hardwarespeicher</t>
        </is>
      </c>
      <c r="C42" s="11" t="inlineStr">
        <is>
          <t>KONF.3.1</t>
        </is>
      </c>
      <c r="D42" s="11" t="inlineStr">
        <is>
          <t>Standard-Anforderungen</t>
        </is>
      </c>
      <c r="E42" s="12" t="inlineStr">
        <is>
          <t>Konfiguration für IT-Systeme SOLLTE einen kryptographischen Hardwarespeicher aktivieren.</t>
        </is>
      </c>
      <c r="F42" s="14" t="n"/>
      <c r="G42" s="14" t="n"/>
      <c r="H42" s="14" t="inlineStr">
        <is>
          <t>unbearbeitet</t>
        </is>
      </c>
      <c r="I42" s="14" t="n"/>
      <c r="J42" s="14" t="n"/>
      <c r="K42" s="14" t="n"/>
      <c r="L42" s="15" t="n"/>
      <c r="M42" s="11" t="inlineStr">
        <is>
          <t>Vertraulichkeit</t>
        </is>
      </c>
      <c r="N42" s="12" t="inlineStr"/>
      <c r="O42" s="11" t="inlineStr"/>
      <c r="P42" s="12" t="inlineStr">
        <is>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is>
      </c>
      <c r="Q42" s="11" t="inlineStr">
        <is>
          <t>IT-Systeme</t>
        </is>
      </c>
      <c r="R42" s="11" t="inlineStr">
        <is>
          <t>Konfigurationshistorie</t>
        </is>
      </c>
      <c r="S42" s="12" t="inlineStr">
        <is>
          <t>einen kryptographischen Hardwarespeicher</t>
        </is>
      </c>
      <c r="T42" s="12" t="inlineStr">
        <is>
          <t>G 0.19 – Offenlegung schützenswerter Informationen; G 0.21 – Manipulation von Hard- oder Software</t>
        </is>
      </c>
      <c r="U42" s="11" t="n">
        <v>3</v>
      </c>
      <c r="V42" s="11" t="n">
        <v>2</v>
      </c>
      <c r="W42" s="11" t="n">
        <v>1</v>
      </c>
      <c r="X42" s="11" t="n">
        <v>1</v>
      </c>
      <c r="Y42" s="11" t="n">
        <v>1</v>
      </c>
    </row>
    <row r="43">
      <c r="A43" s="9" t="inlineStr">
        <is>
          <t>KONF.3.2</t>
        </is>
      </c>
      <c r="B43" s="10" t="inlineStr">
        <is>
          <t>Speicherverschlüsselung</t>
        </is>
      </c>
      <c r="C43" s="11" t="n"/>
      <c r="D43" s="11" t="inlineStr">
        <is>
          <t>Standard-Anforderungen</t>
        </is>
      </c>
      <c r="E43" s="12" t="inlineStr">
        <is>
          <t>Gesamt:</t>
        </is>
      </c>
      <c r="F43" s="11" t="n"/>
      <c r="G43" s="11" t="n"/>
      <c r="H43" s="13">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
      </c>
      <c r="I43" s="11" t="n"/>
      <c r="J43" s="11" t="n"/>
      <c r="K43" s="11" t="n"/>
      <c r="L43" s="11" t="n"/>
      <c r="M43" s="11" t="inlineStr">
        <is>
          <t>Vertraulichkeit</t>
        </is>
      </c>
      <c r="N43" s="12" t="inlineStr">
        <is>
          <t>APP.3.3.A12-UA.1</t>
        </is>
      </c>
      <c r="O43" s="11" t="inlineStr">
        <is>
          <t>intersects-with</t>
        </is>
      </c>
      <c r="P43" s="12" t="inlineStr">
        <is>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is>
      </c>
      <c r="Q43" s="11" t="inlineStr">
        <is>
          <t>IT-Systeme</t>
        </is>
      </c>
      <c r="R43" s="11" t="inlineStr">
        <is>
          <t>Konfigurationshistorie</t>
        </is>
      </c>
      <c r="S43" s="12" t="inlineStr">
        <is>
          <t>integrierte Festspeichermedien</t>
        </is>
      </c>
      <c r="T43" s="12" t="inlineStr">
        <is>
          <t>G 0.19 – Offenlegung schützenswerter Informationen; G 0.14 – Ausspähen von Informationen (Spionage)</t>
        </is>
      </c>
      <c r="U43" s="11" t="n">
        <v>3</v>
      </c>
      <c r="V43" s="11" t="n">
        <v>2</v>
      </c>
      <c r="W43" s="11" t="n">
        <v>0</v>
      </c>
      <c r="X43" s="11" t="n">
        <v>0</v>
      </c>
      <c r="Y43" s="11" t="n">
        <v>0</v>
      </c>
    </row>
    <row r="44">
      <c r="A44" s="11" t="inlineStr">
        <is>
          <t>KONF.3.2</t>
        </is>
      </c>
      <c r="B44" s="12" t="inlineStr">
        <is>
          <t>Speicherverschlüsselung</t>
        </is>
      </c>
      <c r="C44" s="11" t="inlineStr">
        <is>
          <t>KONF.3.2</t>
        </is>
      </c>
      <c r="D44" s="11" t="inlineStr">
        <is>
          <t>Standard-Anforderungen</t>
        </is>
      </c>
      <c r="E44" s="12" t="inlineStr">
        <is>
          <t>Konfiguration für IT-Systeme SOLLTE integrierte Festspeichermedien verschlüsseln.</t>
        </is>
      </c>
      <c r="F44" s="14" t="n"/>
      <c r="G44" s="14" t="n"/>
      <c r="H44" s="14" t="inlineStr">
        <is>
          <t>unbearbeitet</t>
        </is>
      </c>
      <c r="I44" s="14" t="n"/>
      <c r="J44" s="14" t="n"/>
      <c r="K44" s="14" t="n"/>
      <c r="L44" s="15" t="n"/>
      <c r="M44" s="11" t="inlineStr">
        <is>
          <t>Vertraulichkeit</t>
        </is>
      </c>
      <c r="N44" s="12" t="inlineStr">
        <is>
          <t>APP.3.3.A12-UA.1</t>
        </is>
      </c>
      <c r="O44" s="11" t="inlineStr">
        <is>
          <t>intersects-with</t>
        </is>
      </c>
      <c r="P44" s="12" t="inlineStr">
        <is>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is>
      </c>
      <c r="Q44" s="11" t="inlineStr">
        <is>
          <t>IT-Systeme</t>
        </is>
      </c>
      <c r="R44" s="11" t="inlineStr">
        <is>
          <t>Konfigurationshistorie</t>
        </is>
      </c>
      <c r="S44" s="12" t="inlineStr">
        <is>
          <t>integrierte Festspeichermedien</t>
        </is>
      </c>
      <c r="T44" s="12" t="inlineStr">
        <is>
          <t>G 0.19 – Offenlegung schützenswerter Informationen; G 0.14 – Ausspähen von Informationen (Spionage)</t>
        </is>
      </c>
      <c r="U44" s="11" t="n">
        <v>3</v>
      </c>
      <c r="V44" s="11" t="n">
        <v>2</v>
      </c>
      <c r="W44" s="11" t="n">
        <v>0</v>
      </c>
      <c r="X44" s="11" t="n">
        <v>0</v>
      </c>
      <c r="Y44" s="11" t="n">
        <v>0</v>
      </c>
    </row>
    <row r="45">
      <c r="A45" s="9" t="inlineStr">
        <is>
          <t>KONF.3.3</t>
        </is>
      </c>
      <c r="B45" s="10" t="inlineStr">
        <is>
          <t>SIM-PIN</t>
        </is>
      </c>
      <c r="C45" s="11" t="n"/>
      <c r="D45" s="11" t="inlineStr">
        <is>
          <t>Standard-Anforderungen</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is>
          <t>Vertraulichkeit, Verfügbarkeit</t>
        </is>
      </c>
      <c r="N45" s="12" t="inlineStr"/>
      <c r="O45" s="11" t="inlineStr"/>
      <c r="P45" s="12" t="inlineStr">
        <is>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is>
      </c>
      <c r="Q45" s="11" t="inlineStr">
        <is>
          <t>IT-Systeme</t>
        </is>
      </c>
      <c r="R45" s="11" t="inlineStr">
        <is>
          <t>Konfigurationshistorie</t>
        </is>
      </c>
      <c r="S45" s="12" t="inlineStr">
        <is>
          <t>bei Mobilfunkanschluss eine SIM-PIN</t>
        </is>
      </c>
      <c r="T45" s="12" t="inlineStr">
        <is>
          <t>G 0.30 – Unberechtigte Nutzung oder Administration von Geräten und Systemen; G 0.16 – Diebstahl von Geräten, Datenträgern oder Dokumenten; G 0.17 – Verlust von Geräten, Datenträgern oder Dokumenten</t>
        </is>
      </c>
      <c r="U45" s="11" t="n">
        <v>2</v>
      </c>
      <c r="V45" s="11" t="n">
        <v>2</v>
      </c>
      <c r="W45" s="11" t="n">
        <v>1</v>
      </c>
      <c r="X45" s="11" t="n">
        <v>2</v>
      </c>
      <c r="Y45" s="11" t="n">
        <v>1</v>
      </c>
    </row>
    <row r="46">
      <c r="A46" s="11" t="inlineStr">
        <is>
          <t>KONF.3.3</t>
        </is>
      </c>
      <c r="B46" s="12" t="inlineStr">
        <is>
          <t>SIM-PIN</t>
        </is>
      </c>
      <c r="C46" s="11" t="inlineStr">
        <is>
          <t>KONF.3.3</t>
        </is>
      </c>
      <c r="D46" s="11" t="inlineStr">
        <is>
          <t>Standard-Anforderungen</t>
        </is>
      </c>
      <c r="E46" s="12" t="inlineStr">
        <is>
          <t>Konfiguration für IT-Systeme SOLLTE bei Mobilfunkanschluss eine SIM-PIN aktivieren.</t>
        </is>
      </c>
      <c r="F46" s="14" t="n"/>
      <c r="G46" s="14" t="n"/>
      <c r="H46" s="14" t="inlineStr">
        <is>
          <t>unbearbeitet</t>
        </is>
      </c>
      <c r="I46" s="14" t="n"/>
      <c r="J46" s="14" t="n"/>
      <c r="K46" s="14" t="n"/>
      <c r="L46" s="15" t="n"/>
      <c r="M46" s="11" t="inlineStr">
        <is>
          <t>Vertraulichkeit, Verfügbarkeit</t>
        </is>
      </c>
      <c r="N46" s="12" t="inlineStr"/>
      <c r="O46" s="11" t="inlineStr"/>
      <c r="P46" s="12" t="inlineStr">
        <is>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is>
      </c>
      <c r="Q46" s="11" t="inlineStr">
        <is>
          <t>IT-Systeme</t>
        </is>
      </c>
      <c r="R46" s="11" t="inlineStr">
        <is>
          <t>Konfigurationshistorie</t>
        </is>
      </c>
      <c r="S46" s="12" t="inlineStr">
        <is>
          <t>bei Mobilfunkanschluss eine SIM-PIN</t>
        </is>
      </c>
      <c r="T46" s="12" t="inlineStr">
        <is>
          <t>G 0.30 – Unberechtigte Nutzung oder Administration von Geräten und Systemen; G 0.16 – Diebstahl von Geräten, Datenträgern oder Dokumenten; G 0.17 – Verlust von Geräten, Datenträgern oder Dokumenten</t>
        </is>
      </c>
      <c r="U46" s="11" t="n">
        <v>2</v>
      </c>
      <c r="V46" s="11" t="n">
        <v>2</v>
      </c>
      <c r="W46" s="11" t="n">
        <v>1</v>
      </c>
      <c r="X46" s="11" t="n">
        <v>2</v>
      </c>
      <c r="Y46" s="11" t="n">
        <v>1</v>
      </c>
    </row>
    <row r="47">
      <c r="A47" s="9" t="inlineStr">
        <is>
          <t>KONF.3.4</t>
        </is>
      </c>
      <c r="B47" s="10" t="inlineStr">
        <is>
          <t>Physischer Diebstahlschutz</t>
        </is>
      </c>
      <c r="C47" s="11" t="n"/>
      <c r="D47" s="11" t="inlineStr">
        <is>
          <t>Anforderungen bei erhöhtem Schutzbedarf</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c r="N47" s="12" t="inlineStr">
        <is>
          <t>INF.10.A1-UA.1</t>
        </is>
      </c>
      <c r="O47" s="11" t="inlineStr">
        <is>
          <t>intersects-with</t>
        </is>
      </c>
      <c r="P47" s="12" t="inlineStr">
        <is>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is>
      </c>
      <c r="Q47" s="11" t="inlineStr">
        <is>
          <t>Endgeräte</t>
        </is>
      </c>
      <c r="R47" s="11" t="inlineStr">
        <is>
          <t>Betriebshandbuch</t>
        </is>
      </c>
      <c r="S47" s="12" t="inlineStr">
        <is>
          <t>einen physischen Diebstahlschutz</t>
        </is>
      </c>
      <c r="T47" s="12" t="inlineStr">
        <is>
          <t>G 0.16 – Diebstahl von Geräten, Datenträgern oder Dokumenten</t>
        </is>
      </c>
      <c r="U47" s="11" t="n">
        <v>5</v>
      </c>
      <c r="V47" s="11" t="n">
        <v>1</v>
      </c>
      <c r="W47" s="11" t="n">
        <v>0</v>
      </c>
      <c r="X47" s="11" t="n">
        <v>1</v>
      </c>
      <c r="Y47" s="11" t="n">
        <v>0</v>
      </c>
    </row>
    <row r="48">
      <c r="A48" s="11" t="inlineStr">
        <is>
          <t>KONF.3.4</t>
        </is>
      </c>
      <c r="B48" s="12" t="inlineStr">
        <is>
          <t>Physischer Diebstahlschutz</t>
        </is>
      </c>
      <c r="C48" s="11" t="inlineStr">
        <is>
          <t>KONF.3.4</t>
        </is>
      </c>
      <c r="D48" s="11" t="inlineStr">
        <is>
          <t>Anforderungen bei erhöhtem Schutzbedarf</t>
        </is>
      </c>
      <c r="E48" s="12" t="inlineStr">
        <is>
          <t>Konfiguration für Endgeräte KANN einen physischen Diebstahlschutz installieren.</t>
        </is>
      </c>
      <c r="F48" s="14" t="n"/>
      <c r="G48" s="14" t="n"/>
      <c r="H48" s="14" t="inlineStr">
        <is>
          <t>unbearbeitet</t>
        </is>
      </c>
      <c r="I48" s="14" t="n"/>
      <c r="J48" s="14" t="n"/>
      <c r="K48" s="14" t="n"/>
      <c r="L48" s="15" t="n"/>
      <c r="M48" s="11" t="inlineStr"/>
      <c r="N48" s="12" t="inlineStr">
        <is>
          <t>INF.10.A1-UA.1</t>
        </is>
      </c>
      <c r="O48" s="11" t="inlineStr">
        <is>
          <t>intersects-with</t>
        </is>
      </c>
      <c r="P48" s="12" t="inlineStr">
        <is>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is>
      </c>
      <c r="Q48" s="11" t="inlineStr">
        <is>
          <t>Endgeräte</t>
        </is>
      </c>
      <c r="R48" s="11" t="inlineStr">
        <is>
          <t>Betriebshandbuch</t>
        </is>
      </c>
      <c r="S48" s="12" t="inlineStr">
        <is>
          <t>einen physischen Diebstahlschutz</t>
        </is>
      </c>
      <c r="T48" s="12" t="inlineStr">
        <is>
          <t>G 0.16 – Diebstahl von Geräten, Datenträgern oder Dokumenten</t>
        </is>
      </c>
      <c r="U48" s="11" t="n">
        <v>5</v>
      </c>
      <c r="V48" s="11" t="n">
        <v>1</v>
      </c>
      <c r="W48" s="11" t="n">
        <v>0</v>
      </c>
      <c r="X48" s="11" t="n">
        <v>1</v>
      </c>
      <c r="Y48" s="11" t="n">
        <v>0</v>
      </c>
    </row>
    <row r="49">
      <c r="A49" s="9" t="inlineStr">
        <is>
          <t>KONF.3.5</t>
        </is>
      </c>
      <c r="B49" s="10" t="inlineStr">
        <is>
          <t>Standortbestimmung</t>
        </is>
      </c>
      <c r="C49" s="11" t="n"/>
      <c r="D49" s="11" t="inlineStr">
        <is>
          <t>Anforderungen bei erhöhtem Schutzbedarf</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is>
          <t>Vertraulichkeit, Verfügbarkeit</t>
        </is>
      </c>
      <c r="N49" s="12" t="inlineStr"/>
      <c r="O49" s="11" t="inlineStr"/>
      <c r="P49" s="12" t="inlineStr">
        <is>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is>
      </c>
      <c r="Q49" s="11" t="inlineStr">
        <is>
          <t>IT-Systeme</t>
        </is>
      </c>
      <c r="R49" s="11" t="inlineStr">
        <is>
          <t>Konfigurationshistorie</t>
        </is>
      </c>
      <c r="S49" s="12" t="inlineStr">
        <is>
          <t>eine Funktion zur Bestimmung des Standortes aus der Ferne</t>
        </is>
      </c>
      <c r="T49" s="12" t="inlineStr">
        <is>
          <t>G 0.16 – Diebstahl von Geräten, Datenträgern oder Dokumenten; G 0.17 – Verlust von Geräten, Datenträgern oder Dokumenten</t>
        </is>
      </c>
      <c r="U49" s="11" t="n">
        <v>5</v>
      </c>
      <c r="V49" s="11" t="n">
        <v>2</v>
      </c>
      <c r="W49" s="11" t="n">
        <v>0</v>
      </c>
      <c r="X49" s="11" t="n">
        <v>2</v>
      </c>
      <c r="Y49" s="11" t="n">
        <v>0</v>
      </c>
    </row>
    <row r="50">
      <c r="A50" s="11" t="inlineStr">
        <is>
          <t>KONF.3.5</t>
        </is>
      </c>
      <c r="B50" s="12" t="inlineStr">
        <is>
          <t>Standortbestimmung</t>
        </is>
      </c>
      <c r="C50" s="11" t="inlineStr">
        <is>
          <t>KONF.3.5</t>
        </is>
      </c>
      <c r="D50" s="11" t="inlineStr">
        <is>
          <t>Anforderungen bei erhöhtem Schutzbedarf</t>
        </is>
      </c>
      <c r="E50" s="12" t="inlineStr">
        <is>
          <t>Konfiguration für IT-Systeme KANN eine Funktion zur Bestimmung des Standortes aus der Ferne durch einen automatisierten Mechanismus aktivieren.</t>
        </is>
      </c>
      <c r="F50" s="14" t="n"/>
      <c r="G50" s="14" t="n"/>
      <c r="H50" s="14" t="inlineStr">
        <is>
          <t>unbearbeitet</t>
        </is>
      </c>
      <c r="I50" s="14" t="n"/>
      <c r="J50" s="14" t="n"/>
      <c r="K50" s="14" t="n"/>
      <c r="L50" s="15" t="n"/>
      <c r="M50" s="11" t="inlineStr">
        <is>
          <t>Vertraulichkeit, Verfügbarkeit</t>
        </is>
      </c>
      <c r="N50" s="12" t="inlineStr"/>
      <c r="O50" s="11" t="inlineStr"/>
      <c r="P50" s="12" t="inlineStr">
        <is>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is>
      </c>
      <c r="Q50" s="11" t="inlineStr">
        <is>
          <t>IT-Systeme</t>
        </is>
      </c>
      <c r="R50" s="11" t="inlineStr">
        <is>
          <t>Konfigurationshistorie</t>
        </is>
      </c>
      <c r="S50" s="12" t="inlineStr">
        <is>
          <t>eine Funktion zur Bestimmung des Standortes aus der Ferne</t>
        </is>
      </c>
      <c r="T50" s="12" t="inlineStr">
        <is>
          <t>G 0.16 – Diebstahl von Geräten, Datenträgern oder Dokumenten; G 0.17 – Verlust von Geräten, Datenträgern oder Dokumenten</t>
        </is>
      </c>
      <c r="U50" s="11" t="n">
        <v>5</v>
      </c>
      <c r="V50" s="11" t="n">
        <v>2</v>
      </c>
      <c r="W50" s="11" t="n">
        <v>0</v>
      </c>
      <c r="X50" s="11" t="n">
        <v>2</v>
      </c>
      <c r="Y50" s="11" t="n">
        <v>0</v>
      </c>
    </row>
    <row r="51">
      <c r="A51" s="9" t="inlineStr">
        <is>
          <t>KONF.3.6</t>
        </is>
      </c>
      <c r="B51" s="10" t="inlineStr">
        <is>
          <t>Fernlöschung oder -sperre</t>
        </is>
      </c>
      <c r="C51" s="11" t="n"/>
      <c r="D51" s="11" t="inlineStr">
        <is>
          <t>Anforderungen bei erhöhtem Schutzbedarf</t>
        </is>
      </c>
      <c r="E51" s="12" t="inlineStr">
        <is>
          <t>Gesamt:</t>
        </is>
      </c>
      <c r="F51" s="11" t="n"/>
      <c r="G51" s="11" t="n"/>
      <c r="H51" s="13">
        <f>IF(OR(COUNTBLANK($H$52:$H$53)&gt;0,COUNTIF($H$52:$H$53,"unbearbeitet")=COUNTA($H$52:$H$53)),"Bitte Teilanforderungen ausfüllen",IF(COUNTIF($H$52:$H$53,"zu klären")&gt;0,"zu klären",IF(COUNTIF($H$52:$H$53,"entbehrlich")=COUNTA($H$52:$H$53),"entbehrlich",IF(COUNTIF($H$52:$H$53,"verwiesen")=COUNTA($H$52:$H$53),"verwiesen",IF(COUNTIF($H$52:$H$53,"nein")+COUNTIF($H$52:$H$53,"entbehrlich")=COUNTA($H$52:$H$53),"nein",IF(COUNTIF($H$52:$H$53,"ja")+COUNTIF($H$52:$H$53,"entbehrlich")+COUNTIF($H$52:$H$53,"verwiesen")=COUNTA($H$52:$H$53),"ja","teilweise"))))))</f>
        <v/>
      </c>
      <c r="I51" s="11" t="n"/>
      <c r="J51" s="11" t="n"/>
      <c r="K51" s="11" t="n"/>
      <c r="L51" s="11" t="n"/>
      <c r="M51" s="11" t="inlineStr">
        <is>
          <t>Vertraulichkeit</t>
        </is>
      </c>
      <c r="N51" s="12" t="inlineStr"/>
      <c r="O51" s="11" t="inlineStr"/>
      <c r="P51" s="12" t="inlineStr">
        <is>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is>
      </c>
      <c r="Q51" s="11" t="inlineStr">
        <is>
          <t>Endgeräte</t>
        </is>
      </c>
      <c r="R51" s="11" t="inlineStr">
        <is>
          <t>Konfigurationshistorie</t>
        </is>
      </c>
      <c r="S51" s="12" t="inlineStr">
        <is>
          <t>eine Funktion zur Fernlöschung oder -sperre</t>
        </is>
      </c>
      <c r="T51" s="12" t="inlineStr">
        <is>
          <t>G 0.16 – Diebstahl von Geräten, Datenträgern oder Dokumenten; G 0.17 – Verlust von Geräten, Datenträgern oder Dokumenten; G 0.30 – Unberechtigte Nutzung oder Administration von Geräten und Systemen; G 0.19 – Offenlegung schützenswerter Informationen</t>
        </is>
      </c>
      <c r="U51" s="11" t="n">
        <v>5</v>
      </c>
      <c r="V51" s="11" t="n">
        <v>2</v>
      </c>
      <c r="W51" s="11" t="n">
        <v>1</v>
      </c>
      <c r="X51" s="11" t="n">
        <v>1</v>
      </c>
      <c r="Y51" s="11" t="n">
        <v>1</v>
      </c>
    </row>
    <row r="52">
      <c r="A52" s="11" t="inlineStr">
        <is>
          <t>KONF.3.6</t>
        </is>
      </c>
      <c r="B52" s="12" t="inlineStr">
        <is>
          <t>Fernlöschung oder -sperre</t>
        </is>
      </c>
      <c r="C52" s="11" t="inlineStr">
        <is>
          <t>KONF.3.6</t>
        </is>
      </c>
      <c r="D52" s="11" t="inlineStr">
        <is>
          <t>Anforderungen bei erhöhtem Schutzbedarf</t>
        </is>
      </c>
      <c r="E52" s="12" t="inlineStr">
        <is>
          <t>Konfiguration für Endgeräte KANN eine Funktion zur Fernlöschung oder -sperre aktivieren.</t>
        </is>
      </c>
      <c r="F52" s="14" t="n"/>
      <c r="G52" s="14" t="n"/>
      <c r="H52" s="14" t="inlineStr">
        <is>
          <t>unbearbeitet</t>
        </is>
      </c>
      <c r="I52" s="14" t="n"/>
      <c r="J52" s="14" t="n"/>
      <c r="K52" s="14" t="n"/>
      <c r="L52" s="15" t="n"/>
      <c r="M52" s="11" t="inlineStr">
        <is>
          <t>Vertraulichkeit</t>
        </is>
      </c>
      <c r="N52" s="12" t="inlineStr"/>
      <c r="O52" s="11" t="inlineStr"/>
      <c r="P52" s="12" t="inlineStr">
        <is>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is>
      </c>
      <c r="Q52" s="11" t="inlineStr">
        <is>
          <t>Endgeräte</t>
        </is>
      </c>
      <c r="R52" s="11" t="inlineStr">
        <is>
          <t>Konfigurationshistorie</t>
        </is>
      </c>
      <c r="S52" s="12" t="inlineStr">
        <is>
          <t>eine Funktion zur Fernlöschung oder -sperre</t>
        </is>
      </c>
      <c r="T52" s="12" t="inlineStr">
        <is>
          <t>G 0.16 – Diebstahl von Geräten, Datenträgern oder Dokumenten; G 0.17 – Verlust von Geräten, Datenträgern oder Dokumenten; G 0.30 – Unberechtigte Nutzung oder Administration von Geräten und Systemen; G 0.19 – Offenlegung schützenswerter Informationen</t>
        </is>
      </c>
      <c r="U52" s="11" t="n">
        <v>5</v>
      </c>
      <c r="V52" s="11" t="n">
        <v>2</v>
      </c>
      <c r="W52" s="11" t="n">
        <v>1</v>
      </c>
      <c r="X52" s="11" t="n">
        <v>1</v>
      </c>
      <c r="Y52" s="11" t="n">
        <v>1</v>
      </c>
    </row>
    <row r="53">
      <c r="A53" s="11" t="inlineStr">
        <is>
          <t>KONF.3.6</t>
        </is>
      </c>
      <c r="B53" s="12" t="inlineStr">
        <is>
          <t>Fernlöschung oder -sperre</t>
        </is>
      </c>
      <c r="C53" s="11" t="inlineStr">
        <is>
          <t>KONF.3.6.1</t>
        </is>
      </c>
      <c r="D53" s="11" t="inlineStr">
        <is>
          <t>Anforderungen bei erhöhtem Schutzbedarf</t>
        </is>
      </c>
      <c r="E53" s="12" t="inlineStr">
        <is>
          <t>Konfiguration für Endgeräte KANN eine automatische Fernlöschung oder -sperre bei Inaktivität nach einer längeren Frist aktivieren.</t>
        </is>
      </c>
      <c r="F53" s="14" t="n"/>
      <c r="G53" s="14" t="n"/>
      <c r="H53" s="14" t="inlineStr">
        <is>
          <t>unbearbeitet</t>
        </is>
      </c>
      <c r="I53" s="14" t="n"/>
      <c r="J53" s="14" t="n"/>
      <c r="K53" s="14" t="n"/>
      <c r="L53" s="15" t="n"/>
      <c r="M53" s="11" t="inlineStr">
        <is>
          <t>Vertraulichkeit</t>
        </is>
      </c>
      <c r="N53" s="12" t="inlineStr"/>
      <c r="O53" s="11" t="inlineStr"/>
      <c r="P53" s="12" t="inlineStr">
        <is>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is>
      </c>
      <c r="Q53" s="11" t="inlineStr">
        <is>
          <t>Endgeräte</t>
        </is>
      </c>
      <c r="R53" s="11" t="inlineStr">
        <is>
          <t>Konfigurationshistorie</t>
        </is>
      </c>
      <c r="S53" s="12" t="inlineStr">
        <is>
          <t>eine automatische Fernlöschung oder -sperre</t>
        </is>
      </c>
      <c r="T53" s="12" t="inlineStr">
        <is>
          <t>G 0.16 – Diebstahl von Geräten, Datenträgern oder Dokumenten; G 0.30 – Unberechtigte Nutzung oder Administration von Geräten und Systemen; G 0.19 – Offenlegung schützenswerter Informationen; G 0.17 – Verlust von Geräten, Datenträgern oder Dokumenten</t>
        </is>
      </c>
      <c r="U53" s="11" t="n">
        <v>5</v>
      </c>
      <c r="V53" s="11" t="n">
        <v>2</v>
      </c>
      <c r="W53" s="11" t="n">
        <v>1</v>
      </c>
      <c r="X53" s="11" t="n">
        <v>1</v>
      </c>
      <c r="Y53" s="11" t="n">
        <v>1</v>
      </c>
    </row>
    <row r="54">
      <c r="A54" s="9" t="inlineStr">
        <is>
          <t>KONF.3.7</t>
        </is>
      </c>
      <c r="B54" s="10" t="inlineStr">
        <is>
          <t>Einschränkung angeschlossener Peripherie</t>
        </is>
      </c>
      <c r="C54" s="11" t="n"/>
      <c r="D54" s="11" t="inlineStr">
        <is>
          <t>Standard-Anforderungen</t>
        </is>
      </c>
      <c r="E54" s="12" t="inlineStr">
        <is>
          <t>Gesamt:</t>
        </is>
      </c>
      <c r="F54" s="11" t="n"/>
      <c r="G54" s="11" t="n"/>
      <c r="H54" s="13">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
      </c>
      <c r="I54" s="11" t="n"/>
      <c r="J54" s="11" t="n"/>
      <c r="K54" s="11" t="n"/>
      <c r="L54" s="11" t="n"/>
      <c r="M54" s="11" t="inlineStr">
        <is>
          <t>Vertraulichkeit</t>
        </is>
      </c>
      <c r="N54" s="12" t="inlineStr"/>
      <c r="O54" s="11" t="inlineStr"/>
      <c r="P54" s="12" t="inlineStr">
        <is>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is>
      </c>
      <c r="Q54" s="11" t="inlineStr">
        <is>
          <t>IT-Systeme</t>
        </is>
      </c>
      <c r="R54" s="11" t="inlineStr">
        <is>
          <t>Konfigurationshistorie</t>
        </is>
      </c>
      <c r="S54" s="12" t="inlineStr">
        <is>
          <t>angeschlossene Peripherie</t>
        </is>
      </c>
      <c r="T54" s="12" t="inlineStr">
        <is>
          <t>G 0.23 – Unbefugtes Eindringen in IT-Systeme; G 0.39 – Schadprogramme; G 0.19 – Offenlegung schützenswerter Informationen</t>
        </is>
      </c>
      <c r="U54" s="11" t="n">
        <v>4</v>
      </c>
      <c r="V54" s="11" t="n">
        <v>2</v>
      </c>
      <c r="W54" s="11" t="n">
        <v>1</v>
      </c>
      <c r="X54" s="11" t="n">
        <v>1</v>
      </c>
      <c r="Y54" s="11" t="n">
        <v>0</v>
      </c>
    </row>
    <row r="55">
      <c r="A55" s="11" t="inlineStr">
        <is>
          <t>KONF.3.7</t>
        </is>
      </c>
      <c r="B55" s="12" t="inlineStr">
        <is>
          <t>Einschränkung angeschlossener Peripherie</t>
        </is>
      </c>
      <c r="C55" s="11" t="inlineStr">
        <is>
          <t>KONF.3.7</t>
        </is>
      </c>
      <c r="D55" s="11" t="inlineStr">
        <is>
          <t>Standard-Anforderungen</t>
        </is>
      </c>
      <c r="E55" s="12" t="inlineStr">
        <is>
          <t>Konfiguration für IT-Systeme SOLLTE angeschlossene Peripherie einschränken.</t>
        </is>
      </c>
      <c r="F55" s="14" t="n"/>
      <c r="G55" s="14" t="n"/>
      <c r="H55" s="14" t="inlineStr">
        <is>
          <t>unbearbeitet</t>
        </is>
      </c>
      <c r="I55" s="14" t="n"/>
      <c r="J55" s="14" t="n"/>
      <c r="K55" s="14" t="n"/>
      <c r="L55" s="15" t="n"/>
      <c r="M55" s="11" t="inlineStr">
        <is>
          <t>Vertraulichkeit</t>
        </is>
      </c>
      <c r="N55" s="12" t="inlineStr"/>
      <c r="O55" s="11" t="inlineStr"/>
      <c r="P55" s="12" t="inlineStr">
        <is>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is>
      </c>
      <c r="Q55" s="11" t="inlineStr">
        <is>
          <t>IT-Systeme</t>
        </is>
      </c>
      <c r="R55" s="11" t="inlineStr">
        <is>
          <t>Konfigurationshistorie</t>
        </is>
      </c>
      <c r="S55" s="12" t="inlineStr">
        <is>
          <t>angeschlossene Peripherie</t>
        </is>
      </c>
      <c r="T55" s="12" t="inlineStr">
        <is>
          <t>G 0.23 – Unbefugtes Eindringen in IT-Systeme; G 0.39 – Schadprogramme; G 0.19 – Offenlegung schützenswerter Informationen</t>
        </is>
      </c>
      <c r="U55" s="11" t="n">
        <v>4</v>
      </c>
      <c r="V55" s="11" t="n">
        <v>2</v>
      </c>
      <c r="W55" s="11" t="n">
        <v>1</v>
      </c>
      <c r="X55" s="11" t="n">
        <v>1</v>
      </c>
      <c r="Y55" s="11" t="n">
        <v>0</v>
      </c>
    </row>
    <row r="56">
      <c r="A56" s="9" t="inlineStr">
        <is>
          <t>KONF.3.8</t>
        </is>
      </c>
      <c r="B56" s="10" t="inlineStr">
        <is>
          <t>Einschränkung von Wechselmedien</t>
        </is>
      </c>
      <c r="C56" s="11" t="n"/>
      <c r="D56" s="11" t="inlineStr">
        <is>
          <t>Standard-Anforderungen</t>
        </is>
      </c>
      <c r="E56" s="12" t="inlineStr">
        <is>
          <t>Gesamt:</t>
        </is>
      </c>
      <c r="F56" s="11" t="n"/>
      <c r="G56" s="11" t="n"/>
      <c r="H56" s="13">
        <f>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
      </c>
      <c r="I56" s="11" t="n"/>
      <c r="J56" s="11" t="n"/>
      <c r="K56" s="11" t="n"/>
      <c r="L56" s="11" t="n"/>
      <c r="M56" s="11" t="inlineStr">
        <is>
          <t>Vertraulichkeit, Integrität</t>
        </is>
      </c>
      <c r="N56" s="12" t="inlineStr"/>
      <c r="O56" s="11" t="inlineStr"/>
      <c r="P56" s="12" t="inlineStr">
        <is>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is>
      </c>
      <c r="Q56" s="11" t="inlineStr">
        <is>
          <t>IT-Systeme</t>
        </is>
      </c>
      <c r="R56" s="11" t="inlineStr">
        <is>
          <t>Konfigurationshistorie</t>
        </is>
      </c>
      <c r="S56" s="12" t="inlineStr">
        <is>
          <t>das automatische Einbinden von Wechselmedien</t>
        </is>
      </c>
      <c r="T56" s="12" t="inlineStr">
        <is>
          <t>G 0.39 – Schadprogramme; G 0.23 – Unbefugtes Eindringen in IT-Systeme</t>
        </is>
      </c>
      <c r="U56" s="11" t="n">
        <v>3</v>
      </c>
      <c r="V56" s="11" t="n">
        <v>2</v>
      </c>
      <c r="W56" s="11" t="n">
        <v>2</v>
      </c>
      <c r="X56" s="11" t="n">
        <v>1</v>
      </c>
      <c r="Y56" s="11" t="n">
        <v>0</v>
      </c>
    </row>
    <row r="57">
      <c r="A57" s="11" t="inlineStr">
        <is>
          <t>KONF.3.8</t>
        </is>
      </c>
      <c r="B57" s="12" t="inlineStr">
        <is>
          <t>Einschränkung von Wechselmedien</t>
        </is>
      </c>
      <c r="C57" s="11" t="inlineStr">
        <is>
          <t>KONF.3.8</t>
        </is>
      </c>
      <c r="D57" s="11" t="inlineStr">
        <is>
          <t>Standard-Anforderungen</t>
        </is>
      </c>
      <c r="E57" s="12" t="inlineStr">
        <is>
          <t>Konfiguration für IT-Systeme SOLLTE das automatische Einbinden von Wechselmedien einschränken.</t>
        </is>
      </c>
      <c r="F57" s="14" t="n"/>
      <c r="G57" s="14" t="n"/>
      <c r="H57" s="14" t="inlineStr">
        <is>
          <t>unbearbeitet</t>
        </is>
      </c>
      <c r="I57" s="14" t="n"/>
      <c r="J57" s="14" t="n"/>
      <c r="K57" s="14" t="n"/>
      <c r="L57" s="15" t="n"/>
      <c r="M57" s="11" t="inlineStr">
        <is>
          <t>Vertraulichkeit, Integrität</t>
        </is>
      </c>
      <c r="N57" s="12" t="inlineStr"/>
      <c r="O57" s="11" t="inlineStr"/>
      <c r="P57" s="12" t="inlineStr">
        <is>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is>
      </c>
      <c r="Q57" s="11" t="inlineStr">
        <is>
          <t>IT-Systeme</t>
        </is>
      </c>
      <c r="R57" s="11" t="inlineStr">
        <is>
          <t>Konfigurationshistorie</t>
        </is>
      </c>
      <c r="S57" s="12" t="inlineStr">
        <is>
          <t>das automatische Einbinden von Wechselmedien</t>
        </is>
      </c>
      <c r="T57" s="12" t="inlineStr">
        <is>
          <t>G 0.39 – Schadprogramme; G 0.23 – Unbefugtes Eindringen in IT-Systeme</t>
        </is>
      </c>
      <c r="U57" s="11" t="n">
        <v>3</v>
      </c>
      <c r="V57" s="11" t="n">
        <v>2</v>
      </c>
      <c r="W57" s="11" t="n">
        <v>2</v>
      </c>
      <c r="X57" s="11" t="n">
        <v>1</v>
      </c>
      <c r="Y57" s="11" t="n">
        <v>0</v>
      </c>
    </row>
    <row r="58">
      <c r="A58" s="9" t="inlineStr">
        <is>
          <t>KONF.4.1</t>
        </is>
      </c>
      <c r="B58" s="10" t="inlineStr">
        <is>
          <t>Anbindung an Verzeichnisdienst</t>
        </is>
      </c>
      <c r="C58" s="11" t="n"/>
      <c r="D58" s="11" t="inlineStr">
        <is>
          <t>Standard-Anforderungen</t>
        </is>
      </c>
      <c r="E58" s="12" t="inlineStr">
        <is>
          <t>Gesamt:</t>
        </is>
      </c>
      <c r="F58" s="11" t="n"/>
      <c r="G58" s="11" t="n"/>
      <c r="H58" s="13">
        <f>IF(OR(COUNTBLANK($H$59:$H$60)&gt;0,COUNTIF($H$59:$H$60,"unbearbeitet")=COUNTA($H$59:$H$60)),"Bitte Teilanforderungen ausfüllen",IF(COUNTIF($H$59:$H$60,"zu klären")&gt;0,"zu klären",IF(COUNTIF($H$59:$H$60,"entbehrlich")=COUNTA($H$59:$H$60),"entbehrlich",IF(COUNTIF($H$59:$H$60,"verwiesen")=COUNTA($H$59:$H$60),"verwiesen",IF(COUNTIF($H$59:$H$60,"nein")+COUNTIF($H$59:$H$60,"entbehrlich")=COUNTA($H$59:$H$60),"nein",IF(COUNTIF($H$59:$H$60,"ja")+COUNTIF($H$59:$H$60,"entbehrlich")+COUNTIF($H$59:$H$60,"verwiesen")=COUNTA($H$59:$H$60),"ja","teilweise"))))))</f>
        <v/>
      </c>
      <c r="I58" s="11" t="n"/>
      <c r="J58" s="11" t="n"/>
      <c r="K58" s="11" t="n"/>
      <c r="L58" s="11" t="n"/>
      <c r="M58" s="11" t="inlineStr">
        <is>
          <t>Vertraulichkeit, Integrität, Verfügbarkeit</t>
        </is>
      </c>
      <c r="N58" s="12" t="inlineStr"/>
      <c r="O58" s="11" t="inlineStr"/>
      <c r="P58" s="12" t="inlineStr">
        <is>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is>
      </c>
      <c r="Q58" s="11" t="inlineStr">
        <is>
          <t>IT-Systeme</t>
        </is>
      </c>
      <c r="R58" s="11" t="inlineStr">
        <is>
          <t>Konfigurationshistorie</t>
        </is>
      </c>
      <c r="S58" s="12" t="inlineStr">
        <is>
          <t>die Anbindung an einen Verzeichnisdienst</t>
        </is>
      </c>
      <c r="T58" s="12" t="inlineStr">
        <is>
          <t>G 0.18 – Fehlplanung oder fehlende Anpassung; G 0.30 – Unberechtigte Nutzung oder Administration von Geräten und Systemen</t>
        </is>
      </c>
      <c r="U58" s="11" t="n">
        <v>3</v>
      </c>
      <c r="V58" s="11" t="n">
        <v>2</v>
      </c>
      <c r="W58" s="11" t="n">
        <v>2</v>
      </c>
      <c r="X58" s="11" t="n">
        <v>2</v>
      </c>
      <c r="Y58" s="11" t="n">
        <v>1</v>
      </c>
    </row>
    <row r="59">
      <c r="A59" s="11" t="inlineStr">
        <is>
          <t>KONF.4.1</t>
        </is>
      </c>
      <c r="B59" s="12" t="inlineStr">
        <is>
          <t>Anbindung an Verzeichnisdienst</t>
        </is>
      </c>
      <c r="C59" s="11" t="inlineStr">
        <is>
          <t>KONF.4.1</t>
        </is>
      </c>
      <c r="D59" s="11" t="inlineStr">
        <is>
          <t>Standard-Anforderungen</t>
        </is>
      </c>
      <c r="E59" s="12" t="inlineStr">
        <is>
          <t>Konfiguration für IT-Systeme SOLLTE die Anbindung an einen Verzeichnisdienst aktivieren.</t>
        </is>
      </c>
      <c r="F59" s="14" t="n"/>
      <c r="G59" s="14" t="n"/>
      <c r="H59" s="14" t="inlineStr">
        <is>
          <t>unbearbeitet</t>
        </is>
      </c>
      <c r="I59" s="14" t="n"/>
      <c r="J59" s="14" t="n"/>
      <c r="K59" s="14" t="n"/>
      <c r="L59" s="15" t="n"/>
      <c r="M59" s="11" t="inlineStr">
        <is>
          <t>Vertraulichkeit, Integrität, Verfügbarkeit</t>
        </is>
      </c>
      <c r="N59" s="12" t="inlineStr"/>
      <c r="O59" s="11" t="inlineStr"/>
      <c r="P59" s="12" t="inlineStr">
        <is>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is>
      </c>
      <c r="Q59" s="11" t="inlineStr">
        <is>
          <t>IT-Systeme</t>
        </is>
      </c>
      <c r="R59" s="11" t="inlineStr">
        <is>
          <t>Konfigurationshistorie</t>
        </is>
      </c>
      <c r="S59" s="12" t="inlineStr">
        <is>
          <t>die Anbindung an einen Verzeichnisdienst</t>
        </is>
      </c>
      <c r="T59" s="12" t="inlineStr">
        <is>
          <t>G 0.18 – Fehlplanung oder fehlende Anpassung; G 0.30 – Unberechtigte Nutzung oder Administration von Geräten und Systemen</t>
        </is>
      </c>
      <c r="U59" s="11" t="n">
        <v>3</v>
      </c>
      <c r="V59" s="11" t="n">
        <v>2</v>
      </c>
      <c r="W59" s="11" t="n">
        <v>2</v>
      </c>
      <c r="X59" s="11" t="n">
        <v>2</v>
      </c>
      <c r="Y59" s="11" t="n">
        <v>1</v>
      </c>
    </row>
    <row r="60">
      <c r="A60" s="11" t="inlineStr">
        <is>
          <t>KONF.4.1</t>
        </is>
      </c>
      <c r="B60" s="12" t="inlineStr">
        <is>
          <t>Anbindung an Verzeichnisdienst</t>
        </is>
      </c>
      <c r="C60" s="11" t="inlineStr">
        <is>
          <t>KONF.4.1.1</t>
        </is>
      </c>
      <c r="D60" s="11" t="inlineStr">
        <is>
          <t>Standard-Anforderungen</t>
        </is>
      </c>
      <c r="E60" s="12" t="inlineStr">
        <is>
          <t>Konfiguration für IT-Systeme SOLLTE die Weiterleitung mehrfach verwendbarer Anmeldeinformationen deaktivieren.</t>
        </is>
      </c>
      <c r="F60" s="14" t="n"/>
      <c r="G60" s="14" t="n"/>
      <c r="H60" s="14" t="inlineStr">
        <is>
          <t>unbearbeitet</t>
        </is>
      </c>
      <c r="I60" s="14" t="n"/>
      <c r="J60" s="14" t="n"/>
      <c r="K60" s="14" t="n"/>
      <c r="L60" s="15" t="n"/>
      <c r="M60" s="11" t="inlineStr">
        <is>
          <t>Vertraulichkeit, Integrität</t>
        </is>
      </c>
      <c r="N60" s="12" t="inlineStr"/>
      <c r="O60" s="11" t="inlineStr"/>
      <c r="P60" s="12" t="inlineStr">
        <is>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is>
      </c>
      <c r="Q60" s="11" t="inlineStr">
        <is>
          <t>IT-Systeme</t>
        </is>
      </c>
      <c r="R60" s="11" t="inlineStr">
        <is>
          <t>Konfigurationshistorie</t>
        </is>
      </c>
      <c r="S60" s="12" t="inlineStr">
        <is>
          <t>die Weiterleitung mehrfach verwendbarer Anmeldeinformationen</t>
        </is>
      </c>
      <c r="T60" s="12" t="inlineStr">
        <is>
          <t>G 0.43 – Einspielen von Nachrichten; G 0.36 – Identitätsdiebstahl</t>
        </is>
      </c>
      <c r="U60" s="11" t="n">
        <v>4</v>
      </c>
      <c r="V60" s="11" t="n">
        <v>2</v>
      </c>
      <c r="W60" s="11" t="n">
        <v>2</v>
      </c>
      <c r="X60" s="11" t="n">
        <v>1</v>
      </c>
      <c r="Y60" s="11" t="n">
        <v>1</v>
      </c>
    </row>
    <row r="61">
      <c r="A61" s="9" t="inlineStr">
        <is>
          <t>KONF.4.2</t>
        </is>
      </c>
      <c r="B61" s="10" t="inlineStr">
        <is>
          <t>DNS-Anbindung</t>
        </is>
      </c>
      <c r="C61" s="11" t="n"/>
      <c r="D61" s="11" t="inlineStr">
        <is>
          <t>Standard-Anforderungen</t>
        </is>
      </c>
      <c r="E61" s="12" t="inlineStr">
        <is>
          <t>Gesamt:</t>
        </is>
      </c>
      <c r="F61" s="11" t="n"/>
      <c r="G61" s="11" t="n"/>
      <c r="H61" s="13">
        <f>IF(OR(COUNTBLANK($H$62:$H$63)&gt;0,COUNTIF($H$62:$H$63,"unbearbeitet")=COUNTA($H$62:$H$63)),"Bitte Teilanforderungen ausfüllen",IF(COUNTIF($H$62:$H$63,"zu klären")&gt;0,"zu klären",IF(COUNTIF($H$62:$H$63,"entbehrlich")=COUNTA($H$62:$H$63),"entbehrlich",IF(COUNTIF($H$62:$H$63,"verwiesen")=COUNTA($H$62:$H$63),"verwiesen",IF(COUNTIF($H$62:$H$63,"nein")+COUNTIF($H$62:$H$63,"entbehrlich")=COUNTA($H$62:$H$63),"nein",IF(COUNTIF($H$62:$H$63,"ja")+COUNTIF($H$62:$H$63,"entbehrlich")+COUNTIF($H$62:$H$63,"verwiesen")=COUNTA($H$62:$H$63),"ja","teilweise"))))))</f>
        <v/>
      </c>
      <c r="I61" s="11" t="n"/>
      <c r="J61" s="11" t="n"/>
      <c r="K61" s="11" t="n"/>
      <c r="L61" s="11" t="n"/>
      <c r="M61" s="11" t="inlineStr">
        <is>
          <t>Integrität, Authentizität</t>
        </is>
      </c>
      <c r="N61" s="12" t="inlineStr"/>
      <c r="O61" s="11" t="inlineStr"/>
      <c r="P61" s="12" t="inlineStr">
        <is>
          <t>Autorisierte DNS-Server sind hier Resolving-Server, die von der Institution autorisiert wurden. Dies können entweder DNS-Server der Institution selbst oder externe DNS-Server zuverlässiger Anbieter sein.</t>
        </is>
      </c>
      <c r="Q61" s="11" t="inlineStr">
        <is>
          <t>IT-Systeme</t>
        </is>
      </c>
      <c r="R61" s="11" t="inlineStr">
        <is>
          <t>Konfigurationshistorie</t>
        </is>
      </c>
      <c r="S61" s="12" t="inlineStr">
        <is>
          <t>die vom System verwendeten DNS-Server</t>
        </is>
      </c>
      <c r="T61" s="12" t="inlineStr">
        <is>
          <t>G 0.22 – Manipulation von Informationen; G 0.43 – Einspielen von Nachrichten</t>
        </is>
      </c>
      <c r="U61" s="11" t="n">
        <v>3</v>
      </c>
      <c r="V61" s="11" t="n">
        <v>1</v>
      </c>
      <c r="W61" s="11" t="n">
        <v>2</v>
      </c>
      <c r="X61" s="11" t="n">
        <v>0</v>
      </c>
      <c r="Y61" s="11" t="n">
        <v>2</v>
      </c>
    </row>
    <row r="62">
      <c r="A62" s="11" t="inlineStr">
        <is>
          <t>KONF.4.2</t>
        </is>
      </c>
      <c r="B62" s="12" t="inlineStr">
        <is>
          <t>DNS-Anbindung</t>
        </is>
      </c>
      <c r="C62" s="11" t="inlineStr">
        <is>
          <t>KONF.4.2</t>
        </is>
      </c>
      <c r="D62" s="11" t="inlineStr">
        <is>
          <t>Standard-Anforderungen</t>
        </is>
      </c>
      <c r="E62" s="12" t="inlineStr">
        <is>
          <t>Konfiguration für IT-Systeme SOLLTE die vom System verwendeten DNS-Server autorisieren.</t>
        </is>
      </c>
      <c r="F62" s="14" t="n"/>
      <c r="G62" s="14" t="n"/>
      <c r="H62" s="14" t="inlineStr">
        <is>
          <t>unbearbeitet</t>
        </is>
      </c>
      <c r="I62" s="14" t="n"/>
      <c r="J62" s="14" t="n"/>
      <c r="K62" s="14" t="n"/>
      <c r="L62" s="15" t="n"/>
      <c r="M62" s="11" t="inlineStr">
        <is>
          <t>Integrität, Authentizität</t>
        </is>
      </c>
      <c r="N62" s="12" t="inlineStr"/>
      <c r="O62" s="11" t="inlineStr"/>
      <c r="P62" s="12" t="inlineStr">
        <is>
          <t>Autorisierte DNS-Server sind hier Resolving-Server, die von der Institution autorisiert wurden. Dies können entweder DNS-Server der Institution selbst oder externe DNS-Server zuverlässiger Anbieter sein.</t>
        </is>
      </c>
      <c r="Q62" s="11" t="inlineStr">
        <is>
          <t>IT-Systeme</t>
        </is>
      </c>
      <c r="R62" s="11" t="inlineStr">
        <is>
          <t>Konfigurationshistorie</t>
        </is>
      </c>
      <c r="S62" s="12" t="inlineStr">
        <is>
          <t>die vom System verwendeten DNS-Server</t>
        </is>
      </c>
      <c r="T62" s="12" t="inlineStr">
        <is>
          <t>G 0.22 – Manipulation von Informationen; G 0.43 – Einspielen von Nachrichten</t>
        </is>
      </c>
      <c r="U62" s="11" t="n">
        <v>3</v>
      </c>
      <c r="V62" s="11" t="n">
        <v>1</v>
      </c>
      <c r="W62" s="11" t="n">
        <v>2</v>
      </c>
      <c r="X62" s="11" t="n">
        <v>0</v>
      </c>
      <c r="Y62" s="11" t="n">
        <v>2</v>
      </c>
    </row>
    <row r="63">
      <c r="A63" s="11" t="inlineStr">
        <is>
          <t>KONF.4.2</t>
        </is>
      </c>
      <c r="B63" s="12" t="inlineStr">
        <is>
          <t>DNS-Anbindung</t>
        </is>
      </c>
      <c r="C63" s="11" t="inlineStr">
        <is>
          <t>KONF.4.2.1</t>
        </is>
      </c>
      <c r="D63" s="11" t="inlineStr">
        <is>
          <t>Standard-Anforderungen</t>
        </is>
      </c>
      <c r="E63" s="12" t="inlineStr">
        <is>
          <t>Konfiguration für IT-Systeme SOLLTE DNS-Verbindungen durch einen anerkannten kryptographischen Algorithmus verschlüsseln.</t>
        </is>
      </c>
      <c r="F63" s="14" t="n"/>
      <c r="G63" s="14" t="n"/>
      <c r="H63" s="14" t="inlineStr">
        <is>
          <t>unbearbeitet</t>
        </is>
      </c>
      <c r="I63" s="14" t="n"/>
      <c r="J63" s="14" t="n"/>
      <c r="K63" s="14" t="n"/>
      <c r="L63" s="15" t="n"/>
      <c r="M63" s="11" t="inlineStr">
        <is>
          <t>Vertraulichkeit</t>
        </is>
      </c>
      <c r="N63" s="12" t="inlineStr"/>
      <c r="O63" s="11" t="inlineStr"/>
      <c r="P63" s="12" t="inlineStr">
        <is>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is>
      </c>
      <c r="Q63" s="11" t="inlineStr">
        <is>
          <t>IT-Systeme</t>
        </is>
      </c>
      <c r="R63" s="11" t="inlineStr">
        <is>
          <t>Konfigurationshistorie</t>
        </is>
      </c>
      <c r="S63" s="12" t="inlineStr">
        <is>
          <t>DNS-Verbindungen</t>
        </is>
      </c>
      <c r="T63" s="12" t="inlineStr">
        <is>
          <t>G 0.22 – Manipulation von Informationen; G 0.19 – Offenlegung schützenswerter Informationen; G 0.15 – Abhören</t>
        </is>
      </c>
      <c r="U63" s="11" t="n">
        <v>4</v>
      </c>
      <c r="V63" s="11" t="n">
        <v>2</v>
      </c>
      <c r="W63" s="11" t="n">
        <v>1</v>
      </c>
      <c r="X63" s="11" t="n">
        <v>0</v>
      </c>
      <c r="Y63" s="11" t="n">
        <v>1</v>
      </c>
    </row>
    <row r="64">
      <c r="A64" s="9" t="inlineStr">
        <is>
          <t>KONF.4.3</t>
        </is>
      </c>
      <c r="B64" s="10" t="inlineStr">
        <is>
          <t>Authentifizierung von Fernwartungsfunktionen</t>
        </is>
      </c>
      <c r="C64" s="11" t="n"/>
      <c r="D64" s="11" t="inlineStr">
        <is>
          <t>Standard-Anforderungen</t>
        </is>
      </c>
      <c r="E64" s="12" t="inlineStr">
        <is>
          <t>Gesamt:</t>
        </is>
      </c>
      <c r="F64" s="11" t="n"/>
      <c r="G64" s="11" t="n"/>
      <c r="H64" s="13">
        <f>IF(OR(COUNTBLANK($H$65:$H$65)&gt;0,COUNTIF($H$65:$H$65,"unbearbeitet")=COUNTA($H$65:$H$65)),"Bitte Teilanforderungen ausfüllen",IF(COUNTIF($H$65:$H$65,"zu klären")&gt;0,"zu klären",IF(COUNTIF($H$65:$H$65,"entbehrlich")=COUNTA($H$65:$H$65),"entbehrlich",IF(COUNTIF($H$65:$H$65,"verwiesen")=COUNTA($H$65:$H$65),"verwiesen",IF(COUNTIF($H$65:$H$65,"nein")+COUNTIF($H$65:$H$65,"entbehrlich")=COUNTA($H$65:$H$65),"nein",IF(COUNTIF($H$65:$H$65,"ja")+COUNTIF($H$65:$H$65,"entbehrlich")+COUNTIF($H$65:$H$65,"verwiesen")=COUNTA($H$65:$H$65),"ja","teilweise"))))))</f>
        <v/>
      </c>
      <c r="I64" s="11" t="n"/>
      <c r="J64" s="11" t="n"/>
      <c r="K64" s="11" t="n"/>
      <c r="L64" s="11" t="n"/>
      <c r="M64" s="11" t="inlineStr">
        <is>
          <t>Vertraulichkeit, Integrität</t>
        </is>
      </c>
      <c r="N64" s="12" t="inlineStr"/>
      <c r="O64" s="11" t="inlineStr"/>
      <c r="P64" s="12" t="inlineStr">
        <is>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is>
      </c>
      <c r="Q64" s="11" t="inlineStr">
        <is>
          <t>IT-Systeme</t>
        </is>
      </c>
      <c r="R64" s="11" t="inlineStr">
        <is>
          <t>Konfigurationshistorie</t>
        </is>
      </c>
      <c r="S64" s="12" t="inlineStr">
        <is>
          <t>Fernwartungsfunktionen</t>
        </is>
      </c>
      <c r="T64" s="12" t="inlineStr">
        <is>
          <t>G 0.23 – Unbefugtes Eindringen in IT-Systeme; G 0.30 – Unberechtigte Nutzung oder Administration von Geräten und Systemen</t>
        </is>
      </c>
      <c r="U64" s="11" t="n">
        <v>2</v>
      </c>
      <c r="V64" s="11" t="n">
        <v>2</v>
      </c>
      <c r="W64" s="11" t="n">
        <v>2</v>
      </c>
      <c r="X64" s="11" t="n">
        <v>1</v>
      </c>
      <c r="Y64" s="11" t="n">
        <v>1</v>
      </c>
    </row>
    <row r="65">
      <c r="A65" s="11" t="inlineStr">
        <is>
          <t>KONF.4.3</t>
        </is>
      </c>
      <c r="B65" s="12" t="inlineStr">
        <is>
          <t>Authentifizierung von Fernwartungsfunktionen</t>
        </is>
      </c>
      <c r="C65" s="11" t="inlineStr">
        <is>
          <t>KONF.4.3</t>
        </is>
      </c>
      <c r="D65" s="11" t="inlineStr">
        <is>
          <t>Standard-Anforderungen</t>
        </is>
      </c>
      <c r="E65" s="12" t="inlineStr">
        <is>
          <t>Konfiguration für IT-Systeme SOLLTE Fernwartungsfunktionen im Einklang mit den zugehörigen Anforderungen zum Identitäts- und Berechtigungsmanagement authentifizieren.</t>
        </is>
      </c>
      <c r="F65" s="14" t="n"/>
      <c r="G65" s="14" t="n"/>
      <c r="H65" s="14" t="inlineStr">
        <is>
          <t>unbearbeitet</t>
        </is>
      </c>
      <c r="I65" s="14" t="n"/>
      <c r="J65" s="14" t="n"/>
      <c r="K65" s="14" t="n"/>
      <c r="L65" s="15" t="n"/>
      <c r="M65" s="11" t="inlineStr">
        <is>
          <t>Vertraulichkeit, Integrität</t>
        </is>
      </c>
      <c r="N65" s="12" t="inlineStr"/>
      <c r="O65" s="11" t="inlineStr"/>
      <c r="P65" s="12" t="inlineStr">
        <is>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is>
      </c>
      <c r="Q65" s="11" t="inlineStr">
        <is>
          <t>IT-Systeme</t>
        </is>
      </c>
      <c r="R65" s="11" t="inlineStr">
        <is>
          <t>Konfigurationshistorie</t>
        </is>
      </c>
      <c r="S65" s="12" t="inlineStr">
        <is>
          <t>Fernwartungsfunktionen</t>
        </is>
      </c>
      <c r="T65" s="12" t="inlineStr">
        <is>
          <t>G 0.23 – Unbefugtes Eindringen in IT-Systeme; G 0.30 – Unberechtigte Nutzung oder Administration von Geräten und Systemen</t>
        </is>
      </c>
      <c r="U65" s="11" t="n">
        <v>2</v>
      </c>
      <c r="V65" s="11" t="n">
        <v>2</v>
      </c>
      <c r="W65" s="11" t="n">
        <v>2</v>
      </c>
      <c r="X65" s="11" t="n">
        <v>1</v>
      </c>
      <c r="Y65" s="11" t="n">
        <v>1</v>
      </c>
    </row>
    <row r="66">
      <c r="A66" s="9" t="inlineStr">
        <is>
          <t>KONF.4.4</t>
        </is>
      </c>
      <c r="B66" s="10" t="inlineStr">
        <is>
          <t>Einschränkung von Fernwartungsfunktionen</t>
        </is>
      </c>
      <c r="C66" s="11" t="n"/>
      <c r="D66" s="11" t="inlineStr">
        <is>
          <t>Standard-Anforderungen</t>
        </is>
      </c>
      <c r="E66" s="12" t="inlineStr">
        <is>
          <t>Gesamt:</t>
        </is>
      </c>
      <c r="F66" s="11" t="n"/>
      <c r="G66" s="11" t="n"/>
      <c r="H66" s="13">
        <f>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
      </c>
      <c r="I66" s="11" t="n"/>
      <c r="J66" s="11" t="n"/>
      <c r="K66" s="11" t="n"/>
      <c r="L66" s="11" t="n"/>
      <c r="M66" s="11" t="inlineStr">
        <is>
          <t>Vertraulichkeit, Integrität, Verfügbarkeit</t>
        </is>
      </c>
      <c r="N66" s="12" t="inlineStr">
        <is>
          <t>IND.2.4.A1-UA.5</t>
        </is>
      </c>
      <c r="O66" s="11" t="inlineStr">
        <is>
          <t>subset-of</t>
        </is>
      </c>
      <c r="P66" s="12" t="inlineStr">
        <is>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is>
      </c>
      <c r="Q66" s="11" t="inlineStr">
        <is>
          <t>IT-Systeme</t>
        </is>
      </c>
      <c r="R66" s="11" t="inlineStr">
        <is>
          <t>Konfigurationshistorie</t>
        </is>
      </c>
      <c r="S66" s="12" t="inlineStr">
        <is>
          <t>Fernwartungsfunktionen</t>
        </is>
      </c>
      <c r="T66" s="12" t="inlineStr">
        <is>
          <t>G 0.30 – Unberechtigte Nutzung oder Administration von Geräten und Systemen; G 0.32 – Missbrauch von Berechtigungen</t>
        </is>
      </c>
      <c r="U66" s="11" t="n">
        <v>3</v>
      </c>
      <c r="V66" s="11" t="n">
        <v>2</v>
      </c>
      <c r="W66" s="11" t="n">
        <v>2</v>
      </c>
      <c r="X66" s="11" t="n">
        <v>2</v>
      </c>
      <c r="Y66" s="11" t="n">
        <v>1</v>
      </c>
    </row>
    <row r="67">
      <c r="A67" s="11" t="inlineStr">
        <is>
          <t>KONF.4.4</t>
        </is>
      </c>
      <c r="B67" s="12" t="inlineStr">
        <is>
          <t>Einschränkung von Fernwartungsfunktionen</t>
        </is>
      </c>
      <c r="C67" s="11" t="inlineStr">
        <is>
          <t>KONF.4.4</t>
        </is>
      </c>
      <c r="D67" s="11" t="inlineStr">
        <is>
          <t>Standard-Anforderungen</t>
        </is>
      </c>
      <c r="E67" s="12" t="inlineStr">
        <is>
          <t>Konfiguration für IT-Systeme SOLLTE Fernwartungsfunktionen im Einklang mit den zugehörigen Anforderungen zum Identitäts- und Berechtigungsmanagement einschränken.</t>
        </is>
      </c>
      <c r="F67" s="14" t="n"/>
      <c r="G67" s="14" t="n"/>
      <c r="H67" s="14" t="inlineStr">
        <is>
          <t>unbearbeitet</t>
        </is>
      </c>
      <c r="I67" s="14" t="n"/>
      <c r="J67" s="14" t="n"/>
      <c r="K67" s="14" t="n"/>
      <c r="L67" s="15" t="n"/>
      <c r="M67" s="11" t="inlineStr">
        <is>
          <t>Vertraulichkeit, Integrität, Verfügbarkeit</t>
        </is>
      </c>
      <c r="N67" s="12" t="inlineStr">
        <is>
          <t>IND.2.4.A1-UA.5</t>
        </is>
      </c>
      <c r="O67" s="11" t="inlineStr">
        <is>
          <t>subset-of</t>
        </is>
      </c>
      <c r="P67" s="12" t="inlineStr">
        <is>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is>
      </c>
      <c r="Q67" s="11" t="inlineStr">
        <is>
          <t>IT-Systeme</t>
        </is>
      </c>
      <c r="R67" s="11" t="inlineStr">
        <is>
          <t>Konfigurationshistorie</t>
        </is>
      </c>
      <c r="S67" s="12" t="inlineStr">
        <is>
          <t>Fernwartungsfunktionen</t>
        </is>
      </c>
      <c r="T67" s="12" t="inlineStr">
        <is>
          <t>G 0.30 – Unberechtigte Nutzung oder Administration von Geräten und Systemen; G 0.32 – Missbrauch von Berechtigungen</t>
        </is>
      </c>
      <c r="U67" s="11" t="n">
        <v>3</v>
      </c>
      <c r="V67" s="11" t="n">
        <v>2</v>
      </c>
      <c r="W67" s="11" t="n">
        <v>2</v>
      </c>
      <c r="X67" s="11" t="n">
        <v>2</v>
      </c>
      <c r="Y67" s="11" t="n">
        <v>1</v>
      </c>
    </row>
    <row r="68">
      <c r="A68" s="9" t="inlineStr">
        <is>
          <t>KONF.4.5</t>
        </is>
      </c>
      <c r="B68" s="10" t="inlineStr">
        <is>
          <t>Zeitquellen</t>
        </is>
      </c>
      <c r="C68" s="11" t="n"/>
      <c r="D68" s="11" t="inlineStr">
        <is>
          <t>Standard-Anforderungen</t>
        </is>
      </c>
      <c r="E68" s="12" t="inlineStr">
        <is>
          <t>Gesamt:</t>
        </is>
      </c>
      <c r="F68" s="11" t="n"/>
      <c r="G68" s="11" t="n"/>
      <c r="H68" s="13">
        <f>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
      </c>
      <c r="I68" s="11" t="n"/>
      <c r="J68" s="11" t="n"/>
      <c r="K68" s="11" t="n"/>
      <c r="L68" s="11" t="n"/>
      <c r="M68" s="11" t="inlineStr">
        <is>
          <t>Integrität, Authentizität</t>
        </is>
      </c>
      <c r="N68" s="12" t="inlineStr">
        <is>
          <t>OPS.1.2.6.A1-UA.5</t>
        </is>
      </c>
      <c r="O68" s="11" t="inlineStr">
        <is>
          <t>intersects-with</t>
        </is>
      </c>
      <c r="P68" s="12" t="inlineStr">
        <is>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is>
      </c>
      <c r="Q68" s="11" t="inlineStr">
        <is>
          <t>IT-Systeme</t>
        </is>
      </c>
      <c r="R68" s="11" t="inlineStr">
        <is>
          <t>Konfigurationshistorie</t>
        </is>
      </c>
      <c r="S68" s="12" t="inlineStr">
        <is>
          <t>Zeitquellen</t>
        </is>
      </c>
      <c r="T68" s="12" t="inlineStr">
        <is>
          <t>G 0.22 – Manipulation von Informationen; G 0.43 – Einspielen von Nachrichten</t>
        </is>
      </c>
      <c r="U68" s="11" t="n">
        <v>2</v>
      </c>
      <c r="V68" s="11" t="n">
        <v>1</v>
      </c>
      <c r="W68" s="11" t="n">
        <v>2</v>
      </c>
      <c r="X68" s="11" t="n">
        <v>0</v>
      </c>
      <c r="Y68" s="11" t="n">
        <v>2</v>
      </c>
    </row>
    <row r="69">
      <c r="A69" s="11" t="inlineStr">
        <is>
          <t>KONF.4.5</t>
        </is>
      </c>
      <c r="B69" s="12" t="inlineStr">
        <is>
          <t>Zeitquellen</t>
        </is>
      </c>
      <c r="C69" s="11" t="inlineStr">
        <is>
          <t>KONF.4.5</t>
        </is>
      </c>
      <c r="D69" s="11" t="inlineStr">
        <is>
          <t>Standard-Anforderungen</t>
        </is>
      </c>
      <c r="E69" s="12" t="inlineStr">
        <is>
          <t>Konfiguration für IT-Systeme SOLLTE Zeitquellen autorisieren.</t>
        </is>
      </c>
      <c r="F69" s="14" t="n"/>
      <c r="G69" s="14" t="n"/>
      <c r="H69" s="14" t="inlineStr">
        <is>
          <t>unbearbeitet</t>
        </is>
      </c>
      <c r="I69" s="14" t="n"/>
      <c r="J69" s="14" t="n"/>
      <c r="K69" s="14" t="n"/>
      <c r="L69" s="15" t="n"/>
      <c r="M69" s="11" t="inlineStr">
        <is>
          <t>Integrität, Authentizität</t>
        </is>
      </c>
      <c r="N69" s="12" t="inlineStr">
        <is>
          <t>OPS.1.2.6.A1-UA.5</t>
        </is>
      </c>
      <c r="O69" s="11" t="inlineStr">
        <is>
          <t>intersects-with</t>
        </is>
      </c>
      <c r="P69" s="12" t="inlineStr">
        <is>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is>
      </c>
      <c r="Q69" s="11" t="inlineStr">
        <is>
          <t>IT-Systeme</t>
        </is>
      </c>
      <c r="R69" s="11" t="inlineStr">
        <is>
          <t>Konfigurationshistorie</t>
        </is>
      </c>
      <c r="S69" s="12" t="inlineStr">
        <is>
          <t>Zeitquellen</t>
        </is>
      </c>
      <c r="T69" s="12" t="inlineStr">
        <is>
          <t>G 0.22 – Manipulation von Informationen; G 0.43 – Einspielen von Nachrichten</t>
        </is>
      </c>
      <c r="U69" s="11" t="n">
        <v>2</v>
      </c>
      <c r="V69" s="11" t="n">
        <v>1</v>
      </c>
      <c r="W69" s="11" t="n">
        <v>2</v>
      </c>
      <c r="X69" s="11" t="n">
        <v>0</v>
      </c>
      <c r="Y69" s="11" t="n">
        <v>2</v>
      </c>
    </row>
    <row r="70">
      <c r="A70" s="9" t="inlineStr">
        <is>
          <t>KONF.5.1</t>
        </is>
      </c>
      <c r="B70" s="10" t="inlineStr">
        <is>
          <t>Authentifizierung am System</t>
        </is>
      </c>
      <c r="C70" s="11" t="n"/>
      <c r="D70" s="11" t="inlineStr">
        <is>
          <t>Standard-Anforderungen</t>
        </is>
      </c>
      <c r="E70" s="12" t="inlineStr">
        <is>
          <t>Gesamt:</t>
        </is>
      </c>
      <c r="F70" s="11" t="n"/>
      <c r="G70" s="11" t="n"/>
      <c r="H70" s="13">
        <f>IF(OR(COUNTBLANK($H$71:$H$73)&gt;0,COUNTIF($H$71:$H$73,"unbearbeitet")=COUNTA($H$71:$H$73)),"Bitte Teilanforderungen ausfüllen",IF(COUNTIF($H$71:$H$73,"zu klären")&gt;0,"zu klären",IF(COUNTIF($H$71:$H$73,"entbehrlich")=COUNTA($H$71:$H$73),"entbehrlich",IF(COUNTIF($H$71:$H$73,"verwiesen")=COUNTA($H$71:$H$73),"verwiesen",IF(COUNTIF($H$71:$H$73,"nein")+COUNTIF($H$71:$H$73,"entbehrlich")=COUNTA($H$71:$H$73),"nein",IF(COUNTIF($H$71:$H$73,"ja")+COUNTIF($H$71:$H$73,"entbehrlich")+COUNTIF($H$71:$H$73,"verwiesen")=COUNTA($H$71:$H$73),"ja","teilweise"))))))</f>
        <v/>
      </c>
      <c r="I70" s="11" t="n"/>
      <c r="J70" s="11" t="n"/>
      <c r="K70" s="11" t="n"/>
      <c r="L70" s="11" t="n"/>
      <c r="M70" s="11" t="inlineStr"/>
      <c r="N70" s="12" t="inlineStr">
        <is>
          <t>SYS.2.1.A1-UA.1</t>
        </is>
      </c>
      <c r="O70" s="11" t="inlineStr">
        <is>
          <t>intersects-with</t>
        </is>
      </c>
      <c r="P70" s="12" t="inlineStr">
        <is>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is>
      </c>
      <c r="Q70" s="11" t="inlineStr">
        <is>
          <t>IT-Systeme</t>
        </is>
      </c>
      <c r="R70" s="11" t="inlineStr">
        <is>
          <t>Konfigurationshistorie</t>
        </is>
      </c>
      <c r="S70" s="12" t="inlineStr">
        <is>
          <t>den Zugriff auf das System</t>
        </is>
      </c>
      <c r="T70" s="12" t="inlineStr">
        <is>
          <t>G 0.18 – Fehlplanung oder fehlende Anpassung</t>
        </is>
      </c>
      <c r="U70" s="11" t="n">
        <v>1</v>
      </c>
      <c r="V70" s="11" t="n">
        <v>1</v>
      </c>
      <c r="W70" s="11" t="n">
        <v>1</v>
      </c>
      <c r="X70" s="11" t="n">
        <v>1</v>
      </c>
      <c r="Y70" s="11" t="n">
        <v>0</v>
      </c>
    </row>
    <row r="71">
      <c r="A71" s="11" t="inlineStr">
        <is>
          <t>KONF.5.1</t>
        </is>
      </c>
      <c r="B71" s="12" t="inlineStr">
        <is>
          <t>Authentifizierung am System</t>
        </is>
      </c>
      <c r="C71" s="11" t="inlineStr">
        <is>
          <t>KONF.5.1</t>
        </is>
      </c>
      <c r="D71" s="11" t="inlineStr">
        <is>
          <t>Standard-Anforderungen</t>
        </is>
      </c>
      <c r="E71" s="12" t="inlineStr">
        <is>
          <t>Konfiguration für IT-Systeme SOLLTE den Zugriff auf das System im Einklang mit den zugehörigen Anforderungen zum Identitäts- und Berechtigungsmanagement authentifizieren.</t>
        </is>
      </c>
      <c r="F71" s="14" t="n"/>
      <c r="G71" s="14" t="n"/>
      <c r="H71" s="14" t="inlineStr">
        <is>
          <t>unbearbeitet</t>
        </is>
      </c>
      <c r="I71" s="14" t="n"/>
      <c r="J71" s="14" t="n"/>
      <c r="K71" s="14" t="n"/>
      <c r="L71" s="15" t="n"/>
      <c r="M71" s="11" t="inlineStr"/>
      <c r="N71" s="12" t="inlineStr">
        <is>
          <t>SYS.2.1.A1-UA.1</t>
        </is>
      </c>
      <c r="O71" s="11" t="inlineStr">
        <is>
          <t>intersects-with</t>
        </is>
      </c>
      <c r="P71" s="12" t="inlineStr">
        <is>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is>
      </c>
      <c r="Q71" s="11" t="inlineStr">
        <is>
          <t>IT-Systeme</t>
        </is>
      </c>
      <c r="R71" s="11" t="inlineStr">
        <is>
          <t>Konfigurationshistorie</t>
        </is>
      </c>
      <c r="S71" s="12" t="inlineStr">
        <is>
          <t>den Zugriff auf das System</t>
        </is>
      </c>
      <c r="T71" s="12" t="inlineStr">
        <is>
          <t>G 0.18 – Fehlplanung oder fehlende Anpassung</t>
        </is>
      </c>
      <c r="U71" s="11" t="n">
        <v>1</v>
      </c>
      <c r="V71" s="11" t="n">
        <v>1</v>
      </c>
      <c r="W71" s="11" t="n">
        <v>1</v>
      </c>
      <c r="X71" s="11" t="n">
        <v>1</v>
      </c>
      <c r="Y71" s="11" t="n">
        <v>0</v>
      </c>
    </row>
    <row r="72">
      <c r="A72" s="11" t="inlineStr">
        <is>
          <t>KONF.5.1</t>
        </is>
      </c>
      <c r="B72" s="12" t="inlineStr">
        <is>
          <t>Authentifizierung am System</t>
        </is>
      </c>
      <c r="C72" s="11" t="inlineStr">
        <is>
          <t>KONF.5.1.1</t>
        </is>
      </c>
      <c r="D72" s="11" t="inlineStr">
        <is>
          <t>Standard-Anforderungen</t>
        </is>
      </c>
      <c r="E72" s="12" t="inlineStr">
        <is>
          <t>Konfiguration für IT-Systeme SOLLTE den Zugriff auf die Firmware im Einklang mit den zugehörigen Anforderungen zum Identitäts- und Berechtigungsmanagement authentifizieren.</t>
        </is>
      </c>
      <c r="F72" s="14" t="n"/>
      <c r="G72" s="14" t="n"/>
      <c r="H72" s="14" t="inlineStr">
        <is>
          <t>unbearbeitet</t>
        </is>
      </c>
      <c r="I72" s="14" t="n"/>
      <c r="J72" s="14" t="n"/>
      <c r="K72" s="14" t="n"/>
      <c r="L72" s="15" t="n"/>
      <c r="M72" s="11" t="inlineStr">
        <is>
          <t>Vertraulichkeit, Integrität, Verfügbarkeit, Authentizität</t>
        </is>
      </c>
      <c r="N72" s="12" t="inlineStr">
        <is>
          <t>SYS.2.1.A36-UA.1</t>
        </is>
      </c>
      <c r="O72" s="11" t="inlineStr">
        <is>
          <t>intersects-with</t>
        </is>
      </c>
      <c r="P72" s="12" t="inlineStr">
        <is>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is>
      </c>
      <c r="Q72" s="11" t="inlineStr">
        <is>
          <t>IT-Systeme</t>
        </is>
      </c>
      <c r="R72" s="11" t="inlineStr">
        <is>
          <t>Konfigurationshistorie</t>
        </is>
      </c>
      <c r="S72" s="12" t="inlineStr">
        <is>
          <t>den Zugriff auf die Firmware</t>
        </is>
      </c>
      <c r="T72" s="12" t="inlineStr">
        <is>
          <t>G 0.30 – Unberechtigte Nutzung oder Administration von Geräten und Systemen; G 0.21 – Manipulation von Hard- oder Software</t>
        </is>
      </c>
      <c r="U72" s="11" t="n">
        <v>1</v>
      </c>
      <c r="V72" s="11" t="n">
        <v>2</v>
      </c>
      <c r="W72" s="11" t="n">
        <v>2</v>
      </c>
      <c r="X72" s="11" t="n">
        <v>2</v>
      </c>
      <c r="Y72" s="11" t="n">
        <v>2</v>
      </c>
    </row>
    <row r="73">
      <c r="A73" s="11" t="inlineStr">
        <is>
          <t>KONF.5.1</t>
        </is>
      </c>
      <c r="B73" s="12" t="inlineStr">
        <is>
          <t>Authentifizierung am System</t>
        </is>
      </c>
      <c r="C73" s="11" t="inlineStr">
        <is>
          <t>KONF.5.1.2</t>
        </is>
      </c>
      <c r="D73" s="11" t="inlineStr">
        <is>
          <t>Anforderungen bei erhöhtem Schutzbedarf</t>
        </is>
      </c>
      <c r="E73" s="12" t="inlineStr">
        <is>
          <t>Konfiguration für Endgeräte KANN den Zugriff vor dem Start des Betriebssystems authentifizieren.</t>
        </is>
      </c>
      <c r="F73" s="14" t="n"/>
      <c r="G73" s="14" t="n"/>
      <c r="H73" s="14" t="inlineStr">
        <is>
          <t>unbearbeitet</t>
        </is>
      </c>
      <c r="I73" s="14" t="n"/>
      <c r="J73" s="14" t="n"/>
      <c r="K73" s="14" t="n"/>
      <c r="L73" s="15" t="n"/>
      <c r="M73" s="11" t="inlineStr">
        <is>
          <t>Vertraulichkeit</t>
        </is>
      </c>
      <c r="N73" s="12" t="inlineStr"/>
      <c r="O73" s="11" t="inlineStr"/>
      <c r="P73" s="12" t="inlineStr">
        <is>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is>
      </c>
      <c r="Q73" s="11" t="inlineStr">
        <is>
          <t>Endgeräte</t>
        </is>
      </c>
      <c r="R73" s="11" t="inlineStr">
        <is>
          <t>Konfigurationshistorie</t>
        </is>
      </c>
      <c r="S73" s="12" t="inlineStr">
        <is>
          <t>den Zugriff vor dem Start des Betriebssystems</t>
        </is>
      </c>
      <c r="T73" s="12" t="inlineStr">
        <is>
          <t>G 0.30 – Unberechtigte Nutzung oder Administration von Geräten und Systemen; G 0.19 – Offenlegung schützenswerter Informationen</t>
        </is>
      </c>
      <c r="U73" s="11" t="n">
        <v>5</v>
      </c>
      <c r="V73" s="11" t="n">
        <v>2</v>
      </c>
      <c r="W73" s="11" t="n">
        <v>1</v>
      </c>
      <c r="X73" s="11" t="n">
        <v>1</v>
      </c>
      <c r="Y73" s="11" t="n">
        <v>1</v>
      </c>
    </row>
    <row r="74">
      <c r="A74" s="9" t="inlineStr">
        <is>
          <t>KONF.5.2</t>
        </is>
      </c>
      <c r="B74" s="10" t="inlineStr">
        <is>
          <t>Keine Mehrfachanmeldung</t>
        </is>
      </c>
      <c r="C74" s="11" t="n"/>
      <c r="D74" s="11" t="inlineStr">
        <is>
          <t>Standard-Anforderungen</t>
        </is>
      </c>
      <c r="E74" s="12" t="inlineStr">
        <is>
          <t>Gesamt:</t>
        </is>
      </c>
      <c r="F74" s="11" t="n"/>
      <c r="G74" s="11" t="n"/>
      <c r="H74" s="13">
        <f>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
      </c>
      <c r="I74" s="11" t="n"/>
      <c r="J74" s="11" t="n"/>
      <c r="K74" s="11" t="n"/>
      <c r="L74" s="11" t="n"/>
      <c r="M74" s="11" t="inlineStr">
        <is>
          <t>Vertraulichkeit, Integrität, Verfügbarkeit</t>
        </is>
      </c>
      <c r="N74" s="12" t="inlineStr"/>
      <c r="O74" s="11" t="inlineStr"/>
      <c r="P74" s="12" t="inlineStr">
        <is>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is>
      </c>
      <c r="Q74" s="11" t="inlineStr">
        <is>
          <t>IT-Systeme</t>
        </is>
      </c>
      <c r="R74" s="11" t="inlineStr">
        <is>
          <t>Konfigurationshistorie</t>
        </is>
      </c>
      <c r="S74" s="12" t="inlineStr">
        <is>
          <t>die gleichzeitige Anmeldung mehrerer Zugangskonten</t>
        </is>
      </c>
      <c r="T74" s="12" t="inlineStr">
        <is>
          <t>G 0.30 – Unberechtigte Nutzung oder Administration von Geräten und Systemen; G 0.32 – Missbrauch von Berechtigungen</t>
        </is>
      </c>
      <c r="U74" s="11" t="n">
        <v>3</v>
      </c>
      <c r="V74" s="11" t="n">
        <v>2</v>
      </c>
      <c r="W74" s="11" t="n">
        <v>2</v>
      </c>
      <c r="X74" s="11" t="n">
        <v>2</v>
      </c>
      <c r="Y74" s="11" t="n">
        <v>1</v>
      </c>
    </row>
    <row r="75">
      <c r="A75" s="11" t="inlineStr">
        <is>
          <t>KONF.5.2</t>
        </is>
      </c>
      <c r="B75" s="12" t="inlineStr">
        <is>
          <t>Keine Mehrfachanmeldung</t>
        </is>
      </c>
      <c r="C75" s="11" t="inlineStr">
        <is>
          <t>KONF.5.2</t>
        </is>
      </c>
      <c r="D75" s="11" t="inlineStr">
        <is>
          <t>Standard-Anforderungen</t>
        </is>
      </c>
      <c r="E75" s="12" t="inlineStr">
        <is>
          <t>Konfiguration für IT-Systeme SOLLTE die gleichzeitige Anmeldung mehrerer Zugangskonten deaktivieren.</t>
        </is>
      </c>
      <c r="F75" s="14" t="n"/>
      <c r="G75" s="14" t="n"/>
      <c r="H75" s="14" t="inlineStr">
        <is>
          <t>unbearbeitet</t>
        </is>
      </c>
      <c r="I75" s="14" t="n"/>
      <c r="J75" s="14" t="n"/>
      <c r="K75" s="14" t="n"/>
      <c r="L75" s="15" t="n"/>
      <c r="M75" s="11" t="inlineStr">
        <is>
          <t>Vertraulichkeit, Integrität, Verfügbarkeit</t>
        </is>
      </c>
      <c r="N75" s="12" t="inlineStr"/>
      <c r="O75" s="11" t="inlineStr"/>
      <c r="P75" s="12" t="inlineStr">
        <is>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is>
      </c>
      <c r="Q75" s="11" t="inlineStr">
        <is>
          <t>IT-Systeme</t>
        </is>
      </c>
      <c r="R75" s="11" t="inlineStr">
        <is>
          <t>Konfigurationshistorie</t>
        </is>
      </c>
      <c r="S75" s="12" t="inlineStr">
        <is>
          <t>die gleichzeitige Anmeldung mehrerer Zugangskonten</t>
        </is>
      </c>
      <c r="T75" s="12" t="inlineStr">
        <is>
          <t>G 0.30 – Unberechtigte Nutzung oder Administration von Geräten und Systemen; G 0.32 – Missbrauch von Berechtigungen</t>
        </is>
      </c>
      <c r="U75" s="11" t="n">
        <v>3</v>
      </c>
      <c r="V75" s="11" t="n">
        <v>2</v>
      </c>
      <c r="W75" s="11" t="n">
        <v>2</v>
      </c>
      <c r="X75" s="11" t="n">
        <v>2</v>
      </c>
      <c r="Y75" s="11" t="n">
        <v>1</v>
      </c>
    </row>
    <row r="76">
      <c r="A76" s="9" t="inlineStr">
        <is>
          <t>KONF.6.1</t>
        </is>
      </c>
      <c r="B76" s="10" t="inlineStr">
        <is>
          <t>Minimal erforderliche Berechtigungen für Anwendungen</t>
        </is>
      </c>
      <c r="C76" s="11" t="n"/>
      <c r="D76" s="11" t="inlineStr">
        <is>
          <t>Standard-Anforderungen</t>
        </is>
      </c>
      <c r="E76" s="12" t="inlineStr">
        <is>
          <t>Gesamt:</t>
        </is>
      </c>
      <c r="F76" s="11" t="n"/>
      <c r="G76" s="11" t="n"/>
      <c r="H76" s="13">
        <f>IF(OR(COUNTBLANK($H$77:$H$80)&gt;0,COUNTIF($H$77:$H$80,"unbearbeitet")=COUNTA($H$77:$H$80)),"Bitte Teilanforderungen ausfüllen",IF(COUNTIF($H$77:$H$80,"zu klären")&gt;0,"zu klären",IF(COUNTIF($H$77:$H$80,"entbehrlich")=COUNTA($H$77:$H$80),"entbehrlich",IF(COUNTIF($H$77:$H$80,"verwiesen")=COUNTA($H$77:$H$80),"verwiesen",IF(COUNTIF($H$77:$H$80,"nein")+COUNTIF($H$77:$H$80,"entbehrlich")=COUNTA($H$77:$H$80),"nein",IF(COUNTIF($H$77:$H$80,"ja")+COUNTIF($H$77:$H$80,"entbehrlich")+COUNTIF($H$77:$H$80,"verwiesen")=COUNTA($H$77:$H$80),"ja","teilweise"))))))</f>
        <v/>
      </c>
      <c r="I76" s="11" t="n"/>
      <c r="J76" s="11" t="n"/>
      <c r="K76" s="11" t="n"/>
      <c r="L76" s="11" t="n"/>
      <c r="M76" s="11" t="inlineStr">
        <is>
          <t>Vertraulichkeit, Integrität, Verfügbarkeit</t>
        </is>
      </c>
      <c r="N76" s="12" t="inlineStr"/>
      <c r="O76" s="11" t="inlineStr"/>
      <c r="P76" s="12" t="inlineStr">
        <is>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is>
      </c>
      <c r="Q76" s="11" t="inlineStr">
        <is>
          <t>IT-Systeme</t>
        </is>
      </c>
      <c r="R76" s="11" t="inlineStr">
        <is>
          <t>Konfigurationshistorie</t>
        </is>
      </c>
      <c r="S76" s="12" t="inlineStr">
        <is>
          <t>erforderliche Berechtigungen für Anwendungen</t>
        </is>
      </c>
      <c r="T76" s="12" t="inlineStr">
        <is>
          <t>G 0.32 – Missbrauch von Berechtigungen; G 0.30 – Unberechtigte Nutzung oder Administration von Geräten und Systemen</t>
        </is>
      </c>
      <c r="U76" s="11" t="n">
        <v>3</v>
      </c>
      <c r="V76" s="11" t="n">
        <v>2</v>
      </c>
      <c r="W76" s="11" t="n">
        <v>2</v>
      </c>
      <c r="X76" s="11" t="n">
        <v>2</v>
      </c>
      <c r="Y76" s="11" t="n">
        <v>1</v>
      </c>
    </row>
    <row r="77">
      <c r="A77" s="11" t="inlineStr">
        <is>
          <t>KONF.6.1</t>
        </is>
      </c>
      <c r="B77" s="12" t="inlineStr">
        <is>
          <t>Minimal erforderliche Berechtigungen für Anwendungen</t>
        </is>
      </c>
      <c r="C77" s="11" t="inlineStr">
        <is>
          <t>KONF.6.1</t>
        </is>
      </c>
      <c r="D77" s="11" t="inlineStr">
        <is>
          <t>Standard-Anforderungen</t>
        </is>
      </c>
      <c r="E77" s="12" t="inlineStr">
        <is>
          <t>Konfiguration für IT-Systeme SOLLTE erforderliche Berechtigungen für Anwendungen einschränken.</t>
        </is>
      </c>
      <c r="F77" s="14" t="n"/>
      <c r="G77" s="14" t="n"/>
      <c r="H77" s="14" t="inlineStr">
        <is>
          <t>unbearbeitet</t>
        </is>
      </c>
      <c r="I77" s="14" t="n"/>
      <c r="J77" s="14" t="n"/>
      <c r="K77" s="14" t="n"/>
      <c r="L77" s="15" t="n"/>
      <c r="M77" s="11" t="inlineStr">
        <is>
          <t>Vertraulichkeit, Integrität, Verfügbarkeit</t>
        </is>
      </c>
      <c r="N77" s="12" t="inlineStr"/>
      <c r="O77" s="11" t="inlineStr"/>
      <c r="P77" s="12" t="inlineStr">
        <is>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is>
      </c>
      <c r="Q77" s="11" t="inlineStr">
        <is>
          <t>IT-Systeme</t>
        </is>
      </c>
      <c r="R77" s="11" t="inlineStr">
        <is>
          <t>Konfigurationshistorie</t>
        </is>
      </c>
      <c r="S77" s="12" t="inlineStr">
        <is>
          <t>erforderliche Berechtigungen für Anwendungen</t>
        </is>
      </c>
      <c r="T77" s="12" t="inlineStr">
        <is>
          <t>G 0.32 – Missbrauch von Berechtigungen; G 0.30 – Unberechtigte Nutzung oder Administration von Geräten und Systemen</t>
        </is>
      </c>
      <c r="U77" s="11" t="n">
        <v>3</v>
      </c>
      <c r="V77" s="11" t="n">
        <v>2</v>
      </c>
      <c r="W77" s="11" t="n">
        <v>2</v>
      </c>
      <c r="X77" s="11" t="n">
        <v>2</v>
      </c>
      <c r="Y77" s="11" t="n">
        <v>1</v>
      </c>
    </row>
    <row r="78">
      <c r="A78" s="11" t="inlineStr">
        <is>
          <t>KONF.6.1</t>
        </is>
      </c>
      <c r="B78" s="12" t="inlineStr">
        <is>
          <t>Minimal erforderliche Berechtigungen für Anwendungen</t>
        </is>
      </c>
      <c r="C78" s="11" t="inlineStr">
        <is>
          <t>KONF.6.1.1</t>
        </is>
      </c>
      <c r="D78" s="11" t="inlineStr">
        <is>
          <t>Anforderungen bei erhöhtem Schutzbedarf</t>
        </is>
      </c>
      <c r="E78" s="12" t="inlineStr">
        <is>
          <t>Konfiguration für IT-Systeme KANN Datenkapselung aktivieren.</t>
        </is>
      </c>
      <c r="F78" s="14" t="n"/>
      <c r="G78" s="14" t="n"/>
      <c r="H78" s="14" t="inlineStr">
        <is>
          <t>unbearbeitet</t>
        </is>
      </c>
      <c r="I78" s="14" t="n"/>
      <c r="J78" s="14" t="n"/>
      <c r="K78" s="14" t="n"/>
      <c r="L78" s="15" t="n"/>
      <c r="M78" s="11" t="inlineStr"/>
      <c r="N78" s="12" t="inlineStr"/>
      <c r="O78" s="11" t="inlineStr"/>
      <c r="P78" s="12" t="inlineStr">
        <is>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is>
      </c>
      <c r="Q78" s="11" t="inlineStr">
        <is>
          <t>IT-Systeme</t>
        </is>
      </c>
      <c r="R78" s="11" t="inlineStr">
        <is>
          <t>Konfigurationshistorie</t>
        </is>
      </c>
      <c r="S78" s="12" t="inlineStr">
        <is>
          <t>Datenkapselung</t>
        </is>
      </c>
      <c r="T78" s="12" t="inlineStr">
        <is>
          <t>G 0.19 – Offenlegung schützenswerter Informationen; G 0.22 – Manipulation von Informationen</t>
        </is>
      </c>
      <c r="U78" s="11" t="n">
        <v>5</v>
      </c>
      <c r="V78" s="11" t="n">
        <v>1</v>
      </c>
      <c r="W78" s="11" t="n">
        <v>1</v>
      </c>
      <c r="X78" s="11" t="n">
        <v>0</v>
      </c>
      <c r="Y78" s="11" t="n">
        <v>1</v>
      </c>
    </row>
    <row r="79">
      <c r="A79" s="11" t="inlineStr">
        <is>
          <t>KONF.6.1</t>
        </is>
      </c>
      <c r="B79" s="12" t="inlineStr">
        <is>
          <t>Minimal erforderliche Berechtigungen für Anwendungen</t>
        </is>
      </c>
      <c r="C79" s="11" t="inlineStr">
        <is>
          <t>KONF.6.1.2</t>
        </is>
      </c>
      <c r="D79" s="11" t="inlineStr">
        <is>
          <t>Anforderungen bei erhöhtem Schutzbedarf</t>
        </is>
      </c>
      <c r="E79" s="12" t="inlineStr">
        <is>
          <t>Konfiguration für IT-Systeme KANN die Isolierung von bestimmten Anwendungen aktivieren.</t>
        </is>
      </c>
      <c r="F79" s="14" t="n"/>
      <c r="G79" s="14" t="n"/>
      <c r="H79" s="14" t="inlineStr">
        <is>
          <t>unbearbeitet</t>
        </is>
      </c>
      <c r="I79" s="14" t="n"/>
      <c r="J79" s="14" t="n"/>
      <c r="K79" s="14" t="n"/>
      <c r="L79" s="15" t="n"/>
      <c r="M79" s="11" t="inlineStr">
        <is>
          <t>Vertraulichkeit, Integrität</t>
        </is>
      </c>
      <c r="N79" s="12" t="inlineStr">
        <is>
          <t>APP.4.4.A15-UA.1</t>
        </is>
      </c>
      <c r="O79" s="11" t="inlineStr">
        <is>
          <t>subset-of</t>
        </is>
      </c>
      <c r="P79" s="12" t="inlineStr">
        <is>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is>
      </c>
      <c r="Q79" s="11" t="inlineStr">
        <is>
          <t>IT-Systeme</t>
        </is>
      </c>
      <c r="R79" s="11" t="inlineStr">
        <is>
          <t>Konfigurationshistorie</t>
        </is>
      </c>
      <c r="S79" s="12" t="inlineStr">
        <is>
          <t>die Isolierung</t>
        </is>
      </c>
      <c r="T79" s="12" t="inlineStr">
        <is>
          <t>G 0.39 – Schadprogramme; G 0.23 – Unbefugtes Eindringen in IT-Systeme</t>
        </is>
      </c>
      <c r="U79" s="11" t="n">
        <v>5</v>
      </c>
      <c r="V79" s="11" t="n">
        <v>2</v>
      </c>
      <c r="W79" s="11" t="n">
        <v>2</v>
      </c>
      <c r="X79" s="11" t="n">
        <v>1</v>
      </c>
      <c r="Y79" s="11" t="n">
        <v>0</v>
      </c>
    </row>
    <row r="80">
      <c r="A80" s="11" t="inlineStr">
        <is>
          <t>KONF.6.1</t>
        </is>
      </c>
      <c r="B80" s="12" t="inlineStr">
        <is>
          <t>Minimal erforderliche Berechtigungen für Anwendungen</t>
        </is>
      </c>
      <c r="C80" s="11" t="inlineStr">
        <is>
          <t>KONF.6.1.3</t>
        </is>
      </c>
      <c r="D80" s="11" t="inlineStr">
        <is>
          <t>Anforderungen bei erhöhtem Schutzbedarf</t>
        </is>
      </c>
      <c r="E80" s="12" t="inlineStr">
        <is>
          <t>Konfiguration für Endgeräte KANN die Isolation verschiedener Arbeitsumgebungen für verschiedene Verwendungen aktivieren.</t>
        </is>
      </c>
      <c r="F80" s="14" t="n"/>
      <c r="G80" s="14" t="n"/>
      <c r="H80" s="14" t="inlineStr">
        <is>
          <t>unbearbeitet</t>
        </is>
      </c>
      <c r="I80" s="14" t="n"/>
      <c r="J80" s="14" t="n"/>
      <c r="K80" s="14" t="n"/>
      <c r="L80" s="15" t="n"/>
      <c r="M80" s="11" t="inlineStr">
        <is>
          <t>Vertraulichkeit</t>
        </is>
      </c>
      <c r="N80" s="12" t="inlineStr"/>
      <c r="O80" s="11" t="inlineStr"/>
      <c r="P80" s="12" t="inlineStr">
        <is>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is>
      </c>
      <c r="Q80" s="11" t="inlineStr">
        <is>
          <t>Endgeräte</t>
        </is>
      </c>
      <c r="R80" s="11" t="inlineStr">
        <is>
          <t>Konfigurationshistorie</t>
        </is>
      </c>
      <c r="S80" s="12" t="inlineStr">
        <is>
          <t>die Isolation verschiedener Arbeitsumgebungen für verschiedene Verwendungen</t>
        </is>
      </c>
      <c r="T80" s="12" t="inlineStr">
        <is>
          <t>G 0.19 – Offenlegung schützenswerter Informationen; G 0.31 – Fehlerhafte Nutzung oder Administration von Geräten und Systemen</t>
        </is>
      </c>
      <c r="U80" s="11" t="n">
        <v>5</v>
      </c>
      <c r="V80" s="11" t="n">
        <v>2</v>
      </c>
      <c r="W80" s="11" t="n">
        <v>1</v>
      </c>
      <c r="X80" s="11" t="n">
        <v>1</v>
      </c>
      <c r="Y80" s="11" t="n">
        <v>0</v>
      </c>
    </row>
    <row r="81">
      <c r="A81" s="9" t="inlineStr">
        <is>
          <t>KONF.6.2</t>
        </is>
      </c>
      <c r="B81" s="10" t="inlineStr">
        <is>
          <t>Gemeinsam genutzte Verzeichnisse</t>
        </is>
      </c>
      <c r="C81" s="11" t="n"/>
      <c r="D81" s="11" t="inlineStr">
        <is>
          <t>Standard-Anforderungen</t>
        </is>
      </c>
      <c r="E81" s="12" t="inlineStr">
        <is>
          <t>Gesamt:</t>
        </is>
      </c>
      <c r="F81" s="11" t="n"/>
      <c r="G81" s="11" t="n"/>
      <c r="H81" s="13">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
      </c>
      <c r="I81" s="11" t="n"/>
      <c r="J81" s="11" t="n"/>
      <c r="K81" s="11" t="n"/>
      <c r="L81" s="11" t="n"/>
      <c r="M81" s="11" t="inlineStr">
        <is>
          <t>Vertraulichkeit</t>
        </is>
      </c>
      <c r="N81" s="12" t="inlineStr"/>
      <c r="O81" s="11" t="inlineStr"/>
      <c r="P81" s="12" t="inlineStr">
        <is>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is>
      </c>
      <c r="Q81" s="11" t="inlineStr">
        <is>
          <t>Dateiserver</t>
        </is>
      </c>
      <c r="R81" s="11" t="inlineStr">
        <is>
          <t>Konfigurationshistorie</t>
        </is>
      </c>
      <c r="S81" s="12" t="inlineStr">
        <is>
          <t>die Zugriffsrechte gemeinsam verwendeter Verzeichnisse</t>
        </is>
      </c>
      <c r="T81" s="12" t="inlineStr">
        <is>
          <t>G 0.19 – Offenlegung schützenswerter Informationen; G 0.30 – Unberechtigte Nutzung oder Administration von Geräten und Systemen</t>
        </is>
      </c>
      <c r="U81" s="11" t="n">
        <v>3</v>
      </c>
      <c r="V81" s="11" t="n">
        <v>2</v>
      </c>
      <c r="W81" s="11" t="n">
        <v>1</v>
      </c>
      <c r="X81" s="11" t="n">
        <v>1</v>
      </c>
      <c r="Y81" s="11" t="n">
        <v>1</v>
      </c>
    </row>
    <row r="82">
      <c r="A82" s="11" t="inlineStr">
        <is>
          <t>KONF.6.2</t>
        </is>
      </c>
      <c r="B82" s="12" t="inlineStr">
        <is>
          <t>Gemeinsam genutzte Verzeichnisse</t>
        </is>
      </c>
      <c r="C82" s="11" t="inlineStr">
        <is>
          <t>KONF.6.2</t>
        </is>
      </c>
      <c r="D82" s="11" t="inlineStr">
        <is>
          <t>Standard-Anforderungen</t>
        </is>
      </c>
      <c r="E82" s="12" t="inlineStr">
        <is>
          <t>Konfiguration für Dateiserver SOLLTE die Zugriffsrechte gemeinsam verwendeter Verzeichnisse einschränken.</t>
        </is>
      </c>
      <c r="F82" s="14" t="n"/>
      <c r="G82" s="14" t="n"/>
      <c r="H82" s="14" t="inlineStr">
        <is>
          <t>unbearbeitet</t>
        </is>
      </c>
      <c r="I82" s="14" t="n"/>
      <c r="J82" s="14" t="n"/>
      <c r="K82" s="14" t="n"/>
      <c r="L82" s="15" t="n"/>
      <c r="M82" s="11" t="inlineStr">
        <is>
          <t>Vertraulichkeit</t>
        </is>
      </c>
      <c r="N82" s="12" t="inlineStr"/>
      <c r="O82" s="11" t="inlineStr"/>
      <c r="P82" s="12" t="inlineStr">
        <is>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is>
      </c>
      <c r="Q82" s="11" t="inlineStr">
        <is>
          <t>Dateiserver</t>
        </is>
      </c>
      <c r="R82" s="11" t="inlineStr">
        <is>
          <t>Konfigurationshistorie</t>
        </is>
      </c>
      <c r="S82" s="12" t="inlineStr">
        <is>
          <t>die Zugriffsrechte gemeinsam verwendeter Verzeichnisse</t>
        </is>
      </c>
      <c r="T82" s="12" t="inlineStr">
        <is>
          <t>G 0.19 – Offenlegung schützenswerter Informationen; G 0.30 – Unberechtigte Nutzung oder Administration von Geräten und Systemen</t>
        </is>
      </c>
      <c r="U82" s="11" t="n">
        <v>3</v>
      </c>
      <c r="V82" s="11" t="n">
        <v>2</v>
      </c>
      <c r="W82" s="11" t="n">
        <v>1</v>
      </c>
      <c r="X82" s="11" t="n">
        <v>1</v>
      </c>
      <c r="Y82" s="11" t="n">
        <v>1</v>
      </c>
    </row>
    <row r="83">
      <c r="A83" s="9" t="inlineStr">
        <is>
          <t>KONF.6.3</t>
        </is>
      </c>
      <c r="B83" s="10" t="inlineStr">
        <is>
          <t>Kiosk-Modus</t>
        </is>
      </c>
      <c r="C83" s="11" t="n"/>
      <c r="D83" s="11" t="inlineStr">
        <is>
          <t>Anforderungen bei erhöhtem Schutzbedarf</t>
        </is>
      </c>
      <c r="E83" s="12" t="inlineStr">
        <is>
          <t>Gesamt:</t>
        </is>
      </c>
      <c r="F83" s="11" t="n"/>
      <c r="G83" s="11" t="n"/>
      <c r="H83" s="13">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
      </c>
      <c r="I83" s="11" t="n"/>
      <c r="J83" s="11" t="n"/>
      <c r="K83" s="11" t="n"/>
      <c r="L83" s="11" t="n"/>
      <c r="M83" s="11" t="inlineStr"/>
      <c r="N83" s="12" t="inlineStr"/>
      <c r="O83" s="11" t="inlineStr"/>
      <c r="P83" s="12" t="inlineStr">
        <is>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is>
      </c>
      <c r="Q83" s="11" t="inlineStr">
        <is>
          <t>Endgeräte</t>
        </is>
      </c>
      <c r="R83" s="11" t="inlineStr">
        <is>
          <t>Konfigurationshistorie</t>
        </is>
      </c>
      <c r="S83" s="12" t="inlineStr">
        <is>
          <t>das automatische Zurücksetzen auf einen definierten Zustand</t>
        </is>
      </c>
      <c r="T83" s="12" t="inlineStr">
        <is>
          <t>G 0.19 – Offenlegung schützenswerter Informationen; G 0.46 – Integritätsverlust schützenswerter Informationen</t>
        </is>
      </c>
      <c r="U83" s="11" t="n">
        <v>5</v>
      </c>
      <c r="V83" s="11" t="n">
        <v>1</v>
      </c>
      <c r="W83" s="11" t="n">
        <v>1</v>
      </c>
      <c r="X83" s="11" t="n">
        <v>0</v>
      </c>
      <c r="Y83" s="11" t="n">
        <v>0</v>
      </c>
    </row>
    <row r="84">
      <c r="A84" s="11" t="inlineStr">
        <is>
          <t>KONF.6.3</t>
        </is>
      </c>
      <c r="B84" s="12" t="inlineStr">
        <is>
          <t>Kiosk-Modus</t>
        </is>
      </c>
      <c r="C84" s="11" t="inlineStr">
        <is>
          <t>KONF.6.3</t>
        </is>
      </c>
      <c r="D84" s="11" t="inlineStr">
        <is>
          <t>Anforderungen bei erhöhtem Schutzbedarf</t>
        </is>
      </c>
      <c r="E84" s="12" t="inlineStr">
        <is>
          <t>Konfiguration für Endgeräte KANN das automatische Zurücksetzen auf einen definierten Zustand nach der Nutzung aktivieren.</t>
        </is>
      </c>
      <c r="F84" s="14" t="n"/>
      <c r="G84" s="14" t="n"/>
      <c r="H84" s="14" t="inlineStr">
        <is>
          <t>unbearbeitet</t>
        </is>
      </c>
      <c r="I84" s="14" t="n"/>
      <c r="J84" s="14" t="n"/>
      <c r="K84" s="14" t="n"/>
      <c r="L84" s="15" t="n"/>
      <c r="M84" s="11" t="inlineStr"/>
      <c r="N84" s="12" t="inlineStr"/>
      <c r="O84" s="11" t="inlineStr"/>
      <c r="P84" s="12" t="inlineStr">
        <is>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is>
      </c>
      <c r="Q84" s="11" t="inlineStr">
        <is>
          <t>Endgeräte</t>
        </is>
      </c>
      <c r="R84" s="11" t="inlineStr">
        <is>
          <t>Konfigurationshistorie</t>
        </is>
      </c>
      <c r="S84" s="12" t="inlineStr">
        <is>
          <t>das automatische Zurücksetzen auf einen definierten Zustand</t>
        </is>
      </c>
      <c r="T84" s="12" t="inlineStr">
        <is>
          <t>G 0.19 – Offenlegung schützenswerter Informationen; G 0.46 – Integritätsverlust schützenswerter Informationen</t>
        </is>
      </c>
      <c r="U84" s="11" t="n">
        <v>5</v>
      </c>
      <c r="V84" s="11" t="n">
        <v>1</v>
      </c>
      <c r="W84" s="11" t="n">
        <v>1</v>
      </c>
      <c r="X84" s="11" t="n">
        <v>0</v>
      </c>
      <c r="Y84" s="11" t="n">
        <v>0</v>
      </c>
    </row>
    <row r="85">
      <c r="A85" s="9" t="inlineStr">
        <is>
          <t>KONF.6.4</t>
        </is>
      </c>
      <c r="B85" s="10" t="inlineStr">
        <is>
          <t>Privilegierte Systemfunktionen</t>
        </is>
      </c>
      <c r="C85" s="11" t="n"/>
      <c r="D85" s="11" t="inlineStr">
        <is>
          <t>Standard-Anforderungen</t>
        </is>
      </c>
      <c r="E85" s="12" t="inlineStr">
        <is>
          <t>Gesamt:</t>
        </is>
      </c>
      <c r="F85" s="11" t="n"/>
      <c r="G85" s="11" t="n"/>
      <c r="H85" s="13">
        <f>IF(OR(COUNTBLANK($H$86:$H$87)&gt;0,COUNTIF($H$86:$H$87,"unbearbeitet")=COUNTA($H$86:$H$87)),"Bitte Teilanforderungen ausfüllen",IF(COUNTIF($H$86:$H$87,"zu klären")&gt;0,"zu klären",IF(COUNTIF($H$86:$H$87,"entbehrlich")=COUNTA($H$86:$H$87),"entbehrlich",IF(COUNTIF($H$86:$H$87,"verwiesen")=COUNTA($H$86:$H$87),"verwiesen",IF(COUNTIF($H$86:$H$87,"nein")+COUNTIF($H$86:$H$87,"entbehrlich")=COUNTA($H$86:$H$87),"nein",IF(COUNTIF($H$86:$H$87,"ja")+COUNTIF($H$86:$H$87,"entbehrlich")+COUNTIF($H$86:$H$87,"verwiesen")=COUNTA($H$86:$H$87),"ja","teilweise"))))))</f>
        <v/>
      </c>
      <c r="I85" s="11" t="n"/>
      <c r="J85" s="11" t="n"/>
      <c r="K85" s="11" t="n"/>
      <c r="L85" s="11" t="n"/>
      <c r="M85" s="11" t="inlineStr">
        <is>
          <t>Vertraulichkeit, Integrität, Verfügbarkeit</t>
        </is>
      </c>
      <c r="N85" s="12" t="inlineStr"/>
      <c r="O85" s="11" t="inlineStr"/>
      <c r="P85" s="12" t="inlineStr">
        <is>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is>
      </c>
      <c r="Q85" s="11" t="inlineStr">
        <is>
          <t>IT-Systeme</t>
        </is>
      </c>
      <c r="R85" s="11" t="inlineStr">
        <is>
          <t>Konfigurationshistorie</t>
        </is>
      </c>
      <c r="S85" s="12" t="inlineStr">
        <is>
          <t>privilegierte Funktionen</t>
        </is>
      </c>
      <c r="T85" s="12" t="inlineStr">
        <is>
          <t>G 0.32 – Missbrauch von Berechtigungen; G 0.30 – Unberechtigte Nutzung oder Administration von Geräten und Systemen</t>
        </is>
      </c>
      <c r="U85" s="11" t="n">
        <v>2</v>
      </c>
      <c r="V85" s="11" t="n">
        <v>2</v>
      </c>
      <c r="W85" s="11" t="n">
        <v>2</v>
      </c>
      <c r="X85" s="11" t="n">
        <v>2</v>
      </c>
      <c r="Y85" s="11" t="n">
        <v>1</v>
      </c>
    </row>
    <row r="86">
      <c r="A86" s="11" t="inlineStr">
        <is>
          <t>KONF.6.4</t>
        </is>
      </c>
      <c r="B86" s="12" t="inlineStr">
        <is>
          <t>Privilegierte Systemfunktionen</t>
        </is>
      </c>
      <c r="C86" s="11" t="inlineStr">
        <is>
          <t>KONF.6.4</t>
        </is>
      </c>
      <c r="D86" s="11" t="inlineStr">
        <is>
          <t>Standard-Anforderungen</t>
        </is>
      </c>
      <c r="E86" s="12" t="inlineStr">
        <is>
          <t>Konfiguration für IT-Systeme SOLLTE privilegierte Funktionen einschränken.</t>
        </is>
      </c>
      <c r="F86" s="14" t="n"/>
      <c r="G86" s="14" t="n"/>
      <c r="H86" s="14" t="inlineStr">
        <is>
          <t>unbearbeitet</t>
        </is>
      </c>
      <c r="I86" s="14" t="n"/>
      <c r="J86" s="14" t="n"/>
      <c r="K86" s="14" t="n"/>
      <c r="L86" s="15" t="n"/>
      <c r="M86" s="11" t="inlineStr">
        <is>
          <t>Vertraulichkeit, Integrität, Verfügbarkeit</t>
        </is>
      </c>
      <c r="N86" s="12" t="inlineStr"/>
      <c r="O86" s="11" t="inlineStr"/>
      <c r="P86" s="12" t="inlineStr">
        <is>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is>
      </c>
      <c r="Q86" s="11" t="inlineStr">
        <is>
          <t>IT-Systeme</t>
        </is>
      </c>
      <c r="R86" s="11" t="inlineStr">
        <is>
          <t>Konfigurationshistorie</t>
        </is>
      </c>
      <c r="S86" s="12" t="inlineStr">
        <is>
          <t>privilegierte Funktionen</t>
        </is>
      </c>
      <c r="T86" s="12" t="inlineStr">
        <is>
          <t>G 0.32 – Missbrauch von Berechtigungen; G 0.30 – Unberechtigte Nutzung oder Administration von Geräten und Systemen</t>
        </is>
      </c>
      <c r="U86" s="11" t="n">
        <v>2</v>
      </c>
      <c r="V86" s="11" t="n">
        <v>2</v>
      </c>
      <c r="W86" s="11" t="n">
        <v>2</v>
      </c>
      <c r="X86" s="11" t="n">
        <v>2</v>
      </c>
      <c r="Y86" s="11" t="n">
        <v>1</v>
      </c>
    </row>
    <row r="87">
      <c r="A87" s="11" t="inlineStr">
        <is>
          <t>KONF.6.4</t>
        </is>
      </c>
      <c r="B87" s="12" t="inlineStr">
        <is>
          <t>Privilegierte Systemfunktionen</t>
        </is>
      </c>
      <c r="C87" s="11" t="inlineStr">
        <is>
          <t>KONF.6.4.1</t>
        </is>
      </c>
      <c r="D87" s="11" t="inlineStr">
        <is>
          <t>Anforderungen bei erhöhtem Schutzbedarf</t>
        </is>
      </c>
      <c r="E87" s="12" t="inlineStr">
        <is>
          <t>Konfiguration für IT-Systeme KANN rollenbasiertes Berechtigungsmanagement aktivieren.</t>
        </is>
      </c>
      <c r="F87" s="14" t="n"/>
      <c r="G87" s="14" t="n"/>
      <c r="H87" s="14" t="inlineStr">
        <is>
          <t>unbearbeitet</t>
        </is>
      </c>
      <c r="I87" s="14" t="n"/>
      <c r="J87" s="14" t="n"/>
      <c r="K87" s="14" t="n"/>
      <c r="L87" s="15" t="n"/>
      <c r="M87" s="11" t="inlineStr">
        <is>
          <t>Vertraulichkeit, Integrität, Verfügbarkeit</t>
        </is>
      </c>
      <c r="N87" s="12" t="inlineStr"/>
      <c r="O87" s="11" t="inlineStr"/>
      <c r="P87" s="12" t="inlineStr">
        <is>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is>
      </c>
      <c r="Q87" s="11" t="inlineStr">
        <is>
          <t>IT-Systeme</t>
        </is>
      </c>
      <c r="R87" s="11" t="inlineStr">
        <is>
          <t>Konfigurationshistorie</t>
        </is>
      </c>
      <c r="S87" s="12" t="inlineStr">
        <is>
          <t>rollenbasiertes Berechtigungsmanagement</t>
        </is>
      </c>
      <c r="T87" s="12" t="inlineStr">
        <is>
          <t>G 0.30 – Unberechtigte Nutzung oder Administration von Geräten und Systemen; G 0.32 – Missbrauch von Berechtigungen</t>
        </is>
      </c>
      <c r="U87" s="11" t="n">
        <v>5</v>
      </c>
      <c r="V87" s="11" t="n">
        <v>2</v>
      </c>
      <c r="W87" s="11" t="n">
        <v>2</v>
      </c>
      <c r="X87" s="11" t="n">
        <v>2</v>
      </c>
      <c r="Y87" s="11" t="n">
        <v>1</v>
      </c>
    </row>
    <row r="88">
      <c r="A88" s="9" t="inlineStr">
        <is>
          <t>KONF.6.5</t>
        </is>
      </c>
      <c r="B88" s="10" t="inlineStr">
        <is>
          <t>Dynamische Zugriffskontrolle im System</t>
        </is>
      </c>
      <c r="C88" s="11" t="n"/>
      <c r="D88" s="11" t="inlineStr">
        <is>
          <t>Anforderungen bei erhöhtem Schutzbedarf</t>
        </is>
      </c>
      <c r="E88" s="12" t="inlineStr">
        <is>
          <t>Gesamt:</t>
        </is>
      </c>
      <c r="F88" s="11" t="n"/>
      <c r="G88" s="11" t="n"/>
      <c r="H88" s="13">
        <f>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
      </c>
      <c r="I88" s="11" t="n"/>
      <c r="J88" s="11" t="n"/>
      <c r="K88" s="11" t="n"/>
      <c r="L88" s="11" t="n"/>
      <c r="M88" s="11" t="inlineStr">
        <is>
          <t>Vertraulichkeit, Integrität, Verfügbarkeit</t>
        </is>
      </c>
      <c r="N88" s="12" t="inlineStr"/>
      <c r="O88" s="11" t="inlineStr"/>
      <c r="P88" s="12" t="inlineStr">
        <is>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is>
      </c>
      <c r="Q88" s="11" t="inlineStr">
        <is>
          <t>IT-Systeme</t>
        </is>
      </c>
      <c r="R88" s="11" t="inlineStr">
        <is>
          <t>Konfigurationshistorie</t>
        </is>
      </c>
      <c r="S88" s="12" t="inlineStr">
        <is>
          <t>dynamische Zugriffskontrolle</t>
        </is>
      </c>
      <c r="T88" s="12" t="inlineStr">
        <is>
          <t>G 0.32 – Missbrauch von Berechtigungen; G 0.30 – Unberechtigte Nutzung oder Administration von Geräten und Systemen</t>
        </is>
      </c>
      <c r="U88" s="11" t="n">
        <v>5</v>
      </c>
      <c r="V88" s="11" t="n">
        <v>2</v>
      </c>
      <c r="W88" s="11" t="n">
        <v>2</v>
      </c>
      <c r="X88" s="11" t="n">
        <v>2</v>
      </c>
      <c r="Y88" s="11" t="n">
        <v>1</v>
      </c>
    </row>
    <row r="89">
      <c r="A89" s="11" t="inlineStr">
        <is>
          <t>KONF.6.5</t>
        </is>
      </c>
      <c r="B89" s="12" t="inlineStr">
        <is>
          <t>Dynamische Zugriffskontrolle im System</t>
        </is>
      </c>
      <c r="C89" s="11" t="inlineStr">
        <is>
          <t>KONF.6.5</t>
        </is>
      </c>
      <c r="D89" s="11" t="inlineStr">
        <is>
          <t>Anforderungen bei erhöhtem Schutzbedarf</t>
        </is>
      </c>
      <c r="E89" s="12" t="inlineStr">
        <is>
          <t>Konfiguration für IT-Systeme KANN dynamische Zugriffskontrolle im System aktivieren.</t>
        </is>
      </c>
      <c r="F89" s="14" t="n"/>
      <c r="G89" s="14" t="n"/>
      <c r="H89" s="14" t="inlineStr">
        <is>
          <t>unbearbeitet</t>
        </is>
      </c>
      <c r="I89" s="14" t="n"/>
      <c r="J89" s="14" t="n"/>
      <c r="K89" s="14" t="n"/>
      <c r="L89" s="15" t="n"/>
      <c r="M89" s="11" t="inlineStr">
        <is>
          <t>Vertraulichkeit, Integrität, Verfügbarkeit</t>
        </is>
      </c>
      <c r="N89" s="12" t="inlineStr"/>
      <c r="O89" s="11" t="inlineStr"/>
      <c r="P89" s="12" t="inlineStr">
        <is>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is>
      </c>
      <c r="Q89" s="11" t="inlineStr">
        <is>
          <t>IT-Systeme</t>
        </is>
      </c>
      <c r="R89" s="11" t="inlineStr">
        <is>
          <t>Konfigurationshistorie</t>
        </is>
      </c>
      <c r="S89" s="12" t="inlineStr">
        <is>
          <t>dynamische Zugriffskontrolle</t>
        </is>
      </c>
      <c r="T89" s="12" t="inlineStr">
        <is>
          <t>G 0.32 – Missbrauch von Berechtigungen; G 0.30 – Unberechtigte Nutzung oder Administration von Geräten und Systemen</t>
        </is>
      </c>
      <c r="U89" s="11" t="n">
        <v>5</v>
      </c>
      <c r="V89" s="11" t="n">
        <v>2</v>
      </c>
      <c r="W89" s="11" t="n">
        <v>2</v>
      </c>
      <c r="X89" s="11" t="n">
        <v>2</v>
      </c>
      <c r="Y89" s="11" t="n">
        <v>1</v>
      </c>
    </row>
    <row r="90">
      <c r="A90" s="9" t="inlineStr">
        <is>
          <t>KONF.6.6</t>
        </is>
      </c>
      <c r="B90" s="10" t="inlineStr">
        <is>
          <t>Getrennte Datenhaltung</t>
        </is>
      </c>
      <c r="C90" s="11" t="n"/>
      <c r="D90" s="11" t="inlineStr">
        <is>
          <t>Standard-Anforderungen</t>
        </is>
      </c>
      <c r="E90" s="12" t="inlineStr">
        <is>
          <t>Gesamt:</t>
        </is>
      </c>
      <c r="F90" s="11" t="n"/>
      <c r="G90" s="11" t="n"/>
      <c r="H90" s="13">
        <f>IF(OR(COUNTBLANK($H$91:$H$92)&gt;0,COUNTIF($H$91:$H$92,"unbearbeitet")=COUNTA($H$91:$H$92)),"Bitte Teilanforderungen ausfüllen",IF(COUNTIF($H$91:$H$92,"zu klären")&gt;0,"zu klären",IF(COUNTIF($H$91:$H$92,"entbehrlich")=COUNTA($H$91:$H$92),"entbehrlich",IF(COUNTIF($H$91:$H$92,"verwiesen")=COUNTA($H$91:$H$92),"verwiesen",IF(COUNTIF($H$91:$H$92,"nein")+COUNTIF($H$91:$H$92,"entbehrlich")=COUNTA($H$91:$H$92),"nein",IF(COUNTIF($H$91:$H$92,"ja")+COUNTIF($H$91:$H$92,"entbehrlich")+COUNTIF($H$91:$H$92,"verwiesen")=COUNTA($H$91:$H$92),"ja","teilweise"))))))</f>
        <v/>
      </c>
      <c r="I90" s="11" t="n"/>
      <c r="J90" s="11" t="n"/>
      <c r="K90" s="11" t="n"/>
      <c r="L90" s="11" t="n"/>
      <c r="M90" s="11" t="inlineStr">
        <is>
          <t>Vertraulichkeit</t>
        </is>
      </c>
      <c r="N90" s="12" t="inlineStr"/>
      <c r="O90" s="11" t="inlineStr"/>
      <c r="P90" s="12" t="inlineStr">
        <is>
          <t>Dies kann je nach Anwendung z.B. durch eine in der Anwendung integrierte Rollen- und Rechteverwaltung, Zugriffsrechte auf Dateisystemebene oder durch die Verwendung unterschiedlicher Systeme oder Netze pro Zugang realisiert werden.</t>
        </is>
      </c>
      <c r="Q90" s="11" t="inlineStr">
        <is>
          <t>Anwendungen</t>
        </is>
      </c>
      <c r="R90" s="11" t="inlineStr">
        <is>
          <t>Konfigurationshistorie</t>
        </is>
      </c>
      <c r="S90" s="12" t="inlineStr">
        <is>
          <t>Zugriffe eines Zugangskontos auf Daten anderer Zugangskonten</t>
        </is>
      </c>
      <c r="T90" s="12" t="inlineStr">
        <is>
          <t>G 0.19 – Offenlegung schützenswerter Informationen; G 0.30 – Unberechtigte Nutzung oder Administration von Geräten und Systemen</t>
        </is>
      </c>
      <c r="U90" s="11" t="n">
        <v>2</v>
      </c>
      <c r="V90" s="11" t="n">
        <v>2</v>
      </c>
      <c r="W90" s="11" t="n">
        <v>1</v>
      </c>
      <c r="X90" s="11" t="n">
        <v>1</v>
      </c>
      <c r="Y90" s="11" t="n">
        <v>1</v>
      </c>
    </row>
    <row r="91">
      <c r="A91" s="11" t="inlineStr">
        <is>
          <t>KONF.6.6</t>
        </is>
      </c>
      <c r="B91" s="12" t="inlineStr">
        <is>
          <t>Getrennte Datenhaltung</t>
        </is>
      </c>
      <c r="C91" s="11" t="inlineStr">
        <is>
          <t>KONF.6.6</t>
        </is>
      </c>
      <c r="D91" s="11" t="inlineStr">
        <is>
          <t>Standard-Anforderungen</t>
        </is>
      </c>
      <c r="E91" s="12" t="inlineStr">
        <is>
          <t>Konfiguration für Anwendungen SOLLTE Zugriffe eines Zugangskontos auf Daten anderer Zugangskonten einschränken.</t>
        </is>
      </c>
      <c r="F91" s="14" t="n"/>
      <c r="G91" s="14" t="n"/>
      <c r="H91" s="14" t="inlineStr">
        <is>
          <t>unbearbeitet</t>
        </is>
      </c>
      <c r="I91" s="14" t="n"/>
      <c r="J91" s="14" t="n"/>
      <c r="K91" s="14" t="n"/>
      <c r="L91" s="15" t="n"/>
      <c r="M91" s="11" t="inlineStr">
        <is>
          <t>Vertraulichkeit</t>
        </is>
      </c>
      <c r="N91" s="12" t="inlineStr"/>
      <c r="O91" s="11" t="inlineStr"/>
      <c r="P91" s="12" t="inlineStr">
        <is>
          <t>Dies kann je nach Anwendung z.B. durch eine in der Anwendung integrierte Rollen- und Rechteverwaltung, Zugriffsrechte auf Dateisystemebene oder durch die Verwendung unterschiedlicher Systeme oder Netze pro Zugang realisiert werden.</t>
        </is>
      </c>
      <c r="Q91" s="11" t="inlineStr">
        <is>
          <t>Anwendungen</t>
        </is>
      </c>
      <c r="R91" s="11" t="inlineStr">
        <is>
          <t>Konfigurationshistorie</t>
        </is>
      </c>
      <c r="S91" s="12" t="inlineStr">
        <is>
          <t>Zugriffe eines Zugangskontos auf Daten anderer Zugangskonten</t>
        </is>
      </c>
      <c r="T91" s="12" t="inlineStr">
        <is>
          <t>G 0.19 – Offenlegung schützenswerter Informationen; G 0.30 – Unberechtigte Nutzung oder Administration von Geräten und Systemen</t>
        </is>
      </c>
      <c r="U91" s="11" t="n">
        <v>2</v>
      </c>
      <c r="V91" s="11" t="n">
        <v>2</v>
      </c>
      <c r="W91" s="11" t="n">
        <v>1</v>
      </c>
      <c r="X91" s="11" t="n">
        <v>1</v>
      </c>
      <c r="Y91" s="11" t="n">
        <v>1</v>
      </c>
    </row>
    <row r="92">
      <c r="A92" s="11" t="inlineStr">
        <is>
          <t>KONF.6.6</t>
        </is>
      </c>
      <c r="B92" s="12" t="inlineStr">
        <is>
          <t>Getrennte Datenhaltung</t>
        </is>
      </c>
      <c r="C92" s="11" t="inlineStr">
        <is>
          <t>KONF.6.6.1</t>
        </is>
      </c>
      <c r="D92" s="11" t="inlineStr">
        <is>
          <t>Standard-Anforderungen</t>
        </is>
      </c>
      <c r="E92" s="12" t="inlineStr">
        <is>
          <t>Konfiguration für Anwendungen SOLLTE wenn die Anwendung mehrere Mandaten bedient, für jeden Mandanten eine eigene Berechtigungskonfiguration aktivieren.</t>
        </is>
      </c>
      <c r="F92" s="14" t="n"/>
      <c r="G92" s="14" t="n"/>
      <c r="H92" s="14" t="inlineStr">
        <is>
          <t>unbearbeitet</t>
        </is>
      </c>
      <c r="I92" s="14" t="n"/>
      <c r="J92" s="14" t="n"/>
      <c r="K92" s="14" t="n"/>
      <c r="L92" s="15" t="n"/>
      <c r="M92" s="11" t="inlineStr"/>
      <c r="N92" s="12" t="inlineStr">
        <is>
          <t>APP.4.6.A20-UA.1</t>
        </is>
      </c>
      <c r="O92" s="11" t="inlineStr">
        <is>
          <t>intersects-with</t>
        </is>
      </c>
      <c r="P92" s="12" t="inlineStr">
        <is>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is>
      </c>
      <c r="Q92" s="11" t="inlineStr">
        <is>
          <t>Anwendungen</t>
        </is>
      </c>
      <c r="R92" s="11" t="inlineStr">
        <is>
          <t>Konfigurationshistorie</t>
        </is>
      </c>
      <c r="S92" s="12" t="inlineStr">
        <is>
          <t>wenn die Anwendung mehrere Mandaten bedient, für jeden Mandanten eine eigene Berechtigungskonfiguration</t>
        </is>
      </c>
      <c r="T92" s="12" t="inlineStr">
        <is>
          <t>G 0.19 – Offenlegung schützenswerter Informationen; G 0.22 – Manipulation von Informationen</t>
        </is>
      </c>
      <c r="U92" s="11" t="n">
        <v>4</v>
      </c>
      <c r="V92" s="11" t="n">
        <v>1</v>
      </c>
      <c r="W92" s="11" t="n">
        <v>1</v>
      </c>
      <c r="X92" s="11" t="n">
        <v>0</v>
      </c>
      <c r="Y92" s="11" t="n">
        <v>1</v>
      </c>
    </row>
    <row r="93">
      <c r="A93" s="9" t="inlineStr">
        <is>
          <t>KONF.6.7</t>
        </is>
      </c>
      <c r="B93" s="10" t="inlineStr">
        <is>
          <t>Privilegierte Funktionen der Anwendung</t>
        </is>
      </c>
      <c r="C93" s="11" t="n"/>
      <c r="D93" s="11" t="inlineStr">
        <is>
          <t>Standard-Anforderungen</t>
        </is>
      </c>
      <c r="E93" s="12" t="inlineStr">
        <is>
          <t>Gesamt:</t>
        </is>
      </c>
      <c r="F93" s="11" t="n"/>
      <c r="G93" s="11" t="n"/>
      <c r="H93" s="13">
        <f>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
      </c>
      <c r="I93" s="11" t="n"/>
      <c r="J93" s="11" t="n"/>
      <c r="K93" s="11" t="n"/>
      <c r="L93" s="11" t="n"/>
      <c r="M93" s="11" t="inlineStr">
        <is>
          <t>Vertraulichkeit, Integrität, Verfügbarkeit</t>
        </is>
      </c>
      <c r="N93" s="12" t="inlineStr"/>
      <c r="O93" s="11" t="inlineStr"/>
      <c r="P93" s="12" t="inlineStr">
        <is>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is>
      </c>
      <c r="Q93" s="11" t="inlineStr">
        <is>
          <t>Anwendungen</t>
        </is>
      </c>
      <c r="R93" s="11" t="inlineStr">
        <is>
          <t>Konfigurationshistorie</t>
        </is>
      </c>
      <c r="S93" s="12" t="inlineStr">
        <is>
          <t>privilegierte Funktionen</t>
        </is>
      </c>
      <c r="T93" s="12" t="inlineStr">
        <is>
          <t>G 0.32 – Missbrauch von Berechtigungen; G 0.30 – Unberechtigte Nutzung oder Administration von Geräten und Systemen</t>
        </is>
      </c>
      <c r="U93" s="11" t="n">
        <v>2</v>
      </c>
      <c r="V93" s="11" t="n">
        <v>2</v>
      </c>
      <c r="W93" s="11" t="n">
        <v>2</v>
      </c>
      <c r="X93" s="11" t="n">
        <v>2</v>
      </c>
      <c r="Y93" s="11" t="n">
        <v>1</v>
      </c>
    </row>
    <row r="94">
      <c r="A94" s="11" t="inlineStr">
        <is>
          <t>KONF.6.7</t>
        </is>
      </c>
      <c r="B94" s="12" t="inlineStr">
        <is>
          <t>Privilegierte Funktionen der Anwendung</t>
        </is>
      </c>
      <c r="C94" s="11" t="inlineStr">
        <is>
          <t>KONF.6.7</t>
        </is>
      </c>
      <c r="D94" s="11" t="inlineStr">
        <is>
          <t>Standard-Anforderungen</t>
        </is>
      </c>
      <c r="E94" s="12" t="inlineStr">
        <is>
          <t>Konfiguration für Anwendungen SOLLTE privilegierte Funktionen einschränken.</t>
        </is>
      </c>
      <c r="F94" s="14" t="n"/>
      <c r="G94" s="14" t="n"/>
      <c r="H94" s="14" t="inlineStr">
        <is>
          <t>unbearbeitet</t>
        </is>
      </c>
      <c r="I94" s="14" t="n"/>
      <c r="J94" s="14" t="n"/>
      <c r="K94" s="14" t="n"/>
      <c r="L94" s="15" t="n"/>
      <c r="M94" s="11" t="inlineStr">
        <is>
          <t>Vertraulichkeit, Integrität, Verfügbarkeit</t>
        </is>
      </c>
      <c r="N94" s="12" t="inlineStr"/>
      <c r="O94" s="11" t="inlineStr"/>
      <c r="P94" s="12" t="inlineStr">
        <is>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is>
      </c>
      <c r="Q94" s="11" t="inlineStr">
        <is>
          <t>Anwendungen</t>
        </is>
      </c>
      <c r="R94" s="11" t="inlineStr">
        <is>
          <t>Konfigurationshistorie</t>
        </is>
      </c>
      <c r="S94" s="12" t="inlineStr">
        <is>
          <t>privilegierte Funktionen</t>
        </is>
      </c>
      <c r="T94" s="12" t="inlineStr">
        <is>
          <t>G 0.32 – Missbrauch von Berechtigungen; G 0.30 – Unberechtigte Nutzung oder Administration von Geräten und Systemen</t>
        </is>
      </c>
      <c r="U94" s="11" t="n">
        <v>2</v>
      </c>
      <c r="V94" s="11" t="n">
        <v>2</v>
      </c>
      <c r="W94" s="11" t="n">
        <v>2</v>
      </c>
      <c r="X94" s="11" t="n">
        <v>2</v>
      </c>
      <c r="Y94" s="11" t="n">
        <v>1</v>
      </c>
    </row>
    <row r="95">
      <c r="A95" s="9" t="inlineStr">
        <is>
          <t>KONF.6.8</t>
        </is>
      </c>
      <c r="B95" s="10" t="inlineStr">
        <is>
          <t>Berechtigungen des Webserver-Prozesses</t>
        </is>
      </c>
      <c r="C95" s="11" t="n"/>
      <c r="D95" s="11" t="inlineStr">
        <is>
          <t>Standard-Anforderungen</t>
        </is>
      </c>
      <c r="E95" s="12" t="inlineStr">
        <is>
          <t>Gesamt:</t>
        </is>
      </c>
      <c r="F95" s="11" t="n"/>
      <c r="G95" s="11" t="n"/>
      <c r="H95" s="13">
        <f>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
      </c>
      <c r="I95" s="11" t="n"/>
      <c r="J95" s="11" t="n"/>
      <c r="K95" s="11" t="n"/>
      <c r="L95" s="11" t="n"/>
      <c r="M95" s="11" t="inlineStr">
        <is>
          <t>Vertraulichkeit, Integrität, Verfügbarkeit</t>
        </is>
      </c>
      <c r="N95" s="12" t="inlineStr">
        <is>
          <t>APP.3.2.A1-UA.1; APP.3.2.A1-UA.2; APP.3.2.A1-UA.5; APP.3.2.A2-UA.1; APP.3.2.A2-UA.3; SYS.4.4.A24-UA.2</t>
        </is>
      </c>
      <c r="O95" s="11" t="inlineStr">
        <is>
          <t>intersects-with; intersects-with; intersects-with; intersects-with; intersects-with; intersects-with</t>
        </is>
      </c>
      <c r="P95" s="12" t="inlineStr">
        <is>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is>
      </c>
      <c r="Q95" s="11" t="inlineStr">
        <is>
          <t>Webserver</t>
        </is>
      </c>
      <c r="R95" s="11" t="inlineStr">
        <is>
          <t>Konfigurationshistorie</t>
        </is>
      </c>
      <c r="S95" s="12" t="inlineStr">
        <is>
          <t>die Berechtigungen des Webserver-Prozesses</t>
        </is>
      </c>
      <c r="T95" s="12" t="inlineStr">
        <is>
          <t>G 0.32 – Missbrauch von Berechtigungen; G 0.30 – Unberechtigte Nutzung oder Administration von Geräten und Systemen</t>
        </is>
      </c>
      <c r="U95" s="11" t="n">
        <v>3</v>
      </c>
      <c r="V95" s="11" t="n">
        <v>2</v>
      </c>
      <c r="W95" s="11" t="n">
        <v>2</v>
      </c>
      <c r="X95" s="11" t="n">
        <v>2</v>
      </c>
      <c r="Y95" s="11" t="n">
        <v>1</v>
      </c>
    </row>
    <row r="96">
      <c r="A96" s="11" t="inlineStr">
        <is>
          <t>KONF.6.8</t>
        </is>
      </c>
      <c r="B96" s="12" t="inlineStr">
        <is>
          <t>Berechtigungen des Webserver-Prozesses</t>
        </is>
      </c>
      <c r="C96" s="11" t="inlineStr">
        <is>
          <t>KONF.6.8</t>
        </is>
      </c>
      <c r="D96" s="11" t="inlineStr">
        <is>
          <t>Standard-Anforderungen</t>
        </is>
      </c>
      <c r="E96" s="12" t="inlineStr">
        <is>
          <t>Konfiguration für Webserver SOLLTE die Berechtigungen des Webserver-Prozesses einschränken.</t>
        </is>
      </c>
      <c r="F96" s="14" t="n"/>
      <c r="G96" s="14" t="n"/>
      <c r="H96" s="14" t="inlineStr">
        <is>
          <t>unbearbeitet</t>
        </is>
      </c>
      <c r="I96" s="14" t="n"/>
      <c r="J96" s="14" t="n"/>
      <c r="K96" s="14" t="n"/>
      <c r="L96" s="15" t="n"/>
      <c r="M96" s="11" t="inlineStr">
        <is>
          <t>Vertraulichkeit, Integrität, Verfügbarkeit</t>
        </is>
      </c>
      <c r="N96" s="12" t="inlineStr">
        <is>
          <t>APP.3.2.A1-UA.1; APP.3.2.A1-UA.2; APP.3.2.A1-UA.5; APP.3.2.A2-UA.1; APP.3.2.A2-UA.3; SYS.4.4.A24-UA.2</t>
        </is>
      </c>
      <c r="O96" s="11" t="inlineStr">
        <is>
          <t>intersects-with; intersects-with; intersects-with; intersects-with; intersects-with; intersects-with</t>
        </is>
      </c>
      <c r="P96" s="12" t="inlineStr">
        <is>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is>
      </c>
      <c r="Q96" s="11" t="inlineStr">
        <is>
          <t>Webserver</t>
        </is>
      </c>
      <c r="R96" s="11" t="inlineStr">
        <is>
          <t>Konfigurationshistorie</t>
        </is>
      </c>
      <c r="S96" s="12" t="inlineStr">
        <is>
          <t>die Berechtigungen des Webserver-Prozesses</t>
        </is>
      </c>
      <c r="T96" s="12" t="inlineStr">
        <is>
          <t>G 0.32 – Missbrauch von Berechtigungen; G 0.30 – Unberechtigte Nutzung oder Administration von Geräten und Systemen</t>
        </is>
      </c>
      <c r="U96" s="11" t="n">
        <v>3</v>
      </c>
      <c r="V96" s="11" t="n">
        <v>2</v>
      </c>
      <c r="W96" s="11" t="n">
        <v>2</v>
      </c>
      <c r="X96" s="11" t="n">
        <v>2</v>
      </c>
      <c r="Y96" s="11" t="n">
        <v>1</v>
      </c>
    </row>
    <row r="97">
      <c r="A97" s="9" t="inlineStr">
        <is>
          <t>KONF.6.9</t>
        </is>
      </c>
      <c r="B97" s="10" t="inlineStr">
        <is>
          <t>Zugriff auf Code</t>
        </is>
      </c>
      <c r="C97" s="11" t="n"/>
      <c r="D97" s="11" t="inlineStr">
        <is>
          <t>Standard-Anforderungen</t>
        </is>
      </c>
      <c r="E97" s="12" t="inlineStr">
        <is>
          <t>Gesamt:</t>
        </is>
      </c>
      <c r="F97" s="11" t="n"/>
      <c r="G97" s="11" t="n"/>
      <c r="H97" s="13">
        <f>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
      </c>
      <c r="I97" s="11" t="n"/>
      <c r="J97" s="11" t="n"/>
      <c r="K97" s="11" t="n"/>
      <c r="L97" s="11" t="n"/>
      <c r="M97" s="11" t="inlineStr"/>
      <c r="N97" s="12" t="inlineStr">
        <is>
          <t>APP.3.1.A14-UA.3; APP.3.2.A2-UA.1</t>
        </is>
      </c>
      <c r="O97" s="11" t="inlineStr">
        <is>
          <t>intersects-with; intersects-with</t>
        </is>
      </c>
      <c r="P97" s="12" t="inlineStr">
        <is>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is>
      </c>
      <c r="Q97" s="11" t="inlineStr">
        <is>
          <t>Webserver</t>
        </is>
      </c>
      <c r="R97" s="11" t="inlineStr">
        <is>
          <t>Konfigurationshistorie</t>
        </is>
      </c>
      <c r="S97" s="12" t="inlineStr">
        <is>
          <t>den Zugriff auf Quelldateien</t>
        </is>
      </c>
      <c r="T97" s="12" t="inlineStr">
        <is>
          <t>G 0.19 – Offenlegung schützenswerter Informationen; G 0.22 – Manipulation von Informationen</t>
        </is>
      </c>
      <c r="U97" s="11" t="n">
        <v>2</v>
      </c>
      <c r="V97" s="11" t="n">
        <v>1</v>
      </c>
      <c r="W97" s="11" t="n">
        <v>1</v>
      </c>
      <c r="X97" s="11" t="n">
        <v>0</v>
      </c>
      <c r="Y97" s="11" t="n">
        <v>1</v>
      </c>
    </row>
    <row r="98">
      <c r="A98" s="11" t="inlineStr">
        <is>
          <t>KONF.6.9</t>
        </is>
      </c>
      <c r="B98" s="12" t="inlineStr">
        <is>
          <t>Zugriff auf Code</t>
        </is>
      </c>
      <c r="C98" s="11" t="inlineStr">
        <is>
          <t>KONF.6.9</t>
        </is>
      </c>
      <c r="D98" s="11" t="inlineStr">
        <is>
          <t>Standard-Anforderungen</t>
        </is>
      </c>
      <c r="E98" s="12" t="inlineStr">
        <is>
          <t>Konfiguration für Webserver SOLLTE den Zugriff auf Quelldateien einschränken.</t>
        </is>
      </c>
      <c r="F98" s="14" t="n"/>
      <c r="G98" s="14" t="n"/>
      <c r="H98" s="14" t="inlineStr">
        <is>
          <t>unbearbeitet</t>
        </is>
      </c>
      <c r="I98" s="14" t="n"/>
      <c r="J98" s="14" t="n"/>
      <c r="K98" s="14" t="n"/>
      <c r="L98" s="15" t="n"/>
      <c r="M98" s="11" t="inlineStr"/>
      <c r="N98" s="12" t="inlineStr">
        <is>
          <t>APP.3.1.A14-UA.3; APP.3.2.A2-UA.1</t>
        </is>
      </c>
      <c r="O98" s="11" t="inlineStr">
        <is>
          <t>intersects-with; intersects-with</t>
        </is>
      </c>
      <c r="P98" s="12" t="inlineStr">
        <is>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is>
      </c>
      <c r="Q98" s="11" t="inlineStr">
        <is>
          <t>Webserver</t>
        </is>
      </c>
      <c r="R98" s="11" t="inlineStr">
        <is>
          <t>Konfigurationshistorie</t>
        </is>
      </c>
      <c r="S98" s="12" t="inlineStr">
        <is>
          <t>den Zugriff auf Quelldateien</t>
        </is>
      </c>
      <c r="T98" s="12" t="inlineStr">
        <is>
          <t>G 0.19 – Offenlegung schützenswerter Informationen; G 0.22 – Manipulation von Informationen</t>
        </is>
      </c>
      <c r="U98" s="11" t="n">
        <v>2</v>
      </c>
      <c r="V98" s="11" t="n">
        <v>1</v>
      </c>
      <c r="W98" s="11" t="n">
        <v>1</v>
      </c>
      <c r="X98" s="11" t="n">
        <v>0</v>
      </c>
      <c r="Y98" s="11" t="n">
        <v>1</v>
      </c>
    </row>
    <row r="99">
      <c r="A99" s="9" t="inlineStr">
        <is>
          <t>KONF.6.10</t>
        </is>
      </c>
      <c r="B99" s="10" t="inlineStr">
        <is>
          <t>Auflistung von Verzeichnisinhalten</t>
        </is>
      </c>
      <c r="C99" s="11" t="n"/>
      <c r="D99" s="11" t="inlineStr">
        <is>
          <t>Standard-Anforderungen</t>
        </is>
      </c>
      <c r="E99" s="12" t="inlineStr">
        <is>
          <t>Gesamt:</t>
        </is>
      </c>
      <c r="F99" s="11" t="n"/>
      <c r="G99" s="11" t="n"/>
      <c r="H99" s="13">
        <f>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
      </c>
      <c r="I99" s="11" t="n"/>
      <c r="J99" s="11" t="n"/>
      <c r="K99" s="11" t="n"/>
      <c r="L99" s="11" t="n"/>
      <c r="M99" s="11" t="inlineStr"/>
      <c r="N99" s="12" t="inlineStr">
        <is>
          <t>APP.3.2.A2-UA.2</t>
        </is>
      </c>
      <c r="O99" s="11" t="inlineStr">
        <is>
          <t>intersects-with</t>
        </is>
      </c>
      <c r="P99" s="12" t="inlineStr">
        <is>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is>
      </c>
      <c r="Q99" s="11" t="inlineStr">
        <is>
          <t>Webserver</t>
        </is>
      </c>
      <c r="R99" s="11" t="inlineStr">
        <is>
          <t>Konfigurationshistorie</t>
        </is>
      </c>
      <c r="S99" s="12" t="inlineStr">
        <is>
          <t>die Auflistung von Verzeichnisinhalten</t>
        </is>
      </c>
      <c r="T99" s="12" t="inlineStr">
        <is>
          <t>G 0.19 – Offenlegung schützenswerter Informationen</t>
        </is>
      </c>
      <c r="U99" s="11" t="n">
        <v>2</v>
      </c>
      <c r="V99" s="11" t="n">
        <v>1</v>
      </c>
      <c r="W99" s="11" t="n">
        <v>0</v>
      </c>
      <c r="X99" s="11" t="n">
        <v>0</v>
      </c>
      <c r="Y99" s="11" t="n">
        <v>0</v>
      </c>
    </row>
    <row r="100">
      <c r="A100" s="11" t="inlineStr">
        <is>
          <t>KONF.6.10</t>
        </is>
      </c>
      <c r="B100" s="12" t="inlineStr">
        <is>
          <t>Auflistung von Verzeichnisinhalten</t>
        </is>
      </c>
      <c r="C100" s="11" t="inlineStr">
        <is>
          <t>KONF.6.10</t>
        </is>
      </c>
      <c r="D100" s="11" t="inlineStr">
        <is>
          <t>Standard-Anforderungen</t>
        </is>
      </c>
      <c r="E100" s="12" t="inlineStr">
        <is>
          <t>Konfiguration für Webserver SOLLTE die Auflistung von Verzeichnisinhalten einschränken.</t>
        </is>
      </c>
      <c r="F100" s="14" t="n"/>
      <c r="G100" s="14" t="n"/>
      <c r="H100" s="14" t="inlineStr">
        <is>
          <t>unbearbeitet</t>
        </is>
      </c>
      <c r="I100" s="14" t="n"/>
      <c r="J100" s="14" t="n"/>
      <c r="K100" s="14" t="n"/>
      <c r="L100" s="15" t="n"/>
      <c r="M100" s="11" t="inlineStr"/>
      <c r="N100" s="12" t="inlineStr">
        <is>
          <t>APP.3.2.A2-UA.2</t>
        </is>
      </c>
      <c r="O100" s="11" t="inlineStr">
        <is>
          <t>intersects-with</t>
        </is>
      </c>
      <c r="P100" s="12" t="inlineStr">
        <is>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is>
      </c>
      <c r="Q100" s="11" t="inlineStr">
        <is>
          <t>Webserver</t>
        </is>
      </c>
      <c r="R100" s="11" t="inlineStr">
        <is>
          <t>Konfigurationshistorie</t>
        </is>
      </c>
      <c r="S100" s="12" t="inlineStr">
        <is>
          <t>die Auflistung von Verzeichnisinhalten</t>
        </is>
      </c>
      <c r="T100" s="12" t="inlineStr">
        <is>
          <t>G 0.19 – Offenlegung schützenswerter Informationen</t>
        </is>
      </c>
      <c r="U100" s="11" t="n">
        <v>2</v>
      </c>
      <c r="V100" s="11" t="n">
        <v>1</v>
      </c>
      <c r="W100" s="11" t="n">
        <v>0</v>
      </c>
      <c r="X100" s="11" t="n">
        <v>0</v>
      </c>
      <c r="Y100" s="11" t="n">
        <v>0</v>
      </c>
    </row>
    <row r="101">
      <c r="A101" s="9" t="inlineStr">
        <is>
          <t>KONF.6.11</t>
        </is>
      </c>
      <c r="B101" s="10" t="inlineStr">
        <is>
          <t>Einschränkung von Uploads</t>
        </is>
      </c>
      <c r="C101" s="11" t="n"/>
      <c r="D101" s="11" t="inlineStr">
        <is>
          <t>Standard-Anforderungen</t>
        </is>
      </c>
      <c r="E101" s="12" t="inlineStr">
        <is>
          <t>Gesamt:</t>
        </is>
      </c>
      <c r="F101" s="11" t="n"/>
      <c r="G101" s="11" t="n"/>
      <c r="H101" s="13">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
      </c>
      <c r="I101" s="11" t="n"/>
      <c r="J101" s="11" t="n"/>
      <c r="K101" s="11" t="n"/>
      <c r="L101" s="11" t="n"/>
      <c r="M101" s="11" t="inlineStr">
        <is>
          <t>Verfügbarkeit</t>
        </is>
      </c>
      <c r="N101" s="12" t="inlineStr">
        <is>
          <t>APP.3.1.A4-UA.1</t>
        </is>
      </c>
      <c r="O101" s="11" t="inlineStr">
        <is>
          <t>intersects-with</t>
        </is>
      </c>
      <c r="P101" s="12" t="inlineStr">
        <is>
          <t>Uploads sind Dateien, die von Nutzenden auf den Server übertragen werden. Diese könnten Schadprogramme enthalten oder den Speicher füllen. Sinnvolle Beschränkungen sind z.B. der Upload nur nach Anmeldung, eine maximale Dateigröße, erlaubte Dateitypen und deren Speicherorte.</t>
        </is>
      </c>
      <c r="Q101" s="11" t="inlineStr">
        <is>
          <t>Webserver</t>
        </is>
      </c>
      <c r="R101" s="11" t="inlineStr">
        <is>
          <t>Konfigurationshistorie</t>
        </is>
      </c>
      <c r="S101" s="12" t="inlineStr">
        <is>
          <t>Uploads</t>
        </is>
      </c>
      <c r="T101" s="12" t="inlineStr">
        <is>
          <t>G 0.39 – Schadprogramme; G 0.40 – Verhinderung von Diensten (Denial of Service)</t>
        </is>
      </c>
      <c r="U101" s="11" t="n">
        <v>3</v>
      </c>
      <c r="V101" s="11" t="n">
        <v>1</v>
      </c>
      <c r="W101" s="11" t="n">
        <v>1</v>
      </c>
      <c r="X101" s="11" t="n">
        <v>2</v>
      </c>
      <c r="Y101" s="11" t="n">
        <v>0</v>
      </c>
    </row>
    <row r="102">
      <c r="A102" s="11" t="inlineStr">
        <is>
          <t>KONF.6.11</t>
        </is>
      </c>
      <c r="B102" s="12" t="inlineStr">
        <is>
          <t>Einschränkung von Uploads</t>
        </is>
      </c>
      <c r="C102" s="11" t="inlineStr">
        <is>
          <t>KONF.6.11</t>
        </is>
      </c>
      <c r="D102" s="11" t="inlineStr">
        <is>
          <t>Standard-Anforderungen</t>
        </is>
      </c>
      <c r="E102" s="12" t="inlineStr">
        <is>
          <t>Konfiguration für Webserver SOLLTE Uploads einschränken.</t>
        </is>
      </c>
      <c r="F102" s="14" t="n"/>
      <c r="G102" s="14" t="n"/>
      <c r="H102" s="14" t="inlineStr">
        <is>
          <t>unbearbeitet</t>
        </is>
      </c>
      <c r="I102" s="14" t="n"/>
      <c r="J102" s="14" t="n"/>
      <c r="K102" s="14" t="n"/>
      <c r="L102" s="15" t="n"/>
      <c r="M102" s="11" t="inlineStr">
        <is>
          <t>Verfügbarkeit</t>
        </is>
      </c>
      <c r="N102" s="12" t="inlineStr">
        <is>
          <t>APP.3.1.A4-UA.1</t>
        </is>
      </c>
      <c r="O102" s="11" t="inlineStr">
        <is>
          <t>intersects-with</t>
        </is>
      </c>
      <c r="P102" s="12" t="inlineStr">
        <is>
          <t>Uploads sind Dateien, die von Nutzenden auf den Server übertragen werden. Diese könnten Schadprogramme enthalten oder den Speicher füllen. Sinnvolle Beschränkungen sind z.B. der Upload nur nach Anmeldung, eine maximale Dateigröße, erlaubte Dateitypen und deren Speicherorte.</t>
        </is>
      </c>
      <c r="Q102" s="11" t="inlineStr">
        <is>
          <t>Webserver</t>
        </is>
      </c>
      <c r="R102" s="11" t="inlineStr">
        <is>
          <t>Konfigurationshistorie</t>
        </is>
      </c>
      <c r="S102" s="12" t="inlineStr">
        <is>
          <t>Uploads</t>
        </is>
      </c>
      <c r="T102" s="12" t="inlineStr">
        <is>
          <t>G 0.39 – Schadprogramme; G 0.40 – Verhinderung von Diensten (Denial of Service)</t>
        </is>
      </c>
      <c r="U102" s="11" t="n">
        <v>3</v>
      </c>
      <c r="V102" s="11" t="n">
        <v>1</v>
      </c>
      <c r="W102" s="11" t="n">
        <v>1</v>
      </c>
      <c r="X102" s="11" t="n">
        <v>2</v>
      </c>
      <c r="Y102" s="11" t="n">
        <v>0</v>
      </c>
    </row>
    <row r="103">
      <c r="A103" s="9" t="inlineStr">
        <is>
          <t>KONF.6.12</t>
        </is>
      </c>
      <c r="B103" s="10" t="inlineStr">
        <is>
          <t>Konferenzmoderation</t>
        </is>
      </c>
      <c r="C103" s="11" t="n"/>
      <c r="D103" s="11" t="inlineStr">
        <is>
          <t>Standard-Anforderungen</t>
        </is>
      </c>
      <c r="E103" s="12" t="inlineStr">
        <is>
          <t>Gesamt:</t>
        </is>
      </c>
      <c r="F103" s="11" t="n"/>
      <c r="G103" s="11" t="n"/>
      <c r="H103" s="13">
        <f>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
      </c>
      <c r="I103" s="11" t="n"/>
      <c r="J103" s="11" t="n"/>
      <c r="K103" s="11" t="n"/>
      <c r="L103" s="11" t="n"/>
      <c r="M103" s="11" t="inlineStr">
        <is>
          <t>Vertraulichkeit</t>
        </is>
      </c>
      <c r="N103" s="12" t="inlineStr"/>
      <c r="O103" s="11" t="inlineStr"/>
      <c r="P103" s="12" t="inlineStr">
        <is>
          <t>Bei Konferenzen kann es vorkommen, dass ungewollt Teilnehmende zu hören sind. Dies kann versehentlich geschehen oder im Rahmen eines Angriffes.</t>
        </is>
      </c>
      <c r="Q103" s="11" t="inlineStr">
        <is>
          <t>VK-Anwendungen</t>
        </is>
      </c>
      <c r="R103" s="11" t="inlineStr">
        <is>
          <t>Konfigurationshistorie</t>
        </is>
      </c>
      <c r="S103" s="12" t="inlineStr">
        <is>
          <t>bei öffentlichen Konferenzschaltungen eine Konferenzmoderation</t>
        </is>
      </c>
      <c r="T103" s="12" t="inlineStr">
        <is>
          <t>G 0.19 – Offenlegung schützenswerter Informationen; G 0.30 – Unberechtigte Nutzung oder Administration von Geräten und Systemen</t>
        </is>
      </c>
      <c r="U103" s="11" t="n">
        <v>3</v>
      </c>
      <c r="V103" s="11" t="n">
        <v>2</v>
      </c>
      <c r="W103" s="11" t="n">
        <v>1</v>
      </c>
      <c r="X103" s="11" t="n">
        <v>1</v>
      </c>
      <c r="Y103" s="11" t="n">
        <v>1</v>
      </c>
    </row>
    <row r="104">
      <c r="A104" s="11" t="inlineStr">
        <is>
          <t>KONF.6.12</t>
        </is>
      </c>
      <c r="B104" s="12" t="inlineStr">
        <is>
          <t>Konferenzmoderation</t>
        </is>
      </c>
      <c r="C104" s="11" t="inlineStr">
        <is>
          <t>KONF.6.12</t>
        </is>
      </c>
      <c r="D104" s="11" t="inlineStr">
        <is>
          <t>Standard-Anforderungen</t>
        </is>
      </c>
      <c r="E104" s="12" t="inlineStr">
        <is>
          <t>Konfiguration für VK-Anwendungen SOLLTE bei öffentlichen Konferenzschaltungen eine Konferenzmoderation aktivieren.</t>
        </is>
      </c>
      <c r="F104" s="14" t="n"/>
      <c r="G104" s="14" t="n"/>
      <c r="H104" s="14" t="inlineStr">
        <is>
          <t>unbearbeitet</t>
        </is>
      </c>
      <c r="I104" s="14" t="n"/>
      <c r="J104" s="14" t="n"/>
      <c r="K104" s="14" t="n"/>
      <c r="L104" s="15" t="n"/>
      <c r="M104" s="11" t="inlineStr">
        <is>
          <t>Vertraulichkeit</t>
        </is>
      </c>
      <c r="N104" s="12" t="inlineStr"/>
      <c r="O104" s="11" t="inlineStr"/>
      <c r="P104" s="12" t="inlineStr">
        <is>
          <t>Bei Konferenzen kann es vorkommen, dass ungewollt Teilnehmende zu hören sind. Dies kann versehentlich geschehen oder im Rahmen eines Angriffes.</t>
        </is>
      </c>
      <c r="Q104" s="11" t="inlineStr">
        <is>
          <t>VK-Anwendungen</t>
        </is>
      </c>
      <c r="R104" s="11" t="inlineStr">
        <is>
          <t>Konfigurationshistorie</t>
        </is>
      </c>
      <c r="S104" s="12" t="inlineStr">
        <is>
          <t>bei öffentlichen Konferenzschaltungen eine Konferenzmoderation</t>
        </is>
      </c>
      <c r="T104" s="12" t="inlineStr">
        <is>
          <t>G 0.19 – Offenlegung schützenswerter Informationen; G 0.30 – Unberechtigte Nutzung oder Administration von Geräten und Systemen</t>
        </is>
      </c>
      <c r="U104" s="11" t="n">
        <v>3</v>
      </c>
      <c r="V104" s="11" t="n">
        <v>2</v>
      </c>
      <c r="W104" s="11" t="n">
        <v>1</v>
      </c>
      <c r="X104" s="11" t="n">
        <v>1</v>
      </c>
      <c r="Y104" s="11" t="n">
        <v>1</v>
      </c>
    </row>
    <row r="105">
      <c r="A105" s="9" t="inlineStr">
        <is>
          <t>KONF.6.13</t>
        </is>
      </c>
      <c r="B105" s="10" t="inlineStr">
        <is>
          <t>Dynamische Zugriffskontrolle in der Anwendung</t>
        </is>
      </c>
      <c r="C105" s="11" t="n"/>
      <c r="D105" s="11" t="inlineStr">
        <is>
          <t>Anforderungen bei erhöhtem Schutzbedarf</t>
        </is>
      </c>
      <c r="E105" s="12" t="inlineStr">
        <is>
          <t>Gesamt:</t>
        </is>
      </c>
      <c r="F105" s="11" t="n"/>
      <c r="G105" s="11" t="n"/>
      <c r="H105" s="13">
        <f>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
      </c>
      <c r="I105" s="11" t="n"/>
      <c r="J105" s="11" t="n"/>
      <c r="K105" s="11" t="n"/>
      <c r="L105" s="11" t="n"/>
      <c r="M105" s="11" t="inlineStr">
        <is>
          <t>Vertraulichkeit, Integrität, Verfügbarkeit</t>
        </is>
      </c>
      <c r="N105" s="12" t="inlineStr"/>
      <c r="O105" s="11" t="inlineStr"/>
      <c r="P105" s="12" t="inlineStr">
        <is>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is>
      </c>
      <c r="Q105" s="11" t="inlineStr">
        <is>
          <t>Anwendungen</t>
        </is>
      </c>
      <c r="R105" s="11" t="inlineStr">
        <is>
          <t>Konfigurationshistorie</t>
        </is>
      </c>
      <c r="S105" s="12" t="inlineStr">
        <is>
          <t>dynamische Zugriffskontrolle</t>
        </is>
      </c>
      <c r="T105" s="12" t="inlineStr">
        <is>
          <t>G 0.32 – Missbrauch von Berechtigungen; G 0.30 – Unberechtigte Nutzung oder Administration von Geräten und Systemen</t>
        </is>
      </c>
      <c r="U105" s="11" t="n">
        <v>5</v>
      </c>
      <c r="V105" s="11" t="n">
        <v>2</v>
      </c>
      <c r="W105" s="11" t="n">
        <v>2</v>
      </c>
      <c r="X105" s="11" t="n">
        <v>2</v>
      </c>
      <c r="Y105" s="11" t="n">
        <v>1</v>
      </c>
    </row>
    <row r="106">
      <c r="A106" s="11" t="inlineStr">
        <is>
          <t>KONF.6.13</t>
        </is>
      </c>
      <c r="B106" s="12" t="inlineStr">
        <is>
          <t>Dynamische Zugriffskontrolle in der Anwendung</t>
        </is>
      </c>
      <c r="C106" s="11" t="inlineStr">
        <is>
          <t>KONF.6.13</t>
        </is>
      </c>
      <c r="D106" s="11" t="inlineStr">
        <is>
          <t>Anforderungen bei erhöhtem Schutzbedarf</t>
        </is>
      </c>
      <c r="E106" s="12" t="inlineStr">
        <is>
          <t>Konfiguration für Anwendungen KANN dynamische Zugriffskontrolle in der Anwendung aktivieren.</t>
        </is>
      </c>
      <c r="F106" s="14" t="n"/>
      <c r="G106" s="14" t="n"/>
      <c r="H106" s="14" t="inlineStr">
        <is>
          <t>unbearbeitet</t>
        </is>
      </c>
      <c r="I106" s="14" t="n"/>
      <c r="J106" s="14" t="n"/>
      <c r="K106" s="14" t="n"/>
      <c r="L106" s="15" t="n"/>
      <c r="M106" s="11" t="inlineStr">
        <is>
          <t>Vertraulichkeit, Integrität, Verfügbarkeit</t>
        </is>
      </c>
      <c r="N106" s="12" t="inlineStr"/>
      <c r="O106" s="11" t="inlineStr"/>
      <c r="P106" s="12" t="inlineStr">
        <is>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is>
      </c>
      <c r="Q106" s="11" t="inlineStr">
        <is>
          <t>Anwendungen</t>
        </is>
      </c>
      <c r="R106" s="11" t="inlineStr">
        <is>
          <t>Konfigurationshistorie</t>
        </is>
      </c>
      <c r="S106" s="12" t="inlineStr">
        <is>
          <t>dynamische Zugriffskontrolle</t>
        </is>
      </c>
      <c r="T106" s="12" t="inlineStr">
        <is>
          <t>G 0.32 – Missbrauch von Berechtigungen; G 0.30 – Unberechtigte Nutzung oder Administration von Geräten und Systemen</t>
        </is>
      </c>
      <c r="U106" s="11" t="n">
        <v>5</v>
      </c>
      <c r="V106" s="11" t="n">
        <v>2</v>
      </c>
      <c r="W106" s="11" t="n">
        <v>2</v>
      </c>
      <c r="X106" s="11" t="n">
        <v>2</v>
      </c>
      <c r="Y106" s="11" t="n">
        <v>1</v>
      </c>
    </row>
    <row r="107">
      <c r="A107" s="9" t="inlineStr">
        <is>
          <t>KONF.6.14</t>
        </is>
      </c>
      <c r="B107" s="10" t="inlineStr">
        <is>
          <t>Browser Sandboxing</t>
        </is>
      </c>
      <c r="C107" s="11" t="n"/>
      <c r="D107" s="11" t="inlineStr">
        <is>
          <t>Standard-Anforderungen</t>
        </is>
      </c>
      <c r="E107" s="12" t="inlineStr">
        <is>
          <t>Gesamt:</t>
        </is>
      </c>
      <c r="F107" s="11" t="n"/>
      <c r="G107" s="11" t="n"/>
      <c r="H107" s="13">
        <f>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
      </c>
      <c r="I107" s="11" t="n"/>
      <c r="J107" s="11" t="n"/>
      <c r="K107" s="11" t="n"/>
      <c r="L107" s="11" t="n"/>
      <c r="M107" s="11" t="inlineStr">
        <is>
          <t>Vertraulichkeit, Integrität</t>
        </is>
      </c>
      <c r="N107" s="12" t="inlineStr">
        <is>
          <t>APP.1.2.A1-UA.1; APP.1.2.A1-UA.2</t>
        </is>
      </c>
      <c r="O107" s="11" t="inlineStr">
        <is>
          <t>intersects-with; intersects-with</t>
        </is>
      </c>
      <c r="P107" s="12" t="inlineStr">
        <is>
          <t>Sandboxing bedeutet, dass jede Instanz und jeder Verarbeitungsprozess nur auf die eigenen Ressourcen zugreifen kann. Die Isolation kann durch eigene Threads oder eigene Prozesse realisiert sein.</t>
        </is>
      </c>
      <c r="Q107" s="11" t="inlineStr">
        <is>
          <t>Webbrowser</t>
        </is>
      </c>
      <c r="R107" s="11" t="inlineStr">
        <is>
          <t>Konfigurationshistorie</t>
        </is>
      </c>
      <c r="S107" s="12" t="inlineStr">
        <is>
          <t>Browser Sandboxing</t>
        </is>
      </c>
      <c r="T107" s="12" t="inlineStr">
        <is>
          <t>G 0.39 – Schadprogramme; G 0.23 – Unbefugtes Eindringen in IT-Systeme</t>
        </is>
      </c>
      <c r="U107" s="11" t="n">
        <v>2</v>
      </c>
      <c r="V107" s="11" t="n">
        <v>2</v>
      </c>
      <c r="W107" s="11" t="n">
        <v>2</v>
      </c>
      <c r="X107" s="11" t="n">
        <v>1</v>
      </c>
      <c r="Y107" s="11" t="n">
        <v>0</v>
      </c>
    </row>
    <row r="108">
      <c r="A108" s="11" t="inlineStr">
        <is>
          <t>KONF.6.14</t>
        </is>
      </c>
      <c r="B108" s="12" t="inlineStr">
        <is>
          <t>Browser Sandboxing</t>
        </is>
      </c>
      <c r="C108" s="11" t="inlineStr">
        <is>
          <t>KONF.6.14</t>
        </is>
      </c>
      <c r="D108" s="11" t="inlineStr">
        <is>
          <t>Standard-Anforderungen</t>
        </is>
      </c>
      <c r="E108" s="12" t="inlineStr">
        <is>
          <t>Konfiguration für Webbrowser SOLLTE Browser Sandboxing aktivieren.</t>
        </is>
      </c>
      <c r="F108" s="14" t="n"/>
      <c r="G108" s="14" t="n"/>
      <c r="H108" s="14" t="inlineStr">
        <is>
          <t>unbearbeitet</t>
        </is>
      </c>
      <c r="I108" s="14" t="n"/>
      <c r="J108" s="14" t="n"/>
      <c r="K108" s="14" t="n"/>
      <c r="L108" s="15" t="n"/>
      <c r="M108" s="11" t="inlineStr">
        <is>
          <t>Vertraulichkeit, Integrität</t>
        </is>
      </c>
      <c r="N108" s="12" t="inlineStr">
        <is>
          <t>APP.1.2.A1-UA.1; APP.1.2.A1-UA.2</t>
        </is>
      </c>
      <c r="O108" s="11" t="inlineStr">
        <is>
          <t>intersects-with; intersects-with</t>
        </is>
      </c>
      <c r="P108" s="12" t="inlineStr">
        <is>
          <t>Sandboxing bedeutet, dass jede Instanz und jeder Verarbeitungsprozess nur auf die eigenen Ressourcen zugreifen kann. Die Isolation kann durch eigene Threads oder eigene Prozesse realisiert sein.</t>
        </is>
      </c>
      <c r="Q108" s="11" t="inlineStr">
        <is>
          <t>Webbrowser</t>
        </is>
      </c>
      <c r="R108" s="11" t="inlineStr">
        <is>
          <t>Konfigurationshistorie</t>
        </is>
      </c>
      <c r="S108" s="12" t="inlineStr">
        <is>
          <t>Browser Sandboxing</t>
        </is>
      </c>
      <c r="T108" s="12" t="inlineStr">
        <is>
          <t>G 0.39 – Schadprogramme; G 0.23 – Unbefugtes Eindringen in IT-Systeme</t>
        </is>
      </c>
      <c r="U108" s="11" t="n">
        <v>2</v>
      </c>
      <c r="V108" s="11" t="n">
        <v>2</v>
      </c>
      <c r="W108" s="11" t="n">
        <v>2</v>
      </c>
      <c r="X108" s="11" t="n">
        <v>1</v>
      </c>
      <c r="Y108" s="11" t="n">
        <v>0</v>
      </c>
    </row>
    <row r="109">
      <c r="A109" s="9" t="inlineStr">
        <is>
          <t>KONF.6.15</t>
        </is>
      </c>
      <c r="B109" s="10" t="inlineStr">
        <is>
          <t>Virtualisierte Browser-Umgebung</t>
        </is>
      </c>
      <c r="C109" s="11" t="n"/>
      <c r="D109" s="11" t="inlineStr">
        <is>
          <t>Anforderungen bei erhöhtem Schutzbedarf</t>
        </is>
      </c>
      <c r="E109" s="12" t="inlineStr">
        <is>
          <t>Gesamt:</t>
        </is>
      </c>
      <c r="F109" s="11" t="n"/>
      <c r="G109" s="11" t="n"/>
      <c r="H109" s="13">
        <f>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
      </c>
      <c r="I109" s="11" t="n"/>
      <c r="J109" s="11" t="n"/>
      <c r="K109" s="11" t="n"/>
      <c r="L109" s="11" t="n"/>
      <c r="M109" s="11" t="inlineStr">
        <is>
          <t>Vertraulichkeit, Integrität</t>
        </is>
      </c>
      <c r="N109" s="12" t="inlineStr">
        <is>
          <t>APP.1.2.A9-UA.1</t>
        </is>
      </c>
      <c r="O109" s="11" t="inlineStr">
        <is>
          <t>intersects-with</t>
        </is>
      </c>
      <c r="P109" s="12" t="inlineStr">
        <is>
          <t>Eine Browser-Umgebung ist virtualisiert, wenn der Code des Browser nicht im Betriebssystem des Clients, sondern in einem dediziert hierzu virtualisierten Betriebssystem ausgeführt wird, z.B. ReCoBS.</t>
        </is>
      </c>
      <c r="Q109" s="11" t="inlineStr">
        <is>
          <t>Webbrowser</t>
        </is>
      </c>
      <c r="R109" s="11" t="inlineStr">
        <is>
          <t>Konfigurationshistorie</t>
        </is>
      </c>
      <c r="S109" s="12" t="inlineStr">
        <is>
          <t>Virtualisierte Browser-Umgebung</t>
        </is>
      </c>
      <c r="T109" s="12" t="inlineStr">
        <is>
          <t>G 0.39 – Schadprogramme; G 0.23 – Unbefugtes Eindringen in IT-Systeme</t>
        </is>
      </c>
      <c r="U109" s="11" t="n">
        <v>5</v>
      </c>
      <c r="V109" s="11" t="n">
        <v>2</v>
      </c>
      <c r="W109" s="11" t="n">
        <v>2</v>
      </c>
      <c r="X109" s="11" t="n">
        <v>1</v>
      </c>
      <c r="Y109" s="11" t="n">
        <v>0</v>
      </c>
    </row>
    <row r="110">
      <c r="A110" s="11" t="inlineStr">
        <is>
          <t>KONF.6.15</t>
        </is>
      </c>
      <c r="B110" s="12" t="inlineStr">
        <is>
          <t>Virtualisierte Browser-Umgebung</t>
        </is>
      </c>
      <c r="C110" s="11" t="inlineStr">
        <is>
          <t>KONF.6.15</t>
        </is>
      </c>
      <c r="D110" s="11" t="inlineStr">
        <is>
          <t>Anforderungen bei erhöhtem Schutzbedarf</t>
        </is>
      </c>
      <c r="E110" s="12" t="inlineStr">
        <is>
          <t>Konfiguration für Webbrowser KANN Virtualisierte Browser-Umgebung aktivieren.</t>
        </is>
      </c>
      <c r="F110" s="14" t="n"/>
      <c r="G110" s="14" t="n"/>
      <c r="H110" s="14" t="inlineStr">
        <is>
          <t>unbearbeitet</t>
        </is>
      </c>
      <c r="I110" s="14" t="n"/>
      <c r="J110" s="14" t="n"/>
      <c r="K110" s="14" t="n"/>
      <c r="L110" s="15" t="n"/>
      <c r="M110" s="11" t="inlineStr">
        <is>
          <t>Vertraulichkeit, Integrität</t>
        </is>
      </c>
      <c r="N110" s="12" t="inlineStr">
        <is>
          <t>APP.1.2.A9-UA.1</t>
        </is>
      </c>
      <c r="O110" s="11" t="inlineStr">
        <is>
          <t>intersects-with</t>
        </is>
      </c>
      <c r="P110" s="12" t="inlineStr">
        <is>
          <t>Eine Browser-Umgebung ist virtualisiert, wenn der Code des Browser nicht im Betriebssystem des Clients, sondern in einem dediziert hierzu virtualisierten Betriebssystem ausgeführt wird, z.B. ReCoBS.</t>
        </is>
      </c>
      <c r="Q110" s="11" t="inlineStr">
        <is>
          <t>Webbrowser</t>
        </is>
      </c>
      <c r="R110" s="11" t="inlineStr">
        <is>
          <t>Konfigurationshistorie</t>
        </is>
      </c>
      <c r="S110" s="12" t="inlineStr">
        <is>
          <t>Virtualisierte Browser-Umgebung</t>
        </is>
      </c>
      <c r="T110" s="12" t="inlineStr">
        <is>
          <t>G 0.39 – Schadprogramme; G 0.23 – Unbefugtes Eindringen in IT-Systeme</t>
        </is>
      </c>
      <c r="U110" s="11" t="n">
        <v>5</v>
      </c>
      <c r="V110" s="11" t="n">
        <v>2</v>
      </c>
      <c r="W110" s="11" t="n">
        <v>2</v>
      </c>
      <c r="X110" s="11" t="n">
        <v>1</v>
      </c>
      <c r="Y110" s="11" t="n">
        <v>0</v>
      </c>
    </row>
    <row r="111">
      <c r="A111" s="9" t="inlineStr">
        <is>
          <t>KONF.6.16</t>
        </is>
      </c>
      <c r="B111" s="10" t="inlineStr">
        <is>
          <t>Datenaustausch in der Virtualisierung</t>
        </is>
      </c>
      <c r="C111" s="11" t="n"/>
      <c r="D111" s="11" t="inlineStr">
        <is>
          <t>Anforderungen bei erhöhtem Schutzbedarf</t>
        </is>
      </c>
      <c r="E111" s="12" t="inlineStr">
        <is>
          <t>Gesamt:</t>
        </is>
      </c>
      <c r="F111" s="11" t="n"/>
      <c r="G111" s="11" t="n"/>
      <c r="H111" s="13">
        <f>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
      </c>
      <c r="I111" s="11" t="n"/>
      <c r="J111" s="11" t="n"/>
      <c r="K111" s="11" t="n"/>
      <c r="L111" s="11" t="n"/>
      <c r="M111" s="11" t="inlineStr">
        <is>
          <t>Vertraulichkeit</t>
        </is>
      </c>
      <c r="N111" s="12" t="inlineStr"/>
      <c r="O111" s="11" t="inlineStr"/>
      <c r="P111" s="12" t="inlineStr">
        <is>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is>
      </c>
      <c r="Q111" s="11" t="inlineStr">
        <is>
          <t>Virtualisierungslösungen</t>
        </is>
      </c>
      <c r="R111" s="11" t="inlineStr">
        <is>
          <t>Konfigurationshistorie</t>
        </is>
      </c>
      <c r="S111" s="12" t="inlineStr">
        <is>
          <t>den Datenaustausch zwischen virtualisierten Client</t>
        </is>
      </c>
      <c r="T111" s="12" t="inlineStr">
        <is>
          <t>G 0.19 – Offenlegung schützenswerter Informationen; G 0.23 – Unbefugtes Eindringen in IT-Systeme</t>
        </is>
      </c>
      <c r="U111" s="11" t="n">
        <v>5</v>
      </c>
      <c r="V111" s="11" t="n">
        <v>2</v>
      </c>
      <c r="W111" s="11" t="n">
        <v>1</v>
      </c>
      <c r="X111" s="11" t="n">
        <v>0</v>
      </c>
      <c r="Y111" s="11" t="n">
        <v>0</v>
      </c>
    </row>
    <row r="112">
      <c r="A112" s="11" t="inlineStr">
        <is>
          <t>KONF.6.16</t>
        </is>
      </c>
      <c r="B112" s="12" t="inlineStr">
        <is>
          <t>Datenaustausch in der Virtualisierung</t>
        </is>
      </c>
      <c r="C112" s="11" t="inlineStr">
        <is>
          <t>KONF.6.16</t>
        </is>
      </c>
      <c r="D112" s="11" t="inlineStr">
        <is>
          <t>Anforderungen bei erhöhtem Schutzbedarf</t>
        </is>
      </c>
      <c r="E112" s="12" t="inlineStr">
        <is>
          <t>Konfiguration für Virtualisierungslösungen KANN den Datenaustausch zwischen virtualisierten Client einschränken.</t>
        </is>
      </c>
      <c r="F112" s="14" t="n"/>
      <c r="G112" s="14" t="n"/>
      <c r="H112" s="14" t="inlineStr">
        <is>
          <t>unbearbeitet</t>
        </is>
      </c>
      <c r="I112" s="14" t="n"/>
      <c r="J112" s="14" t="n"/>
      <c r="K112" s="14" t="n"/>
      <c r="L112" s="15" t="n"/>
      <c r="M112" s="11" t="inlineStr">
        <is>
          <t>Vertraulichkeit</t>
        </is>
      </c>
      <c r="N112" s="12" t="inlineStr"/>
      <c r="O112" s="11" t="inlineStr"/>
      <c r="P112" s="12" t="inlineStr">
        <is>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is>
      </c>
      <c r="Q112" s="11" t="inlineStr">
        <is>
          <t>Virtualisierungslösungen</t>
        </is>
      </c>
      <c r="R112" s="11" t="inlineStr">
        <is>
          <t>Konfigurationshistorie</t>
        </is>
      </c>
      <c r="S112" s="12" t="inlineStr">
        <is>
          <t>den Datenaustausch zwischen virtualisierten Client</t>
        </is>
      </c>
      <c r="T112" s="12" t="inlineStr">
        <is>
          <t>G 0.19 – Offenlegung schützenswerter Informationen; G 0.23 – Unbefugtes Eindringen in IT-Systeme</t>
        </is>
      </c>
      <c r="U112" s="11" t="n">
        <v>5</v>
      </c>
      <c r="V112" s="11" t="n">
        <v>2</v>
      </c>
      <c r="W112" s="11" t="n">
        <v>1</v>
      </c>
      <c r="X112" s="11" t="n">
        <v>0</v>
      </c>
      <c r="Y112" s="11" t="n">
        <v>0</v>
      </c>
    </row>
    <row r="113">
      <c r="A113" s="9" t="inlineStr">
        <is>
          <t>KONF.7.1</t>
        </is>
      </c>
      <c r="B113" s="10" t="inlineStr">
        <is>
          <t>Echtzeitscanner</t>
        </is>
      </c>
      <c r="C113" s="11" t="n"/>
      <c r="D113" s="11" t="inlineStr">
        <is>
          <t>Standard-Anforderungen</t>
        </is>
      </c>
      <c r="E113" s="12" t="inlineStr">
        <is>
          <t>Gesamt:</t>
        </is>
      </c>
      <c r="F113" s="11" t="n"/>
      <c r="G113" s="11" t="n"/>
      <c r="H113" s="13">
        <f>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
      </c>
      <c r="I113" s="11" t="n"/>
      <c r="J113" s="11" t="n"/>
      <c r="K113" s="11" t="n"/>
      <c r="L113" s="11" t="n"/>
      <c r="M113" s="11" t="inlineStr">
        <is>
          <t>Vertraulichkeit, Integrität</t>
        </is>
      </c>
      <c r="N113" s="12" t="inlineStr">
        <is>
          <t>APP.1.1.A3-UA.1; APP.1.1.A3-UA.4; APP.3.3.A14-UA.1</t>
        </is>
      </c>
      <c r="O113" s="11" t="inlineStr">
        <is>
          <t>intersects-with; intersects-with; intersects-with</t>
        </is>
      </c>
      <c r="P113" s="12" t="inlineStr">
        <is>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is>
      </c>
      <c r="Q113" s="11" t="inlineStr">
        <is>
          <t>IT-Systeme</t>
        </is>
      </c>
      <c r="R113" s="11" t="inlineStr">
        <is>
          <t>Konfigurationshistorie</t>
        </is>
      </c>
      <c r="S113" s="12" t="inlineStr">
        <is>
          <t>eine automatische Prüfung auf Schadcode</t>
        </is>
      </c>
      <c r="T113" s="12" t="inlineStr">
        <is>
          <t>G 0.39 – Schadprogramme; G 0.23 – Unbefugtes Eindringen in IT-Systeme</t>
        </is>
      </c>
      <c r="U113" s="11" t="n">
        <v>2</v>
      </c>
      <c r="V113" s="11" t="n">
        <v>2</v>
      </c>
      <c r="W113" s="11" t="n">
        <v>2</v>
      </c>
      <c r="X113" s="11" t="n">
        <v>1</v>
      </c>
      <c r="Y113" s="11" t="n">
        <v>0</v>
      </c>
    </row>
    <row r="114">
      <c r="A114" s="11" t="inlineStr">
        <is>
          <t>KONF.7.1</t>
        </is>
      </c>
      <c r="B114" s="12" t="inlineStr">
        <is>
          <t>Echtzeitscanner</t>
        </is>
      </c>
      <c r="C114" s="11" t="inlineStr">
        <is>
          <t>KONF.7.1</t>
        </is>
      </c>
      <c r="D114" s="11" t="inlineStr">
        <is>
          <t>Standard-Anforderungen</t>
        </is>
      </c>
      <c r="E114" s="12" t="inlineStr">
        <is>
          <t>Konfiguration für IT-Systeme SOLLTE eine automatische Prüfung auf Schadcode bei Installation oder Öffnung von Dateien aktivieren.</t>
        </is>
      </c>
      <c r="F114" s="14" t="n"/>
      <c r="G114" s="14" t="n"/>
      <c r="H114" s="14" t="inlineStr">
        <is>
          <t>unbearbeitet</t>
        </is>
      </c>
      <c r="I114" s="14" t="n"/>
      <c r="J114" s="14" t="n"/>
      <c r="K114" s="14" t="n"/>
      <c r="L114" s="15" t="n"/>
      <c r="M114" s="11" t="inlineStr">
        <is>
          <t>Vertraulichkeit, Integrität</t>
        </is>
      </c>
      <c r="N114" s="12" t="inlineStr">
        <is>
          <t>APP.1.1.A3-UA.1; APP.1.1.A3-UA.4; APP.3.3.A14-UA.1</t>
        </is>
      </c>
      <c r="O114" s="11" t="inlineStr">
        <is>
          <t>intersects-with; intersects-with; intersects-with</t>
        </is>
      </c>
      <c r="P114" s="12" t="inlineStr">
        <is>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is>
      </c>
      <c r="Q114" s="11" t="inlineStr">
        <is>
          <t>IT-Systeme</t>
        </is>
      </c>
      <c r="R114" s="11" t="inlineStr">
        <is>
          <t>Konfigurationshistorie</t>
        </is>
      </c>
      <c r="S114" s="12" t="inlineStr">
        <is>
          <t>eine automatische Prüfung auf Schadcode</t>
        </is>
      </c>
      <c r="T114" s="12" t="inlineStr">
        <is>
          <t>G 0.39 – Schadprogramme; G 0.23 – Unbefugtes Eindringen in IT-Systeme</t>
        </is>
      </c>
      <c r="U114" s="11" t="n">
        <v>2</v>
      </c>
      <c r="V114" s="11" t="n">
        <v>2</v>
      </c>
      <c r="W114" s="11" t="n">
        <v>2</v>
      </c>
      <c r="X114" s="11" t="n">
        <v>1</v>
      </c>
      <c r="Y114" s="11" t="n">
        <v>0</v>
      </c>
    </row>
    <row r="115">
      <c r="A115" s="9" t="inlineStr">
        <is>
          <t>KONF.7.2</t>
        </is>
      </c>
      <c r="B115" s="10" t="inlineStr">
        <is>
          <t>Regelmäßige Scans</t>
        </is>
      </c>
      <c r="C115" s="11" t="n"/>
      <c r="D115" s="11" t="inlineStr">
        <is>
          <t>Standard-Anforderungen</t>
        </is>
      </c>
      <c r="E115" s="12" t="inlineStr">
        <is>
          <t>Gesamt:</t>
        </is>
      </c>
      <c r="F115" s="11" t="n"/>
      <c r="G115" s="11" t="n"/>
      <c r="H115" s="13">
        <f>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
      </c>
      <c r="I115" s="11" t="n"/>
      <c r="J115" s="11" t="n"/>
      <c r="K115" s="11" t="n"/>
      <c r="L115" s="11" t="n"/>
      <c r="M115" s="11" t="inlineStr">
        <is>
          <t>Vertraulichkeit, Integrität</t>
        </is>
      </c>
      <c r="N115" s="12" t="inlineStr"/>
      <c r="O115" s="11" t="inlineStr"/>
      <c r="P115" s="12" t="inlineStr">
        <is>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is>
      </c>
      <c r="Q115" s="11" t="inlineStr">
        <is>
          <t>IT-Systeme</t>
        </is>
      </c>
      <c r="R115" s="11" t="inlineStr">
        <is>
          <t>Konfigurationshistorie</t>
        </is>
      </c>
      <c r="S115" s="12" t="inlineStr">
        <is>
          <t>einen regelmäßigen Scan von Dateien auf dem System nach potenziellem Schadcode</t>
        </is>
      </c>
      <c r="T115" s="12" t="inlineStr">
        <is>
          <t>G 0.39 – Schadprogramme; G 0.23 – Unbefugtes Eindringen in IT-Systeme</t>
        </is>
      </c>
      <c r="U115" s="11" t="n">
        <v>2</v>
      </c>
      <c r="V115" s="11" t="n">
        <v>2</v>
      </c>
      <c r="W115" s="11" t="n">
        <v>2</v>
      </c>
      <c r="X115" s="11" t="n">
        <v>1</v>
      </c>
      <c r="Y115" s="11" t="n">
        <v>0</v>
      </c>
    </row>
    <row r="116">
      <c r="A116" s="11" t="inlineStr">
        <is>
          <t>KONF.7.2</t>
        </is>
      </c>
      <c r="B116" s="12" t="inlineStr">
        <is>
          <t>Regelmäßige Scans</t>
        </is>
      </c>
      <c r="C116" s="11" t="inlineStr">
        <is>
          <t>KONF.7.2</t>
        </is>
      </c>
      <c r="D116" s="11" t="inlineStr">
        <is>
          <t>Standard-Anforderungen</t>
        </is>
      </c>
      <c r="E116" s="12" t="inlineStr">
        <is>
          <t>Konfiguration für IT-Systeme SOLLTE einen regelmäßigen Scan von Dateien auf dem System nach potenziellem Schadcode aktivieren.</t>
        </is>
      </c>
      <c r="F116" s="14" t="n"/>
      <c r="G116" s="14" t="n"/>
      <c r="H116" s="14" t="inlineStr">
        <is>
          <t>unbearbeitet</t>
        </is>
      </c>
      <c r="I116" s="14" t="n"/>
      <c r="J116" s="14" t="n"/>
      <c r="K116" s="14" t="n"/>
      <c r="L116" s="15" t="n"/>
      <c r="M116" s="11" t="inlineStr">
        <is>
          <t>Vertraulichkeit, Integrität</t>
        </is>
      </c>
      <c r="N116" s="12" t="inlineStr"/>
      <c r="O116" s="11" t="inlineStr"/>
      <c r="P116" s="12" t="inlineStr">
        <is>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is>
      </c>
      <c r="Q116" s="11" t="inlineStr">
        <is>
          <t>IT-Systeme</t>
        </is>
      </c>
      <c r="R116" s="11" t="inlineStr">
        <is>
          <t>Konfigurationshistorie</t>
        </is>
      </c>
      <c r="S116" s="12" t="inlineStr">
        <is>
          <t>einen regelmäßigen Scan von Dateien auf dem System nach potenziellem Schadcode</t>
        </is>
      </c>
      <c r="T116" s="12" t="inlineStr">
        <is>
          <t>G 0.39 – Schadprogramme; G 0.23 – Unbefugtes Eindringen in IT-Systeme</t>
        </is>
      </c>
      <c r="U116" s="11" t="n">
        <v>2</v>
      </c>
      <c r="V116" s="11" t="n">
        <v>2</v>
      </c>
      <c r="W116" s="11" t="n">
        <v>2</v>
      </c>
      <c r="X116" s="11" t="n">
        <v>1</v>
      </c>
      <c r="Y116" s="11" t="n">
        <v>0</v>
      </c>
    </row>
    <row r="117">
      <c r="A117" s="9" t="inlineStr">
        <is>
          <t>KONF.7.3</t>
        </is>
      </c>
      <c r="B117" s="10" t="inlineStr">
        <is>
          <t>Host-basierte Angriffserkennung</t>
        </is>
      </c>
      <c r="C117" s="11" t="n"/>
      <c r="D117" s="11" t="inlineStr">
        <is>
          <t>Anforderungen bei erhöhtem Schutzbedarf</t>
        </is>
      </c>
      <c r="E117" s="12" t="inlineStr">
        <is>
          <t>Gesamt:</t>
        </is>
      </c>
      <c r="F117" s="11" t="n"/>
      <c r="G117" s="11" t="n"/>
      <c r="H117" s="13">
        <f>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
      </c>
      <c r="I117" s="11" t="n"/>
      <c r="J117" s="11" t="n"/>
      <c r="K117" s="11" t="n"/>
      <c r="L117" s="11" t="n"/>
      <c r="M117" s="11" t="inlineStr">
        <is>
          <t>Vertraulichkeit, Integrität</t>
        </is>
      </c>
      <c r="N117" s="12" t="inlineStr"/>
      <c r="O117" s="11" t="inlineStr"/>
      <c r="P117" s="12" t="inlineStr">
        <is>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is>
      </c>
      <c r="Q117" s="11" t="inlineStr">
        <is>
          <t>IT-Systeme</t>
        </is>
      </c>
      <c r="R117" s="11" t="inlineStr">
        <is>
          <t>Konfigurationshistorie</t>
        </is>
      </c>
      <c r="S117" s="12" t="inlineStr">
        <is>
          <t>Host-basierte Angriffserkennung</t>
        </is>
      </c>
      <c r="T117" s="12" t="inlineStr">
        <is>
          <t>G 0.39 – Schadprogramme; G 0.23 – Unbefugtes Eindringen in IT-Systeme</t>
        </is>
      </c>
      <c r="U117" s="11" t="n">
        <v>3</v>
      </c>
      <c r="V117" s="11" t="n">
        <v>2</v>
      </c>
      <c r="W117" s="11" t="n">
        <v>2</v>
      </c>
      <c r="X117" s="11" t="n">
        <v>1</v>
      </c>
      <c r="Y117" s="11" t="n">
        <v>0</v>
      </c>
    </row>
    <row r="118">
      <c r="A118" s="11" t="inlineStr">
        <is>
          <t>KONF.7.3</t>
        </is>
      </c>
      <c r="B118" s="12" t="inlineStr">
        <is>
          <t>Host-basierte Angriffserkennung</t>
        </is>
      </c>
      <c r="C118" s="11" t="inlineStr">
        <is>
          <t>KONF.7.3</t>
        </is>
      </c>
      <c r="D118" s="11" t="inlineStr">
        <is>
          <t>Anforderungen bei erhöhtem Schutzbedarf</t>
        </is>
      </c>
      <c r="E118" s="12" t="inlineStr">
        <is>
          <t>Konfiguration für IT-Systeme KANN Host-basierte Angriffserkennung aktivieren.</t>
        </is>
      </c>
      <c r="F118" s="14" t="n"/>
      <c r="G118" s="14" t="n"/>
      <c r="H118" s="14" t="inlineStr">
        <is>
          <t>unbearbeitet</t>
        </is>
      </c>
      <c r="I118" s="14" t="n"/>
      <c r="J118" s="14" t="n"/>
      <c r="K118" s="14" t="n"/>
      <c r="L118" s="15" t="n"/>
      <c r="M118" s="11" t="inlineStr">
        <is>
          <t>Vertraulichkeit, Integrität</t>
        </is>
      </c>
      <c r="N118" s="12" t="inlineStr"/>
      <c r="O118" s="11" t="inlineStr"/>
      <c r="P118" s="12" t="inlineStr">
        <is>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is>
      </c>
      <c r="Q118" s="11" t="inlineStr">
        <is>
          <t>IT-Systeme</t>
        </is>
      </c>
      <c r="R118" s="11" t="inlineStr">
        <is>
          <t>Konfigurationshistorie</t>
        </is>
      </c>
      <c r="S118" s="12" t="inlineStr">
        <is>
          <t>Host-basierte Angriffserkennung</t>
        </is>
      </c>
      <c r="T118" s="12" t="inlineStr">
        <is>
          <t>G 0.39 – Schadprogramme; G 0.23 – Unbefugtes Eindringen in IT-Systeme</t>
        </is>
      </c>
      <c r="U118" s="11" t="n">
        <v>3</v>
      </c>
      <c r="V118" s="11" t="n">
        <v>2</v>
      </c>
      <c r="W118" s="11" t="n">
        <v>2</v>
      </c>
      <c r="X118" s="11" t="n">
        <v>1</v>
      </c>
      <c r="Y118" s="11" t="n">
        <v>0</v>
      </c>
    </row>
    <row r="119">
      <c r="A119" s="9" t="inlineStr">
        <is>
          <t>KONF.7.4</t>
        </is>
      </c>
      <c r="B119" s="10" t="inlineStr">
        <is>
          <t>Angriffserkennung anhand von Netzverkehr</t>
        </is>
      </c>
      <c r="C119" s="11" t="n"/>
      <c r="D119" s="11" t="inlineStr">
        <is>
          <t>Anforderungen bei erhöhtem Schutzbedarf</t>
        </is>
      </c>
      <c r="E119" s="12" t="inlineStr">
        <is>
          <t>Gesamt:</t>
        </is>
      </c>
      <c r="F119" s="11" t="n"/>
      <c r="G119" s="11" t="n"/>
      <c r="H119" s="13">
        <f>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
      </c>
      <c r="I119" s="11" t="n"/>
      <c r="J119" s="11" t="n"/>
      <c r="K119" s="11" t="n"/>
      <c r="L119" s="11" t="n"/>
      <c r="M119" s="11" t="inlineStr">
        <is>
          <t>Vertraulichkeit, Integrität</t>
        </is>
      </c>
      <c r="N119" s="12" t="inlineStr"/>
      <c r="O119" s="11" t="inlineStr"/>
      <c r="P119" s="12" t="inlineStr">
        <is>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is>
      </c>
      <c r="Q119" s="11" t="inlineStr">
        <is>
          <t>IT-Systeme</t>
        </is>
      </c>
      <c r="R119" s="11" t="inlineStr">
        <is>
          <t>Konfigurationshistorie</t>
        </is>
      </c>
      <c r="S119" s="12" t="inlineStr">
        <is>
          <t>Angriffserkennung anhand von Netzverkehr</t>
        </is>
      </c>
      <c r="T119" s="12" t="inlineStr">
        <is>
          <t>G 0.39 – Schadprogramme; G 0.23 – Unbefugtes Eindringen in IT-Systeme</t>
        </is>
      </c>
      <c r="U119" s="11" t="n">
        <v>5</v>
      </c>
      <c r="V119" s="11" t="n">
        <v>2</v>
      </c>
      <c r="W119" s="11" t="n">
        <v>2</v>
      </c>
      <c r="X119" s="11" t="n">
        <v>1</v>
      </c>
      <c r="Y119" s="11" t="n">
        <v>0</v>
      </c>
    </row>
    <row r="120">
      <c r="A120" s="11" t="inlineStr">
        <is>
          <t>KONF.7.4</t>
        </is>
      </c>
      <c r="B120" s="12" t="inlineStr">
        <is>
          <t>Angriffserkennung anhand von Netzverkehr</t>
        </is>
      </c>
      <c r="C120" s="11" t="inlineStr">
        <is>
          <t>KONF.7.4</t>
        </is>
      </c>
      <c r="D120" s="11" t="inlineStr">
        <is>
          <t>Anforderungen bei erhöhtem Schutzbedarf</t>
        </is>
      </c>
      <c r="E120" s="12" t="inlineStr">
        <is>
          <t>Konfiguration für IT-Systeme KANN Angriffserkennung anhand von Netzverkehr aktivieren.</t>
        </is>
      </c>
      <c r="F120" s="14" t="n"/>
      <c r="G120" s="14" t="n"/>
      <c r="H120" s="14" t="inlineStr">
        <is>
          <t>unbearbeitet</t>
        </is>
      </c>
      <c r="I120" s="14" t="n"/>
      <c r="J120" s="14" t="n"/>
      <c r="K120" s="14" t="n"/>
      <c r="L120" s="15" t="n"/>
      <c r="M120" s="11" t="inlineStr">
        <is>
          <t>Vertraulichkeit, Integrität</t>
        </is>
      </c>
      <c r="N120" s="12" t="inlineStr"/>
      <c r="O120" s="11" t="inlineStr"/>
      <c r="P120" s="12" t="inlineStr">
        <is>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is>
      </c>
      <c r="Q120" s="11" t="inlineStr">
        <is>
          <t>IT-Systeme</t>
        </is>
      </c>
      <c r="R120" s="11" t="inlineStr">
        <is>
          <t>Konfigurationshistorie</t>
        </is>
      </c>
      <c r="S120" s="12" t="inlineStr">
        <is>
          <t>Angriffserkennung anhand von Netzverkehr</t>
        </is>
      </c>
      <c r="T120" s="12" t="inlineStr">
        <is>
          <t>G 0.39 – Schadprogramme; G 0.23 – Unbefugtes Eindringen in IT-Systeme</t>
        </is>
      </c>
      <c r="U120" s="11" t="n">
        <v>5</v>
      </c>
      <c r="V120" s="11" t="n">
        <v>2</v>
      </c>
      <c r="W120" s="11" t="n">
        <v>2</v>
      </c>
      <c r="X120" s="11" t="n">
        <v>1</v>
      </c>
      <c r="Y120" s="11" t="n">
        <v>0</v>
      </c>
    </row>
    <row r="121">
      <c r="A121" s="9" t="inlineStr">
        <is>
          <t>KONF.7.5</t>
        </is>
      </c>
      <c r="B121" s="10" t="inlineStr">
        <is>
          <t>Alarmierung</t>
        </is>
      </c>
      <c r="C121" s="11" t="n"/>
      <c r="D121" s="11" t="inlineStr">
        <is>
          <t>Standard-Anforderungen</t>
        </is>
      </c>
      <c r="E121" s="12" t="inlineStr">
        <is>
          <t>Gesamt:</t>
        </is>
      </c>
      <c r="F121" s="11" t="n"/>
      <c r="G121" s="11" t="n"/>
      <c r="H121" s="13">
        <f>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
      </c>
      <c r="I121" s="11" t="n"/>
      <c r="J121" s="11" t="n"/>
      <c r="K121" s="11" t="n"/>
      <c r="L121" s="11" t="n"/>
      <c r="M121" s="11" t="inlineStr">
        <is>
          <t>Vertraulichkeit, Integrität, Verfügbarkeit</t>
        </is>
      </c>
      <c r="N121" s="12" t="inlineStr"/>
      <c r="O121" s="11" t="inlineStr"/>
      <c r="P121" s="12" t="inlineStr">
        <is>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is>
      </c>
      <c r="Q121" s="11" t="inlineStr">
        <is>
          <t>IT-Systeme</t>
        </is>
      </c>
      <c r="R121" s="11" t="inlineStr">
        <is>
          <t>Konfigurationshistorie</t>
        </is>
      </c>
      <c r="S121" s="12" t="inlineStr">
        <is>
          <t>eine Benachrichtigung bei potenziellem Schadcode</t>
        </is>
      </c>
      <c r="T121" s="12" t="inlineStr">
        <is>
          <t>G 0.39 – Schadprogramme; G 0.18 – Fehlplanung oder fehlende Anpassung</t>
        </is>
      </c>
      <c r="U121" s="11" t="n">
        <v>3</v>
      </c>
      <c r="V121" s="11" t="n">
        <v>2</v>
      </c>
      <c r="W121" s="11" t="n">
        <v>2</v>
      </c>
      <c r="X121" s="11" t="n">
        <v>2</v>
      </c>
      <c r="Y121" s="11" t="n">
        <v>0</v>
      </c>
    </row>
    <row r="122">
      <c r="A122" s="11" t="inlineStr">
        <is>
          <t>KONF.7.5</t>
        </is>
      </c>
      <c r="B122" s="12" t="inlineStr">
        <is>
          <t>Alarmierung</t>
        </is>
      </c>
      <c r="C122" s="11" t="inlineStr">
        <is>
          <t>KONF.7.5</t>
        </is>
      </c>
      <c r="D122" s="11" t="inlineStr">
        <is>
          <t>Standard-Anforderungen</t>
        </is>
      </c>
      <c r="E122" s="12" t="inlineStr">
        <is>
          <t>Konfiguration für IT-Systeme SOLLTE eine Benachrichtigung bei potenziellem Schadcode aktivieren.</t>
        </is>
      </c>
      <c r="F122" s="14" t="n"/>
      <c r="G122" s="14" t="n"/>
      <c r="H122" s="14" t="inlineStr">
        <is>
          <t>unbearbeitet</t>
        </is>
      </c>
      <c r="I122" s="14" t="n"/>
      <c r="J122" s="14" t="n"/>
      <c r="K122" s="14" t="n"/>
      <c r="L122" s="15" t="n"/>
      <c r="M122" s="11" t="inlineStr">
        <is>
          <t>Vertraulichkeit, Integrität, Verfügbarkeit</t>
        </is>
      </c>
      <c r="N122" s="12" t="inlineStr"/>
      <c r="O122" s="11" t="inlineStr"/>
      <c r="P122" s="12" t="inlineStr">
        <is>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is>
      </c>
      <c r="Q122" s="11" t="inlineStr">
        <is>
          <t>IT-Systeme</t>
        </is>
      </c>
      <c r="R122" s="11" t="inlineStr">
        <is>
          <t>Konfigurationshistorie</t>
        </is>
      </c>
      <c r="S122" s="12" t="inlineStr">
        <is>
          <t>eine Benachrichtigung bei potenziellem Schadcode</t>
        </is>
      </c>
      <c r="T122" s="12" t="inlineStr">
        <is>
          <t>G 0.39 – Schadprogramme; G 0.18 – Fehlplanung oder fehlende Anpassung</t>
        </is>
      </c>
      <c r="U122" s="11" t="n">
        <v>3</v>
      </c>
      <c r="V122" s="11" t="n">
        <v>2</v>
      </c>
      <c r="W122" s="11" t="n">
        <v>2</v>
      </c>
      <c r="X122" s="11" t="n">
        <v>2</v>
      </c>
      <c r="Y122" s="11" t="n">
        <v>0</v>
      </c>
    </row>
    <row r="123">
      <c r="A123" s="9" t="inlineStr">
        <is>
          <t>KONF.7.6</t>
        </is>
      </c>
      <c r="B123" s="10" t="inlineStr">
        <is>
          <t>Automatische Updates</t>
        </is>
      </c>
      <c r="C123" s="11" t="n"/>
      <c r="D123" s="11" t="inlineStr">
        <is>
          <t>Standard-Anforderungen</t>
        </is>
      </c>
      <c r="E123" s="12" t="inlineStr">
        <is>
          <t>Gesamt:</t>
        </is>
      </c>
      <c r="F123" s="11" t="n"/>
      <c r="G123" s="11" t="n"/>
      <c r="H123" s="13">
        <f>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
      </c>
      <c r="I123" s="11" t="n"/>
      <c r="J123" s="11" t="n"/>
      <c r="K123" s="11" t="n"/>
      <c r="L123" s="11" t="n"/>
      <c r="M123" s="11" t="inlineStr">
        <is>
          <t>Vertraulichkeit, Integrität, Verfügbarkeit</t>
        </is>
      </c>
      <c r="N123" s="12" t="inlineStr"/>
      <c r="O123" s="11" t="inlineStr"/>
      <c r="P123" s="12" t="inlineStr">
        <is>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is>
      </c>
      <c r="Q123" s="11" t="inlineStr">
        <is>
          <t>IT-Systeme</t>
        </is>
      </c>
      <c r="R123" s="11" t="inlineStr">
        <is>
          <t>Konfigurationshistorie</t>
        </is>
      </c>
      <c r="S123" s="12" t="inlineStr">
        <is>
          <t>Automatische Updates der Mechanismen zur Schadcodeerkennung</t>
        </is>
      </c>
      <c r="T123" s="12" t="inlineStr">
        <is>
          <t>G 0.39 – Schadprogramme; G 0.18 – Fehlplanung oder fehlende Anpassung</t>
        </is>
      </c>
      <c r="U123" s="11" t="n">
        <v>2</v>
      </c>
      <c r="V123" s="11" t="n">
        <v>2</v>
      </c>
      <c r="W123" s="11" t="n">
        <v>2</v>
      </c>
      <c r="X123" s="11" t="n">
        <v>2</v>
      </c>
      <c r="Y123" s="11" t="n">
        <v>0</v>
      </c>
    </row>
    <row r="124">
      <c r="A124" s="11" t="inlineStr">
        <is>
          <t>KONF.7.6</t>
        </is>
      </c>
      <c r="B124" s="12" t="inlineStr">
        <is>
          <t>Automatische Updates</t>
        </is>
      </c>
      <c r="C124" s="11" t="inlineStr">
        <is>
          <t>KONF.7.6</t>
        </is>
      </c>
      <c r="D124" s="11" t="inlineStr">
        <is>
          <t>Standard-Anforderungen</t>
        </is>
      </c>
      <c r="E124" s="12" t="inlineStr">
        <is>
          <t>Konfiguration für IT-Systeme SOLLTE Automatische Updates der Mechanismen zur Schadcodeerkennung aktivieren.</t>
        </is>
      </c>
      <c r="F124" s="14" t="n"/>
      <c r="G124" s="14" t="n"/>
      <c r="H124" s="14" t="inlineStr">
        <is>
          <t>unbearbeitet</t>
        </is>
      </c>
      <c r="I124" s="14" t="n"/>
      <c r="J124" s="14" t="n"/>
      <c r="K124" s="14" t="n"/>
      <c r="L124" s="15" t="n"/>
      <c r="M124" s="11" t="inlineStr">
        <is>
          <t>Vertraulichkeit, Integrität, Verfügbarkeit</t>
        </is>
      </c>
      <c r="N124" s="12" t="inlineStr"/>
      <c r="O124" s="11" t="inlineStr"/>
      <c r="P124" s="12" t="inlineStr">
        <is>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is>
      </c>
      <c r="Q124" s="11" t="inlineStr">
        <is>
          <t>IT-Systeme</t>
        </is>
      </c>
      <c r="R124" s="11" t="inlineStr">
        <is>
          <t>Konfigurationshistorie</t>
        </is>
      </c>
      <c r="S124" s="12" t="inlineStr">
        <is>
          <t>Automatische Updates der Mechanismen zur Schadcodeerkennung</t>
        </is>
      </c>
      <c r="T124" s="12" t="inlineStr">
        <is>
          <t>G 0.39 – Schadprogramme; G 0.18 – Fehlplanung oder fehlende Anpassung</t>
        </is>
      </c>
      <c r="U124" s="11" t="n">
        <v>2</v>
      </c>
      <c r="V124" s="11" t="n">
        <v>2</v>
      </c>
      <c r="W124" s="11" t="n">
        <v>2</v>
      </c>
      <c r="X124" s="11" t="n">
        <v>2</v>
      </c>
      <c r="Y124" s="11" t="n">
        <v>0</v>
      </c>
    </row>
    <row r="125">
      <c r="A125" s="9" t="inlineStr">
        <is>
          <t>KONF.7.7</t>
        </is>
      </c>
      <c r="B125" s="10" t="inlineStr">
        <is>
          <t>Regelmäßiger Funktionstest</t>
        </is>
      </c>
      <c r="C125" s="11" t="n"/>
      <c r="D125" s="11" t="inlineStr">
        <is>
          <t>Anforderungen bei erhöhtem Schutzbedarf</t>
        </is>
      </c>
      <c r="E125" s="12" t="inlineStr">
        <is>
          <t>Gesamt:</t>
        </is>
      </c>
      <c r="F125" s="11" t="n"/>
      <c r="G125" s="11" t="n"/>
      <c r="H125" s="13">
        <f>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
      </c>
      <c r="I125" s="11" t="n"/>
      <c r="J125" s="11" t="n"/>
      <c r="K125" s="11" t="n"/>
      <c r="L125" s="11" t="n"/>
      <c r="M125" s="11" t="inlineStr">
        <is>
          <t>Vertraulichkeit, Integrität, Verfügbarkeit</t>
        </is>
      </c>
      <c r="N125" s="12" t="inlineStr"/>
      <c r="O125" s="11" t="inlineStr"/>
      <c r="P125" s="12" t="inlineStr">
        <is>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is>
      </c>
      <c r="Q125" s="11" t="inlineStr">
        <is>
          <t>IT-Systeme</t>
        </is>
      </c>
      <c r="R125" s="11" t="inlineStr">
        <is>
          <t>Konfigurationshistorie</t>
        </is>
      </c>
      <c r="S125" s="12" t="inlineStr">
        <is>
          <t>die Funktionsfähigkeit des Schadcodeschutzes</t>
        </is>
      </c>
      <c r="T125" s="12" t="inlineStr">
        <is>
          <t>G 0.39 – Schadprogramme; G 0.18 – Fehlplanung oder fehlende Anpassung</t>
        </is>
      </c>
      <c r="U125" s="11" t="n">
        <v>5</v>
      </c>
      <c r="V125" s="11" t="n">
        <v>2</v>
      </c>
      <c r="W125" s="11" t="n">
        <v>2</v>
      </c>
      <c r="X125" s="11" t="n">
        <v>2</v>
      </c>
      <c r="Y125" s="11" t="n">
        <v>0</v>
      </c>
    </row>
    <row r="126">
      <c r="A126" s="11" t="inlineStr">
        <is>
          <t>KONF.7.7</t>
        </is>
      </c>
      <c r="B126" s="12" t="inlineStr">
        <is>
          <t>Regelmäßiger Funktionstest</t>
        </is>
      </c>
      <c r="C126" s="11" t="inlineStr">
        <is>
          <t>KONF.7.7</t>
        </is>
      </c>
      <c r="D126" s="11" t="inlineStr">
        <is>
          <t>Anforderungen bei erhöhtem Schutzbedarf</t>
        </is>
      </c>
      <c r="E126" s="12" t="inlineStr">
        <is>
          <t>Konfiguration für IT-Systeme KANN die Funktionsfähigkeit des Schadcodeschutzes regelmäßig überprüfen.</t>
        </is>
      </c>
      <c r="F126" s="14" t="n"/>
      <c r="G126" s="14" t="n"/>
      <c r="H126" s="14" t="inlineStr">
        <is>
          <t>unbearbeitet</t>
        </is>
      </c>
      <c r="I126" s="14" t="n"/>
      <c r="J126" s="14" t="n"/>
      <c r="K126" s="14" t="n"/>
      <c r="L126" s="15" t="n"/>
      <c r="M126" s="11" t="inlineStr">
        <is>
          <t>Vertraulichkeit, Integrität, Verfügbarkeit</t>
        </is>
      </c>
      <c r="N126" s="12" t="inlineStr"/>
      <c r="O126" s="11" t="inlineStr"/>
      <c r="P126" s="12" t="inlineStr">
        <is>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is>
      </c>
      <c r="Q126" s="11" t="inlineStr">
        <is>
          <t>IT-Systeme</t>
        </is>
      </c>
      <c r="R126" s="11" t="inlineStr">
        <is>
          <t>Konfigurationshistorie</t>
        </is>
      </c>
      <c r="S126" s="12" t="inlineStr">
        <is>
          <t>die Funktionsfähigkeit des Schadcodeschutzes</t>
        </is>
      </c>
      <c r="T126" s="12" t="inlineStr">
        <is>
          <t>G 0.39 – Schadprogramme; G 0.18 – Fehlplanung oder fehlende Anpassung</t>
        </is>
      </c>
      <c r="U126" s="11" t="n">
        <v>5</v>
      </c>
      <c r="V126" s="11" t="n">
        <v>2</v>
      </c>
      <c r="W126" s="11" t="n">
        <v>2</v>
      </c>
      <c r="X126" s="11" t="n">
        <v>2</v>
      </c>
      <c r="Y126" s="11" t="n">
        <v>0</v>
      </c>
    </row>
    <row r="127">
      <c r="A127" s="9" t="inlineStr">
        <is>
          <t>KONF.7.8</t>
        </is>
      </c>
      <c r="B127" s="10" t="inlineStr">
        <is>
          <t>Dual-Engine-Strategie</t>
        </is>
      </c>
      <c r="C127" s="11" t="n"/>
      <c r="D127" s="11" t="inlineStr">
        <is>
          <t>Anforderungen bei erhöhtem Schutzbedarf</t>
        </is>
      </c>
      <c r="E127" s="12" t="inlineStr">
        <is>
          <t>Gesamt:</t>
        </is>
      </c>
      <c r="F127" s="11" t="n"/>
      <c r="G127" s="11" t="n"/>
      <c r="H127" s="13">
        <f>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
      </c>
      <c r="I127" s="11" t="n"/>
      <c r="J127" s="11" t="n"/>
      <c r="K127" s="11" t="n"/>
      <c r="L127" s="11" t="n"/>
      <c r="M127" s="11" t="inlineStr">
        <is>
          <t>Vertraulichkeit, Integrität, Verfügbarkeit</t>
        </is>
      </c>
      <c r="N127" s="12" t="inlineStr"/>
      <c r="O127" s="11" t="inlineStr"/>
      <c r="P127" s="12" t="inlineStr">
        <is>
          <t>Hiermit ist gemeint, dass die Angriffserkennung mittels (zwei oder mehr) verschiedenen Scan-Engines durchgeführt wird, um die Erkennungswahrscheinlichkeit zu erhöhen. Hierdurch kann es zu Performanceeinbußen oder einer höheren Fehlerkennungquote kommen.</t>
        </is>
      </c>
      <c r="Q127" s="11" t="inlineStr">
        <is>
          <t>IT-Systeme</t>
        </is>
      </c>
      <c r="R127" s="11" t="inlineStr">
        <is>
          <t>Konfigurationshistorie</t>
        </is>
      </c>
      <c r="S127" s="12" t="inlineStr">
        <is>
          <t>für die Erkennung von Schadcode unterschiedliche Scan-Engines</t>
        </is>
      </c>
      <c r="T127" s="12" t="inlineStr">
        <is>
          <t>G 0.39 – Schadprogramme; G 0.18 – Fehlplanung oder fehlende Anpassung</t>
        </is>
      </c>
      <c r="U127" s="11" t="n">
        <v>5</v>
      </c>
      <c r="V127" s="11" t="n">
        <v>2</v>
      </c>
      <c r="W127" s="11" t="n">
        <v>2</v>
      </c>
      <c r="X127" s="11" t="n">
        <v>2</v>
      </c>
      <c r="Y127" s="11" t="n">
        <v>0</v>
      </c>
    </row>
    <row r="128">
      <c r="A128" s="11" t="inlineStr">
        <is>
          <t>KONF.7.8</t>
        </is>
      </c>
      <c r="B128" s="12" t="inlineStr">
        <is>
          <t>Dual-Engine-Strategie</t>
        </is>
      </c>
      <c r="C128" s="11" t="inlineStr">
        <is>
          <t>KONF.7.8</t>
        </is>
      </c>
      <c r="D128" s="11" t="inlineStr">
        <is>
          <t>Anforderungen bei erhöhtem Schutzbedarf</t>
        </is>
      </c>
      <c r="E128" s="12" t="inlineStr">
        <is>
          <t>Konfiguration für IT-Systeme KANN für die Erkennung von Schadcode unterschiedliche Scan-Engines aktivieren.</t>
        </is>
      </c>
      <c r="F128" s="14" t="n"/>
      <c r="G128" s="14" t="n"/>
      <c r="H128" s="14" t="inlineStr">
        <is>
          <t>unbearbeitet</t>
        </is>
      </c>
      <c r="I128" s="14" t="n"/>
      <c r="J128" s="14" t="n"/>
      <c r="K128" s="14" t="n"/>
      <c r="L128" s="15" t="n"/>
      <c r="M128" s="11" t="inlineStr">
        <is>
          <t>Vertraulichkeit, Integrität, Verfügbarkeit</t>
        </is>
      </c>
      <c r="N128" s="12" t="inlineStr"/>
      <c r="O128" s="11" t="inlineStr"/>
      <c r="P128" s="12" t="inlineStr">
        <is>
          <t>Hiermit ist gemeint, dass die Angriffserkennung mittels (zwei oder mehr) verschiedenen Scan-Engines durchgeführt wird, um die Erkennungswahrscheinlichkeit zu erhöhen. Hierdurch kann es zu Performanceeinbußen oder einer höheren Fehlerkennungquote kommen.</t>
        </is>
      </c>
      <c r="Q128" s="11" t="inlineStr">
        <is>
          <t>IT-Systeme</t>
        </is>
      </c>
      <c r="R128" s="11" t="inlineStr">
        <is>
          <t>Konfigurationshistorie</t>
        </is>
      </c>
      <c r="S128" s="12" t="inlineStr">
        <is>
          <t>für die Erkennung von Schadcode unterschiedliche Scan-Engines</t>
        </is>
      </c>
      <c r="T128" s="12" t="inlineStr">
        <is>
          <t>G 0.39 – Schadprogramme; G 0.18 – Fehlplanung oder fehlende Anpassung</t>
        </is>
      </c>
      <c r="U128" s="11" t="n">
        <v>5</v>
      </c>
      <c r="V128" s="11" t="n">
        <v>2</v>
      </c>
      <c r="W128" s="11" t="n">
        <v>2</v>
      </c>
      <c r="X128" s="11" t="n">
        <v>2</v>
      </c>
      <c r="Y128" s="11" t="n">
        <v>0</v>
      </c>
    </row>
    <row r="129">
      <c r="A129" s="9" t="inlineStr">
        <is>
          <t>KONF.7.9</t>
        </is>
      </c>
      <c r="B129" s="10" t="inlineStr">
        <is>
          <t>Einschränkung der Installation</t>
        </is>
      </c>
      <c r="C129" s="11" t="n"/>
      <c r="D129" s="11" t="inlineStr">
        <is>
          <t>Standard-Anforderungen</t>
        </is>
      </c>
      <c r="E129" s="12" t="inlineStr">
        <is>
          <t>Gesamt:</t>
        </is>
      </c>
      <c r="F129" s="11" t="n"/>
      <c r="G129" s="11" t="n"/>
      <c r="H129" s="13">
        <f>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
      </c>
      <c r="I129" s="11" t="n"/>
      <c r="J129" s="11" t="n"/>
      <c r="K129" s="11" t="n"/>
      <c r="L129" s="11" t="n"/>
      <c r="M129" s="11" t="inlineStr">
        <is>
          <t>Vertraulichkeit, Integrität, Verfügbarkeit</t>
        </is>
      </c>
      <c r="N129" s="12" t="inlineStr">
        <is>
          <t>APP.6.A5-UA.1</t>
        </is>
      </c>
      <c r="O129" s="11" t="inlineStr">
        <is>
          <t>intersects-with</t>
        </is>
      </c>
      <c r="P129" s="12" t="inlineStr">
        <is>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is>
      </c>
      <c r="Q129" s="11" t="inlineStr">
        <is>
          <t>IT-Systeme</t>
        </is>
      </c>
      <c r="R129" s="11" t="inlineStr">
        <is>
          <t>Konfigurationshistorie</t>
        </is>
      </c>
      <c r="S129" s="12" t="inlineStr">
        <is>
          <t>die Installation von Anwendungen</t>
        </is>
      </c>
      <c r="T129" s="12" t="inlineStr">
        <is>
          <t>G 0.39 – Schadprogramme; G 0.20 – Informationen oder Produkte aus unzuverlässiger Quelle</t>
        </is>
      </c>
      <c r="U129" s="11" t="n">
        <v>2</v>
      </c>
      <c r="V129" s="11" t="n">
        <v>2</v>
      </c>
      <c r="W129" s="11" t="n">
        <v>2</v>
      </c>
      <c r="X129" s="11" t="n">
        <v>2</v>
      </c>
      <c r="Y129" s="11" t="n">
        <v>1</v>
      </c>
    </row>
    <row r="130">
      <c r="A130" s="11" t="inlineStr">
        <is>
          <t>KONF.7.9</t>
        </is>
      </c>
      <c r="B130" s="12" t="inlineStr">
        <is>
          <t>Einschränkung der Installation</t>
        </is>
      </c>
      <c r="C130" s="11" t="inlineStr">
        <is>
          <t>KONF.7.9</t>
        </is>
      </c>
      <c r="D130" s="11" t="inlineStr">
        <is>
          <t>Standard-Anforderungen</t>
        </is>
      </c>
      <c r="E130" s="12" t="inlineStr">
        <is>
          <t>Konfiguration für IT-Systeme SOLLTE die Installation von Anwendungen einschränken.</t>
        </is>
      </c>
      <c r="F130" s="14" t="n"/>
      <c r="G130" s="14" t="n"/>
      <c r="H130" s="14" t="inlineStr">
        <is>
          <t>unbearbeitet</t>
        </is>
      </c>
      <c r="I130" s="14" t="n"/>
      <c r="J130" s="14" t="n"/>
      <c r="K130" s="14" t="n"/>
      <c r="L130" s="15" t="n"/>
      <c r="M130" s="11" t="inlineStr">
        <is>
          <t>Vertraulichkeit, Integrität, Verfügbarkeit</t>
        </is>
      </c>
      <c r="N130" s="12" t="inlineStr">
        <is>
          <t>APP.6.A5-UA.1</t>
        </is>
      </c>
      <c r="O130" s="11" t="inlineStr">
        <is>
          <t>intersects-with</t>
        </is>
      </c>
      <c r="P130" s="12" t="inlineStr">
        <is>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is>
      </c>
      <c r="Q130" s="11" t="inlineStr">
        <is>
          <t>IT-Systeme</t>
        </is>
      </c>
      <c r="R130" s="11" t="inlineStr">
        <is>
          <t>Konfigurationshistorie</t>
        </is>
      </c>
      <c r="S130" s="12" t="inlineStr">
        <is>
          <t>die Installation von Anwendungen</t>
        </is>
      </c>
      <c r="T130" s="12" t="inlineStr">
        <is>
          <t>G 0.39 – Schadprogramme; G 0.20 – Informationen oder Produkte aus unzuverlässiger Quelle</t>
        </is>
      </c>
      <c r="U130" s="11" t="n">
        <v>2</v>
      </c>
      <c r="V130" s="11" t="n">
        <v>2</v>
      </c>
      <c r="W130" s="11" t="n">
        <v>2</v>
      </c>
      <c r="X130" s="11" t="n">
        <v>2</v>
      </c>
      <c r="Y130" s="11" t="n">
        <v>1</v>
      </c>
    </row>
    <row r="131">
      <c r="A131" s="9" t="inlineStr">
        <is>
          <t>KONF.7.10</t>
        </is>
      </c>
      <c r="B131" s="10" t="inlineStr">
        <is>
          <t>Einschränkung der Ausführung</t>
        </is>
      </c>
      <c r="C131" s="11" t="n"/>
      <c r="D131" s="11" t="inlineStr">
        <is>
          <t>Standard-Anforderungen</t>
        </is>
      </c>
      <c r="E131" s="12" t="inlineStr">
        <is>
          <t>Gesamt:</t>
        </is>
      </c>
      <c r="F131" s="11" t="n"/>
      <c r="G131" s="11" t="n"/>
      <c r="H131" s="13">
        <f>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
      </c>
      <c r="I131" s="11" t="n"/>
      <c r="J131" s="11" t="n"/>
      <c r="K131" s="11" t="n"/>
      <c r="L131" s="11" t="n"/>
      <c r="M131" s="11" t="inlineStr">
        <is>
          <t>Vertraulichkeit, Integrität, Verfügbarkeit</t>
        </is>
      </c>
      <c r="N131" s="12" t="inlineStr"/>
      <c r="O131" s="11" t="inlineStr"/>
      <c r="P131" s="12" t="inlineStr">
        <is>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is>
      </c>
      <c r="Q131" s="11" t="inlineStr">
        <is>
          <t>IT-Systeme</t>
        </is>
      </c>
      <c r="R131" s="11" t="inlineStr">
        <is>
          <t>Konfigurationshistorie</t>
        </is>
      </c>
      <c r="S131" s="12" t="inlineStr">
        <is>
          <t>die Ausführung nicht autorisierter Anwendungen</t>
        </is>
      </c>
      <c r="T131" s="12" t="inlineStr">
        <is>
          <t>G 0.30 – Unberechtigte Nutzung oder Administration von Geräten und Systemen; G 0.39 – Schadprogramme</t>
        </is>
      </c>
      <c r="U131" s="11" t="n">
        <v>4</v>
      </c>
      <c r="V131" s="11" t="n">
        <v>2</v>
      </c>
      <c r="W131" s="11" t="n">
        <v>2</v>
      </c>
      <c r="X131" s="11" t="n">
        <v>2</v>
      </c>
      <c r="Y131" s="11" t="n">
        <v>1</v>
      </c>
    </row>
    <row r="132">
      <c r="A132" s="11" t="inlineStr">
        <is>
          <t>KONF.7.10</t>
        </is>
      </c>
      <c r="B132" s="12" t="inlineStr">
        <is>
          <t>Einschränkung der Ausführung</t>
        </is>
      </c>
      <c r="C132" s="11" t="inlineStr">
        <is>
          <t>KONF.7.10</t>
        </is>
      </c>
      <c r="D132" s="11" t="inlineStr">
        <is>
          <t>Standard-Anforderungen</t>
        </is>
      </c>
      <c r="E132" s="12" t="inlineStr">
        <is>
          <t>Konfiguration für IT-Systeme SOLLTE die Ausführung nicht autorisierter Anwendungen einschränken.</t>
        </is>
      </c>
      <c r="F132" s="14" t="n"/>
      <c r="G132" s="14" t="n"/>
      <c r="H132" s="14" t="inlineStr">
        <is>
          <t>unbearbeitet</t>
        </is>
      </c>
      <c r="I132" s="14" t="n"/>
      <c r="J132" s="14" t="n"/>
      <c r="K132" s="14" t="n"/>
      <c r="L132" s="15" t="n"/>
      <c r="M132" s="11" t="inlineStr">
        <is>
          <t>Vertraulichkeit, Integrität, Verfügbarkeit</t>
        </is>
      </c>
      <c r="N132" s="12" t="inlineStr"/>
      <c r="O132" s="11" t="inlineStr"/>
      <c r="P132" s="12" t="inlineStr">
        <is>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is>
      </c>
      <c r="Q132" s="11" t="inlineStr">
        <is>
          <t>IT-Systeme</t>
        </is>
      </c>
      <c r="R132" s="11" t="inlineStr">
        <is>
          <t>Konfigurationshistorie</t>
        </is>
      </c>
      <c r="S132" s="12" t="inlineStr">
        <is>
          <t>die Ausführung nicht autorisierter Anwendungen</t>
        </is>
      </c>
      <c r="T132" s="12" t="inlineStr">
        <is>
          <t>G 0.30 – Unberechtigte Nutzung oder Administration von Geräten und Systemen; G 0.39 – Schadprogramme</t>
        </is>
      </c>
      <c r="U132" s="11" t="n">
        <v>4</v>
      </c>
      <c r="V132" s="11" t="n">
        <v>2</v>
      </c>
      <c r="W132" s="11" t="n">
        <v>2</v>
      </c>
      <c r="X132" s="11" t="n">
        <v>2</v>
      </c>
      <c r="Y132" s="11" t="n">
        <v>1</v>
      </c>
    </row>
    <row r="133">
      <c r="A133" s="9" t="inlineStr">
        <is>
          <t>KONF.7.11</t>
        </is>
      </c>
      <c r="B133" s="10" t="inlineStr">
        <is>
          <t>Einschränkung von Softwarebibliotheken</t>
        </is>
      </c>
      <c r="C133" s="11" t="n"/>
      <c r="D133" s="11" t="inlineStr">
        <is>
          <t>Anforderungen bei erhöhtem Schutzbedarf</t>
        </is>
      </c>
      <c r="E133" s="12" t="inlineStr">
        <is>
          <t>Gesamt:</t>
        </is>
      </c>
      <c r="F133" s="11" t="n"/>
      <c r="G133" s="11" t="n"/>
      <c r="H133" s="13">
        <f>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
      </c>
      <c r="I133" s="11" t="n"/>
      <c r="J133" s="11" t="n"/>
      <c r="K133" s="11" t="n"/>
      <c r="L133" s="11" t="n"/>
      <c r="M133" s="11" t="inlineStr">
        <is>
          <t>Vertraulichkeit, Integrität, Verfügbarkeit</t>
        </is>
      </c>
      <c r="N133" s="12" t="inlineStr"/>
      <c r="O133" s="11" t="inlineStr"/>
      <c r="P133" s="12" t="inlineStr">
        <is>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is>
      </c>
      <c r="Q133" s="11" t="inlineStr">
        <is>
          <t>IT-Systeme</t>
        </is>
      </c>
      <c r="R133" s="11" t="inlineStr">
        <is>
          <t>Konfigurationshistorie</t>
        </is>
      </c>
      <c r="S133" s="12" t="inlineStr">
        <is>
          <t>die Ausführung nicht autorisierter Softwarebibliotheken</t>
        </is>
      </c>
      <c r="T133" s="12" t="inlineStr">
        <is>
          <t>G 0.30 – Unberechtigte Nutzung oder Administration von Geräten und Systemen; G 0.39 – Schadprogramme</t>
        </is>
      </c>
      <c r="U133" s="11" t="n">
        <v>5</v>
      </c>
      <c r="V133" s="11" t="n">
        <v>2</v>
      </c>
      <c r="W133" s="11" t="n">
        <v>2</v>
      </c>
      <c r="X133" s="11" t="n">
        <v>2</v>
      </c>
      <c r="Y133" s="11" t="n">
        <v>1</v>
      </c>
    </row>
    <row r="134">
      <c r="A134" s="11" t="inlineStr">
        <is>
          <t>KONF.7.11</t>
        </is>
      </c>
      <c r="B134" s="12" t="inlineStr">
        <is>
          <t>Einschränkung von Softwarebibliotheken</t>
        </is>
      </c>
      <c r="C134" s="11" t="inlineStr">
        <is>
          <t>KONF.7.11</t>
        </is>
      </c>
      <c r="D134" s="11" t="inlineStr">
        <is>
          <t>Anforderungen bei erhöhtem Schutzbedarf</t>
        </is>
      </c>
      <c r="E134" s="12" t="inlineStr">
        <is>
          <t>Konfiguration für IT-Systeme KANN die Ausführung nicht autorisierter Softwarebibliotheken einschränken.</t>
        </is>
      </c>
      <c r="F134" s="14" t="n"/>
      <c r="G134" s="14" t="n"/>
      <c r="H134" s="14" t="inlineStr">
        <is>
          <t>unbearbeitet</t>
        </is>
      </c>
      <c r="I134" s="14" t="n"/>
      <c r="J134" s="14" t="n"/>
      <c r="K134" s="14" t="n"/>
      <c r="L134" s="15" t="n"/>
      <c r="M134" s="11" t="inlineStr">
        <is>
          <t>Vertraulichkeit, Integrität, Verfügbarkeit</t>
        </is>
      </c>
      <c r="N134" s="12" t="inlineStr"/>
      <c r="O134" s="11" t="inlineStr"/>
      <c r="P134" s="12" t="inlineStr">
        <is>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is>
      </c>
      <c r="Q134" s="11" t="inlineStr">
        <is>
          <t>IT-Systeme</t>
        </is>
      </c>
      <c r="R134" s="11" t="inlineStr">
        <is>
          <t>Konfigurationshistorie</t>
        </is>
      </c>
      <c r="S134" s="12" t="inlineStr">
        <is>
          <t>die Ausführung nicht autorisierter Softwarebibliotheken</t>
        </is>
      </c>
      <c r="T134" s="12" t="inlineStr">
        <is>
          <t>G 0.30 – Unberechtigte Nutzung oder Administration von Geräten und Systemen; G 0.39 – Schadprogramme</t>
        </is>
      </c>
      <c r="U134" s="11" t="n">
        <v>5</v>
      </c>
      <c r="V134" s="11" t="n">
        <v>2</v>
      </c>
      <c r="W134" s="11" t="n">
        <v>2</v>
      </c>
      <c r="X134" s="11" t="n">
        <v>2</v>
      </c>
      <c r="Y134" s="11" t="n">
        <v>1</v>
      </c>
    </row>
    <row r="135">
      <c r="A135" s="9" t="inlineStr">
        <is>
          <t>KONF.7.12</t>
        </is>
      </c>
      <c r="B135" s="10" t="inlineStr">
        <is>
          <t>Einschränkung von Skripten</t>
        </is>
      </c>
      <c r="C135" s="11" t="n"/>
      <c r="D135" s="11" t="inlineStr">
        <is>
          <t>Anforderungen bei erhöhtem Schutzbedarf</t>
        </is>
      </c>
      <c r="E135" s="12" t="inlineStr">
        <is>
          <t>Gesamt:</t>
        </is>
      </c>
      <c r="F135" s="11" t="n"/>
      <c r="G135" s="11" t="n"/>
      <c r="H135" s="13">
        <f>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
      </c>
      <c r="I135" s="11" t="n"/>
      <c r="J135" s="11" t="n"/>
      <c r="K135" s="11" t="n"/>
      <c r="L135" s="11" t="n"/>
      <c r="M135" s="11" t="inlineStr">
        <is>
          <t>Vertraulichkeit, Integrität, Verfügbarkeit</t>
        </is>
      </c>
      <c r="N135" s="12" t="inlineStr">
        <is>
          <t>SYS.1.2.3.A7-UA.5</t>
        </is>
      </c>
      <c r="O135" s="11" t="inlineStr">
        <is>
          <t>intersects-with</t>
        </is>
      </c>
      <c r="P135" s="12" t="inlineStr">
        <is>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is>
      </c>
      <c r="Q135" s="11" t="inlineStr">
        <is>
          <t>IT-Systeme</t>
        </is>
      </c>
      <c r="R135" s="11" t="inlineStr">
        <is>
          <t>Konfigurationshistorie</t>
        </is>
      </c>
      <c r="S135" s="12" t="inlineStr">
        <is>
          <t>die Ausführung nicht autorisierter Skripte</t>
        </is>
      </c>
      <c r="T135" s="12" t="inlineStr">
        <is>
          <t>G 0.30 – Unberechtigte Nutzung oder Administration von Geräten und Systemen; G 0.39 – Schadprogramme</t>
        </is>
      </c>
      <c r="U135" s="11" t="n">
        <v>5</v>
      </c>
      <c r="V135" s="11" t="n">
        <v>2</v>
      </c>
      <c r="W135" s="11" t="n">
        <v>2</v>
      </c>
      <c r="X135" s="11" t="n">
        <v>2</v>
      </c>
      <c r="Y135" s="11" t="n">
        <v>1</v>
      </c>
    </row>
    <row r="136">
      <c r="A136" s="11" t="inlineStr">
        <is>
          <t>KONF.7.12</t>
        </is>
      </c>
      <c r="B136" s="12" t="inlineStr">
        <is>
          <t>Einschränkung von Skripten</t>
        </is>
      </c>
      <c r="C136" s="11" t="inlineStr">
        <is>
          <t>KONF.7.12</t>
        </is>
      </c>
      <c r="D136" s="11" t="inlineStr">
        <is>
          <t>Anforderungen bei erhöhtem Schutzbedarf</t>
        </is>
      </c>
      <c r="E136" s="12" t="inlineStr">
        <is>
          <t>Konfiguration für IT-Systeme KANN die Ausführung nicht autorisierter Skripte einschränken.</t>
        </is>
      </c>
      <c r="F136" s="14" t="n"/>
      <c r="G136" s="14" t="n"/>
      <c r="H136" s="14" t="inlineStr">
        <is>
          <t>unbearbeitet</t>
        </is>
      </c>
      <c r="I136" s="14" t="n"/>
      <c r="J136" s="14" t="n"/>
      <c r="K136" s="14" t="n"/>
      <c r="L136" s="15" t="n"/>
      <c r="M136" s="11" t="inlineStr">
        <is>
          <t>Vertraulichkeit, Integrität, Verfügbarkeit</t>
        </is>
      </c>
      <c r="N136" s="12" t="inlineStr">
        <is>
          <t>SYS.1.2.3.A7-UA.5</t>
        </is>
      </c>
      <c r="O136" s="11" t="inlineStr">
        <is>
          <t>intersects-with</t>
        </is>
      </c>
      <c r="P136" s="12" t="inlineStr">
        <is>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is>
      </c>
      <c r="Q136" s="11" t="inlineStr">
        <is>
          <t>IT-Systeme</t>
        </is>
      </c>
      <c r="R136" s="11" t="inlineStr">
        <is>
          <t>Konfigurationshistorie</t>
        </is>
      </c>
      <c r="S136" s="12" t="inlineStr">
        <is>
          <t>die Ausführung nicht autorisierter Skripte</t>
        </is>
      </c>
      <c r="T136" s="12" t="inlineStr">
        <is>
          <t>G 0.30 – Unberechtigte Nutzung oder Administration von Geräten und Systemen; G 0.39 – Schadprogramme</t>
        </is>
      </c>
      <c r="U136" s="11" t="n">
        <v>5</v>
      </c>
      <c r="V136" s="11" t="n">
        <v>2</v>
      </c>
      <c r="W136" s="11" t="n">
        <v>2</v>
      </c>
      <c r="X136" s="11" t="n">
        <v>2</v>
      </c>
      <c r="Y136" s="11" t="n">
        <v>1</v>
      </c>
    </row>
    <row r="137">
      <c r="A137" s="9" t="inlineStr">
        <is>
          <t>KONF.7.13</t>
        </is>
      </c>
      <c r="B137" s="10" t="inlineStr">
        <is>
          <t>Einschränkung von Systemaufrufen</t>
        </is>
      </c>
      <c r="C137" s="11" t="n"/>
      <c r="D137" s="11" t="inlineStr">
        <is>
          <t>Anforderungen bei erhöhtem Schutzbedarf</t>
        </is>
      </c>
      <c r="E137" s="12" t="inlineStr">
        <is>
          <t>Gesamt:</t>
        </is>
      </c>
      <c r="F137" s="11" t="n"/>
      <c r="G137" s="11" t="n"/>
      <c r="H137" s="13">
        <f>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
      </c>
      <c r="I137" s="11" t="n"/>
      <c r="J137" s="11" t="n"/>
      <c r="K137" s="11" t="n"/>
      <c r="L137" s="11" t="n"/>
      <c r="M137" s="11" t="inlineStr">
        <is>
          <t>Vertraulichkeit, Integrität, Verfügbarkeit</t>
        </is>
      </c>
      <c r="N137" s="12" t="inlineStr"/>
      <c r="O137" s="11" t="inlineStr"/>
      <c r="P137" s="12" t="inlineStr">
        <is>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is>
      </c>
      <c r="Q137" s="11" t="inlineStr">
        <is>
          <t>IT-Systeme</t>
        </is>
      </c>
      <c r="R137" s="11" t="inlineStr">
        <is>
          <t>Konfigurationshistorie</t>
        </is>
      </c>
      <c r="S137" s="12" t="inlineStr">
        <is>
          <t>Systemaufrufe</t>
        </is>
      </c>
      <c r="T137" s="12" t="inlineStr">
        <is>
          <t>G 0.30 – Unberechtigte Nutzung oder Administration von Geräten und Systemen; G 0.39 – Schadprogramme</t>
        </is>
      </c>
      <c r="U137" s="11" t="n">
        <v>5</v>
      </c>
      <c r="V137" s="11" t="n">
        <v>2</v>
      </c>
      <c r="W137" s="11" t="n">
        <v>2</v>
      </c>
      <c r="X137" s="11" t="n">
        <v>2</v>
      </c>
      <c r="Y137" s="11" t="n">
        <v>1</v>
      </c>
    </row>
    <row r="138">
      <c r="A138" s="11" t="inlineStr">
        <is>
          <t>KONF.7.13</t>
        </is>
      </c>
      <c r="B138" s="12" t="inlineStr">
        <is>
          <t>Einschränkung von Systemaufrufen</t>
        </is>
      </c>
      <c r="C138" s="11" t="inlineStr">
        <is>
          <t>KONF.7.13</t>
        </is>
      </c>
      <c r="D138" s="11" t="inlineStr">
        <is>
          <t>Anforderungen bei erhöhtem Schutzbedarf</t>
        </is>
      </c>
      <c r="E138" s="12" t="inlineStr">
        <is>
          <t>Konfiguration für IT-Systeme KANN Systemaufrufe pro Anwendung einschränken.</t>
        </is>
      </c>
      <c r="F138" s="14" t="n"/>
      <c r="G138" s="14" t="n"/>
      <c r="H138" s="14" t="inlineStr">
        <is>
          <t>unbearbeitet</t>
        </is>
      </c>
      <c r="I138" s="14" t="n"/>
      <c r="J138" s="14" t="n"/>
      <c r="K138" s="14" t="n"/>
      <c r="L138" s="15" t="n"/>
      <c r="M138" s="11" t="inlineStr">
        <is>
          <t>Vertraulichkeit, Integrität, Verfügbarkeit</t>
        </is>
      </c>
      <c r="N138" s="12" t="inlineStr"/>
      <c r="O138" s="11" t="inlineStr"/>
      <c r="P138" s="12" t="inlineStr">
        <is>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is>
      </c>
      <c r="Q138" s="11" t="inlineStr">
        <is>
          <t>IT-Systeme</t>
        </is>
      </c>
      <c r="R138" s="11" t="inlineStr">
        <is>
          <t>Konfigurationshistorie</t>
        </is>
      </c>
      <c r="S138" s="12" t="inlineStr">
        <is>
          <t>Systemaufrufe</t>
        </is>
      </c>
      <c r="T138" s="12" t="inlineStr">
        <is>
          <t>G 0.30 – Unberechtigte Nutzung oder Administration von Geräten und Systemen; G 0.39 – Schadprogramme</t>
        </is>
      </c>
      <c r="U138" s="11" t="n">
        <v>5</v>
      </c>
      <c r="V138" s="11" t="n">
        <v>2</v>
      </c>
      <c r="W138" s="11" t="n">
        <v>2</v>
      </c>
      <c r="X138" s="11" t="n">
        <v>2</v>
      </c>
      <c r="Y138" s="11" t="n">
        <v>1</v>
      </c>
    </row>
    <row r="139">
      <c r="A139" s="9" t="inlineStr">
        <is>
          <t>KONF.7.14</t>
        </is>
      </c>
      <c r="B139" s="10" t="inlineStr">
        <is>
          <t>Code-Signierung im Betriebssystemkern</t>
        </is>
      </c>
      <c r="C139" s="11" t="n"/>
      <c r="D139" s="11" t="inlineStr">
        <is>
          <t>Standard-Anforderungen</t>
        </is>
      </c>
      <c r="E139" s="12" t="inlineStr">
        <is>
          <t>Gesamt:</t>
        </is>
      </c>
      <c r="F139" s="11" t="n"/>
      <c r="G139" s="11" t="n"/>
      <c r="H139" s="13">
        <f>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
      </c>
      <c r="I139" s="11" t="n"/>
      <c r="J139" s="11" t="n"/>
      <c r="K139" s="11" t="n"/>
      <c r="L139" s="11" t="n"/>
      <c r="M139" s="11" t="inlineStr">
        <is>
          <t>Vertraulichkeit, Integrität, Verfügbarkeit</t>
        </is>
      </c>
      <c r="N139" s="12" t="inlineStr"/>
      <c r="O139" s="11" t="inlineStr"/>
      <c r="P139" s="12" t="inlineStr">
        <is>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is>
      </c>
      <c r="Q139" s="11" t="inlineStr">
        <is>
          <t>IT-Systeme</t>
        </is>
      </c>
      <c r="R139" s="11" t="inlineStr">
        <is>
          <t>Konfigurationshistorie</t>
        </is>
      </c>
      <c r="S139" s="12" t="inlineStr">
        <is>
          <t>Code-Signierung im Betriebssystemkern</t>
        </is>
      </c>
      <c r="T139" s="12" t="inlineStr">
        <is>
          <t>G 0.39 – Schadprogramme; G 0.21 – Manipulation von Hard- oder Software</t>
        </is>
      </c>
      <c r="U139" s="11" t="n">
        <v>4</v>
      </c>
      <c r="V139" s="11" t="n">
        <v>2</v>
      </c>
      <c r="W139" s="11" t="n">
        <v>2</v>
      </c>
      <c r="X139" s="11" t="n">
        <v>2</v>
      </c>
      <c r="Y139" s="11" t="n">
        <v>1</v>
      </c>
    </row>
    <row r="140">
      <c r="A140" s="11" t="inlineStr">
        <is>
          <t>KONF.7.14</t>
        </is>
      </c>
      <c r="B140" s="12" t="inlineStr">
        <is>
          <t>Code-Signierung im Betriebssystemkern</t>
        </is>
      </c>
      <c r="C140" s="11" t="inlineStr">
        <is>
          <t>KONF.7.14</t>
        </is>
      </c>
      <c r="D140" s="11" t="inlineStr">
        <is>
          <t>Standard-Anforderungen</t>
        </is>
      </c>
      <c r="E140" s="12" t="inlineStr">
        <is>
          <t>Konfiguration für IT-Systeme SOLLTE Code-Signierung im Betriebssystemkern aktivieren.</t>
        </is>
      </c>
      <c r="F140" s="14" t="n"/>
      <c r="G140" s="14" t="n"/>
      <c r="H140" s="14" t="inlineStr">
        <is>
          <t>unbearbeitet</t>
        </is>
      </c>
      <c r="I140" s="14" t="n"/>
      <c r="J140" s="14" t="n"/>
      <c r="K140" s="14" t="n"/>
      <c r="L140" s="15" t="n"/>
      <c r="M140" s="11" t="inlineStr">
        <is>
          <t>Vertraulichkeit, Integrität, Verfügbarkeit</t>
        </is>
      </c>
      <c r="N140" s="12" t="inlineStr"/>
      <c r="O140" s="11" t="inlineStr"/>
      <c r="P140" s="12" t="inlineStr">
        <is>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is>
      </c>
      <c r="Q140" s="11" t="inlineStr">
        <is>
          <t>IT-Systeme</t>
        </is>
      </c>
      <c r="R140" s="11" t="inlineStr">
        <is>
          <t>Konfigurationshistorie</t>
        </is>
      </c>
      <c r="S140" s="12" t="inlineStr">
        <is>
          <t>Code-Signierung im Betriebssystemkern</t>
        </is>
      </c>
      <c r="T140" s="12" t="inlineStr">
        <is>
          <t>G 0.39 – Schadprogramme; G 0.21 – Manipulation von Hard- oder Software</t>
        </is>
      </c>
      <c r="U140" s="11" t="n">
        <v>4</v>
      </c>
      <c r="V140" s="11" t="n">
        <v>2</v>
      </c>
      <c r="W140" s="11" t="n">
        <v>2</v>
      </c>
      <c r="X140" s="11" t="n">
        <v>2</v>
      </c>
      <c r="Y140" s="11" t="n">
        <v>1</v>
      </c>
    </row>
    <row r="141">
      <c r="A141" s="9" t="inlineStr">
        <is>
          <t>KONF.7.15</t>
        </is>
      </c>
      <c r="B141" s="10" t="inlineStr">
        <is>
          <t>Lokale Firewall</t>
        </is>
      </c>
      <c r="C141" s="11" t="n"/>
      <c r="D141" s="11" t="inlineStr">
        <is>
          <t>Standard-Anforderungen</t>
        </is>
      </c>
      <c r="E141" s="12" t="inlineStr">
        <is>
          <t>Gesamt:</t>
        </is>
      </c>
      <c r="F141" s="11" t="n"/>
      <c r="G141" s="11" t="n"/>
      <c r="H141" s="13">
        <f>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
      </c>
      <c r="I141" s="11" t="n"/>
      <c r="J141" s="11" t="n"/>
      <c r="K141" s="11" t="n"/>
      <c r="L141" s="11" t="n"/>
      <c r="M141" s="11" t="inlineStr">
        <is>
          <t>Vertraulichkeit, Integrität</t>
        </is>
      </c>
      <c r="N141" s="12" t="inlineStr">
        <is>
          <t>CON.7.A7-UA.6</t>
        </is>
      </c>
      <c r="O141" s="11" t="inlineStr">
        <is>
          <t>subset-of</t>
        </is>
      </c>
      <c r="P141" s="12" t="inlineStr">
        <is>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is>
      </c>
      <c r="Q141" s="11" t="inlineStr">
        <is>
          <t>IT-Systeme</t>
        </is>
      </c>
      <c r="R141" s="11" t="inlineStr">
        <is>
          <t>Konfigurationshistorie</t>
        </is>
      </c>
      <c r="S141" s="12" t="inlineStr">
        <is>
          <t>ein- und ausgehende Netzverbindungen</t>
        </is>
      </c>
      <c r="T141" s="12" t="inlineStr">
        <is>
          <t>G 0.23 – Unbefugtes Eindringen in IT-Systeme; G 0.18 – Fehlplanung oder fehlende Anpassung</t>
        </is>
      </c>
      <c r="U141" s="11" t="n">
        <v>2</v>
      </c>
      <c r="V141" s="11" t="n">
        <v>2</v>
      </c>
      <c r="W141" s="11" t="n">
        <v>2</v>
      </c>
      <c r="X141" s="11" t="n">
        <v>1</v>
      </c>
      <c r="Y141" s="11" t="n">
        <v>0</v>
      </c>
    </row>
    <row r="142">
      <c r="A142" s="11" t="inlineStr">
        <is>
          <t>KONF.7.15</t>
        </is>
      </c>
      <c r="B142" s="12" t="inlineStr">
        <is>
          <t>Lokale Firewall</t>
        </is>
      </c>
      <c r="C142" s="11" t="inlineStr">
        <is>
          <t>KONF.7.15</t>
        </is>
      </c>
      <c r="D142" s="11" t="inlineStr">
        <is>
          <t>Standard-Anforderungen</t>
        </is>
      </c>
      <c r="E142" s="12" t="inlineStr">
        <is>
          <t>Konfiguration für IT-Systeme SOLLTE ein- und ausgehende Netzverbindungen einschränken.</t>
        </is>
      </c>
      <c r="F142" s="14" t="n"/>
      <c r="G142" s="14" t="n"/>
      <c r="H142" s="14" t="inlineStr">
        <is>
          <t>unbearbeitet</t>
        </is>
      </c>
      <c r="I142" s="14" t="n"/>
      <c r="J142" s="14" t="n"/>
      <c r="K142" s="14" t="n"/>
      <c r="L142" s="15" t="n"/>
      <c r="M142" s="11" t="inlineStr">
        <is>
          <t>Vertraulichkeit, Integrität</t>
        </is>
      </c>
      <c r="N142" s="12" t="inlineStr">
        <is>
          <t>CON.7.A7-UA.6</t>
        </is>
      </c>
      <c r="O142" s="11" t="inlineStr">
        <is>
          <t>subset-of</t>
        </is>
      </c>
      <c r="P142" s="12" t="inlineStr">
        <is>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is>
      </c>
      <c r="Q142" s="11" t="inlineStr">
        <is>
          <t>IT-Systeme</t>
        </is>
      </c>
      <c r="R142" s="11" t="inlineStr">
        <is>
          <t>Konfigurationshistorie</t>
        </is>
      </c>
      <c r="S142" s="12" t="inlineStr">
        <is>
          <t>ein- und ausgehende Netzverbindungen</t>
        </is>
      </c>
      <c r="T142" s="12" t="inlineStr">
        <is>
          <t>G 0.23 – Unbefugtes Eindringen in IT-Systeme; G 0.18 – Fehlplanung oder fehlende Anpassung</t>
        </is>
      </c>
      <c r="U142" s="11" t="n">
        <v>2</v>
      </c>
      <c r="V142" s="11" t="n">
        <v>2</v>
      </c>
      <c r="W142" s="11" t="n">
        <v>2</v>
      </c>
      <c r="X142" s="11" t="n">
        <v>1</v>
      </c>
      <c r="Y142" s="11" t="n">
        <v>0</v>
      </c>
    </row>
    <row r="143">
      <c r="A143" s="9" t="inlineStr">
        <is>
          <t>KONF.7.16</t>
        </is>
      </c>
      <c r="B143" s="10" t="inlineStr">
        <is>
          <t>Anti-Exploit</t>
        </is>
      </c>
      <c r="C143" s="11" t="n"/>
      <c r="D143" s="11" t="inlineStr">
        <is>
          <t>Standard-Anforderungen</t>
        </is>
      </c>
      <c r="E143" s="12" t="inlineStr">
        <is>
          <t>Gesamt:</t>
        </is>
      </c>
      <c r="F143" s="11" t="n"/>
      <c r="G143" s="11" t="n"/>
      <c r="H143" s="13">
        <f>IF(OR(COUNTBLANK($H$144:$H$145)&gt;0,COUNTIF($H$144:$H$145,"unbearbeitet")=COUNTA($H$144:$H$145)),"Bitte Teilanforderungen ausfüllen",IF(COUNTIF($H$144:$H$145,"zu klären")&gt;0,"zu klären",IF(COUNTIF($H$144:$H$145,"entbehrlich")=COUNTA($H$144:$H$145),"entbehrlich",IF(COUNTIF($H$144:$H$145,"verwiesen")=COUNTA($H$144:$H$145),"verwiesen",IF(COUNTIF($H$144:$H$145,"nein")+COUNTIF($H$144:$H$145,"entbehrlich")=COUNTA($H$144:$H$145),"nein",IF(COUNTIF($H$144:$H$145,"ja")+COUNTIF($H$144:$H$145,"entbehrlich")+COUNTIF($H$144:$H$145,"verwiesen")=COUNTA($H$144:$H$145),"ja","teilweise"))))))</f>
        <v/>
      </c>
      <c r="I143" s="11" t="n"/>
      <c r="J143" s="11" t="n"/>
      <c r="K143" s="11" t="n"/>
      <c r="L143" s="11" t="n"/>
      <c r="M143" s="11" t="inlineStr">
        <is>
          <t>Vertraulichkeit, Integrität</t>
        </is>
      </c>
      <c r="N143" s="12" t="inlineStr"/>
      <c r="O143" s="11" t="inlineStr"/>
      <c r="P143" s="12" t="inlineStr">
        <is>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is>
      </c>
      <c r="Q143" s="11" t="inlineStr">
        <is>
          <t>IT-Systeme</t>
        </is>
      </c>
      <c r="R143" s="11" t="inlineStr">
        <is>
          <t>Konfigurationshistorie</t>
        </is>
      </c>
      <c r="S143" s="12" t="inlineStr">
        <is>
          <t>Systemfunktionen zum Schutz des Systems vor der Ausnutzung bekannter Sicherheitslücken</t>
        </is>
      </c>
      <c r="T143" s="12" t="inlineStr">
        <is>
          <t>G 0.28 – Software-Schwachstellen oder -Fehler; G 0.23 – Unbefugtes Eindringen in IT-Systeme</t>
        </is>
      </c>
      <c r="U143" s="11" t="n">
        <v>3</v>
      </c>
      <c r="V143" s="11" t="n">
        <v>2</v>
      </c>
      <c r="W143" s="11" t="n">
        <v>2</v>
      </c>
      <c r="X143" s="11" t="n">
        <v>1</v>
      </c>
      <c r="Y143" s="11" t="n">
        <v>0</v>
      </c>
    </row>
    <row r="144">
      <c r="A144" s="11" t="inlineStr">
        <is>
          <t>KONF.7.16</t>
        </is>
      </c>
      <c r="B144" s="12" t="inlineStr">
        <is>
          <t>Anti-Exploit</t>
        </is>
      </c>
      <c r="C144" s="11" t="inlineStr">
        <is>
          <t>KONF.7.16</t>
        </is>
      </c>
      <c r="D144" s="11" t="inlineStr">
        <is>
          <t>Standard-Anforderungen</t>
        </is>
      </c>
      <c r="E144" s="12" t="inlineStr">
        <is>
          <t>Konfiguration für IT-Systeme SOLLTE Systemfunktionen zum Schutz des Systems vor der Ausnutzung bekannter Sicherheitslücken aktivieren.</t>
        </is>
      </c>
      <c r="F144" s="14" t="n"/>
      <c r="G144" s="14" t="n"/>
      <c r="H144" s="14" t="inlineStr">
        <is>
          <t>unbearbeitet</t>
        </is>
      </c>
      <c r="I144" s="14" t="n"/>
      <c r="J144" s="14" t="n"/>
      <c r="K144" s="14" t="n"/>
      <c r="L144" s="15" t="n"/>
      <c r="M144" s="11" t="inlineStr">
        <is>
          <t>Vertraulichkeit, Integrität</t>
        </is>
      </c>
      <c r="N144" s="12" t="inlineStr"/>
      <c r="O144" s="11" t="inlineStr"/>
      <c r="P144" s="12" t="inlineStr">
        <is>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is>
      </c>
      <c r="Q144" s="11" t="inlineStr">
        <is>
          <t>IT-Systeme</t>
        </is>
      </c>
      <c r="R144" s="11" t="inlineStr">
        <is>
          <t>Konfigurationshistorie</t>
        </is>
      </c>
      <c r="S144" s="12" t="inlineStr">
        <is>
          <t>Systemfunktionen zum Schutz des Systems vor der Ausnutzung bekannter Sicherheitslücken</t>
        </is>
      </c>
      <c r="T144" s="12" t="inlineStr">
        <is>
          <t>G 0.28 – Software-Schwachstellen oder -Fehler; G 0.23 – Unbefugtes Eindringen in IT-Systeme</t>
        </is>
      </c>
      <c r="U144" s="11" t="n">
        <v>3</v>
      </c>
      <c r="V144" s="11" t="n">
        <v>2</v>
      </c>
      <c r="W144" s="11" t="n">
        <v>2</v>
      </c>
      <c r="X144" s="11" t="n">
        <v>1</v>
      </c>
      <c r="Y144" s="11" t="n">
        <v>0</v>
      </c>
    </row>
    <row r="145">
      <c r="A145" s="11" t="inlineStr">
        <is>
          <t>KONF.7.16</t>
        </is>
      </c>
      <c r="B145" s="12" t="inlineStr">
        <is>
          <t>Anti-Exploit</t>
        </is>
      </c>
      <c r="C145" s="11" t="inlineStr">
        <is>
          <t>KONF.7.16.1</t>
        </is>
      </c>
      <c r="D145" s="11" t="inlineStr">
        <is>
          <t>Standard-Anforderungen</t>
        </is>
      </c>
      <c r="E145" s="12" t="inlineStr">
        <is>
          <t>Konfiguration für IT-Systeme SOLLTE den Schutz des Arbeitsspeichers vor der Ausnutzung bekannter Sicherheitslücken aktivieren.</t>
        </is>
      </c>
      <c r="F145" s="14" t="n"/>
      <c r="G145" s="14" t="n"/>
      <c r="H145" s="14" t="inlineStr">
        <is>
          <t>unbearbeitet</t>
        </is>
      </c>
      <c r="I145" s="14" t="n"/>
      <c r="J145" s="14" t="n"/>
      <c r="K145" s="14" t="n"/>
      <c r="L145" s="15" t="n"/>
      <c r="M145" s="11" t="inlineStr">
        <is>
          <t>Vertraulichkeit, Integrität</t>
        </is>
      </c>
      <c r="N145" s="12" t="inlineStr"/>
      <c r="O145" s="11" t="inlineStr"/>
      <c r="P145" s="12" t="inlineStr">
        <is>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is>
      </c>
      <c r="Q145" s="11" t="inlineStr">
        <is>
          <t>IT-Systeme</t>
        </is>
      </c>
      <c r="R145" s="11" t="inlineStr">
        <is>
          <t>Konfigurationshistorie</t>
        </is>
      </c>
      <c r="S145" s="12" t="inlineStr">
        <is>
          <t>den Schutz des Arbeitsspeichers vor der Ausnutzung bekannter Sicherheitslücken</t>
        </is>
      </c>
      <c r="T145" s="12" t="inlineStr">
        <is>
          <t>G 0.28 – Software-Schwachstellen oder -Fehler; G 0.23 – Unbefugtes Eindringen in IT-Systeme</t>
        </is>
      </c>
      <c r="U145" s="11" t="n">
        <v>3</v>
      </c>
      <c r="V145" s="11" t="n">
        <v>2</v>
      </c>
      <c r="W145" s="11" t="n">
        <v>2</v>
      </c>
      <c r="X145" s="11" t="n">
        <v>1</v>
      </c>
      <c r="Y145" s="11" t="n">
        <v>0</v>
      </c>
    </row>
    <row r="146">
      <c r="A146" s="9" t="inlineStr">
        <is>
          <t>KONF.8.1</t>
        </is>
      </c>
      <c r="B146" s="10" t="inlineStr">
        <is>
          <t>Automatische Überprüfung</t>
        </is>
      </c>
      <c r="C146" s="11" t="n"/>
      <c r="D146" s="11" t="inlineStr">
        <is>
          <t>Standard-Anforderungen</t>
        </is>
      </c>
      <c r="E146" s="12" t="inlineStr">
        <is>
          <t>Gesamt:</t>
        </is>
      </c>
      <c r="F146" s="11" t="n"/>
      <c r="G146" s="11" t="n"/>
      <c r="H146" s="13">
        <f>IF(OR(COUNTBLANK($H$147:$H$148)&gt;0,COUNTIF($H$147:$H$148,"unbearbeitet")=COUNTA($H$147:$H$148)),"Bitte Teilanforderungen ausfüllen",IF(COUNTIF($H$147:$H$148,"zu klären")&gt;0,"zu klären",IF(COUNTIF($H$147:$H$148,"entbehrlich")=COUNTA($H$147:$H$148),"entbehrlich",IF(COUNTIF($H$147:$H$148,"verwiesen")=COUNTA($H$147:$H$148),"verwiesen",IF(COUNTIF($H$147:$H$148,"nein")+COUNTIF($H$147:$H$148,"entbehrlich")=COUNTA($H$147:$H$148),"nein",IF(COUNTIF($H$147:$H$148,"ja")+COUNTIF($H$147:$H$148,"entbehrlich")+COUNTIF($H$147:$H$148,"verwiesen")=COUNTA($H$147:$H$148),"ja","teilweise"))))))</f>
        <v/>
      </c>
      <c r="I146" s="11" t="n"/>
      <c r="J146" s="11" t="n"/>
      <c r="K146" s="11" t="n"/>
      <c r="L146" s="11" t="n"/>
      <c r="M146" s="11" t="inlineStr">
        <is>
          <t>Vertraulichkeit, Integrität, Verfügbarkeit</t>
        </is>
      </c>
      <c r="N146" s="12" t="inlineStr">
        <is>
          <t>SYS.4.4.A1-UA.1</t>
        </is>
      </c>
      <c r="O146" s="11" t="inlineStr">
        <is>
          <t>intersects-with</t>
        </is>
      </c>
      <c r="P146" s="12" t="inlineStr">
        <is>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is>
      </c>
      <c r="Q146" s="11" t="inlineStr">
        <is>
          <t>IT-Systeme</t>
        </is>
      </c>
      <c r="R146" s="11" t="inlineStr">
        <is>
          <t>Konfigurationshistorie</t>
        </is>
      </c>
      <c r="S146" s="12" t="inlineStr">
        <is>
          <t>das Vorliegen von Sicherheitsupdates</t>
        </is>
      </c>
      <c r="T146" s="12" t="inlineStr">
        <is>
          <t>G 0.18 – Fehlplanung oder fehlende Anpassung; G 0.28 – Software-Schwachstellen oder -Fehler</t>
        </is>
      </c>
      <c r="U146" s="11" t="n">
        <v>2</v>
      </c>
      <c r="V146" s="11" t="n">
        <v>2</v>
      </c>
      <c r="W146" s="11" t="n">
        <v>2</v>
      </c>
      <c r="X146" s="11" t="n">
        <v>2</v>
      </c>
      <c r="Y146" s="11" t="n">
        <v>0</v>
      </c>
    </row>
    <row r="147">
      <c r="A147" s="11" t="inlineStr">
        <is>
          <t>KONF.8.1</t>
        </is>
      </c>
      <c r="B147" s="12" t="inlineStr">
        <is>
          <t>Automatische Überprüfung</t>
        </is>
      </c>
      <c r="C147" s="11" t="inlineStr">
        <is>
          <t>KONF.8.1</t>
        </is>
      </c>
      <c r="D147" s="11" t="inlineStr">
        <is>
          <t>Standard-Anforderungen</t>
        </is>
      </c>
      <c r="E147" s="12" t="inlineStr">
        <is>
          <t>Konfiguration für IT-Systeme SOLLTE das Vorliegen von Sicherheitsupdates überwachen.</t>
        </is>
      </c>
      <c r="F147" s="14" t="n"/>
      <c r="G147" s="14" t="n"/>
      <c r="H147" s="14" t="inlineStr">
        <is>
          <t>unbearbeitet</t>
        </is>
      </c>
      <c r="I147" s="14" t="n"/>
      <c r="J147" s="14" t="n"/>
      <c r="K147" s="14" t="n"/>
      <c r="L147" s="15" t="n"/>
      <c r="M147" s="11" t="inlineStr">
        <is>
          <t>Vertraulichkeit, Integrität, Verfügbarkeit</t>
        </is>
      </c>
      <c r="N147" s="12" t="inlineStr">
        <is>
          <t>SYS.4.4.A1-UA.1</t>
        </is>
      </c>
      <c r="O147" s="11" t="inlineStr">
        <is>
          <t>intersects-with</t>
        </is>
      </c>
      <c r="P147" s="12" t="inlineStr">
        <is>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is>
      </c>
      <c r="Q147" s="11" t="inlineStr">
        <is>
          <t>IT-Systeme</t>
        </is>
      </c>
      <c r="R147" s="11" t="inlineStr">
        <is>
          <t>Konfigurationshistorie</t>
        </is>
      </c>
      <c r="S147" s="12" t="inlineStr">
        <is>
          <t>das Vorliegen von Sicherheitsupdates</t>
        </is>
      </c>
      <c r="T147" s="12" t="inlineStr">
        <is>
          <t>G 0.18 – Fehlplanung oder fehlende Anpassung; G 0.28 – Software-Schwachstellen oder -Fehler</t>
        </is>
      </c>
      <c r="U147" s="11" t="n">
        <v>2</v>
      </c>
      <c r="V147" s="11" t="n">
        <v>2</v>
      </c>
      <c r="W147" s="11" t="n">
        <v>2</v>
      </c>
      <c r="X147" s="11" t="n">
        <v>2</v>
      </c>
      <c r="Y147" s="11" t="n">
        <v>0</v>
      </c>
    </row>
    <row r="148">
      <c r="A148" s="11" t="inlineStr">
        <is>
          <t>KONF.8.1</t>
        </is>
      </c>
      <c r="B148" s="12" t="inlineStr">
        <is>
          <t>Automatische Überprüfung</t>
        </is>
      </c>
      <c r="C148" s="11" t="inlineStr">
        <is>
          <t>KONF.8.1.1</t>
        </is>
      </c>
      <c r="D148" s="11" t="inlineStr">
        <is>
          <t>Standard-Anforderungen</t>
        </is>
      </c>
      <c r="E148" s="12" t="inlineStr">
        <is>
          <t>Konfiguration für IT-Systeme SOLLTE Sicherheitsupdates automatisch installieren.</t>
        </is>
      </c>
      <c r="F148" s="14" t="n"/>
      <c r="G148" s="14" t="n"/>
      <c r="H148" s="14" t="inlineStr">
        <is>
          <t>unbearbeitet</t>
        </is>
      </c>
      <c r="I148" s="14" t="n"/>
      <c r="J148" s="14" t="n"/>
      <c r="K148" s="14" t="n"/>
      <c r="L148" s="15" t="n"/>
      <c r="M148" s="11" t="inlineStr">
        <is>
          <t>Vertraulichkeit, Integrität, Verfügbarkeit</t>
        </is>
      </c>
      <c r="N148" s="12" t="inlineStr">
        <is>
          <t>SYS.2.1.A3-UA.1</t>
        </is>
      </c>
      <c r="O148" s="11" t="inlineStr">
        <is>
          <t>intersects-with</t>
        </is>
      </c>
      <c r="P148" s="12" t="inlineStr">
        <is>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is>
      </c>
      <c r="Q148" s="11" t="inlineStr">
        <is>
          <t>IT-Systeme</t>
        </is>
      </c>
      <c r="R148" s="11" t="inlineStr">
        <is>
          <t>Konfigurationshistorie</t>
        </is>
      </c>
      <c r="S148" s="12" t="inlineStr">
        <is>
          <t>Sicherheitsupdates</t>
        </is>
      </c>
      <c r="T148" s="12" t="inlineStr">
        <is>
          <t>G 0.18 – Fehlplanung oder fehlende Anpassung; G 0.28 – Software-Schwachstellen oder -Fehler</t>
        </is>
      </c>
      <c r="U148" s="11" t="n">
        <v>4</v>
      </c>
      <c r="V148" s="11" t="n">
        <v>2</v>
      </c>
      <c r="W148" s="11" t="n">
        <v>2</v>
      </c>
      <c r="X148" s="11" t="n">
        <v>2</v>
      </c>
      <c r="Y148" s="11" t="n">
        <v>0</v>
      </c>
    </row>
    <row r="149">
      <c r="A149" s="9" t="inlineStr">
        <is>
          <t>KONF.8.2</t>
        </is>
      </c>
      <c r="B149" s="10" t="inlineStr">
        <is>
          <t>Automatische Updates der Anwendung</t>
        </is>
      </c>
      <c r="C149" s="11" t="n"/>
      <c r="D149" s="11" t="inlineStr">
        <is>
          <t>Standard-Anforderungen</t>
        </is>
      </c>
      <c r="E149" s="12" t="inlineStr">
        <is>
          <t>Gesamt:</t>
        </is>
      </c>
      <c r="F149" s="11" t="n"/>
      <c r="G149" s="11" t="n"/>
      <c r="H149" s="13">
        <f>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
      </c>
      <c r="I149" s="11" t="n"/>
      <c r="J149" s="11" t="n"/>
      <c r="K149" s="11" t="n"/>
      <c r="L149" s="11" t="n"/>
      <c r="M149" s="11" t="inlineStr">
        <is>
          <t>Vertraulichkeit, Integrität, Verfügbarkeit</t>
        </is>
      </c>
      <c r="N149" s="12" t="inlineStr"/>
      <c r="O149" s="11" t="inlineStr"/>
      <c r="P149" s="12" t="inlineStr">
        <is>
          <t>Dies kann durch direkten Download vom Hersteller oder einen eigenen Verteilerserver umgesetzt werden, so lange dieser aktuell gehalten wird.</t>
        </is>
      </c>
      <c r="Q149" s="11" t="inlineStr">
        <is>
          <t>Anwendungen</t>
        </is>
      </c>
      <c r="R149" s="11" t="inlineStr">
        <is>
          <t>Konfigurationshistorie</t>
        </is>
      </c>
      <c r="S149" s="12" t="inlineStr">
        <is>
          <t>die automatische Installation von Sicherheitsupdates</t>
        </is>
      </c>
      <c r="T149" s="12" t="inlineStr">
        <is>
          <t>G 0.18 – Fehlplanung oder fehlende Anpassung; G 0.28 – Software-Schwachstellen oder -Fehler</t>
        </is>
      </c>
      <c r="U149" s="11" t="n">
        <v>2</v>
      </c>
      <c r="V149" s="11" t="n">
        <v>2</v>
      </c>
      <c r="W149" s="11" t="n">
        <v>2</v>
      </c>
      <c r="X149" s="11" t="n">
        <v>2</v>
      </c>
      <c r="Y149" s="11" t="n">
        <v>0</v>
      </c>
    </row>
    <row r="150">
      <c r="A150" s="11" t="inlineStr">
        <is>
          <t>KONF.8.2</t>
        </is>
      </c>
      <c r="B150" s="12" t="inlineStr">
        <is>
          <t>Automatische Updates der Anwendung</t>
        </is>
      </c>
      <c r="C150" s="11" t="inlineStr">
        <is>
          <t>KONF.8.2</t>
        </is>
      </c>
      <c r="D150" s="11" t="inlineStr">
        <is>
          <t>Standard-Anforderungen</t>
        </is>
      </c>
      <c r="E150" s="12" t="inlineStr">
        <is>
          <t>Konfiguration für Anwendungen SOLLTE die automatische Installation von Sicherheitsupdates aktivieren.</t>
        </is>
      </c>
      <c r="F150" s="14" t="n"/>
      <c r="G150" s="14" t="n"/>
      <c r="H150" s="14" t="inlineStr">
        <is>
          <t>unbearbeitet</t>
        </is>
      </c>
      <c r="I150" s="14" t="n"/>
      <c r="J150" s="14" t="n"/>
      <c r="K150" s="14" t="n"/>
      <c r="L150" s="15" t="n"/>
      <c r="M150" s="11" t="inlineStr">
        <is>
          <t>Vertraulichkeit, Integrität, Verfügbarkeit</t>
        </is>
      </c>
      <c r="N150" s="12" t="inlineStr"/>
      <c r="O150" s="11" t="inlineStr"/>
      <c r="P150" s="12" t="inlineStr">
        <is>
          <t>Dies kann durch direkten Download vom Hersteller oder einen eigenen Verteilerserver umgesetzt werden, so lange dieser aktuell gehalten wird.</t>
        </is>
      </c>
      <c r="Q150" s="11" t="inlineStr">
        <is>
          <t>Anwendungen</t>
        </is>
      </c>
      <c r="R150" s="11" t="inlineStr">
        <is>
          <t>Konfigurationshistorie</t>
        </is>
      </c>
      <c r="S150" s="12" t="inlineStr">
        <is>
          <t>die automatische Installation von Sicherheitsupdates</t>
        </is>
      </c>
      <c r="T150" s="12" t="inlineStr">
        <is>
          <t>G 0.18 – Fehlplanung oder fehlende Anpassung; G 0.28 – Software-Schwachstellen oder -Fehler</t>
        </is>
      </c>
      <c r="U150" s="11" t="n">
        <v>2</v>
      </c>
      <c r="V150" s="11" t="n">
        <v>2</v>
      </c>
      <c r="W150" s="11" t="n">
        <v>2</v>
      </c>
      <c r="X150" s="11" t="n">
        <v>2</v>
      </c>
      <c r="Y150" s="11" t="n">
        <v>0</v>
      </c>
    </row>
    <row r="151">
      <c r="A151" s="9" t="inlineStr">
        <is>
          <t>KONF.9.1</t>
        </is>
      </c>
      <c r="B151" s="10" t="inlineStr">
        <is>
          <t>Speicherplatzbegrenzung</t>
        </is>
      </c>
      <c r="C151" s="11" t="n"/>
      <c r="D151" s="11" t="inlineStr">
        <is>
          <t>Standard-Anforderungen</t>
        </is>
      </c>
      <c r="E151" s="12" t="inlineStr">
        <is>
          <t>Gesamt:</t>
        </is>
      </c>
      <c r="F151" s="11" t="n"/>
      <c r="G151" s="11" t="n"/>
      <c r="H151" s="13">
        <f>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
      </c>
      <c r="I151" s="11" t="n"/>
      <c r="J151" s="11" t="n"/>
      <c r="K151" s="11" t="n"/>
      <c r="L151" s="11" t="n"/>
      <c r="M151" s="11" t="inlineStr">
        <is>
          <t>Verfügbarkeit</t>
        </is>
      </c>
      <c r="N151" s="12" t="inlineStr"/>
      <c r="O151" s="11" t="inlineStr"/>
      <c r="P151" s="12" t="inlineStr">
        <is>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is>
      </c>
      <c r="Q151" s="11" t="inlineStr">
        <is>
          <t>IT-Systeme</t>
        </is>
      </c>
      <c r="R151" s="11" t="inlineStr">
        <is>
          <t>Konfigurationshistorie</t>
        </is>
      </c>
      <c r="S151" s="12" t="inlineStr">
        <is>
          <t>den Speicherplatz für die Nutzerumgebung</t>
        </is>
      </c>
      <c r="T151" s="12" t="inlineStr">
        <is>
          <t>G 0.27 – Ressourcenmangel; G 0.40 – Verhinderung von Diensten (Denial of Service)</t>
        </is>
      </c>
      <c r="U151" s="11" t="n">
        <v>4</v>
      </c>
      <c r="V151" s="11" t="n">
        <v>0</v>
      </c>
      <c r="W151" s="11" t="n">
        <v>0</v>
      </c>
      <c r="X151" s="11" t="n">
        <v>2</v>
      </c>
      <c r="Y151" s="11" t="n">
        <v>0</v>
      </c>
    </row>
    <row r="152">
      <c r="A152" s="11" t="inlineStr">
        <is>
          <t>KONF.9.1</t>
        </is>
      </c>
      <c r="B152" s="12" t="inlineStr">
        <is>
          <t>Speicherplatzbegrenzung</t>
        </is>
      </c>
      <c r="C152" s="11" t="inlineStr">
        <is>
          <t>KONF.9.1</t>
        </is>
      </c>
      <c r="D152" s="11" t="inlineStr">
        <is>
          <t>Standard-Anforderungen</t>
        </is>
      </c>
      <c r="E152" s="12" t="inlineStr">
        <is>
          <t>Konfiguration für IT-Systeme SOLLTE den Speicherplatz für die Nutzerumgebung einschränken.</t>
        </is>
      </c>
      <c r="F152" s="14" t="n"/>
      <c r="G152" s="14" t="n"/>
      <c r="H152" s="14" t="inlineStr">
        <is>
          <t>unbearbeitet</t>
        </is>
      </c>
      <c r="I152" s="14" t="n"/>
      <c r="J152" s="14" t="n"/>
      <c r="K152" s="14" t="n"/>
      <c r="L152" s="15" t="n"/>
      <c r="M152" s="11" t="inlineStr">
        <is>
          <t>Verfügbarkeit</t>
        </is>
      </c>
      <c r="N152" s="12" t="inlineStr"/>
      <c r="O152" s="11" t="inlineStr"/>
      <c r="P152" s="12" t="inlineStr">
        <is>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is>
      </c>
      <c r="Q152" s="11" t="inlineStr">
        <is>
          <t>IT-Systeme</t>
        </is>
      </c>
      <c r="R152" s="11" t="inlineStr">
        <is>
          <t>Konfigurationshistorie</t>
        </is>
      </c>
      <c r="S152" s="12" t="inlineStr">
        <is>
          <t>den Speicherplatz für die Nutzerumgebung</t>
        </is>
      </c>
      <c r="T152" s="12" t="inlineStr">
        <is>
          <t>G 0.27 – Ressourcenmangel; G 0.40 – Verhinderung von Diensten (Denial of Service)</t>
        </is>
      </c>
      <c r="U152" s="11" t="n">
        <v>4</v>
      </c>
      <c r="V152" s="11" t="n">
        <v>0</v>
      </c>
      <c r="W152" s="11" t="n">
        <v>0</v>
      </c>
      <c r="X152" s="11" t="n">
        <v>2</v>
      </c>
      <c r="Y152" s="11" t="n">
        <v>0</v>
      </c>
    </row>
    <row r="153">
      <c r="A153" s="9" t="inlineStr">
        <is>
          <t>KONF.9.2</t>
        </is>
      </c>
      <c r="B153" s="10" t="inlineStr">
        <is>
          <t>Begrenzung der Rechenleistung</t>
        </is>
      </c>
      <c r="C153" s="11" t="n"/>
      <c r="D153" s="11" t="inlineStr">
        <is>
          <t>Anforderungen bei erhöhtem Schutzbedarf</t>
        </is>
      </c>
      <c r="E153" s="12" t="inlineStr">
        <is>
          <t>Gesamt:</t>
        </is>
      </c>
      <c r="F153" s="11" t="n"/>
      <c r="G153" s="11" t="n"/>
      <c r="H153" s="13">
        <f>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
      </c>
      <c r="I153" s="11" t="n"/>
      <c r="J153" s="11" t="n"/>
      <c r="K153" s="11" t="n"/>
      <c r="L153" s="11" t="n"/>
      <c r="M153" s="11" t="inlineStr">
        <is>
          <t>Verfügbarkeit</t>
        </is>
      </c>
      <c r="N153" s="12" t="inlineStr"/>
      <c r="O153" s="11" t="inlineStr"/>
      <c r="P153" s="12" t="inlineStr">
        <is>
          <t>Dies kann durch eine Beschränkung der Anzahl verwendeter Rechenkerne, der Rechenleistung pro Rechenkern oder durch eine indirekte Beschränkung (z.B. eine begrenzte Menge an Anfragen oder Eingabetoken in Anwendungen) umgesetzt werden.</t>
        </is>
      </c>
      <c r="Q153" s="11" t="inlineStr">
        <is>
          <t>Hostsysteme</t>
        </is>
      </c>
      <c r="R153" s="11" t="inlineStr">
        <is>
          <t>Konfigurationshistorie</t>
        </is>
      </c>
      <c r="S153" s="12" t="inlineStr">
        <is>
          <t>die zur Verfügung stehende Rechenleistung</t>
        </is>
      </c>
      <c r="T153" s="12" t="inlineStr">
        <is>
          <t>G 0.27 – Ressourcenmangel; G 0.40 – Verhinderung von Diensten (Denial of Service)</t>
        </is>
      </c>
      <c r="U153" s="11" t="n">
        <v>5</v>
      </c>
      <c r="V153" s="11" t="n">
        <v>0</v>
      </c>
      <c r="W153" s="11" t="n">
        <v>0</v>
      </c>
      <c r="X153" s="11" t="n">
        <v>2</v>
      </c>
      <c r="Y153" s="11" t="n">
        <v>0</v>
      </c>
    </row>
    <row r="154">
      <c r="A154" s="11" t="inlineStr">
        <is>
          <t>KONF.9.2</t>
        </is>
      </c>
      <c r="B154" s="12" t="inlineStr">
        <is>
          <t>Begrenzung der Rechenleistung</t>
        </is>
      </c>
      <c r="C154" s="11" t="inlineStr">
        <is>
          <t>KONF.9.2</t>
        </is>
      </c>
      <c r="D154" s="11" t="inlineStr">
        <is>
          <t>Anforderungen bei erhöhtem Schutzbedarf</t>
        </is>
      </c>
      <c r="E154" s="12" t="inlineStr">
        <is>
          <t>Konfiguration für Hostsysteme KANN die zur Verfügung stehende Rechenleistung anhand von Schwellwerten einschränken.</t>
        </is>
      </c>
      <c r="F154" s="14" t="n"/>
      <c r="G154" s="14" t="n"/>
      <c r="H154" s="14" t="inlineStr">
        <is>
          <t>unbearbeitet</t>
        </is>
      </c>
      <c r="I154" s="14" t="n"/>
      <c r="J154" s="14" t="n"/>
      <c r="K154" s="14" t="n"/>
      <c r="L154" s="15" t="n"/>
      <c r="M154" s="11" t="inlineStr">
        <is>
          <t>Verfügbarkeit</t>
        </is>
      </c>
      <c r="N154" s="12" t="inlineStr"/>
      <c r="O154" s="11" t="inlineStr"/>
      <c r="P154" s="12" t="inlineStr">
        <is>
          <t>Dies kann durch eine Beschränkung der Anzahl verwendeter Rechenkerne, der Rechenleistung pro Rechenkern oder durch eine indirekte Beschränkung (z.B. eine begrenzte Menge an Anfragen oder Eingabetoken in Anwendungen) umgesetzt werden.</t>
        </is>
      </c>
      <c r="Q154" s="11" t="inlineStr">
        <is>
          <t>Hostsysteme</t>
        </is>
      </c>
      <c r="R154" s="11" t="inlineStr">
        <is>
          <t>Konfigurationshistorie</t>
        </is>
      </c>
      <c r="S154" s="12" t="inlineStr">
        <is>
          <t>die zur Verfügung stehende Rechenleistung</t>
        </is>
      </c>
      <c r="T154" s="12" t="inlineStr">
        <is>
          <t>G 0.27 – Ressourcenmangel; G 0.40 – Verhinderung von Diensten (Denial of Service)</t>
        </is>
      </c>
      <c r="U154" s="11" t="n">
        <v>5</v>
      </c>
      <c r="V154" s="11" t="n">
        <v>0</v>
      </c>
      <c r="W154" s="11" t="n">
        <v>0</v>
      </c>
      <c r="X154" s="11" t="n">
        <v>2</v>
      </c>
      <c r="Y154" s="11" t="n">
        <v>0</v>
      </c>
    </row>
    <row r="155">
      <c r="A155" s="9" t="inlineStr">
        <is>
          <t>KONF.9.3</t>
        </is>
      </c>
      <c r="B155" s="10" t="inlineStr">
        <is>
          <t>Alternative Komponenten für kritische Funktionen</t>
        </is>
      </c>
      <c r="C155" s="11" t="n"/>
      <c r="D155" s="11" t="inlineStr">
        <is>
          <t>Anforderungen bei erhöhtem Schutzbedarf</t>
        </is>
      </c>
      <c r="E155" s="12" t="inlineStr">
        <is>
          <t>Gesamt:</t>
        </is>
      </c>
      <c r="F155" s="11" t="n"/>
      <c r="G155" s="11" t="n"/>
      <c r="H155" s="13">
        <f>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
      </c>
      <c r="I155" s="11" t="n"/>
      <c r="J155" s="11" t="n"/>
      <c r="K155" s="11" t="n"/>
      <c r="L155" s="11" t="n"/>
      <c r="M155" s="11" t="inlineStr">
        <is>
          <t>Verfügbarkeit</t>
        </is>
      </c>
      <c r="N155" s="12" t="inlineStr"/>
      <c r="O155" s="11" t="inlineStr"/>
      <c r="P155" s="12" t="inlineStr">
        <is>
          <t>Beispiele sind redundante Stromnetzteile, Ethernet-Anschlüsse oder eine Mobilfunkanbindung als Ausfallsicherheit für die kabelgebundene Netzanbindung.</t>
        </is>
      </c>
      <c r="Q155" s="11" t="inlineStr">
        <is>
          <t>IT-Systeme</t>
        </is>
      </c>
      <c r="R155" s="11" t="inlineStr">
        <is>
          <t>Konfigurationshistorie</t>
        </is>
      </c>
      <c r="S155" s="12" t="inlineStr">
        <is>
          <t>alternative Komponenten</t>
        </is>
      </c>
      <c r="T155" s="12" t="inlineStr">
        <is>
          <t>G 0.18 – Fehlplanung oder fehlende Anpassung; G 0.25 – Ausfall von Geräten oder Systemen</t>
        </is>
      </c>
      <c r="U155" s="11" t="n">
        <v>5</v>
      </c>
      <c r="V155" s="11" t="n">
        <v>1</v>
      </c>
      <c r="W155" s="11" t="n">
        <v>1</v>
      </c>
      <c r="X155" s="11" t="n">
        <v>2</v>
      </c>
      <c r="Y155" s="11" t="n">
        <v>0</v>
      </c>
    </row>
    <row r="156">
      <c r="A156" s="11" t="inlineStr">
        <is>
          <t>KONF.9.3</t>
        </is>
      </c>
      <c r="B156" s="12" t="inlineStr">
        <is>
          <t>Alternative Komponenten für kritische Funktionen</t>
        </is>
      </c>
      <c r="C156" s="11" t="inlineStr">
        <is>
          <t>KONF.9.3</t>
        </is>
      </c>
      <c r="D156" s="11" t="inlineStr">
        <is>
          <t>Anforderungen bei erhöhtem Schutzbedarf</t>
        </is>
      </c>
      <c r="E156" s="12" t="inlineStr">
        <is>
          <t>Konfiguration für IT-Systeme KANN alternative Komponenten für bestimmte kritische Funktionen installieren.</t>
        </is>
      </c>
      <c r="F156" s="14" t="n"/>
      <c r="G156" s="14" t="n"/>
      <c r="H156" s="14" t="inlineStr">
        <is>
          <t>unbearbeitet</t>
        </is>
      </c>
      <c r="I156" s="14" t="n"/>
      <c r="J156" s="14" t="n"/>
      <c r="K156" s="14" t="n"/>
      <c r="L156" s="15" t="n"/>
      <c r="M156" s="11" t="inlineStr">
        <is>
          <t>Verfügbarkeit</t>
        </is>
      </c>
      <c r="N156" s="12" t="inlineStr"/>
      <c r="O156" s="11" t="inlineStr"/>
      <c r="P156" s="12" t="inlineStr">
        <is>
          <t>Beispiele sind redundante Stromnetzteile, Ethernet-Anschlüsse oder eine Mobilfunkanbindung als Ausfallsicherheit für die kabelgebundene Netzanbindung.</t>
        </is>
      </c>
      <c r="Q156" s="11" t="inlineStr">
        <is>
          <t>IT-Systeme</t>
        </is>
      </c>
      <c r="R156" s="11" t="inlineStr">
        <is>
          <t>Konfigurationshistorie</t>
        </is>
      </c>
      <c r="S156" s="12" t="inlineStr">
        <is>
          <t>alternative Komponenten</t>
        </is>
      </c>
      <c r="T156" s="12" t="inlineStr">
        <is>
          <t>G 0.18 – Fehlplanung oder fehlende Anpassung; G 0.25 – Ausfall von Geräten oder Systemen</t>
        </is>
      </c>
      <c r="U156" s="11" t="n">
        <v>5</v>
      </c>
      <c r="V156" s="11" t="n">
        <v>1</v>
      </c>
      <c r="W156" s="11" t="n">
        <v>1</v>
      </c>
      <c r="X156" s="11" t="n">
        <v>2</v>
      </c>
      <c r="Y156" s="11" t="n">
        <v>0</v>
      </c>
    </row>
    <row r="157">
      <c r="A157" s="9" t="inlineStr">
        <is>
          <t>KONF.10.1</t>
        </is>
      </c>
      <c r="B157" s="10" t="inlineStr">
        <is>
          <t>Grundkonfiguration für Anwendungen</t>
        </is>
      </c>
      <c r="C157" s="11" t="n"/>
      <c r="D157" s="11" t="inlineStr">
        <is>
          <t>Standard-Anforderungen</t>
        </is>
      </c>
      <c r="E157" s="12" t="inlineStr">
        <is>
          <t>Gesamt:</t>
        </is>
      </c>
      <c r="F157" s="11" t="n"/>
      <c r="G157" s="11" t="n"/>
      <c r="H157" s="13">
        <f>IF(OR(COUNTBLANK($H$158:$H$159)&gt;0,COUNTIF($H$158:$H$159,"unbearbeitet")=COUNTA($H$158:$H$159)),"Bitte Teilanforderungen ausfüllen",IF(COUNTIF($H$158:$H$159,"zu klären")&gt;0,"zu klären",IF(COUNTIF($H$158:$H$159,"entbehrlich")=COUNTA($H$158:$H$159),"entbehrlich",IF(COUNTIF($H$158:$H$159,"verwiesen")=COUNTA($H$158:$H$159),"verwiesen",IF(COUNTIF($H$158:$H$159,"nein")+COUNTIF($H$158:$H$159,"entbehrlich")=COUNTA($H$158:$H$159),"nein",IF(COUNTIF($H$158:$H$159,"ja")+COUNTIF($H$158:$H$159,"entbehrlich")+COUNTIF($H$158:$H$159,"verwiesen")=COUNTA($H$158:$H$159),"ja","teilweise"))))))</f>
        <v/>
      </c>
      <c r="I157" s="11" t="n"/>
      <c r="J157" s="11" t="n"/>
      <c r="K157" s="11" t="n"/>
      <c r="L157" s="11" t="n"/>
      <c r="M157" s="11" t="inlineStr"/>
      <c r="N157" s="12" t="inlineStr"/>
      <c r="O157" s="11" t="inlineStr"/>
      <c r="P157" s="12" t="inlineStr">
        <is>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is>
      </c>
      <c r="Q157" s="11" t="inlineStr">
        <is>
          <t>Anwendungen</t>
        </is>
      </c>
      <c r="R157" s="11" t="inlineStr">
        <is>
          <t>Konfigurationshistorie</t>
        </is>
      </c>
      <c r="S157" s="12" t="inlineStr">
        <is>
          <t>eine Grundkonfiguration</t>
        </is>
      </c>
      <c r="T157" s="12" t="inlineStr">
        <is>
          <t>G 0.18 – Fehlplanung oder fehlende Anpassung</t>
        </is>
      </c>
      <c r="U157" s="11" t="n">
        <v>3</v>
      </c>
      <c r="V157" s="11" t="n">
        <v>1</v>
      </c>
      <c r="W157" s="11" t="n">
        <v>1</v>
      </c>
      <c r="X157" s="11" t="n">
        <v>1</v>
      </c>
      <c r="Y157" s="11" t="n">
        <v>0</v>
      </c>
    </row>
    <row r="158">
      <c r="A158" s="11" t="inlineStr">
        <is>
          <t>KONF.10.1</t>
        </is>
      </c>
      <c r="B158" s="12" t="inlineStr">
        <is>
          <t>Grundkonfiguration für Anwendungen</t>
        </is>
      </c>
      <c r="C158" s="11" t="inlineStr">
        <is>
          <t>KONF.10.1</t>
        </is>
      </c>
      <c r="D158" s="11" t="inlineStr">
        <is>
          <t>Standard-Anforderungen</t>
        </is>
      </c>
      <c r="E158" s="12" t="inlineStr">
        <is>
          <t>Konfiguration für Anwendungen SOLLTE eine Grundkonfiguration dokumentieren.</t>
        </is>
      </c>
      <c r="F158" s="14" t="n"/>
      <c r="G158" s="14" t="n"/>
      <c r="H158" s="14" t="inlineStr">
        <is>
          <t>unbearbeitet</t>
        </is>
      </c>
      <c r="I158" s="14" t="n"/>
      <c r="J158" s="14" t="n"/>
      <c r="K158" s="14" t="n"/>
      <c r="L158" s="15" t="n"/>
      <c r="M158" s="11" t="inlineStr"/>
      <c r="N158" s="12" t="inlineStr"/>
      <c r="O158" s="11" t="inlineStr"/>
      <c r="P158" s="12" t="inlineStr">
        <is>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is>
      </c>
      <c r="Q158" s="11" t="inlineStr">
        <is>
          <t>Anwendungen</t>
        </is>
      </c>
      <c r="R158" s="11" t="inlineStr">
        <is>
          <t>Konfigurationshistorie</t>
        </is>
      </c>
      <c r="S158" s="12" t="inlineStr">
        <is>
          <t>eine Grundkonfiguration</t>
        </is>
      </c>
      <c r="T158" s="12" t="inlineStr">
        <is>
          <t>G 0.18 – Fehlplanung oder fehlende Anpassung</t>
        </is>
      </c>
      <c r="U158" s="11" t="n">
        <v>3</v>
      </c>
      <c r="V158" s="11" t="n">
        <v>1</v>
      </c>
      <c r="W158" s="11" t="n">
        <v>1</v>
      </c>
      <c r="X158" s="11" t="n">
        <v>1</v>
      </c>
      <c r="Y158" s="11" t="n">
        <v>0</v>
      </c>
    </row>
    <row r="159">
      <c r="A159" s="11" t="inlineStr">
        <is>
          <t>KONF.10.1</t>
        </is>
      </c>
      <c r="B159" s="12" t="inlineStr">
        <is>
          <t>Grundkonfiguration für Anwendungen</t>
        </is>
      </c>
      <c r="C159" s="11" t="inlineStr">
        <is>
          <t>KONF.10.1.1</t>
        </is>
      </c>
      <c r="D159" s="11" t="inlineStr">
        <is>
          <t>Standard-Anforderungen</t>
        </is>
      </c>
      <c r="E159" s="12" t="inlineStr">
        <is>
          <t>Konfiguration für Anwendungen SOLLTE eine Versionierung vorheriger Konfigurationen verankern.</t>
        </is>
      </c>
      <c r="F159" s="14" t="n"/>
      <c r="G159" s="14" t="n"/>
      <c r="H159" s="14" t="inlineStr">
        <is>
          <t>unbearbeitet</t>
        </is>
      </c>
      <c r="I159" s="14" t="n"/>
      <c r="J159" s="14" t="n"/>
      <c r="K159" s="14" t="n"/>
      <c r="L159" s="15" t="n"/>
      <c r="M159" s="11" t="inlineStr">
        <is>
          <t>Verfügbarkeit</t>
        </is>
      </c>
      <c r="N159" s="12" t="inlineStr"/>
      <c r="O159" s="11" t="inlineStr"/>
      <c r="P159" s="12" t="inlineStr">
        <is>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is>
      </c>
      <c r="Q159" s="11" t="inlineStr">
        <is>
          <t>Anwendungen</t>
        </is>
      </c>
      <c r="R159" s="11" t="inlineStr">
        <is>
          <t>Konfigurationshistorie</t>
        </is>
      </c>
      <c r="S159" s="12" t="inlineStr">
        <is>
          <t>eine Versionierung vorheriger Konfigurationen</t>
        </is>
      </c>
      <c r="T159" s="12" t="inlineStr">
        <is>
          <t>G 0.18 – Fehlplanung oder fehlende Anpassung; G 0.45 – Datenverlust</t>
        </is>
      </c>
      <c r="U159" s="11" t="n">
        <v>4</v>
      </c>
      <c r="V159" s="11" t="n">
        <v>1</v>
      </c>
      <c r="W159" s="11" t="n">
        <v>1</v>
      </c>
      <c r="X159" s="11" t="n">
        <v>2</v>
      </c>
      <c r="Y159" s="11" t="n">
        <v>0</v>
      </c>
    </row>
    <row r="160">
      <c r="A160" s="9" t="inlineStr">
        <is>
          <t>KONF.10.2</t>
        </is>
      </c>
      <c r="B160" s="10" t="inlineStr">
        <is>
          <t>Kryptographische Verfahren in Anwendungen</t>
        </is>
      </c>
      <c r="C160" s="11" t="n"/>
      <c r="D160" s="11" t="inlineStr">
        <is>
          <t>Standard-Anforderungen</t>
        </is>
      </c>
      <c r="E160" s="12" t="inlineStr">
        <is>
          <t>Gesamt:</t>
        </is>
      </c>
      <c r="F160" s="11" t="n"/>
      <c r="G160" s="11" t="n"/>
      <c r="H160" s="13">
        <f>IF(OR(COUNTBLANK($H$161:$H$161)&gt;0,COUNTIF($H$161:$H$161,"unbearbeitet")=COUNTA($H$161:$H$161)),"Bitte Teilanforderungen ausfüllen",IF(COUNTIF($H$161:$H$161,"zu klären")&gt;0,"zu klären",IF(COUNTIF($H$161:$H$161,"entbehrlich")=COUNTA($H$161:$H$161),"entbehrlich",IF(COUNTIF($H$161:$H$161,"verwiesen")=COUNTA($H$161:$H$161),"verwiesen",IF(COUNTIF($H$161:$H$161,"nein")+COUNTIF($H$161:$H$161,"entbehrlich")=COUNTA($H$161:$H$161),"nein",IF(COUNTIF($H$161:$H$161,"ja")+COUNTIF($H$161:$H$161,"entbehrlich")+COUNTIF($H$161:$H$161,"verwiesen")=COUNTA($H$161:$H$161),"ja","teilweise"))))))</f>
        <v/>
      </c>
      <c r="I160" s="11" t="n"/>
      <c r="J160" s="11" t="n"/>
      <c r="K160" s="11" t="n"/>
      <c r="L160" s="11" t="n"/>
      <c r="M160" s="11" t="inlineStr">
        <is>
          <t>Vertraulichkeit, Integrität, Verfügbarkeit</t>
        </is>
      </c>
      <c r="N160" s="12" t="inlineStr">
        <is>
          <t>APP.1.1.A16-UA.2</t>
        </is>
      </c>
      <c r="O160" s="11" t="inlineStr">
        <is>
          <t>subset-of</t>
        </is>
      </c>
      <c r="P160" s="12" t="inlineStr">
        <is>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is>
      </c>
      <c r="Q160" s="11" t="inlineStr">
        <is>
          <t>Anwendungen</t>
        </is>
      </c>
      <c r="R160" s="11" t="inlineStr">
        <is>
          <t>Konfigurationshistorie</t>
        </is>
      </c>
      <c r="S160" s="12" t="inlineStr">
        <is>
          <t>kryptographische Verfahren</t>
        </is>
      </c>
      <c r="T160" s="12" t="inlineStr">
        <is>
          <t>G 0.18 – Fehlplanung oder fehlende Anpassung; G 0.29 – Verstoß gegen Gesetze oder Regelungen</t>
        </is>
      </c>
      <c r="U160" s="11" t="n">
        <v>3</v>
      </c>
      <c r="V160" s="11" t="n">
        <v>2</v>
      </c>
      <c r="W160" s="11" t="n">
        <v>2</v>
      </c>
      <c r="X160" s="11" t="n">
        <v>2</v>
      </c>
      <c r="Y160" s="11" t="n">
        <v>0</v>
      </c>
    </row>
    <row r="161">
      <c r="A161" s="11" t="inlineStr">
        <is>
          <t>KONF.10.2</t>
        </is>
      </c>
      <c r="B161" s="12" t="inlineStr">
        <is>
          <t>Kryptographische Verfahren in Anwendungen</t>
        </is>
      </c>
      <c r="C161" s="11" t="inlineStr">
        <is>
          <t>KONF.10.2</t>
        </is>
      </c>
      <c r="D161" s="11" t="inlineStr">
        <is>
          <t>Standard-Anforderungen</t>
        </is>
      </c>
      <c r="E161" s="12" t="inlineStr">
        <is>
          <t>Konfiguration für Anwendungen SOLLTE kryptographische Verfahren nach anerkannten Standards im Einklang mit den zugehörigen Anforderungen zum Identitäts- und Berechtigungsmanagement aktivieren.</t>
        </is>
      </c>
      <c r="F161" s="14" t="n"/>
      <c r="G161" s="14" t="n"/>
      <c r="H161" s="14" t="inlineStr">
        <is>
          <t>unbearbeitet</t>
        </is>
      </c>
      <c r="I161" s="14" t="n"/>
      <c r="J161" s="14" t="n"/>
      <c r="K161" s="14" t="n"/>
      <c r="L161" s="15" t="n"/>
      <c r="M161" s="11" t="inlineStr">
        <is>
          <t>Vertraulichkeit, Integrität, Verfügbarkeit</t>
        </is>
      </c>
      <c r="N161" s="12" t="inlineStr">
        <is>
          <t>APP.1.1.A16-UA.2</t>
        </is>
      </c>
      <c r="O161" s="11" t="inlineStr">
        <is>
          <t>subset-of</t>
        </is>
      </c>
      <c r="P161" s="12" t="inlineStr">
        <is>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is>
      </c>
      <c r="Q161" s="11" t="inlineStr">
        <is>
          <t>Anwendungen</t>
        </is>
      </c>
      <c r="R161" s="11" t="inlineStr">
        <is>
          <t>Konfigurationshistorie</t>
        </is>
      </c>
      <c r="S161" s="12" t="inlineStr">
        <is>
          <t>kryptographische Verfahren</t>
        </is>
      </c>
      <c r="T161" s="12" t="inlineStr">
        <is>
          <t>G 0.18 – Fehlplanung oder fehlende Anpassung; G 0.29 – Verstoß gegen Gesetze oder Regelungen</t>
        </is>
      </c>
      <c r="U161" s="11" t="n">
        <v>3</v>
      </c>
      <c r="V161" s="11" t="n">
        <v>2</v>
      </c>
      <c r="W161" s="11" t="n">
        <v>2</v>
      </c>
      <c r="X161" s="11" t="n">
        <v>2</v>
      </c>
      <c r="Y161" s="11" t="n">
        <v>0</v>
      </c>
    </row>
    <row r="162">
      <c r="A162" s="9" t="inlineStr">
        <is>
          <t>KONF.10.3</t>
        </is>
      </c>
      <c r="B162" s="10" t="inlineStr">
        <is>
          <t>Änderung von Default-Zugangsdaten</t>
        </is>
      </c>
      <c r="C162" s="11" t="n"/>
      <c r="D162" s="11" t="inlineStr">
        <is>
          <t>Standard-Anforderungen</t>
        </is>
      </c>
      <c r="E162" s="12" t="inlineStr">
        <is>
          <t>Gesamt:</t>
        </is>
      </c>
      <c r="F162" s="11" t="n"/>
      <c r="G162" s="11" t="n"/>
      <c r="H162" s="13">
        <f>IF(OR(COUNTBLANK($H$163:$H$163)&gt;0,COUNTIF($H$163:$H$163,"unbearbeitet")=COUNTA($H$163:$H$163)),"Bitte Teilanforderungen ausfüllen",IF(COUNTIF($H$163:$H$163,"zu klären")&gt;0,"zu klären",IF(COUNTIF($H$163:$H$163,"entbehrlich")=COUNTA($H$163:$H$163),"entbehrlich",IF(COUNTIF($H$163:$H$163,"verwiesen")=COUNTA($H$163:$H$163),"verwiesen",IF(COUNTIF($H$163:$H$163,"nein")+COUNTIF($H$163:$H$163,"entbehrlich")=COUNTA($H$163:$H$163),"nein",IF(COUNTIF($H$163:$H$163,"ja")+COUNTIF($H$163:$H$163,"entbehrlich")+COUNTIF($H$163:$H$163,"verwiesen")=COUNTA($H$163:$H$163),"ja","teilweise"))))))</f>
        <v/>
      </c>
      <c r="I162" s="11" t="n"/>
      <c r="J162" s="11" t="n"/>
      <c r="K162" s="11" t="n"/>
      <c r="L162" s="11" t="n"/>
      <c r="M162" s="11" t="inlineStr">
        <is>
          <t>Vertraulichkeit, Integrität</t>
        </is>
      </c>
      <c r="N162" s="12" t="inlineStr"/>
      <c r="O162" s="11" t="inlineStr"/>
      <c r="P162" s="12" t="inlineStr">
        <is>
          <t>Hiermit sind Default-Passwörter, als auch vertrauenswürdige Authentisierungs-Schlüssel oder Zertifikate fallen, die per Default zur Anmeldung akzeptiert werden, gemeint.</t>
        </is>
      </c>
      <c r="Q162" s="11" t="inlineStr">
        <is>
          <t>Anwendungen</t>
        </is>
      </c>
      <c r="R162" s="11" t="inlineStr">
        <is>
          <t>Konfigurationshistorie</t>
        </is>
      </c>
      <c r="S162" s="12" t="inlineStr">
        <is>
          <t>die Änderung von Default-Zugangsdaten</t>
        </is>
      </c>
      <c r="T162" s="12" t="inlineStr">
        <is>
          <t>G 0.30 – Unberechtigte Nutzung oder Administration von Geräten und Systemen; G 0.23 – Unbefugtes Eindringen in IT-Systeme</t>
        </is>
      </c>
      <c r="U162" s="11" t="n">
        <v>1</v>
      </c>
      <c r="V162" s="11" t="n">
        <v>2</v>
      </c>
      <c r="W162" s="11" t="n">
        <v>2</v>
      </c>
      <c r="X162" s="11" t="n">
        <v>1</v>
      </c>
      <c r="Y162" s="11" t="n">
        <v>1</v>
      </c>
    </row>
    <row r="163">
      <c r="A163" s="11" t="inlineStr">
        <is>
          <t>KONF.10.3</t>
        </is>
      </c>
      <c r="B163" s="12" t="inlineStr">
        <is>
          <t>Änderung von Default-Zugangsdaten</t>
        </is>
      </c>
      <c r="C163" s="11" t="inlineStr">
        <is>
          <t>KONF.10.3</t>
        </is>
      </c>
      <c r="D163" s="11" t="inlineStr">
        <is>
          <t>Standard-Anforderungen</t>
        </is>
      </c>
      <c r="E163" s="12" t="inlineStr">
        <is>
          <t>Konfiguration für Anwendungen SOLLTE die Änderung von Default-Zugangsdaten ausführen.</t>
        </is>
      </c>
      <c r="F163" s="14" t="n"/>
      <c r="G163" s="14" t="n"/>
      <c r="H163" s="14" t="inlineStr">
        <is>
          <t>unbearbeitet</t>
        </is>
      </c>
      <c r="I163" s="14" t="n"/>
      <c r="J163" s="14" t="n"/>
      <c r="K163" s="14" t="n"/>
      <c r="L163" s="15" t="n"/>
      <c r="M163" s="11" t="inlineStr">
        <is>
          <t>Vertraulichkeit, Integrität</t>
        </is>
      </c>
      <c r="N163" s="12" t="inlineStr"/>
      <c r="O163" s="11" t="inlineStr"/>
      <c r="P163" s="12" t="inlineStr">
        <is>
          <t>Hiermit sind Default-Passwörter, als auch vertrauenswürdige Authentisierungs-Schlüssel oder Zertifikate fallen, die per Default zur Anmeldung akzeptiert werden, gemeint.</t>
        </is>
      </c>
      <c r="Q163" s="11" t="inlineStr">
        <is>
          <t>Anwendungen</t>
        </is>
      </c>
      <c r="R163" s="11" t="inlineStr">
        <is>
          <t>Konfigurationshistorie</t>
        </is>
      </c>
      <c r="S163" s="12" t="inlineStr">
        <is>
          <t>die Änderung von Default-Zugangsdaten</t>
        </is>
      </c>
      <c r="T163" s="12" t="inlineStr">
        <is>
          <t>G 0.30 – Unberechtigte Nutzung oder Administration von Geräten und Systemen; G 0.23 – Unbefugtes Eindringen in IT-Systeme</t>
        </is>
      </c>
      <c r="U163" s="11" t="n">
        <v>1</v>
      </c>
      <c r="V163" s="11" t="n">
        <v>2</v>
      </c>
      <c r="W163" s="11" t="n">
        <v>2</v>
      </c>
      <c r="X163" s="11" t="n">
        <v>1</v>
      </c>
      <c r="Y163" s="11" t="n">
        <v>1</v>
      </c>
    </row>
    <row r="164">
      <c r="A164" s="9" t="inlineStr">
        <is>
          <t>KONF.10.4</t>
        </is>
      </c>
      <c r="B164" s="10" t="inlineStr">
        <is>
          <t>Deaktivierung nicht benötigter Anwendungsfunktionen</t>
        </is>
      </c>
      <c r="C164" s="11" t="n"/>
      <c r="D164" s="11" t="inlineStr">
        <is>
          <t>Standard-Anforderungen</t>
        </is>
      </c>
      <c r="E164" s="12" t="inlineStr">
        <is>
          <t>Gesamt:</t>
        </is>
      </c>
      <c r="F164" s="11" t="n"/>
      <c r="G164" s="11" t="n"/>
      <c r="H164" s="13">
        <f>IF(OR(COUNTBLANK($H$165:$H$165)&gt;0,COUNTIF($H$165:$H$165,"unbearbeitet")=COUNTA($H$165:$H$165)),"Bitte Teilanforderungen ausfüllen",IF(COUNTIF($H$165:$H$165,"zu klären")&gt;0,"zu klären",IF(COUNTIF($H$165:$H$165,"entbehrlich")=COUNTA($H$165:$H$165),"entbehrlich",IF(COUNTIF($H$165:$H$165,"verwiesen")=COUNTA($H$165:$H$165),"verwiesen",IF(COUNTIF($H$165:$H$165,"nein")+COUNTIF($H$165:$H$165,"entbehrlich")=COUNTA($H$165:$H$165),"nein",IF(COUNTIF($H$165:$H$165,"ja")+COUNTIF($H$165:$H$165,"entbehrlich")+COUNTIF($H$165:$H$165,"verwiesen")=COUNTA($H$165:$H$165),"ja","teilweise"))))))</f>
        <v/>
      </c>
      <c r="I164" s="11" t="n"/>
      <c r="J164" s="11" t="n"/>
      <c r="K164" s="11" t="n"/>
      <c r="L164" s="11" t="n"/>
      <c r="M164" s="11" t="inlineStr">
        <is>
          <t>Vertraulichkeit, Integrität</t>
        </is>
      </c>
      <c r="N164" s="12" t="inlineStr">
        <is>
          <t>APP.1.1.A12-UA.1; APP.3.1.A12-UA.2</t>
        </is>
      </c>
      <c r="O164" s="11" t="inlineStr">
        <is>
          <t>intersects-with; superset-of</t>
        </is>
      </c>
      <c r="P164" s="12" t="inlineStr">
        <is>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is>
      </c>
      <c r="Q164" s="11" t="inlineStr">
        <is>
          <t>Anwendungen</t>
        </is>
      </c>
      <c r="R164" s="11" t="inlineStr">
        <is>
          <t>Konfigurationshistorie</t>
        </is>
      </c>
      <c r="S164" s="12" t="inlineStr">
        <is>
          <t>nicht benötigte Anwendungsfunktionen</t>
        </is>
      </c>
      <c r="T164" s="12" t="inlineStr">
        <is>
          <t>G 0.28 – Software-Schwachstellen oder -Fehler; G 0.23 – Unbefugtes Eindringen in IT-Systeme</t>
        </is>
      </c>
      <c r="U164" s="11" t="n">
        <v>3</v>
      </c>
      <c r="V164" s="11" t="n">
        <v>2</v>
      </c>
      <c r="W164" s="11" t="n">
        <v>2</v>
      </c>
      <c r="X164" s="11" t="n">
        <v>1</v>
      </c>
      <c r="Y164" s="11" t="n">
        <v>0</v>
      </c>
    </row>
    <row r="165">
      <c r="A165" s="11" t="inlineStr">
        <is>
          <t>KONF.10.4</t>
        </is>
      </c>
      <c r="B165" s="12" t="inlineStr">
        <is>
          <t>Deaktivierung nicht benötigter Anwendungsfunktionen</t>
        </is>
      </c>
      <c r="C165" s="11" t="inlineStr">
        <is>
          <t>KONF.10.4</t>
        </is>
      </c>
      <c r="D165" s="11" t="inlineStr">
        <is>
          <t>Standard-Anforderungen</t>
        </is>
      </c>
      <c r="E165" s="12" t="inlineStr">
        <is>
          <t>Konfiguration für Anwendungen SOLLTE nicht benötigte Anwendungsfunktionen deaktivieren.</t>
        </is>
      </c>
      <c r="F165" s="14" t="n"/>
      <c r="G165" s="14" t="n"/>
      <c r="H165" s="14" t="inlineStr">
        <is>
          <t>unbearbeitet</t>
        </is>
      </c>
      <c r="I165" s="14" t="n"/>
      <c r="J165" s="14" t="n"/>
      <c r="K165" s="14" t="n"/>
      <c r="L165" s="15" t="n"/>
      <c r="M165" s="11" t="inlineStr">
        <is>
          <t>Vertraulichkeit, Integrität</t>
        </is>
      </c>
      <c r="N165" s="12" t="inlineStr">
        <is>
          <t>APP.1.1.A12-UA.1; APP.3.1.A12-UA.2</t>
        </is>
      </c>
      <c r="O165" s="11" t="inlineStr">
        <is>
          <t>intersects-with; superset-of</t>
        </is>
      </c>
      <c r="P165" s="12" t="inlineStr">
        <is>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is>
      </c>
      <c r="Q165" s="11" t="inlineStr">
        <is>
          <t>Anwendungen</t>
        </is>
      </c>
      <c r="R165" s="11" t="inlineStr">
        <is>
          <t>Konfigurationshistorie</t>
        </is>
      </c>
      <c r="S165" s="12" t="inlineStr">
        <is>
          <t>nicht benötigte Anwendungsfunktionen</t>
        </is>
      </c>
      <c r="T165" s="12" t="inlineStr">
        <is>
          <t>G 0.28 – Software-Schwachstellen oder -Fehler; G 0.23 – Unbefugtes Eindringen in IT-Systeme</t>
        </is>
      </c>
      <c r="U165" s="11" t="n">
        <v>3</v>
      </c>
      <c r="V165" s="11" t="n">
        <v>2</v>
      </c>
      <c r="W165" s="11" t="n">
        <v>2</v>
      </c>
      <c r="X165" s="11" t="n">
        <v>1</v>
      </c>
      <c r="Y165" s="11" t="n">
        <v>0</v>
      </c>
    </row>
    <row r="166">
      <c r="A166" s="9" t="inlineStr">
        <is>
          <t>KONF.10.5</t>
        </is>
      </c>
      <c r="B166" s="10" t="inlineStr">
        <is>
          <t>Überprüfung der Konfiguration</t>
        </is>
      </c>
      <c r="C166" s="11" t="n"/>
      <c r="D166" s="11" t="inlineStr">
        <is>
          <t>Standard-Anforderungen</t>
        </is>
      </c>
      <c r="E166" s="12" t="inlineStr">
        <is>
          <t>Gesamt:</t>
        </is>
      </c>
      <c r="F166" s="11" t="n"/>
      <c r="G166" s="11" t="n"/>
      <c r="H166" s="13">
        <f>IF(OR(COUNTBLANK($H$167:$H$168)&gt;0,COUNTIF($H$167:$H$168,"unbearbeitet")=COUNTA($H$167:$H$168)),"Bitte Teilanforderungen ausfüllen",IF(COUNTIF($H$167:$H$168,"zu klären")&gt;0,"zu klären",IF(COUNTIF($H$167:$H$168,"entbehrlich")=COUNTA($H$167:$H$168),"entbehrlich",IF(COUNTIF($H$167:$H$168,"verwiesen")=COUNTA($H$167:$H$168),"verwiesen",IF(COUNTIF($H$167:$H$168,"nein")+COUNTIF($H$167:$H$168,"entbehrlich")=COUNTA($H$167:$H$168),"nein",IF(COUNTIF($H$167:$H$168,"ja")+COUNTIF($H$167:$H$168,"entbehrlich")+COUNTIF($H$167:$H$168,"verwiesen")=COUNTA($H$167:$H$168),"ja","teilweise"))))))</f>
        <v/>
      </c>
      <c r="I166" s="11" t="n"/>
      <c r="J166" s="11" t="n"/>
      <c r="K166" s="11" t="n"/>
      <c r="L166" s="11" t="n"/>
      <c r="M166" s="11" t="inlineStr">
        <is>
          <t>Integrität</t>
        </is>
      </c>
      <c r="N166" s="12" t="inlineStr">
        <is>
          <t>APP.4.3.A3-UA.4</t>
        </is>
      </c>
      <c r="O166" s="11" t="inlineStr">
        <is>
          <t>intersects-with</t>
        </is>
      </c>
      <c r="P166" s="12" t="inlineStr">
        <is>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is>
      </c>
      <c r="Q166" s="11" t="inlineStr">
        <is>
          <t>Anwendungen</t>
        </is>
      </c>
      <c r="R166" s="11" t="inlineStr">
        <is>
          <t>Konfigurationshistorie</t>
        </is>
      </c>
      <c r="S166" s="12" t="inlineStr">
        <is>
          <t>die Übereinstimmung der tatsächlichen Konfiguration mit dem Referenzzustand</t>
        </is>
      </c>
      <c r="T166" s="12" t="inlineStr">
        <is>
          <t>G 0.31 – Fehlerhafte Nutzung oder Administration von Geräten und Systemen; G 0.23 – Unbefugtes Eindringen in IT-Systeme; G 0.21 – Manipulation von Hard- oder Software; G 0.22 – Manipulation von Informationen</t>
        </is>
      </c>
      <c r="U166" s="11" t="n">
        <v>4</v>
      </c>
      <c r="V166" s="11" t="n">
        <v>1</v>
      </c>
      <c r="W166" s="11" t="n">
        <v>2</v>
      </c>
      <c r="X166" s="11" t="n">
        <v>1</v>
      </c>
      <c r="Y166" s="11" t="n">
        <v>1</v>
      </c>
    </row>
    <row r="167">
      <c r="A167" s="11" t="inlineStr">
        <is>
          <t>KONF.10.5</t>
        </is>
      </c>
      <c r="B167" s="12" t="inlineStr">
        <is>
          <t>Überprüfung der Konfiguration</t>
        </is>
      </c>
      <c r="C167" s="11" t="inlineStr">
        <is>
          <t>KONF.10.5</t>
        </is>
      </c>
      <c r="D167" s="11" t="inlineStr">
        <is>
          <t>Standard-Anforderungen</t>
        </is>
      </c>
      <c r="E167" s="12" t="inlineStr">
        <is>
          <t>Konfiguration für Anwendungen SOLLTE die Übereinstimmung der tatsächlichen Konfiguration mit dem Referenzzustand regelmäßig überprüfen.</t>
        </is>
      </c>
      <c r="F167" s="14" t="n"/>
      <c r="G167" s="14" t="n"/>
      <c r="H167" s="14" t="inlineStr">
        <is>
          <t>unbearbeitet</t>
        </is>
      </c>
      <c r="I167" s="14" t="n"/>
      <c r="J167" s="14" t="n"/>
      <c r="K167" s="14" t="n"/>
      <c r="L167" s="15" t="n"/>
      <c r="M167" s="11" t="inlineStr">
        <is>
          <t>Integrität</t>
        </is>
      </c>
      <c r="N167" s="12" t="inlineStr">
        <is>
          <t>APP.4.3.A3-UA.4</t>
        </is>
      </c>
      <c r="O167" s="11" t="inlineStr">
        <is>
          <t>intersects-with</t>
        </is>
      </c>
      <c r="P167" s="12" t="inlineStr">
        <is>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is>
      </c>
      <c r="Q167" s="11" t="inlineStr">
        <is>
          <t>Anwendungen</t>
        </is>
      </c>
      <c r="R167" s="11" t="inlineStr">
        <is>
          <t>Konfigurationshistorie</t>
        </is>
      </c>
      <c r="S167" s="12" t="inlineStr">
        <is>
          <t>die Übereinstimmung der tatsächlichen Konfiguration mit dem Referenzzustand</t>
        </is>
      </c>
      <c r="T167" s="12" t="inlineStr">
        <is>
          <t>G 0.31 – Fehlerhafte Nutzung oder Administration von Geräten und Systemen; G 0.23 – Unbefugtes Eindringen in IT-Systeme; G 0.21 – Manipulation von Hard- oder Software; G 0.22 – Manipulation von Informationen</t>
        </is>
      </c>
      <c r="U167" s="11" t="n">
        <v>4</v>
      </c>
      <c r="V167" s="11" t="n">
        <v>1</v>
      </c>
      <c r="W167" s="11" t="n">
        <v>2</v>
      </c>
      <c r="X167" s="11" t="n">
        <v>1</v>
      </c>
      <c r="Y167" s="11" t="n">
        <v>1</v>
      </c>
    </row>
    <row r="168">
      <c r="A168" s="11" t="inlineStr">
        <is>
          <t>KONF.10.5</t>
        </is>
      </c>
      <c r="B168" s="12" t="inlineStr">
        <is>
          <t>Überprüfung der Konfiguration</t>
        </is>
      </c>
      <c r="C168" s="11" t="inlineStr">
        <is>
          <t>KONF.10.5.1</t>
        </is>
      </c>
      <c r="D168" s="11" t="inlineStr">
        <is>
          <t>Anforderungen bei erhöhtem Schutzbedarf</t>
        </is>
      </c>
      <c r="E168" s="12" t="inlineStr">
        <is>
          <t>Konfiguration für Anwendungen KANN die Überprüfung der Konfiguration durch einen automatisierten Mechanismus aktivieren.</t>
        </is>
      </c>
      <c r="F168" s="14" t="n"/>
      <c r="G168" s="14" t="n"/>
      <c r="H168" s="14" t="inlineStr">
        <is>
          <t>unbearbeitet</t>
        </is>
      </c>
      <c r="I168" s="14" t="n"/>
      <c r="J168" s="14" t="n"/>
      <c r="K168" s="14" t="n"/>
      <c r="L168" s="15" t="n"/>
      <c r="M168" s="11" t="inlineStr">
        <is>
          <t>Integrität</t>
        </is>
      </c>
      <c r="N168" s="12" t="inlineStr"/>
      <c r="O168" s="11" t="inlineStr"/>
      <c r="P168" s="12" t="inlineStr">
        <is>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is>
      </c>
      <c r="Q168" s="11" t="inlineStr">
        <is>
          <t>Anwendungen</t>
        </is>
      </c>
      <c r="R168" s="11" t="inlineStr">
        <is>
          <t>Detektions-Konzept</t>
        </is>
      </c>
      <c r="S168" s="12" t="inlineStr">
        <is>
          <t>die Überprüfung der Konfiguration durch {{einen automatisierten Mechanismus}}</t>
        </is>
      </c>
      <c r="T168" s="12" t="inlineStr">
        <is>
          <t>G 0.31 – Fehlerhafte Nutzung oder Administration von Geräten und Systemen; G 0.23 – Unbefugtes Eindringen in IT-Systeme; G 0.21 – Manipulation von Hard- oder Software; G 0.22 – Manipulation von Informationen</t>
        </is>
      </c>
      <c r="U168" s="11" t="n">
        <v>5</v>
      </c>
      <c r="V168" s="11" t="n">
        <v>1</v>
      </c>
      <c r="W168" s="11" t="n">
        <v>2</v>
      </c>
      <c r="X168" s="11" t="n">
        <v>1</v>
      </c>
      <c r="Y168" s="11" t="n">
        <v>1</v>
      </c>
    </row>
    <row r="169">
      <c r="A169" s="9" t="inlineStr">
        <is>
          <t>KONF.11.1</t>
        </is>
      </c>
      <c r="B169" s="10" t="inlineStr">
        <is>
          <t>Authentifizierung vor dem Zugriff</t>
        </is>
      </c>
      <c r="C169" s="11" t="n"/>
      <c r="D169" s="11" t="inlineStr">
        <is>
          <t>Standard-Anforderungen</t>
        </is>
      </c>
      <c r="E169" s="12" t="inlineStr">
        <is>
          <t>Gesamt:</t>
        </is>
      </c>
      <c r="F169" s="11" t="n"/>
      <c r="G169" s="11" t="n"/>
      <c r="H169" s="13">
        <f>IF(OR(COUNTBLANK($H$170:$H$172)&gt;0,COUNTIF($H$170:$H$172,"unbearbeitet")=COUNTA($H$170:$H$172)),"Bitte Teilanforderungen ausfüllen",IF(COUNTIF($H$170:$H$172,"zu klären")&gt;0,"zu klären",IF(COUNTIF($H$170:$H$172,"entbehrlich")=COUNTA($H$170:$H$172),"entbehrlich",IF(COUNTIF($H$170:$H$172,"verwiesen")=COUNTA($H$170:$H$172),"verwiesen",IF(COUNTIF($H$170:$H$172,"nein")+COUNTIF($H$170:$H$172,"entbehrlich")=COUNTA($H$170:$H$172),"nein",IF(COUNTIF($H$170:$H$172,"ja")+COUNTIF($H$170:$H$172,"entbehrlich")+COUNTIF($H$170:$H$172,"verwiesen")=COUNTA($H$170:$H$172),"ja","teilweise"))))))</f>
        <v/>
      </c>
      <c r="I169" s="11" t="n"/>
      <c r="J169" s="11" t="n"/>
      <c r="K169" s="11" t="n"/>
      <c r="L169" s="11" t="n"/>
      <c r="M169" s="11" t="inlineStr">
        <is>
          <t>Vertraulichkeit</t>
        </is>
      </c>
      <c r="N169" s="12" t="inlineStr">
        <is>
          <t>APP.3.1.A1-UA.1; CON.10.A1-UA.1</t>
        </is>
      </c>
      <c r="O169" s="11" t="inlineStr">
        <is>
          <t>equivalent-to; intersects-with</t>
        </is>
      </c>
      <c r="P169" s="12" t="inlineStr">
        <is>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is>
      </c>
      <c r="Q169" s="11" t="inlineStr">
        <is>
          <t>Anwendungen</t>
        </is>
      </c>
      <c r="R169" s="11" t="inlineStr">
        <is>
          <t>Konfigurationshistorie</t>
        </is>
      </c>
      <c r="S169" s="12" t="inlineStr">
        <is>
          <t>Zugriffe auf schützenswerte Daten</t>
        </is>
      </c>
      <c r="T169" s="12" t="inlineStr">
        <is>
          <t>G 0.19 – Offenlegung schützenswerter Informationen; G 0.30 – Unberechtigte Nutzung oder Administration von Geräten und Systemen</t>
        </is>
      </c>
      <c r="U169" s="11" t="n">
        <v>1</v>
      </c>
      <c r="V169" s="11" t="n">
        <v>2</v>
      </c>
      <c r="W169" s="11" t="n">
        <v>1</v>
      </c>
      <c r="X169" s="11" t="n">
        <v>1</v>
      </c>
      <c r="Y169" s="11" t="n">
        <v>1</v>
      </c>
    </row>
    <row r="170">
      <c r="A170" s="11" t="inlineStr">
        <is>
          <t>KONF.11.1</t>
        </is>
      </c>
      <c r="B170" s="12" t="inlineStr">
        <is>
          <t>Authentifizierung vor dem Zugriff</t>
        </is>
      </c>
      <c r="C170" s="11" t="inlineStr">
        <is>
          <t>KONF.11.1</t>
        </is>
      </c>
      <c r="D170" s="11" t="inlineStr">
        <is>
          <t>Standard-Anforderungen</t>
        </is>
      </c>
      <c r="E170" s="12" t="inlineStr">
        <is>
          <t>Konfiguration für Anwendungen SOLLTE Zugriffe auf schützenswerte Daten im Einklang mit den zugehörigen Anforderungen zum Identitäts- und Berechtigungsmanagement authentifizieren.</t>
        </is>
      </c>
      <c r="F170" s="14" t="n"/>
      <c r="G170" s="14" t="n"/>
      <c r="H170" s="14" t="inlineStr">
        <is>
          <t>unbearbeitet</t>
        </is>
      </c>
      <c r="I170" s="14" t="n"/>
      <c r="J170" s="14" t="n"/>
      <c r="K170" s="14" t="n"/>
      <c r="L170" s="15" t="n"/>
      <c r="M170" s="11" t="inlineStr">
        <is>
          <t>Vertraulichkeit</t>
        </is>
      </c>
      <c r="N170" s="12" t="inlineStr">
        <is>
          <t>APP.3.1.A1-UA.1; CON.10.A1-UA.1</t>
        </is>
      </c>
      <c r="O170" s="11" t="inlineStr">
        <is>
          <t>equivalent-to; intersects-with</t>
        </is>
      </c>
      <c r="P170" s="12" t="inlineStr">
        <is>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is>
      </c>
      <c r="Q170" s="11" t="inlineStr">
        <is>
          <t>Anwendungen</t>
        </is>
      </c>
      <c r="R170" s="11" t="inlineStr">
        <is>
          <t>Konfigurationshistorie</t>
        </is>
      </c>
      <c r="S170" s="12" t="inlineStr">
        <is>
          <t>Zugriffe auf schützenswerte Daten</t>
        </is>
      </c>
      <c r="T170" s="12" t="inlineStr">
        <is>
          <t>G 0.19 – Offenlegung schützenswerter Informationen; G 0.30 – Unberechtigte Nutzung oder Administration von Geräten und Systemen</t>
        </is>
      </c>
      <c r="U170" s="11" t="n">
        <v>1</v>
      </c>
      <c r="V170" s="11" t="n">
        <v>2</v>
      </c>
      <c r="W170" s="11" t="n">
        <v>1</v>
      </c>
      <c r="X170" s="11" t="n">
        <v>1</v>
      </c>
      <c r="Y170" s="11" t="n">
        <v>1</v>
      </c>
    </row>
    <row r="171">
      <c r="A171" s="11" t="inlineStr">
        <is>
          <t>KONF.11.1</t>
        </is>
      </c>
      <c r="B171" s="12" t="inlineStr">
        <is>
          <t>Authentifizierung vor dem Zugriff</t>
        </is>
      </c>
      <c r="C171" s="11" t="inlineStr">
        <is>
          <t>KONF.11.1.1</t>
        </is>
      </c>
      <c r="D171" s="11" t="inlineStr">
        <is>
          <t>Standard-Anforderungen</t>
        </is>
      </c>
      <c r="E171" s="12" t="inlineStr">
        <is>
          <t>Konfiguration für TK-Anwendungen SOLLTE den Zugriff auf geplante Konversationen im Einklang mit den zugehörigen Anforderungen zum Identitäts- und Berechtigungsmanagement authentifizieren.</t>
        </is>
      </c>
      <c r="F171" s="14" t="n"/>
      <c r="G171" s="14" t="n"/>
      <c r="H171" s="14" t="inlineStr">
        <is>
          <t>unbearbeitet</t>
        </is>
      </c>
      <c r="I171" s="14" t="n"/>
      <c r="J171" s="14" t="n"/>
      <c r="K171" s="14" t="n"/>
      <c r="L171" s="15" t="n"/>
      <c r="M171" s="11" t="inlineStr">
        <is>
          <t>Vertraulichkeit</t>
        </is>
      </c>
      <c r="N171" s="12" t="inlineStr"/>
      <c r="O171" s="11" t="inlineStr"/>
      <c r="P171" s="12" t="inlineStr">
        <is>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is>
      </c>
      <c r="Q171" s="11" t="inlineStr">
        <is>
          <t>TK-Anwendungen</t>
        </is>
      </c>
      <c r="R171" s="11" t="inlineStr">
        <is>
          <t>Konfigurationshistorie</t>
        </is>
      </c>
      <c r="S171" s="12" t="inlineStr">
        <is>
          <t>den Zugriff auf geplante Konversationen</t>
        </is>
      </c>
      <c r="T171" s="12" t="inlineStr">
        <is>
          <t>G 0.19 – Offenlegung schützenswerter Informationen; G 0.30 – Unberechtigte Nutzung oder Administration von Geräten und Systemen</t>
        </is>
      </c>
      <c r="U171" s="11" t="n">
        <v>1</v>
      </c>
      <c r="V171" s="11" t="n">
        <v>2</v>
      </c>
      <c r="W171" s="11" t="n">
        <v>1</v>
      </c>
      <c r="X171" s="11" t="n">
        <v>1</v>
      </c>
      <c r="Y171" s="11" t="n">
        <v>1</v>
      </c>
    </row>
    <row r="172">
      <c r="A172" s="11" t="inlineStr">
        <is>
          <t>KONF.11.1</t>
        </is>
      </c>
      <c r="B172" s="12" t="inlineStr">
        <is>
          <t>Authentifizierung vor dem Zugriff</t>
        </is>
      </c>
      <c r="C172" s="11" t="inlineStr">
        <is>
          <t>KONF.11.1.2</t>
        </is>
      </c>
      <c r="D172" s="11" t="inlineStr">
        <is>
          <t>Standard-Anforderungen</t>
        </is>
      </c>
      <c r="E172" s="12" t="inlineStr">
        <is>
          <t>Konfiguration für Anwendungen SOLLTE die Gegenstelle vor dem Datenaustausch im Einklang mit den zugehörigen Anforderungen zum Identitäts- und Berechtigungsmanagement authentifizieren.</t>
        </is>
      </c>
      <c r="F172" s="14" t="n"/>
      <c r="G172" s="14" t="n"/>
      <c r="H172" s="14" t="inlineStr">
        <is>
          <t>unbearbeitet</t>
        </is>
      </c>
      <c r="I172" s="14" t="n"/>
      <c r="J172" s="14" t="n"/>
      <c r="K172" s="14" t="n"/>
      <c r="L172" s="15" t="n"/>
      <c r="M172" s="11" t="inlineStr">
        <is>
          <t>Vertraulichkeit, Integrität</t>
        </is>
      </c>
      <c r="N172" s="12" t="inlineStr">
        <is>
          <t>APP.3.1.A1-UA.2; APP.3.1.A11-UA.2</t>
        </is>
      </c>
      <c r="O172" s="11" t="inlineStr">
        <is>
          <t>intersects-with; superset-of</t>
        </is>
      </c>
      <c r="P172" s="12" t="inlineStr">
        <is>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is>
      </c>
      <c r="Q172" s="11" t="inlineStr">
        <is>
          <t>Anwendungen</t>
        </is>
      </c>
      <c r="R172" s="11" t="inlineStr">
        <is>
          <t>Konfigurationshistorie</t>
        </is>
      </c>
      <c r="S172" s="12" t="inlineStr">
        <is>
          <t>die Gegenstelle vor dem Datenaustausch</t>
        </is>
      </c>
      <c r="T172" s="12" t="inlineStr">
        <is>
          <t>G 0.43 – Einspielen von Nachrichten; G 0.36 – Identitätsdiebstahl</t>
        </is>
      </c>
      <c r="U172" s="11" t="n">
        <v>2</v>
      </c>
      <c r="V172" s="11" t="n">
        <v>2</v>
      </c>
      <c r="W172" s="11" t="n">
        <v>2</v>
      </c>
      <c r="X172" s="11" t="n">
        <v>1</v>
      </c>
      <c r="Y172" s="11" t="n">
        <v>1</v>
      </c>
    </row>
    <row r="173">
      <c r="A173" s="9" t="inlineStr">
        <is>
          <t>KONF.11.2</t>
        </is>
      </c>
      <c r="B173" s="10" t="inlineStr">
        <is>
          <t>Warteraum</t>
        </is>
      </c>
      <c r="C173" s="11" t="n"/>
      <c r="D173" s="11" t="inlineStr">
        <is>
          <t>Standard-Anforderungen</t>
        </is>
      </c>
      <c r="E173" s="12" t="inlineStr">
        <is>
          <t>Gesamt:</t>
        </is>
      </c>
      <c r="F173" s="11" t="n"/>
      <c r="G173" s="11" t="n"/>
      <c r="H173" s="13">
        <f>IF(OR(COUNTBLANK($H$174:$H$174)&gt;0,COUNTIF($H$174:$H$174,"unbearbeitet")=COUNTA($H$174:$H$174)),"Bitte Teilanforderungen ausfüllen",IF(COUNTIF($H$174:$H$174,"zu klären")&gt;0,"zu klären",IF(COUNTIF($H$174:$H$174,"entbehrlich")=COUNTA($H$174:$H$174),"entbehrlich",IF(COUNTIF($H$174:$H$174,"verwiesen")=COUNTA($H$174:$H$174),"verwiesen",IF(COUNTIF($H$174:$H$174,"nein")+COUNTIF($H$174:$H$174,"entbehrlich")=COUNTA($H$174:$H$174),"nein",IF(COUNTIF($H$174:$H$174,"ja")+COUNTIF($H$174:$H$174,"entbehrlich")+COUNTIF($H$174:$H$174,"verwiesen")=COUNTA($H$174:$H$174),"ja","teilweise"))))))</f>
        <v/>
      </c>
      <c r="I173" s="11" t="n"/>
      <c r="J173" s="11" t="n"/>
      <c r="K173" s="11" t="n"/>
      <c r="L173" s="11" t="n"/>
      <c r="M173" s="11" t="inlineStr">
        <is>
          <t>Vertraulichkeit</t>
        </is>
      </c>
      <c r="N173" s="12" t="inlineStr"/>
      <c r="O173" s="11" t="inlineStr"/>
      <c r="P173" s="12" t="inlineStr">
        <is>
          <t>Dies kann z.B. Über eine explizite Gruppenmitgliedschaft von Zugangskonten, die Verteilung von Zugangsdaten per E-Mail oder virtuelle Warteräume erfüllt werden. Warteräume geben Konferenzmoderatoren die Möglichkeit, Teilnehmer vor Eintritt in einem virtuellen Warteraum persönlich zu authentifizieren.</t>
        </is>
      </c>
      <c r="Q173" s="11" t="inlineStr">
        <is>
          <t>VK-Anwendungen</t>
        </is>
      </c>
      <c r="R173" s="11" t="inlineStr">
        <is>
          <t>Konfigurationshistorie</t>
        </is>
      </c>
      <c r="S173" s="12" t="inlineStr">
        <is>
          <t>bei Konferenzschaltungen alle Teilnehmenden</t>
        </is>
      </c>
      <c r="T173" s="12" t="inlineStr">
        <is>
          <t>G 0.19 – Offenlegung schützenswerter Informationen; G 0.30 – Unberechtigte Nutzung oder Administration von Geräten und Systemen</t>
        </is>
      </c>
      <c r="U173" s="11" t="n">
        <v>3</v>
      </c>
      <c r="V173" s="11" t="n">
        <v>2</v>
      </c>
      <c r="W173" s="11" t="n">
        <v>1</v>
      </c>
      <c r="X173" s="11" t="n">
        <v>1</v>
      </c>
      <c r="Y173" s="11" t="n">
        <v>1</v>
      </c>
    </row>
    <row r="174">
      <c r="A174" s="11" t="inlineStr">
        <is>
          <t>KONF.11.2</t>
        </is>
      </c>
      <c r="B174" s="12" t="inlineStr">
        <is>
          <t>Warteraum</t>
        </is>
      </c>
      <c r="C174" s="11" t="inlineStr">
        <is>
          <t>KONF.11.2</t>
        </is>
      </c>
      <c r="D174" s="11" t="inlineStr">
        <is>
          <t>Standard-Anforderungen</t>
        </is>
      </c>
      <c r="E174" s="12" t="inlineStr">
        <is>
          <t>Konfiguration für VK-Anwendungen SOLLTE bei Konferenzschaltungen alle Teilnehmenden authentifizieren.</t>
        </is>
      </c>
      <c r="F174" s="14" t="n"/>
      <c r="G174" s="14" t="n"/>
      <c r="H174" s="14" t="inlineStr">
        <is>
          <t>unbearbeitet</t>
        </is>
      </c>
      <c r="I174" s="14" t="n"/>
      <c r="J174" s="14" t="n"/>
      <c r="K174" s="14" t="n"/>
      <c r="L174" s="15" t="n"/>
      <c r="M174" s="11" t="inlineStr">
        <is>
          <t>Vertraulichkeit</t>
        </is>
      </c>
      <c r="N174" s="12" t="inlineStr"/>
      <c r="O174" s="11" t="inlineStr"/>
      <c r="P174" s="12" t="inlineStr">
        <is>
          <t>Dies kann z.B. Über eine explizite Gruppenmitgliedschaft von Zugangskonten, die Verteilung von Zugangsdaten per E-Mail oder virtuelle Warteräume erfüllt werden. Warteräume geben Konferenzmoderatoren die Möglichkeit, Teilnehmer vor Eintritt in einem virtuellen Warteraum persönlich zu authentifizieren.</t>
        </is>
      </c>
      <c r="Q174" s="11" t="inlineStr">
        <is>
          <t>VK-Anwendungen</t>
        </is>
      </c>
      <c r="R174" s="11" t="inlineStr">
        <is>
          <t>Konfigurationshistorie</t>
        </is>
      </c>
      <c r="S174" s="12" t="inlineStr">
        <is>
          <t>bei Konferenzschaltungen alle Teilnehmenden</t>
        </is>
      </c>
      <c r="T174" s="12" t="inlineStr">
        <is>
          <t>G 0.19 – Offenlegung schützenswerter Informationen; G 0.30 – Unberechtigte Nutzung oder Administration von Geräten und Systemen</t>
        </is>
      </c>
      <c r="U174" s="11" t="n">
        <v>3</v>
      </c>
      <c r="V174" s="11" t="n">
        <v>2</v>
      </c>
      <c r="W174" s="11" t="n">
        <v>1</v>
      </c>
      <c r="X174" s="11" t="n">
        <v>1</v>
      </c>
      <c r="Y174" s="11" t="n">
        <v>1</v>
      </c>
    </row>
    <row r="175">
      <c r="A175" s="9" t="inlineStr">
        <is>
          <t>KONF.11.3</t>
        </is>
      </c>
      <c r="B175" s="10" t="inlineStr">
        <is>
          <t>Veröffentlichung von Domain-Infomationen</t>
        </is>
      </c>
      <c r="C175" s="11" t="n"/>
      <c r="D175" s="11" t="inlineStr">
        <is>
          <t>Standard-Anforderungen</t>
        </is>
      </c>
      <c r="E175" s="12" t="inlineStr">
        <is>
          <t>Gesamt:</t>
        </is>
      </c>
      <c r="F175" s="11" t="n"/>
      <c r="G175" s="11" t="n"/>
      <c r="H175" s="13">
        <f>IF(OR(COUNTBLANK($H$176:$H$176)&gt;0,COUNTIF($H$176:$H$176,"unbearbeitet")=COUNTA($H$176:$H$176)),"Bitte Teilanforderungen ausfüllen",IF(COUNTIF($H$176:$H$176,"zu klären")&gt;0,"zu klären",IF(COUNTIF($H$176:$H$176,"entbehrlich")=COUNTA($H$176:$H$176),"entbehrlich",IF(COUNTIF($H$176:$H$176,"verwiesen")=COUNTA($H$176:$H$176),"verwiesen",IF(COUNTIF($H$176:$H$176,"nein")+COUNTIF($H$176:$H$176,"entbehrlich")=COUNTA($H$176:$H$176),"nein",IF(COUNTIF($H$176:$H$176,"ja")+COUNTIF($H$176:$H$176,"entbehrlich")+COUNTIF($H$176:$H$176,"verwiesen")=COUNTA($H$176:$H$176),"ja","teilweise"))))))</f>
        <v/>
      </c>
      <c r="I175" s="11" t="n"/>
      <c r="J175" s="11" t="n"/>
      <c r="K175" s="11" t="n"/>
      <c r="L175" s="11" t="n"/>
      <c r="M175" s="11" t="inlineStr">
        <is>
          <t>Vertraulichkeit</t>
        </is>
      </c>
      <c r="N175" s="12" t="inlineStr"/>
      <c r="O175" s="11" t="inlineStr"/>
      <c r="P175" s="12" t="inlineStr">
        <is>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is>
      </c>
      <c r="Q175" s="11" t="inlineStr">
        <is>
          <t>DNS-Server</t>
        </is>
      </c>
      <c r="R175" s="11" t="inlineStr">
        <is>
          <t>Konfigurationshistorie</t>
        </is>
      </c>
      <c r="S175" s="12" t="inlineStr">
        <is>
          <t>die Veröffentlichung von Domain-Infomationen</t>
        </is>
      </c>
      <c r="T175" s="12" t="inlineStr">
        <is>
          <t>G 0.19 – Offenlegung schützenswerter Informationen; G 0.14 – Ausspähen von Informationen (Spionage)</t>
        </is>
      </c>
      <c r="U175" s="11" t="n">
        <v>3</v>
      </c>
      <c r="V175" s="11" t="n">
        <v>2</v>
      </c>
      <c r="W175" s="11" t="n">
        <v>0</v>
      </c>
      <c r="X175" s="11" t="n">
        <v>0</v>
      </c>
      <c r="Y175" s="11" t="n">
        <v>0</v>
      </c>
    </row>
    <row r="176">
      <c r="A176" s="11" t="inlineStr">
        <is>
          <t>KONF.11.3</t>
        </is>
      </c>
      <c r="B176" s="12" t="inlineStr">
        <is>
          <t>Veröffentlichung von Domain-Infomationen</t>
        </is>
      </c>
      <c r="C176" s="11" t="inlineStr">
        <is>
          <t>KONF.11.3</t>
        </is>
      </c>
      <c r="D176" s="11" t="inlineStr">
        <is>
          <t>Standard-Anforderungen</t>
        </is>
      </c>
      <c r="E176" s="12" t="inlineStr">
        <is>
          <t>Konfiguration für DNS-Server SOLLTE die Veröffentlichung von Domain-Infomationen anhand von Kriterien einschränken.</t>
        </is>
      </c>
      <c r="F176" s="14" t="n"/>
      <c r="G176" s="14" t="n"/>
      <c r="H176" s="14" t="inlineStr">
        <is>
          <t>unbearbeitet</t>
        </is>
      </c>
      <c r="I176" s="14" t="n"/>
      <c r="J176" s="14" t="n"/>
      <c r="K176" s="14" t="n"/>
      <c r="L176" s="15" t="n"/>
      <c r="M176" s="11" t="inlineStr">
        <is>
          <t>Vertraulichkeit</t>
        </is>
      </c>
      <c r="N176" s="12" t="inlineStr"/>
      <c r="O176" s="11" t="inlineStr"/>
      <c r="P176" s="12" t="inlineStr">
        <is>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is>
      </c>
      <c r="Q176" s="11" t="inlineStr">
        <is>
          <t>DNS-Server</t>
        </is>
      </c>
      <c r="R176" s="11" t="inlineStr">
        <is>
          <t>Konfigurationshistorie</t>
        </is>
      </c>
      <c r="S176" s="12" t="inlineStr">
        <is>
          <t>die Veröffentlichung von Domain-Infomationen</t>
        </is>
      </c>
      <c r="T176" s="12" t="inlineStr">
        <is>
          <t>G 0.19 – Offenlegung schützenswerter Informationen; G 0.14 – Ausspähen von Informationen (Spionage)</t>
        </is>
      </c>
      <c r="U176" s="11" t="n">
        <v>3</v>
      </c>
      <c r="V176" s="11" t="n">
        <v>2</v>
      </c>
      <c r="W176" s="11" t="n">
        <v>0</v>
      </c>
      <c r="X176" s="11" t="n">
        <v>0</v>
      </c>
      <c r="Y176" s="11" t="n">
        <v>0</v>
      </c>
    </row>
    <row r="177">
      <c r="A177" s="9" t="inlineStr">
        <is>
          <t>KONF.11.4</t>
        </is>
      </c>
      <c r="B177" s="10" t="inlineStr">
        <is>
          <t>Erraten von Zugriffslinks</t>
        </is>
      </c>
      <c r="C177" s="11" t="n"/>
      <c r="D177" s="11" t="inlineStr">
        <is>
          <t>Standard-Anforderungen</t>
        </is>
      </c>
      <c r="E177" s="12" t="inlineStr">
        <is>
          <t>Gesamt:</t>
        </is>
      </c>
      <c r="F177" s="11" t="n"/>
      <c r="G177" s="11" t="n"/>
      <c r="H177" s="13">
        <f>IF(OR(COUNTBLANK($H$178:$H$178)&gt;0,COUNTIF($H$178:$H$178,"unbearbeitet")=COUNTA($H$178:$H$178)),"Bitte Teilanforderungen ausfüllen",IF(COUNTIF($H$178:$H$178,"zu klären")&gt;0,"zu klären",IF(COUNTIF($H$178:$H$178,"entbehrlich")=COUNTA($H$178:$H$178),"entbehrlich",IF(COUNTIF($H$178:$H$178,"verwiesen")=COUNTA($H$178:$H$178),"verwiesen",IF(COUNTIF($H$178:$H$178,"nein")+COUNTIF($H$178:$H$178,"entbehrlich")=COUNTA($H$178:$H$178),"nein",IF(COUNTIF($H$178:$H$178,"ja")+COUNTIF($H$178:$H$178,"entbehrlich")+COUNTIF($H$178:$H$178,"verwiesen")=COUNTA($H$178:$H$178),"ja","teilweise"))))))</f>
        <v/>
      </c>
      <c r="I177" s="11" t="n"/>
      <c r="J177" s="11" t="n"/>
      <c r="K177" s="11" t="n"/>
      <c r="L177" s="11" t="n"/>
      <c r="M177" s="11" t="inlineStr">
        <is>
          <t>Vertraulichkeit</t>
        </is>
      </c>
      <c r="N177" s="12" t="inlineStr"/>
      <c r="O177" s="11" t="inlineStr"/>
      <c r="P177" s="12" t="inlineStr">
        <is>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is>
      </c>
      <c r="Q177" s="11" t="inlineStr">
        <is>
          <t>Webanwendungen</t>
        </is>
      </c>
      <c r="R177" s="11" t="inlineStr">
        <is>
          <t>Konfigurationshistorie</t>
        </is>
      </c>
      <c r="S177" s="12" t="inlineStr">
        <is>
          <t>das Durchprobieren von Zugriffslinks</t>
        </is>
      </c>
      <c r="T177" s="12" t="inlineStr">
        <is>
          <t>G 0.23 – Unbefugtes Eindringen in IT-Systeme; G 0.19 – Offenlegung schützenswerter Informationen</t>
        </is>
      </c>
      <c r="U177" s="11" t="n">
        <v>4</v>
      </c>
      <c r="V177" s="11" t="n">
        <v>2</v>
      </c>
      <c r="W177" s="11" t="n">
        <v>1</v>
      </c>
      <c r="X177" s="11" t="n">
        <v>0</v>
      </c>
      <c r="Y177" s="11" t="n">
        <v>0</v>
      </c>
    </row>
    <row r="178">
      <c r="A178" s="11" t="inlineStr">
        <is>
          <t>KONF.11.4</t>
        </is>
      </c>
      <c r="B178" s="12" t="inlineStr">
        <is>
          <t>Erraten von Zugriffslinks</t>
        </is>
      </c>
      <c r="C178" s="11" t="inlineStr">
        <is>
          <t>KONF.11.4</t>
        </is>
      </c>
      <c r="D178" s="11" t="inlineStr">
        <is>
          <t>Standard-Anforderungen</t>
        </is>
      </c>
      <c r="E178" s="12" t="inlineStr">
        <is>
          <t>Konfiguration für Webanwendungen SOLLTE das Durchprobieren von Zugriffslinks durch einen automatisierten Mechanismus blockieren.</t>
        </is>
      </c>
      <c r="F178" s="14" t="n"/>
      <c r="G178" s="14" t="n"/>
      <c r="H178" s="14" t="inlineStr">
        <is>
          <t>unbearbeitet</t>
        </is>
      </c>
      <c r="I178" s="14" t="n"/>
      <c r="J178" s="14" t="n"/>
      <c r="K178" s="14" t="n"/>
      <c r="L178" s="15" t="n"/>
      <c r="M178" s="11" t="inlineStr">
        <is>
          <t>Vertraulichkeit</t>
        </is>
      </c>
      <c r="N178" s="12" t="inlineStr"/>
      <c r="O178" s="11" t="inlineStr"/>
      <c r="P178" s="12" t="inlineStr">
        <is>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is>
      </c>
      <c r="Q178" s="11" t="inlineStr">
        <is>
          <t>Webanwendungen</t>
        </is>
      </c>
      <c r="R178" s="11" t="inlineStr">
        <is>
          <t>Konfigurationshistorie</t>
        </is>
      </c>
      <c r="S178" s="12" t="inlineStr">
        <is>
          <t>das Durchprobieren von Zugriffslinks</t>
        </is>
      </c>
      <c r="T178" s="12" t="inlineStr">
        <is>
          <t>G 0.23 – Unbefugtes Eindringen in IT-Systeme; G 0.19 – Offenlegung schützenswerter Informationen</t>
        </is>
      </c>
      <c r="U178" s="11" t="n">
        <v>4</v>
      </c>
      <c r="V178" s="11" t="n">
        <v>2</v>
      </c>
      <c r="W178" s="11" t="n">
        <v>1</v>
      </c>
      <c r="X178" s="11" t="n">
        <v>0</v>
      </c>
      <c r="Y178" s="11" t="n">
        <v>0</v>
      </c>
    </row>
    <row r="179">
      <c r="A179" s="9" t="inlineStr">
        <is>
          <t>KONF.11.5</t>
        </is>
      </c>
      <c r="B179" s="10" t="inlineStr">
        <is>
          <t>Einschränkung unauthentifizierter Anschlüsse</t>
        </is>
      </c>
      <c r="C179" s="11" t="n"/>
      <c r="D179" s="11" t="inlineStr">
        <is>
          <t>Standard-Anforderungen</t>
        </is>
      </c>
      <c r="E179" s="12" t="inlineStr">
        <is>
          <t>Gesamt:</t>
        </is>
      </c>
      <c r="F179" s="11" t="n"/>
      <c r="G179" s="11" t="n"/>
      <c r="H179" s="13">
        <f>IF(OR(COUNTBLANK($H$180:$H$180)&gt;0,COUNTIF($H$180:$H$180,"unbearbeitet")=COUNTA($H$180:$H$180)),"Bitte Teilanforderungen ausfüllen",IF(COUNTIF($H$180:$H$180,"zu klären")&gt;0,"zu klären",IF(COUNTIF($H$180:$H$180,"entbehrlich")=COUNTA($H$180:$H$180),"entbehrlich",IF(COUNTIF($H$180:$H$180,"verwiesen")=COUNTA($H$180:$H$180),"verwiesen",IF(COUNTIF($H$180:$H$180,"nein")+COUNTIF($H$180:$H$180,"entbehrlich")=COUNTA($H$180:$H$180),"nein",IF(COUNTIF($H$180:$H$180,"ja")+COUNTIF($H$180:$H$180,"entbehrlich")+COUNTIF($H$180:$H$180,"verwiesen")=COUNTA($H$180:$H$180),"ja","teilweise"))))))</f>
        <v/>
      </c>
      <c r="I179" s="11" t="n"/>
      <c r="J179" s="11" t="n"/>
      <c r="K179" s="11" t="n"/>
      <c r="L179" s="11" t="n"/>
      <c r="M179" s="11" t="inlineStr">
        <is>
          <t>Vertraulichkeit, Integrität</t>
        </is>
      </c>
      <c r="N179" s="12" t="inlineStr"/>
      <c r="O179" s="11" t="inlineStr"/>
      <c r="P179" s="12" t="inlineStr">
        <is>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is>
      </c>
      <c r="Q179" s="11" t="inlineStr">
        <is>
          <t>TK-Anwendungen</t>
        </is>
      </c>
      <c r="R179" s="11" t="inlineStr">
        <is>
          <t>Konfigurationshistorie</t>
        </is>
      </c>
      <c r="S179" s="12" t="inlineStr">
        <is>
          <t>von unauthentifizierten Anschlüssen erreichbare Gegenstellen</t>
        </is>
      </c>
      <c r="T179" s="12" t="inlineStr">
        <is>
          <t>G 0.23 – Unbefugtes Eindringen in IT-Systeme; G 0.30 – Unberechtigte Nutzung oder Administration von Geräten und Systemen</t>
        </is>
      </c>
      <c r="U179" s="11" t="n">
        <v>3</v>
      </c>
      <c r="V179" s="11" t="n">
        <v>2</v>
      </c>
      <c r="W179" s="11" t="n">
        <v>2</v>
      </c>
      <c r="X179" s="11" t="n">
        <v>1</v>
      </c>
      <c r="Y179" s="11" t="n">
        <v>1</v>
      </c>
    </row>
    <row r="180">
      <c r="A180" s="11" t="inlineStr">
        <is>
          <t>KONF.11.5</t>
        </is>
      </c>
      <c r="B180" s="12" t="inlineStr">
        <is>
          <t>Einschränkung unauthentifizierter Anschlüsse</t>
        </is>
      </c>
      <c r="C180" s="11" t="inlineStr">
        <is>
          <t>KONF.11.5</t>
        </is>
      </c>
      <c r="D180" s="11" t="inlineStr">
        <is>
          <t>Standard-Anforderungen</t>
        </is>
      </c>
      <c r="E180" s="12" t="inlineStr">
        <is>
          <t>Konfiguration für TK-Anwendungen SOLLTE von unauthentifizierten Anschlüssen erreichbare Gegenstellen einschränken.</t>
        </is>
      </c>
      <c r="F180" s="14" t="n"/>
      <c r="G180" s="14" t="n"/>
      <c r="H180" s="14" t="inlineStr">
        <is>
          <t>unbearbeitet</t>
        </is>
      </c>
      <c r="I180" s="14" t="n"/>
      <c r="J180" s="14" t="n"/>
      <c r="K180" s="14" t="n"/>
      <c r="L180" s="15" t="n"/>
      <c r="M180" s="11" t="inlineStr">
        <is>
          <t>Vertraulichkeit, Integrität</t>
        </is>
      </c>
      <c r="N180" s="12" t="inlineStr"/>
      <c r="O180" s="11" t="inlineStr"/>
      <c r="P180" s="12" t="inlineStr">
        <is>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is>
      </c>
      <c r="Q180" s="11" t="inlineStr">
        <is>
          <t>TK-Anwendungen</t>
        </is>
      </c>
      <c r="R180" s="11" t="inlineStr">
        <is>
          <t>Konfigurationshistorie</t>
        </is>
      </c>
      <c r="S180" s="12" t="inlineStr">
        <is>
          <t>von unauthentifizierten Anschlüssen erreichbare Gegenstellen</t>
        </is>
      </c>
      <c r="T180" s="12" t="inlineStr">
        <is>
          <t>G 0.23 – Unbefugtes Eindringen in IT-Systeme; G 0.30 – Unberechtigte Nutzung oder Administration von Geräten und Systemen</t>
        </is>
      </c>
      <c r="U180" s="11" t="n">
        <v>3</v>
      </c>
      <c r="V180" s="11" t="n">
        <v>2</v>
      </c>
      <c r="W180" s="11" t="n">
        <v>2</v>
      </c>
      <c r="X180" s="11" t="n">
        <v>1</v>
      </c>
      <c r="Y180" s="11" t="n">
        <v>1</v>
      </c>
    </row>
    <row r="181">
      <c r="A181" s="9" t="inlineStr">
        <is>
          <t>KONF.11.6</t>
        </is>
      </c>
      <c r="B181" s="10" t="inlineStr">
        <is>
          <t>Übersicht angemeldeter Verbindungen</t>
        </is>
      </c>
      <c r="C181" s="11" t="n"/>
      <c r="D181" s="11" t="inlineStr">
        <is>
          <t>Anforderungen bei erhöhtem Schutzbedarf</t>
        </is>
      </c>
      <c r="E181" s="12" t="inlineStr">
        <is>
          <t>Gesamt:</t>
        </is>
      </c>
      <c r="F181" s="11" t="n"/>
      <c r="G181" s="11" t="n"/>
      <c r="H181" s="13">
        <f>IF(OR(COUNTBLANK($H$182:$H$182)&gt;0,COUNTIF($H$182:$H$182,"unbearbeitet")=COUNTA($H$182:$H$182)),"Bitte Teilanforderungen ausfüllen",IF(COUNTIF($H$182:$H$182,"zu klären")&gt;0,"zu klären",IF(COUNTIF($H$182:$H$182,"entbehrlich")=COUNTA($H$182:$H$182),"entbehrlich",IF(COUNTIF($H$182:$H$182,"verwiesen")=COUNTA($H$182:$H$182),"verwiesen",IF(COUNTIF($H$182:$H$182,"nein")+COUNTIF($H$182:$H$182,"entbehrlich")=COUNTA($H$182:$H$182),"nein",IF(COUNTIF($H$182:$H$182,"ja")+COUNTIF($H$182:$H$182,"entbehrlich")+COUNTIF($H$182:$H$182,"verwiesen")=COUNTA($H$182:$H$182),"ja","teilweise"))))))</f>
        <v/>
      </c>
      <c r="I181" s="11" t="n"/>
      <c r="J181" s="11" t="n"/>
      <c r="K181" s="11" t="n"/>
      <c r="L181" s="11" t="n"/>
      <c r="M181" s="11" t="inlineStr">
        <is>
          <t>Vertraulichkeit, Integrität</t>
        </is>
      </c>
      <c r="N181" s="12" t="inlineStr"/>
      <c r="O181" s="11" t="inlineStr"/>
      <c r="P181" s="12" t="inlineStr">
        <is>
          <t>Je nach Anwendung können dabei Informationen wie Gerätename, Betriebssystemtyp, Browser-Agent oder IP-Adresse angezeigt werden.</t>
        </is>
      </c>
      <c r="Q181" s="11" t="inlineStr">
        <is>
          <t>Anwendungen</t>
        </is>
      </c>
      <c r="R181" s="11" t="inlineStr">
        <is>
          <t>Konfigurationshistorie</t>
        </is>
      </c>
      <c r="S181" s="12" t="inlineStr">
        <is>
          <t>eine Übersicht angemeldeter Verbindungen</t>
        </is>
      </c>
      <c r="T181" s="12" t="inlineStr">
        <is>
          <t>G 0.23 – Unbefugtes Eindringen in IT-Systeme; G 0.30 – Unberechtigte Nutzung oder Administration von Geräten und Systemen</t>
        </is>
      </c>
      <c r="U181" s="11" t="n">
        <v>5</v>
      </c>
      <c r="V181" s="11" t="n">
        <v>2</v>
      </c>
      <c r="W181" s="11" t="n">
        <v>2</v>
      </c>
      <c r="X181" s="11" t="n">
        <v>1</v>
      </c>
      <c r="Y181" s="11" t="n">
        <v>1</v>
      </c>
    </row>
    <row r="182">
      <c r="A182" s="11" t="inlineStr">
        <is>
          <t>KONF.11.6</t>
        </is>
      </c>
      <c r="B182" s="12" t="inlineStr">
        <is>
          <t>Übersicht angemeldeter Verbindungen</t>
        </is>
      </c>
      <c r="C182" s="11" t="inlineStr">
        <is>
          <t>KONF.11.6</t>
        </is>
      </c>
      <c r="D182" s="11" t="inlineStr">
        <is>
          <t>Anforderungen bei erhöhtem Schutzbedarf</t>
        </is>
      </c>
      <c r="E182" s="12" t="inlineStr">
        <is>
          <t>Konfiguration für Anwendungen KANN eine Übersicht angemeldeter Verbindungen aktivieren.</t>
        </is>
      </c>
      <c r="F182" s="14" t="n"/>
      <c r="G182" s="14" t="n"/>
      <c r="H182" s="14" t="inlineStr">
        <is>
          <t>unbearbeitet</t>
        </is>
      </c>
      <c r="I182" s="14" t="n"/>
      <c r="J182" s="14" t="n"/>
      <c r="K182" s="14" t="n"/>
      <c r="L182" s="15" t="n"/>
      <c r="M182" s="11" t="inlineStr">
        <is>
          <t>Vertraulichkeit, Integrität</t>
        </is>
      </c>
      <c r="N182" s="12" t="inlineStr"/>
      <c r="O182" s="11" t="inlineStr"/>
      <c r="P182" s="12" t="inlineStr">
        <is>
          <t>Je nach Anwendung können dabei Informationen wie Gerätename, Betriebssystemtyp, Browser-Agent oder IP-Adresse angezeigt werden.</t>
        </is>
      </c>
      <c r="Q182" s="11" t="inlineStr">
        <is>
          <t>Anwendungen</t>
        </is>
      </c>
      <c r="R182" s="11" t="inlineStr">
        <is>
          <t>Konfigurationshistorie</t>
        </is>
      </c>
      <c r="S182" s="12" t="inlineStr">
        <is>
          <t>eine Übersicht angemeldeter Verbindungen</t>
        </is>
      </c>
      <c r="T182" s="12" t="inlineStr">
        <is>
          <t>G 0.23 – Unbefugtes Eindringen in IT-Systeme; G 0.30 – Unberechtigte Nutzung oder Administration von Geräten und Systemen</t>
        </is>
      </c>
      <c r="U182" s="11" t="n">
        <v>5</v>
      </c>
      <c r="V182" s="11" t="n">
        <v>2</v>
      </c>
      <c r="W182" s="11" t="n">
        <v>2</v>
      </c>
      <c r="X182" s="11" t="n">
        <v>1</v>
      </c>
      <c r="Y182" s="11" t="n">
        <v>1</v>
      </c>
    </row>
    <row r="183">
      <c r="A183" s="9" t="inlineStr">
        <is>
          <t>KONF.11.7</t>
        </is>
      </c>
      <c r="B183" s="10" t="inlineStr">
        <is>
          <t>Einschränkung von Schnittstellen</t>
        </is>
      </c>
      <c r="C183" s="11" t="n"/>
      <c r="D183" s="11" t="inlineStr">
        <is>
          <t>Standard-Anforderungen</t>
        </is>
      </c>
      <c r="E183" s="12" t="inlineStr">
        <is>
          <t>Gesamt:</t>
        </is>
      </c>
      <c r="F183" s="11" t="n"/>
      <c r="G183" s="11" t="n"/>
      <c r="H183" s="13">
        <f>IF(OR(COUNTBLANK($H$184:$H$187)&gt;0,COUNTIF($H$184:$H$187,"unbearbeitet")=COUNTA($H$184:$H$187)),"Bitte Teilanforderungen ausfüllen",IF(COUNTIF($H$184:$H$187,"zu klären")&gt;0,"zu klären",IF(COUNTIF($H$184:$H$187,"entbehrlich")=COUNTA($H$184:$H$187),"entbehrlich",IF(COUNTIF($H$184:$H$187,"verwiesen")=COUNTA($H$184:$H$187),"verwiesen",IF(COUNTIF($H$184:$H$187,"nein")+COUNTIF($H$184:$H$187,"entbehrlich")=COUNTA($H$184:$H$187),"nein",IF(COUNTIF($H$184:$H$187,"ja")+COUNTIF($H$184:$H$187,"entbehrlich")+COUNTIF($H$184:$H$187,"verwiesen")=COUNTA($H$184:$H$187),"ja","teilweise"))))))</f>
        <v/>
      </c>
      <c r="I183" s="11" t="n"/>
      <c r="J183" s="11" t="n"/>
      <c r="K183" s="11" t="n"/>
      <c r="L183" s="11" t="n"/>
      <c r="M183" s="11" t="inlineStr">
        <is>
          <t>Vertraulichkeit</t>
        </is>
      </c>
      <c r="N183" s="12" t="inlineStr"/>
      <c r="O183" s="11" t="inlineStr"/>
      <c r="P183" s="12" t="inlineStr">
        <is>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is>
      </c>
      <c r="Q183" s="11" t="inlineStr">
        <is>
          <t>Anwendungen</t>
        </is>
      </c>
      <c r="R183" s="11" t="inlineStr">
        <is>
          <t>Konfigurationshistorie</t>
        </is>
      </c>
      <c r="S183" s="12" t="inlineStr">
        <is>
          <t>aktivierte Schnittstellen</t>
        </is>
      </c>
      <c r="T183" s="12" t="inlineStr">
        <is>
          <t>G 0.23 – Unbefugtes Eindringen in IT-Systeme; G 0.19 – Offenlegung schützenswerter Informationen</t>
        </is>
      </c>
      <c r="U183" s="11" t="n">
        <v>3</v>
      </c>
      <c r="V183" s="11" t="n">
        <v>2</v>
      </c>
      <c r="W183" s="11" t="n">
        <v>1</v>
      </c>
      <c r="X183" s="11" t="n">
        <v>0</v>
      </c>
      <c r="Y183" s="11" t="n">
        <v>0</v>
      </c>
    </row>
    <row r="184">
      <c r="A184" s="11" t="inlineStr">
        <is>
          <t>KONF.11.7</t>
        </is>
      </c>
      <c r="B184" s="12" t="inlineStr">
        <is>
          <t>Einschränkung von Schnittstellen</t>
        </is>
      </c>
      <c r="C184" s="11" t="inlineStr">
        <is>
          <t>KONF.11.7</t>
        </is>
      </c>
      <c r="D184" s="11" t="inlineStr">
        <is>
          <t>Standard-Anforderungen</t>
        </is>
      </c>
      <c r="E184" s="12" t="inlineStr">
        <is>
          <t>Konfiguration für Anwendungen SOLLTE aktivierte Schnittstellen einschließlich denen zu anderen Anwendungen, Cloud-Funktionen oder Erweiterungen einschränken.</t>
        </is>
      </c>
      <c r="F184" s="14" t="n"/>
      <c r="G184" s="14" t="n"/>
      <c r="H184" s="14" t="inlineStr">
        <is>
          <t>unbearbeitet</t>
        </is>
      </c>
      <c r="I184" s="14" t="n"/>
      <c r="J184" s="14" t="n"/>
      <c r="K184" s="14" t="n"/>
      <c r="L184" s="15" t="n"/>
      <c r="M184" s="11" t="inlineStr">
        <is>
          <t>Vertraulichkeit</t>
        </is>
      </c>
      <c r="N184" s="12" t="inlineStr"/>
      <c r="O184" s="11" t="inlineStr"/>
      <c r="P184" s="12" t="inlineStr">
        <is>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is>
      </c>
      <c r="Q184" s="11" t="inlineStr">
        <is>
          <t>Anwendungen</t>
        </is>
      </c>
      <c r="R184" s="11" t="inlineStr">
        <is>
          <t>Konfigurationshistorie</t>
        </is>
      </c>
      <c r="S184" s="12" t="inlineStr">
        <is>
          <t>aktivierte Schnittstellen</t>
        </is>
      </c>
      <c r="T184" s="12" t="inlineStr">
        <is>
          <t>G 0.23 – Unbefugtes Eindringen in IT-Systeme; G 0.19 – Offenlegung schützenswerter Informationen</t>
        </is>
      </c>
      <c r="U184" s="11" t="n">
        <v>3</v>
      </c>
      <c r="V184" s="11" t="n">
        <v>2</v>
      </c>
      <c r="W184" s="11" t="n">
        <v>1</v>
      </c>
      <c r="X184" s="11" t="n">
        <v>0</v>
      </c>
      <c r="Y184" s="11" t="n">
        <v>0</v>
      </c>
    </row>
    <row r="185">
      <c r="A185" s="11" t="inlineStr">
        <is>
          <t>KONF.11.7</t>
        </is>
      </c>
      <c r="B185" s="12" t="inlineStr">
        <is>
          <t>Einschränkung von Schnittstellen</t>
        </is>
      </c>
      <c r="C185" s="11" t="inlineStr">
        <is>
          <t>KONF.11.7.1</t>
        </is>
      </c>
      <c r="D185" s="11" t="inlineStr">
        <is>
          <t>Standard-Anforderungen</t>
        </is>
      </c>
      <c r="E185" s="12" t="inlineStr">
        <is>
          <t>Konfiguration für DNS-Server SOLLTE Zonentransfers einschränken.</t>
        </is>
      </c>
      <c r="F185" s="14" t="n"/>
      <c r="G185" s="14" t="n"/>
      <c r="H185" s="14" t="inlineStr">
        <is>
          <t>unbearbeitet</t>
        </is>
      </c>
      <c r="I185" s="14" t="n"/>
      <c r="J185" s="14" t="n"/>
      <c r="K185" s="14" t="n"/>
      <c r="L185" s="15" t="n"/>
      <c r="M185" s="11" t="inlineStr">
        <is>
          <t>Vertraulichkeit</t>
        </is>
      </c>
      <c r="N185" s="12" t="inlineStr"/>
      <c r="O185" s="11" t="inlineStr"/>
      <c r="P185" s="12" t="inlineStr">
        <is>
          <t>Zum Schutz vor DNS-Reconnaissance und DNS-Spoofing, da Zonendaten alle DNS-Einträger einer Domäne enthalten. Kann durch Einschränkung auf autorisierte IP-Adressen und TSIG umgesetzt werden.</t>
        </is>
      </c>
      <c r="Q185" s="11" t="inlineStr">
        <is>
          <t>DNS-Server</t>
        </is>
      </c>
      <c r="R185" s="11" t="inlineStr">
        <is>
          <t>Konfigurationshistorie</t>
        </is>
      </c>
      <c r="S185" s="12" t="inlineStr">
        <is>
          <t>Zonentransfers</t>
        </is>
      </c>
      <c r="T185" s="12" t="inlineStr">
        <is>
          <t>G 0.30 – Unberechtigte Nutzung oder Administration von Geräten und Systemen; G 0.19 – Offenlegung schützenswerter Informationen</t>
        </is>
      </c>
      <c r="U185" s="11" t="n">
        <v>3</v>
      </c>
      <c r="V185" s="11" t="n">
        <v>2</v>
      </c>
      <c r="W185" s="11" t="n">
        <v>1</v>
      </c>
      <c r="X185" s="11" t="n">
        <v>1</v>
      </c>
      <c r="Y185" s="11" t="n">
        <v>1</v>
      </c>
    </row>
    <row r="186">
      <c r="A186" s="11" t="inlineStr">
        <is>
          <t>KONF.11.7</t>
        </is>
      </c>
      <c r="B186" s="12" t="inlineStr">
        <is>
          <t>Einschränkung von Schnittstellen</t>
        </is>
      </c>
      <c r="C186" s="11" t="inlineStr">
        <is>
          <t>KONF.11.7.2</t>
        </is>
      </c>
      <c r="D186" s="11" t="inlineStr">
        <is>
          <t>Standard-Anforderungen</t>
        </is>
      </c>
      <c r="E186" s="12" t="inlineStr">
        <is>
          <t>Konfiguration für TK-Anwendungen SOLLTE unerwünschte TK-Verbindungen einschränken.</t>
        </is>
      </c>
      <c r="F186" s="14" t="n"/>
      <c r="G186" s="14" t="n"/>
      <c r="H186" s="14" t="inlineStr">
        <is>
          <t>unbearbeitet</t>
        </is>
      </c>
      <c r="I186" s="14" t="n"/>
      <c r="J186" s="14" t="n"/>
      <c r="K186" s="14" t="n"/>
      <c r="L186" s="15" t="n"/>
      <c r="M186" s="11" t="inlineStr">
        <is>
          <t>Vertraulichkeit, Integrität</t>
        </is>
      </c>
      <c r="N186" s="12" t="inlineStr"/>
      <c r="O186" s="11" t="inlineStr"/>
      <c r="P186" s="12" t="inlineStr">
        <is>
          <t>Kann durch Session Border Controller (SBC) oder Filterung innerhalb von Anwendungen umgesetzt werden. SBC filtern die Signalisierung und Mediastreams auf dem Kommunikationsweg, insbesondere beim Verbindungsaufbau mittels SIP, H.323 oder MGCP.</t>
        </is>
      </c>
      <c r="Q186" s="11" t="inlineStr">
        <is>
          <t>TK-Anwendungen</t>
        </is>
      </c>
      <c r="R186" s="11" t="inlineStr">
        <is>
          <t>Konfigurationshistorie</t>
        </is>
      </c>
      <c r="S186" s="12" t="inlineStr">
        <is>
          <t>unerwünschte TK-Verbindungen</t>
        </is>
      </c>
      <c r="T186" s="12" t="inlineStr">
        <is>
          <t>G 0.23 – Unbefugtes Eindringen in IT-Systeme; G 0.30 – Unberechtigte Nutzung oder Administration von Geräten und Systemen</t>
        </is>
      </c>
      <c r="U186" s="11" t="n">
        <v>3</v>
      </c>
      <c r="V186" s="11" t="n">
        <v>2</v>
      </c>
      <c r="W186" s="11" t="n">
        <v>2</v>
      </c>
      <c r="X186" s="11" t="n">
        <v>1</v>
      </c>
      <c r="Y186" s="11" t="n">
        <v>1</v>
      </c>
    </row>
    <row r="187">
      <c r="A187" s="11" t="inlineStr">
        <is>
          <t>KONF.11.7</t>
        </is>
      </c>
      <c r="B187" s="12" t="inlineStr">
        <is>
          <t>Einschränkung von Schnittstellen</t>
        </is>
      </c>
      <c r="C187" s="11" t="inlineStr">
        <is>
          <t>KONF.11.7.2.1</t>
        </is>
      </c>
      <c r="D187" s="11" t="inlineStr">
        <is>
          <t>Standard-Anforderungen</t>
        </is>
      </c>
      <c r="E187" s="12" t="inlineStr">
        <is>
          <t>Konfiguration für TK-Anwendungen SOLLTE Verbindungen mit externen Gegenstellen einschränken.</t>
        </is>
      </c>
      <c r="F187" s="14" t="n"/>
      <c r="G187" s="14" t="n"/>
      <c r="H187" s="14" t="inlineStr">
        <is>
          <t>unbearbeitet</t>
        </is>
      </c>
      <c r="I187" s="14" t="n"/>
      <c r="J187" s="14" t="n"/>
      <c r="K187" s="14" t="n"/>
      <c r="L187" s="15" t="n"/>
      <c r="M187" s="11" t="inlineStr">
        <is>
          <t>Vertraulichkeit, Integrität</t>
        </is>
      </c>
      <c r="N187" s="12" t="inlineStr"/>
      <c r="O187" s="11" t="inlineStr"/>
      <c r="P187" s="12" t="inlineStr">
        <is>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is>
      </c>
      <c r="Q187" s="11" t="inlineStr">
        <is>
          <t>TK-Anwendungen</t>
        </is>
      </c>
      <c r="R187" s="11" t="inlineStr">
        <is>
          <t>Konfigurationshistorie</t>
        </is>
      </c>
      <c r="S187" s="12" t="inlineStr">
        <is>
          <t>Verbindungen mit externen Gegenstellen</t>
        </is>
      </c>
      <c r="T187" s="12" t="inlineStr">
        <is>
          <t>G 0.23 – Unbefugtes Eindringen in IT-Systeme; G 0.30 – Unberechtigte Nutzung oder Administration von Geräten und Systemen</t>
        </is>
      </c>
      <c r="U187" s="11" t="n">
        <v>3</v>
      </c>
      <c r="V187" s="11" t="n">
        <v>2</v>
      </c>
      <c r="W187" s="11" t="n">
        <v>2</v>
      </c>
      <c r="X187" s="11" t="n">
        <v>1</v>
      </c>
      <c r="Y187" s="11" t="n">
        <v>1</v>
      </c>
    </row>
    <row r="188">
      <c r="A188" s="9" t="inlineStr">
        <is>
          <t>KONF.11.8</t>
        </is>
      </c>
      <c r="B188" s="10" t="inlineStr">
        <is>
          <t>Verschlüsselung schützenswerter Daten (at-rest)</t>
        </is>
      </c>
      <c r="C188" s="11" t="n"/>
      <c r="D188" s="11" t="inlineStr">
        <is>
          <t>Anforderungen bei erhöhtem Schutzbedarf</t>
        </is>
      </c>
      <c r="E188" s="12" t="inlineStr">
        <is>
          <t>Gesamt:</t>
        </is>
      </c>
      <c r="F188" s="11" t="n"/>
      <c r="G188" s="11" t="n"/>
      <c r="H188" s="13">
        <f>IF(OR(COUNTBLANK($H$189:$H$189)&gt;0,COUNTIF($H$189:$H$189,"unbearbeitet")=COUNTA($H$189:$H$189)),"Bitte Teilanforderungen ausfüllen",IF(COUNTIF($H$189:$H$189,"zu klären")&gt;0,"zu klären",IF(COUNTIF($H$189:$H$189,"entbehrlich")=COUNTA($H$189:$H$189),"entbehrlich",IF(COUNTIF($H$189:$H$189,"verwiesen")=COUNTA($H$189:$H$189),"verwiesen",IF(COUNTIF($H$189:$H$189,"nein")+COUNTIF($H$189:$H$189,"entbehrlich")=COUNTA($H$189:$H$189),"nein",IF(COUNTIF($H$189:$H$189,"ja")+COUNTIF($H$189:$H$189,"entbehrlich")+COUNTIF($H$189:$H$189,"verwiesen")=COUNTA($H$189:$H$189),"ja","teilweise"))))))</f>
        <v/>
      </c>
      <c r="I188" s="11" t="n"/>
      <c r="J188" s="11" t="n"/>
      <c r="K188" s="11" t="n"/>
      <c r="L188" s="11" t="n"/>
      <c r="M188" s="11" t="inlineStr">
        <is>
          <t>Vertraulichkeit</t>
        </is>
      </c>
      <c r="N188" s="12" t="inlineStr">
        <is>
          <t>APP.1.4.A8-UA.1</t>
        </is>
      </c>
      <c r="O188" s="11" t="inlineStr">
        <is>
          <t>intersects-with</t>
        </is>
      </c>
      <c r="P188" s="12" t="inlineStr">
        <is>
          <t>Hierbei ist insbesondere an Zugangsdaten zu denken. Die Anforderung ist auch dann erfüllt, wenn Daten statt einer Verschlüsselung mit Hash und Salt versehen sind. Zur Umsetzung siehe BSI TR-02102.</t>
        </is>
      </c>
      <c r="Q188" s="11" t="inlineStr">
        <is>
          <t>Anwendungen</t>
        </is>
      </c>
      <c r="R188" s="11" t="inlineStr">
        <is>
          <t>Konfigurationshistorie</t>
        </is>
      </c>
      <c r="S188" s="12" t="inlineStr">
        <is>
          <t>schützenswerte Daten</t>
        </is>
      </c>
      <c r="T188" s="12" t="inlineStr">
        <is>
          <t>G 0.19 – Offenlegung schützenswerter Informationen; G 0.14 – Ausspähen von Informationen (Spionage)</t>
        </is>
      </c>
      <c r="U188" s="11" t="n">
        <v>5</v>
      </c>
      <c r="V188" s="11" t="n">
        <v>2</v>
      </c>
      <c r="W188" s="11" t="n">
        <v>0</v>
      </c>
      <c r="X188" s="11" t="n">
        <v>0</v>
      </c>
      <c r="Y188" s="11" t="n">
        <v>0</v>
      </c>
    </row>
    <row r="189">
      <c r="A189" s="11" t="inlineStr">
        <is>
          <t>KONF.11.8</t>
        </is>
      </c>
      <c r="B189" s="12" t="inlineStr">
        <is>
          <t>Verschlüsselung schützenswerter Daten (at-rest)</t>
        </is>
      </c>
      <c r="C189" s="11" t="inlineStr">
        <is>
          <t>KONF.11.8</t>
        </is>
      </c>
      <c r="D189" s="11" t="inlineStr">
        <is>
          <t>Anforderungen bei erhöhtem Schutzbedarf</t>
        </is>
      </c>
      <c r="E189" s="12" t="inlineStr">
        <is>
          <t>Konfiguration für Anwendungen KANN schützenswerte Daten bei der Speicherung (at-rest) verschlüsseln.</t>
        </is>
      </c>
      <c r="F189" s="14" t="n"/>
      <c r="G189" s="14" t="n"/>
      <c r="H189" s="14" t="inlineStr">
        <is>
          <t>unbearbeitet</t>
        </is>
      </c>
      <c r="I189" s="14" t="n"/>
      <c r="J189" s="14" t="n"/>
      <c r="K189" s="14" t="n"/>
      <c r="L189" s="15" t="n"/>
      <c r="M189" s="11" t="inlineStr">
        <is>
          <t>Vertraulichkeit</t>
        </is>
      </c>
      <c r="N189" s="12" t="inlineStr">
        <is>
          <t>APP.1.4.A8-UA.1</t>
        </is>
      </c>
      <c r="O189" s="11" t="inlineStr">
        <is>
          <t>intersects-with</t>
        </is>
      </c>
      <c r="P189" s="12" t="inlineStr">
        <is>
          <t>Hierbei ist insbesondere an Zugangsdaten zu denken. Die Anforderung ist auch dann erfüllt, wenn Daten statt einer Verschlüsselung mit Hash und Salt versehen sind. Zur Umsetzung siehe BSI TR-02102.</t>
        </is>
      </c>
      <c r="Q189" s="11" t="inlineStr">
        <is>
          <t>Anwendungen</t>
        </is>
      </c>
      <c r="R189" s="11" t="inlineStr">
        <is>
          <t>Konfigurationshistorie</t>
        </is>
      </c>
      <c r="S189" s="12" t="inlineStr">
        <is>
          <t>schützenswerte Daten</t>
        </is>
      </c>
      <c r="T189" s="12" t="inlineStr">
        <is>
          <t>G 0.19 – Offenlegung schützenswerter Informationen; G 0.14 – Ausspähen von Informationen (Spionage)</t>
        </is>
      </c>
      <c r="U189" s="11" t="n">
        <v>5</v>
      </c>
      <c r="V189" s="11" t="n">
        <v>2</v>
      </c>
      <c r="W189" s="11" t="n">
        <v>0</v>
      </c>
      <c r="X189" s="11" t="n">
        <v>0</v>
      </c>
      <c r="Y189" s="11" t="n">
        <v>0</v>
      </c>
    </row>
    <row r="190">
      <c r="A190" s="9" t="inlineStr">
        <is>
          <t>KONF.12.1</t>
        </is>
      </c>
      <c r="B190" s="10" t="inlineStr">
        <is>
          <t>Eingabevalidierung</t>
        </is>
      </c>
      <c r="C190" s="11" t="n"/>
      <c r="D190" s="11" t="inlineStr">
        <is>
          <t>Standard-Anforderungen</t>
        </is>
      </c>
      <c r="E190" s="12" t="inlineStr">
        <is>
          <t>Gesamt:</t>
        </is>
      </c>
      <c r="F190" s="11" t="n"/>
      <c r="G190" s="11" t="n"/>
      <c r="H190" s="13">
        <f>IF(OR(COUNTBLANK($H$191:$H$202)&gt;0,COUNTIF($H$191:$H$202,"unbearbeitet")=COUNTA($H$191:$H$202)),"Bitte Teilanforderungen ausfüllen",IF(COUNTIF($H$191:$H$202,"zu klären")&gt;0,"zu klären",IF(COUNTIF($H$191:$H$202,"entbehrlich")=COUNTA($H$191:$H$202),"entbehrlich",IF(COUNTIF($H$191:$H$202,"verwiesen")=COUNTA($H$191:$H$202),"verwiesen",IF(COUNTIF($H$191:$H$202,"nein")+COUNTIF($H$191:$H$202,"entbehrlich")=COUNTA($H$191:$H$202),"nein",IF(COUNTIF($H$191:$H$202,"ja")+COUNTIF($H$191:$H$202,"entbehrlich")+COUNTIF($H$191:$H$202,"verwiesen")=COUNTA($H$191:$H$202),"ja","teilweise"))))))</f>
        <v/>
      </c>
      <c r="I190" s="11" t="n"/>
      <c r="J190" s="11" t="n"/>
      <c r="K190" s="11" t="n"/>
      <c r="L190" s="11" t="n"/>
      <c r="M190" s="11" t="inlineStr">
        <is>
          <t>Vertraulichkeit, Integrität</t>
        </is>
      </c>
      <c r="N190" s="12" t="inlineStr"/>
      <c r="O190" s="11" t="inlineStr"/>
      <c r="P190" s="12" t="inlineStr">
        <is>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is>
      </c>
      <c r="Q190" s="11" t="inlineStr">
        <is>
          <t>Anwendungen</t>
        </is>
      </c>
      <c r="R190" s="11" t="inlineStr">
        <is>
          <t>Konfigurationshistorie</t>
        </is>
      </c>
      <c r="S190" s="12" t="inlineStr">
        <is>
          <t>die Validierung von Eingabedaten</t>
        </is>
      </c>
      <c r="T190" s="12" t="inlineStr">
        <is>
          <t>G 0.28 – Software-Schwachstellen oder -Fehler; G 0.23 – Unbefugtes Eindringen in IT-Systeme</t>
        </is>
      </c>
      <c r="U190" s="11" t="n">
        <v>1</v>
      </c>
      <c r="V190" s="11" t="n">
        <v>2</v>
      </c>
      <c r="W190" s="11" t="n">
        <v>2</v>
      </c>
      <c r="X190" s="11" t="n">
        <v>1</v>
      </c>
      <c r="Y190" s="11" t="n">
        <v>0</v>
      </c>
    </row>
    <row r="191">
      <c r="A191" s="11" t="inlineStr">
        <is>
          <t>KONF.12.1</t>
        </is>
      </c>
      <c r="B191" s="12" t="inlineStr">
        <is>
          <t>Eingabevalidierung</t>
        </is>
      </c>
      <c r="C191" s="11" t="inlineStr">
        <is>
          <t>KONF.12.1</t>
        </is>
      </c>
      <c r="D191" s="11" t="inlineStr">
        <is>
          <t>Standard-Anforderungen</t>
        </is>
      </c>
      <c r="E191" s="12" t="inlineStr">
        <is>
          <t>Konfiguration für Anwendungen SOLLTE die Validierung von Eingabedaten durch einen automatisierten Mechanismus aktivieren.</t>
        </is>
      </c>
      <c r="F191" s="14" t="n"/>
      <c r="G191" s="14" t="n"/>
      <c r="H191" s="14" t="inlineStr">
        <is>
          <t>unbearbeitet</t>
        </is>
      </c>
      <c r="I191" s="14" t="n"/>
      <c r="J191" s="14" t="n"/>
      <c r="K191" s="14" t="n"/>
      <c r="L191" s="15" t="n"/>
      <c r="M191" s="11" t="inlineStr">
        <is>
          <t>Vertraulichkeit, Integrität</t>
        </is>
      </c>
      <c r="N191" s="12" t="inlineStr"/>
      <c r="O191" s="11" t="inlineStr"/>
      <c r="P191" s="12" t="inlineStr">
        <is>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is>
      </c>
      <c r="Q191" s="11" t="inlineStr">
        <is>
          <t>Anwendungen</t>
        </is>
      </c>
      <c r="R191" s="11" t="inlineStr">
        <is>
          <t>Konfigurationshistorie</t>
        </is>
      </c>
      <c r="S191" s="12" t="inlineStr">
        <is>
          <t>die Validierung von Eingabedaten</t>
        </is>
      </c>
      <c r="T191" s="12" t="inlineStr">
        <is>
          <t>G 0.28 – Software-Schwachstellen oder -Fehler; G 0.23 – Unbefugtes Eindringen in IT-Systeme</t>
        </is>
      </c>
      <c r="U191" s="11" t="n">
        <v>1</v>
      </c>
      <c r="V191" s="11" t="n">
        <v>2</v>
      </c>
      <c r="W191" s="11" t="n">
        <v>2</v>
      </c>
      <c r="X191" s="11" t="n">
        <v>1</v>
      </c>
      <c r="Y191" s="11" t="n">
        <v>0</v>
      </c>
    </row>
    <row r="192">
      <c r="A192" s="11" t="inlineStr">
        <is>
          <t>KONF.12.1</t>
        </is>
      </c>
      <c r="B192" s="12" t="inlineStr">
        <is>
          <t>Eingabevalidierung</t>
        </is>
      </c>
      <c r="C192" s="11" t="inlineStr">
        <is>
          <t>KONF.12.1.1</t>
        </is>
      </c>
      <c r="D192" s="11" t="inlineStr">
        <is>
          <t>Standard-Anforderungen</t>
        </is>
      </c>
      <c r="E192" s="12" t="inlineStr">
        <is>
          <t>Konfiguration für Webbrowser SOLLTE die automatische Validierung des Zertifikates einschließlich der vollständigen Zertifikatskette aktivieren.</t>
        </is>
      </c>
      <c r="F192" s="14" t="n"/>
      <c r="G192" s="14" t="n"/>
      <c r="H192" s="14" t="inlineStr">
        <is>
          <t>unbearbeitet</t>
        </is>
      </c>
      <c r="I192" s="14" t="n"/>
      <c r="J192" s="14" t="n"/>
      <c r="K192" s="14" t="n"/>
      <c r="L192" s="15" t="n"/>
      <c r="M192" s="11" t="inlineStr"/>
      <c r="N192" s="12" t="inlineStr">
        <is>
          <t>APP.1.2.A3-UA.6</t>
        </is>
      </c>
      <c r="O192" s="11" t="inlineStr">
        <is>
          <t>intersects-with</t>
        </is>
      </c>
      <c r="P192" s="12" t="inlineStr">
        <is>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is>
      </c>
      <c r="Q192" s="11" t="inlineStr">
        <is>
          <t>Webbrowser</t>
        </is>
      </c>
      <c r="R192" s="11" t="inlineStr">
        <is>
          <t>Konfigurationshistorie</t>
        </is>
      </c>
      <c r="S192" s="12" t="inlineStr">
        <is>
          <t>die automatische Validierung des Zertifikates</t>
        </is>
      </c>
      <c r="T192" s="12" t="inlineStr">
        <is>
          <t>G 0.43 – Einspielen von Nachrichten</t>
        </is>
      </c>
      <c r="U192" s="11" t="n">
        <v>1</v>
      </c>
      <c r="V192" s="11" t="n">
        <v>1</v>
      </c>
      <c r="W192" s="11" t="n">
        <v>1</v>
      </c>
      <c r="X192" s="11" t="n">
        <v>0</v>
      </c>
      <c r="Y192" s="11" t="n">
        <v>1</v>
      </c>
    </row>
    <row r="193">
      <c r="A193" s="11" t="inlineStr">
        <is>
          <t>KONF.12.1</t>
        </is>
      </c>
      <c r="B193" s="12" t="inlineStr">
        <is>
          <t>Eingabevalidierung</t>
        </is>
      </c>
      <c r="C193" s="11" t="inlineStr">
        <is>
          <t>KONF.12.1.2</t>
        </is>
      </c>
      <c r="D193" s="11" t="inlineStr">
        <is>
          <t>Standard-Anforderungen</t>
        </is>
      </c>
      <c r="E193" s="12" t="inlineStr">
        <is>
          <t>Konfiguration für Webbrowser SOLLTE aufgerufene Inhalte anhand der von der Webseite bereitgestellten Content Security Policy einschränken.</t>
        </is>
      </c>
      <c r="F193" s="14" t="n"/>
      <c r="G193" s="14" t="n"/>
      <c r="H193" s="14" t="inlineStr">
        <is>
          <t>unbearbeitet</t>
        </is>
      </c>
      <c r="I193" s="14" t="n"/>
      <c r="J193" s="14" t="n"/>
      <c r="K193" s="14" t="n"/>
      <c r="L193" s="15" t="n"/>
      <c r="M193" s="11" t="inlineStr">
        <is>
          <t>Vertraulichkeit, Integrität</t>
        </is>
      </c>
      <c r="N193" s="12" t="inlineStr">
        <is>
          <t>APP.1.2.A1-UA.4; APP.1.2.A11-UA.2; APP.3.1.A21-UA.2</t>
        </is>
      </c>
      <c r="O193" s="11" t="inlineStr">
        <is>
          <t>intersects-with; intersects-with; intersects-with</t>
        </is>
      </c>
      <c r="P193" s="12" t="inlineStr">
        <is>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is>
      </c>
      <c r="Q193" s="11" t="inlineStr">
        <is>
          <t>Webbrowser</t>
        </is>
      </c>
      <c r="R193" s="11" t="inlineStr">
        <is>
          <t>Konfigurationshistorie</t>
        </is>
      </c>
      <c r="S193" s="12" t="inlineStr">
        <is>
          <t>aufgerufene Inhalte anhand der von der Webseite bereitgestellten Content Security Policy</t>
        </is>
      </c>
      <c r="T193" s="12" t="inlineStr">
        <is>
          <t>G 0.28 – Software-Schwachstellen oder -Fehler; G 0.23 – Unbefugtes Eindringen in IT-Systeme</t>
        </is>
      </c>
      <c r="U193" s="11" t="n">
        <v>1</v>
      </c>
      <c r="V193" s="11" t="n">
        <v>2</v>
      </c>
      <c r="W193" s="11" t="n">
        <v>2</v>
      </c>
      <c r="X193" s="11" t="n">
        <v>1</v>
      </c>
      <c r="Y193" s="11" t="n">
        <v>0</v>
      </c>
    </row>
    <row r="194">
      <c r="A194" s="11" t="inlineStr">
        <is>
          <t>KONF.12.1</t>
        </is>
      </c>
      <c r="B194" s="12" t="inlineStr">
        <is>
          <t>Eingabevalidierung</t>
        </is>
      </c>
      <c r="C194" s="11" t="inlineStr">
        <is>
          <t>KONF.12.1.3</t>
        </is>
      </c>
      <c r="D194" s="11" t="inlineStr">
        <is>
          <t>Standard-Anforderungen</t>
        </is>
      </c>
      <c r="E194" s="12" t="inlineStr">
        <is>
          <t>Konfiguration für Webbrowser SOLLTE aufgerufene Inhalte anhand der von der Webseite bereitgestellten Same-Origin-Policy einschränken.</t>
        </is>
      </c>
      <c r="F194" s="14" t="n"/>
      <c r="G194" s="14" t="n"/>
      <c r="H194" s="14" t="inlineStr">
        <is>
          <t>unbearbeitet</t>
        </is>
      </c>
      <c r="I194" s="14" t="n"/>
      <c r="J194" s="14" t="n"/>
      <c r="K194" s="14" t="n"/>
      <c r="L194" s="15" t="n"/>
      <c r="M194" s="11" t="inlineStr">
        <is>
          <t>Vertraulichkeit</t>
        </is>
      </c>
      <c r="N194" s="12" t="inlineStr">
        <is>
          <t>APP.1.2.A1-UA.6</t>
        </is>
      </c>
      <c r="O194" s="11" t="inlineStr">
        <is>
          <t>intersects-with</t>
        </is>
      </c>
      <c r="P194" s="12" t="inlineStr">
        <is>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is>
      </c>
      <c r="Q194" s="11" t="inlineStr">
        <is>
          <t>Webbrowser</t>
        </is>
      </c>
      <c r="R194" s="11" t="inlineStr">
        <is>
          <t>Konfigurationshistorie</t>
        </is>
      </c>
      <c r="S194" s="12" t="inlineStr">
        <is>
          <t>aufgerufene Inhalte anhand der von der Webseite bereitgestellten Same-Origin-Policy</t>
        </is>
      </c>
      <c r="T194" s="12" t="inlineStr">
        <is>
          <t>G 0.19 – Offenlegung schützenswerter Informationen; G 0.28 – Software-Schwachstellen oder -Fehler</t>
        </is>
      </c>
      <c r="U194" s="11" t="n">
        <v>1</v>
      </c>
      <c r="V194" s="11" t="n">
        <v>2</v>
      </c>
      <c r="W194" s="11" t="n">
        <v>1</v>
      </c>
      <c r="X194" s="11" t="n">
        <v>1</v>
      </c>
      <c r="Y194" s="11" t="n">
        <v>0</v>
      </c>
    </row>
    <row r="195">
      <c r="A195" s="11" t="inlineStr">
        <is>
          <t>KONF.12.1</t>
        </is>
      </c>
      <c r="B195" s="12" t="inlineStr">
        <is>
          <t>Eingabevalidierung</t>
        </is>
      </c>
      <c r="C195" s="11" t="inlineStr">
        <is>
          <t>KONF.12.1.4</t>
        </is>
      </c>
      <c r="D195" s="11" t="inlineStr">
        <is>
          <t>Standard-Anforderungen</t>
        </is>
      </c>
      <c r="E195" s="12" t="inlineStr">
        <is>
          <t>Konfiguration für Webbrowser SOLLTE aufgerufene Inhalte anhand der von der Webseite bereitgestellten Subresource Integrity-Prüfung einschränken.</t>
        </is>
      </c>
      <c r="F195" s="14" t="n"/>
      <c r="G195" s="14" t="n"/>
      <c r="H195" s="14" t="inlineStr">
        <is>
          <t>unbearbeitet</t>
        </is>
      </c>
      <c r="I195" s="14" t="n"/>
      <c r="J195" s="14" t="n"/>
      <c r="K195" s="14" t="n"/>
      <c r="L195" s="15" t="n"/>
      <c r="M195" s="11" t="inlineStr">
        <is>
          <t>Integrität</t>
        </is>
      </c>
      <c r="N195" s="12" t="inlineStr">
        <is>
          <t>APP.1.2.A1-UA.6</t>
        </is>
      </c>
      <c r="O195" s="11" t="inlineStr">
        <is>
          <t>intersects-with</t>
        </is>
      </c>
      <c r="P195" s="12" t="inlineStr">
        <is>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is>
      </c>
      <c r="Q195" s="11" t="inlineStr">
        <is>
          <t>Webbrowser</t>
        </is>
      </c>
      <c r="R195" s="11" t="inlineStr">
        <is>
          <t>Konfigurationshistorie</t>
        </is>
      </c>
      <c r="S195" s="12" t="inlineStr">
        <is>
          <t>aufgerufene Inhalte anhand der von der Webseite bereitgestellten Subresource Integrity-Prüfung</t>
        </is>
      </c>
      <c r="T195" s="12" t="inlineStr">
        <is>
          <t>G 0.22 – Manipulation von Informationen; G 0.46 – Integritätsverlust schützenswerter Informationen</t>
        </is>
      </c>
      <c r="U195" s="11" t="n">
        <v>1</v>
      </c>
      <c r="V195" s="11" t="n">
        <v>0</v>
      </c>
      <c r="W195" s="11" t="n">
        <v>2</v>
      </c>
      <c r="X195" s="11" t="n">
        <v>0</v>
      </c>
      <c r="Y195" s="11" t="n">
        <v>1</v>
      </c>
    </row>
    <row r="196">
      <c r="A196" s="11" t="inlineStr">
        <is>
          <t>KONF.12.1</t>
        </is>
      </c>
      <c r="B196" s="12" t="inlineStr">
        <is>
          <t>Eingabevalidierung</t>
        </is>
      </c>
      <c r="C196" s="11" t="inlineStr">
        <is>
          <t>KONF.12.1.5</t>
        </is>
      </c>
      <c r="D196" s="11" t="inlineStr">
        <is>
          <t>Standard-Anforderungen</t>
        </is>
      </c>
      <c r="E196" s="12" t="inlineStr">
        <is>
          <t>Konfiguration für Webbrowser SOLLTE aufgerufene Inhalte anhand der von der Webseite bereitgestellten HTTP Strict Transport Security (HSTS) Richtlinie einschränken.</t>
        </is>
      </c>
      <c r="F196" s="14" t="n"/>
      <c r="G196" s="14" t="n"/>
      <c r="H196" s="14" t="inlineStr">
        <is>
          <t>unbearbeitet</t>
        </is>
      </c>
      <c r="I196" s="14" t="n"/>
      <c r="J196" s="14" t="n"/>
      <c r="K196" s="14" t="n"/>
      <c r="L196" s="15" t="n"/>
      <c r="M196" s="11" t="inlineStr">
        <is>
          <t>Vertraulichkeit</t>
        </is>
      </c>
      <c r="N196" s="12" t="inlineStr">
        <is>
          <t>APP.1.2.A2-UA.4; APP.3.1.A21-UA.2</t>
        </is>
      </c>
      <c r="O196" s="11" t="inlineStr">
        <is>
          <t>intersects-with; intersects-with</t>
        </is>
      </c>
      <c r="P196" s="12" t="inlineStr">
        <is>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is>
      </c>
      <c r="Q196" s="11" t="inlineStr">
        <is>
          <t>Webbrowser</t>
        </is>
      </c>
      <c r="R196" s="11" t="inlineStr">
        <is>
          <t>Konfigurationshistorie</t>
        </is>
      </c>
      <c r="S196" s="12" t="inlineStr">
        <is>
          <t>aufgerufene Inhalte anhand der von der Webseite bereitgestellten HTTP Strict Transport Security (HSTS) Richtlinie</t>
        </is>
      </c>
      <c r="T196" s="12" t="inlineStr">
        <is>
          <t>G 0.15 – Abhören; G 0.43 – Einspielen von Nachrichten</t>
        </is>
      </c>
      <c r="U196" s="11" t="n">
        <v>1</v>
      </c>
      <c r="V196" s="11" t="n">
        <v>2</v>
      </c>
      <c r="W196" s="11" t="n">
        <v>1</v>
      </c>
      <c r="X196" s="11" t="n">
        <v>0</v>
      </c>
      <c r="Y196" s="11" t="n">
        <v>1</v>
      </c>
    </row>
    <row r="197">
      <c r="A197" s="11" t="inlineStr">
        <is>
          <t>KONF.12.1</t>
        </is>
      </c>
      <c r="B197" s="12" t="inlineStr">
        <is>
          <t>Eingabevalidierung</t>
        </is>
      </c>
      <c r="C197" s="11" t="inlineStr">
        <is>
          <t>KONF.12.1.6</t>
        </is>
      </c>
      <c r="D197" s="11" t="inlineStr">
        <is>
          <t>Anforderungen bei erhöhtem Schutzbedarf</t>
        </is>
      </c>
      <c r="E197" s="12" t="inlineStr">
        <is>
          <t>Konfiguration für Webbrowser KANN JavaScript einschränken.</t>
        </is>
      </c>
      <c r="F197" s="14" t="n"/>
      <c r="G197" s="14" t="n"/>
      <c r="H197" s="14" t="inlineStr">
        <is>
          <t>unbearbeitet</t>
        </is>
      </c>
      <c r="I197" s="14" t="n"/>
      <c r="J197" s="14" t="n"/>
      <c r="K197" s="14" t="n"/>
      <c r="L197" s="15" t="n"/>
      <c r="M197" s="11" t="inlineStr">
        <is>
          <t>Vertraulichkeit, Integrität, Verfügbarkeit</t>
        </is>
      </c>
      <c r="N197" s="12" t="inlineStr"/>
      <c r="O197" s="11" t="inlineStr"/>
      <c r="P197" s="12" t="inlineStr">
        <is>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is>
      </c>
      <c r="Q197" s="11" t="inlineStr">
        <is>
          <t>Webbrowser</t>
        </is>
      </c>
      <c r="R197" s="11" t="inlineStr">
        <is>
          <t>Konfigurationshistorie</t>
        </is>
      </c>
      <c r="S197" s="12" t="inlineStr">
        <is>
          <t>JavaScript</t>
        </is>
      </c>
      <c r="T197" s="12" t="inlineStr">
        <is>
          <t>G 0.39 – Schadprogramme; G 0.28 – Software-Schwachstellen oder -Fehler</t>
        </is>
      </c>
      <c r="U197" s="11" t="n">
        <v>5</v>
      </c>
      <c r="V197" s="11" t="n">
        <v>2</v>
      </c>
      <c r="W197" s="11" t="n">
        <v>2</v>
      </c>
      <c r="X197" s="11" t="n">
        <v>2</v>
      </c>
      <c r="Y197" s="11" t="n">
        <v>0</v>
      </c>
    </row>
    <row r="198">
      <c r="A198" s="11" t="inlineStr">
        <is>
          <t>KONF.12.1</t>
        </is>
      </c>
      <c r="B198" s="12" t="inlineStr">
        <is>
          <t>Eingabevalidierung</t>
        </is>
      </c>
      <c r="C198" s="11" t="inlineStr">
        <is>
          <t>KONF.12.1.7</t>
        </is>
      </c>
      <c r="D198" s="11" t="inlineStr">
        <is>
          <t>Standard-Anforderungen</t>
        </is>
      </c>
      <c r="E198" s="12" t="inlineStr">
        <is>
          <t>Konfiguration für Webanwendungen SOLLTE eine Filterung schädlicher Webinhalte aktivieren.</t>
        </is>
      </c>
      <c r="F198" s="14" t="n"/>
      <c r="G198" s="14" t="n"/>
      <c r="H198" s="14" t="inlineStr">
        <is>
          <t>unbearbeitet</t>
        </is>
      </c>
      <c r="I198" s="14" t="n"/>
      <c r="J198" s="14" t="n"/>
      <c r="K198" s="14" t="n"/>
      <c r="L198" s="15" t="n"/>
      <c r="M198" s="11" t="inlineStr">
        <is>
          <t>Vertraulichkeit, Integrität, Verfügbarkeit</t>
        </is>
      </c>
      <c r="N198" s="12" t="inlineStr">
        <is>
          <t>APP.1.2.A11-UA.1; APP.1.2.A11-UA.2; CON.10.A8-UA.1</t>
        </is>
      </c>
      <c r="O198" s="11" t="inlineStr">
        <is>
          <t>intersects-with; intersects-with; intersects-with</t>
        </is>
      </c>
      <c r="P198" s="12" t="inlineStr">
        <is>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is>
      </c>
      <c r="Q198" s="11" t="inlineStr">
        <is>
          <t>Webanwendungen</t>
        </is>
      </c>
      <c r="R198" s="11" t="inlineStr">
        <is>
          <t>Konfigurationshistorie</t>
        </is>
      </c>
      <c r="S198" s="12" t="inlineStr">
        <is>
          <t>eine Filterung schädlicher Webinhalte</t>
        </is>
      </c>
      <c r="T198" s="12" t="inlineStr">
        <is>
          <t>G 0.39 – Schadprogramme; G 0.28 – Software-Schwachstellen oder -Fehler</t>
        </is>
      </c>
      <c r="U198" s="11" t="n">
        <v>3</v>
      </c>
      <c r="V198" s="11" t="n">
        <v>2</v>
      </c>
      <c r="W198" s="11" t="n">
        <v>2</v>
      </c>
      <c r="X198" s="11" t="n">
        <v>2</v>
      </c>
      <c r="Y198" s="11" t="n">
        <v>0</v>
      </c>
    </row>
    <row r="199">
      <c r="A199" s="11" t="inlineStr">
        <is>
          <t>KONF.12.1</t>
        </is>
      </c>
      <c r="B199" s="12" t="inlineStr">
        <is>
          <t>Eingabevalidierung</t>
        </is>
      </c>
      <c r="C199" s="11" t="inlineStr">
        <is>
          <t>KONF.12.1.8</t>
        </is>
      </c>
      <c r="D199" s="11" t="inlineStr">
        <is>
          <t>Standard-Anforderungen</t>
        </is>
      </c>
      <c r="E199" s="12" t="inlineStr">
        <is>
          <t>Konfiguration für Verzeichnisdienste SOLLTE Duplikate im Verzeichnisbaum blockieren.</t>
        </is>
      </c>
      <c r="F199" s="14" t="n"/>
      <c r="G199" s="14" t="n"/>
      <c r="H199" s="14" t="inlineStr">
        <is>
          <t>unbearbeitet</t>
        </is>
      </c>
      <c r="I199" s="14" t="n"/>
      <c r="J199" s="14" t="n"/>
      <c r="K199" s="14" t="n"/>
      <c r="L199" s="15" t="n"/>
      <c r="M199" s="11" t="inlineStr"/>
      <c r="N199" s="12" t="inlineStr"/>
      <c r="O199" s="11" t="inlineStr"/>
      <c r="P199" s="12" t="inlineStr">
        <is>
          <t>Da jedes Zugangskonto nur einmal benötigt wird können Duplikate von Attributen wie Name oder Organisationseinheit nur als Fehler oder Angriff vorkommen. In OpenLDAP kann dies beispielsweise durch Overlays realisiert werden. Dies gilt ausschließlich für Daten von Nutzenden.</t>
        </is>
      </c>
      <c r="Q199" s="11" t="inlineStr">
        <is>
          <t>Verzeichnisdienste</t>
        </is>
      </c>
      <c r="R199" s="11" t="inlineStr">
        <is>
          <t>Konfigurationshistorie</t>
        </is>
      </c>
      <c r="S199" s="12" t="inlineStr">
        <is>
          <t>Duplikate im Verzeichnisbaum</t>
        </is>
      </c>
      <c r="T199" s="12" t="inlineStr">
        <is>
          <t>G 0.46 – Integritätsverlust schützenswerter Informationen</t>
        </is>
      </c>
      <c r="U199" s="11" t="n">
        <v>3</v>
      </c>
      <c r="V199" s="11" t="n">
        <v>0</v>
      </c>
      <c r="W199" s="11" t="n">
        <v>1</v>
      </c>
      <c r="X199" s="11" t="n">
        <v>0</v>
      </c>
      <c r="Y199" s="11" t="n">
        <v>0</v>
      </c>
    </row>
    <row r="200">
      <c r="A200" s="11" t="inlineStr">
        <is>
          <t>KONF.12.1</t>
        </is>
      </c>
      <c r="B200" s="12" t="inlineStr">
        <is>
          <t>Eingabevalidierung</t>
        </is>
      </c>
      <c r="C200" s="11" t="inlineStr">
        <is>
          <t>KONF.12.1.9</t>
        </is>
      </c>
      <c r="D200" s="11" t="inlineStr">
        <is>
          <t>Standard-Anforderungen</t>
        </is>
      </c>
      <c r="E200" s="12" t="inlineStr">
        <is>
          <t>Konfiguration für Dateiserver SOLLTE Dateisystem-Journaling aktivieren.</t>
        </is>
      </c>
      <c r="F200" s="14" t="n"/>
      <c r="G200" s="14" t="n"/>
      <c r="H200" s="14" t="inlineStr">
        <is>
          <t>unbearbeitet</t>
        </is>
      </c>
      <c r="I200" s="14" t="n"/>
      <c r="J200" s="14" t="n"/>
      <c r="K200" s="14" t="n"/>
      <c r="L200" s="15" t="n"/>
      <c r="M200" s="11" t="inlineStr"/>
      <c r="N200" s="12" t="inlineStr"/>
      <c r="O200" s="11" t="inlineStr"/>
      <c r="P200" s="12" t="inlineStr">
        <is>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is>
      </c>
      <c r="Q200" s="11" t="inlineStr">
        <is>
          <t>Dateiserver</t>
        </is>
      </c>
      <c r="R200" s="11" t="inlineStr">
        <is>
          <t>Konfigurationshistorie</t>
        </is>
      </c>
      <c r="S200" s="12" t="inlineStr">
        <is>
          <t>Dateisystem-Journaling</t>
        </is>
      </c>
      <c r="T200" s="12" t="inlineStr">
        <is>
          <t>G 0.46 – Integritätsverlust schützenswerter Informationen; G 0.45 – Datenverlust</t>
        </is>
      </c>
      <c r="U200" s="11" t="n">
        <v>1</v>
      </c>
      <c r="V200" s="11" t="n">
        <v>0</v>
      </c>
      <c r="W200" s="11" t="n">
        <v>1</v>
      </c>
      <c r="X200" s="11" t="n">
        <v>1</v>
      </c>
      <c r="Y200" s="11" t="n">
        <v>0</v>
      </c>
    </row>
    <row r="201">
      <c r="A201" s="11" t="inlineStr">
        <is>
          <t>KONF.12.1</t>
        </is>
      </c>
      <c r="B201" s="12" t="inlineStr">
        <is>
          <t>Eingabevalidierung</t>
        </is>
      </c>
      <c r="C201" s="11" t="inlineStr">
        <is>
          <t>KONF.12.1.10</t>
        </is>
      </c>
      <c r="D201" s="11" t="inlineStr">
        <is>
          <t>Standard-Anforderungen</t>
        </is>
      </c>
      <c r="E201" s="12" t="inlineStr">
        <is>
          <t>Konfiguration für Webanwendungen SOLLTE HTTP-Response-Header aktivieren.</t>
        </is>
      </c>
      <c r="F201" s="14" t="n"/>
      <c r="G201" s="14" t="n"/>
      <c r="H201" s="14" t="inlineStr">
        <is>
          <t>unbearbeitet</t>
        </is>
      </c>
      <c r="I201" s="14" t="n"/>
      <c r="J201" s="14" t="n"/>
      <c r="K201" s="14" t="n"/>
      <c r="L201" s="15" t="n"/>
      <c r="M201" s="11" t="inlineStr">
        <is>
          <t>Vertraulichkeit, Integrität</t>
        </is>
      </c>
      <c r="N201" s="12" t="inlineStr">
        <is>
          <t>APP.3.1.A21-UA.1; APP.3.1.A21-UA.2</t>
        </is>
      </c>
      <c r="O201" s="11" t="inlineStr">
        <is>
          <t>intersects-with; subset-of</t>
        </is>
      </c>
      <c r="P201" s="12" t="inlineStr">
        <is>
          <t>Hierzu können z.B. Content-Security-Policy (CSP), X-Frame-Options, X-XSS-Protection, Referrer-Policy, Permissions-Policy, HSTS und X-Content-Type-Optionen gehören.</t>
        </is>
      </c>
      <c r="Q201" s="11" t="inlineStr">
        <is>
          <t>Webanwendungen</t>
        </is>
      </c>
      <c r="R201" s="11" t="inlineStr">
        <is>
          <t>Konfigurationshistorie</t>
        </is>
      </c>
      <c r="S201" s="12" t="inlineStr">
        <is>
          <t>HTTP-Response-Header</t>
        </is>
      </c>
      <c r="T201" s="12" t="inlineStr">
        <is>
          <t>G 0.28 – Software-Schwachstellen oder -Fehler; G 0.23 – Unbefugtes Eindringen in IT-Systeme</t>
        </is>
      </c>
      <c r="U201" s="11" t="n">
        <v>3</v>
      </c>
      <c r="V201" s="11" t="n">
        <v>2</v>
      </c>
      <c r="W201" s="11" t="n">
        <v>2</v>
      </c>
      <c r="X201" s="11" t="n">
        <v>1</v>
      </c>
      <c r="Y201" s="11" t="n">
        <v>0</v>
      </c>
    </row>
    <row r="202">
      <c r="A202" s="11" t="inlineStr">
        <is>
          <t>KONF.12.1</t>
        </is>
      </c>
      <c r="B202" s="12" t="inlineStr">
        <is>
          <t>Eingabevalidierung</t>
        </is>
      </c>
      <c r="C202" s="11" t="inlineStr">
        <is>
          <t>KONF.12.1.11</t>
        </is>
      </c>
      <c r="D202" s="11" t="inlineStr">
        <is>
          <t>Standard-Anforderungen</t>
        </is>
      </c>
      <c r="E202" s="12" t="inlineStr">
        <is>
          <t>Konfiguration für Office-Anwendungen SOLLTE aktive Inhalte in Office-Dateien deaktivieren.</t>
        </is>
      </c>
      <c r="F202" s="14" t="n"/>
      <c r="G202" s="14" t="n"/>
      <c r="H202" s="14" t="inlineStr">
        <is>
          <t>unbearbeitet</t>
        </is>
      </c>
      <c r="I202" s="14" t="n"/>
      <c r="J202" s="14" t="n"/>
      <c r="K202" s="14" t="n"/>
      <c r="L202" s="15" t="n"/>
      <c r="M202" s="11" t="inlineStr">
        <is>
          <t>Vertraulichkeit, Integrität</t>
        </is>
      </c>
      <c r="N202" s="12" t="inlineStr">
        <is>
          <t>APP.1.1.A2-UA.1</t>
        </is>
      </c>
      <c r="O202" s="11" t="inlineStr">
        <is>
          <t>intersects-with</t>
        </is>
      </c>
      <c r="P202" s="12" t="inlineStr">
        <is>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is>
      </c>
      <c r="Q202" s="11" t="inlineStr">
        <is>
          <t>Office-Anwendungen</t>
        </is>
      </c>
      <c r="R202" s="11" t="inlineStr">
        <is>
          <t>Konfigurationshistorie</t>
        </is>
      </c>
      <c r="S202" s="12" t="inlineStr">
        <is>
          <t>aktive Inhalte in Office-Dateien</t>
        </is>
      </c>
      <c r="T202" s="12" t="inlineStr">
        <is>
          <t>G 0.39 – Schadprogramme; G 0.23 – Unbefugtes Eindringen in IT-Systeme</t>
        </is>
      </c>
      <c r="U202" s="11" t="n">
        <v>2</v>
      </c>
      <c r="V202" s="11" t="n">
        <v>2</v>
      </c>
      <c r="W202" s="11" t="n">
        <v>2</v>
      </c>
      <c r="X202" s="11" t="n">
        <v>1</v>
      </c>
      <c r="Y202" s="11" t="n">
        <v>0</v>
      </c>
    </row>
    <row r="203">
      <c r="A203" s="9" t="inlineStr">
        <is>
          <t>KONF.12.2</t>
        </is>
      </c>
      <c r="B203" s="10" t="inlineStr">
        <is>
          <t>Verschlüsselungsstatus der aktuellen Verbindung</t>
        </is>
      </c>
      <c r="C203" s="11" t="n"/>
      <c r="D203" s="11" t="inlineStr">
        <is>
          <t>Standard-Anforderungen</t>
        </is>
      </c>
      <c r="E203" s="12" t="inlineStr">
        <is>
          <t>Gesamt:</t>
        </is>
      </c>
      <c r="F203" s="11" t="n"/>
      <c r="G203" s="11" t="n"/>
      <c r="H203" s="13">
        <f>IF(OR(COUNTBLANK($H$204:$H$204)&gt;0,COUNTIF($H$204:$H$204,"unbearbeitet")=COUNTA($H$204:$H$204)),"Bitte Teilanforderungen ausfüllen",IF(COUNTIF($H$204:$H$204,"zu klären")&gt;0,"zu klären",IF(COUNTIF($H$204:$H$204,"entbehrlich")=COUNTA($H$204:$H$204),"entbehrlich",IF(COUNTIF($H$204:$H$204,"verwiesen")=COUNTA($H$204:$H$204),"verwiesen",IF(COUNTIF($H$204:$H$204,"nein")+COUNTIF($H$204:$H$204,"entbehrlich")=COUNTA($H$204:$H$204),"nein",IF(COUNTIF($H$204:$H$204,"ja")+COUNTIF($H$204:$H$204,"entbehrlich")+COUNTIF($H$204:$H$204,"verwiesen")=COUNTA($H$204:$H$204),"ja","teilweise"))))))</f>
        <v/>
      </c>
      <c r="I203" s="11" t="n"/>
      <c r="J203" s="11" t="n"/>
      <c r="K203" s="11" t="n"/>
      <c r="L203" s="11" t="n"/>
      <c r="M203" s="11" t="inlineStr">
        <is>
          <t>Vertraulichkeit</t>
        </is>
      </c>
      <c r="N203" s="12" t="inlineStr">
        <is>
          <t>APP.1.2.A3-UA.7</t>
        </is>
      </c>
      <c r="O203" s="11" t="inlineStr">
        <is>
          <t>intersects-with</t>
        </is>
      </c>
      <c r="P203" s="12" t="inlineStr">
        <is>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is>
      </c>
      <c r="Q203" s="11" t="inlineStr">
        <is>
          <t>Webbrowser</t>
        </is>
      </c>
      <c r="R203" s="11" t="inlineStr">
        <is>
          <t>Konfigurationshistorie</t>
        </is>
      </c>
      <c r="S203" s="12" t="inlineStr">
        <is>
          <t>eine Anzeige der Verschlüsselung der aktuellen Verbindung</t>
        </is>
      </c>
      <c r="T203" s="12" t="inlineStr">
        <is>
          <t>G 0.15 – Abhören; G 0.43 – Einspielen von Nachrichten</t>
        </is>
      </c>
      <c r="U203" s="11" t="n">
        <v>1</v>
      </c>
      <c r="V203" s="11" t="n">
        <v>2</v>
      </c>
      <c r="W203" s="11" t="n">
        <v>1</v>
      </c>
      <c r="X203" s="11" t="n">
        <v>0</v>
      </c>
      <c r="Y203" s="11" t="n">
        <v>1</v>
      </c>
    </row>
    <row r="204">
      <c r="A204" s="11" t="inlineStr">
        <is>
          <t>KONF.12.2</t>
        </is>
      </c>
      <c r="B204" s="12" t="inlineStr">
        <is>
          <t>Verschlüsselungsstatus der aktuellen Verbindung</t>
        </is>
      </c>
      <c r="C204" s="11" t="inlineStr">
        <is>
          <t>KONF.12.2</t>
        </is>
      </c>
      <c r="D204" s="11" t="inlineStr">
        <is>
          <t>Standard-Anforderungen</t>
        </is>
      </c>
      <c r="E204" s="12" t="inlineStr">
        <is>
          <t>Konfiguration für Webbrowser SOLLTE eine Anzeige der Verschlüsselung der aktuellen Verbindung aktivieren.</t>
        </is>
      </c>
      <c r="F204" s="14" t="n"/>
      <c r="G204" s="14" t="n"/>
      <c r="H204" s="14" t="inlineStr">
        <is>
          <t>unbearbeitet</t>
        </is>
      </c>
      <c r="I204" s="14" t="n"/>
      <c r="J204" s="14" t="n"/>
      <c r="K204" s="14" t="n"/>
      <c r="L204" s="15" t="n"/>
      <c r="M204" s="11" t="inlineStr">
        <is>
          <t>Vertraulichkeit</t>
        </is>
      </c>
      <c r="N204" s="12" t="inlineStr">
        <is>
          <t>APP.1.2.A3-UA.7</t>
        </is>
      </c>
      <c r="O204" s="11" t="inlineStr">
        <is>
          <t>intersects-with</t>
        </is>
      </c>
      <c r="P204" s="12" t="inlineStr">
        <is>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is>
      </c>
      <c r="Q204" s="11" t="inlineStr">
        <is>
          <t>Webbrowser</t>
        </is>
      </c>
      <c r="R204" s="11" t="inlineStr">
        <is>
          <t>Konfigurationshistorie</t>
        </is>
      </c>
      <c r="S204" s="12" t="inlineStr">
        <is>
          <t>eine Anzeige der Verschlüsselung der aktuellen Verbindung</t>
        </is>
      </c>
      <c r="T204" s="12" t="inlineStr">
        <is>
          <t>G 0.15 – Abhören; G 0.43 – Einspielen von Nachrichten</t>
        </is>
      </c>
      <c r="U204" s="11" t="n">
        <v>1</v>
      </c>
      <c r="V204" s="11" t="n">
        <v>2</v>
      </c>
      <c r="W204" s="11" t="n">
        <v>1</v>
      </c>
      <c r="X204" s="11" t="n">
        <v>0</v>
      </c>
      <c r="Y204" s="11" t="n">
        <v>1</v>
      </c>
    </row>
    <row r="205">
      <c r="A205" s="9" t="inlineStr">
        <is>
          <t>KONF.12.3</t>
        </is>
      </c>
      <c r="B205" s="10" t="inlineStr">
        <is>
          <t>Cookies</t>
        </is>
      </c>
      <c r="C205" s="11" t="n"/>
      <c r="D205" s="11" t="inlineStr">
        <is>
          <t>Standard-Anforderungen</t>
        </is>
      </c>
      <c r="E205" s="12" t="inlineStr">
        <is>
          <t>Gesamt:</t>
        </is>
      </c>
      <c r="F205" s="11" t="n"/>
      <c r="G205" s="11" t="n"/>
      <c r="H205" s="13">
        <f>IF(OR(COUNTBLANK($H$206:$H$206)&gt;0,COUNTIF($H$206:$H$206,"unbearbeitet")=COUNTA($H$206:$H$206)),"Bitte Teilanforderungen ausfüllen",IF(COUNTIF($H$206:$H$206,"zu klären")&gt;0,"zu klären",IF(COUNTIF($H$206:$H$206,"entbehrlich")=COUNTA($H$206:$H$206),"entbehrlich",IF(COUNTIF($H$206:$H$206,"verwiesen")=COUNTA($H$206:$H$206),"verwiesen",IF(COUNTIF($H$206:$H$206,"nein")+COUNTIF($H$206:$H$206,"entbehrlich")=COUNTA($H$206:$H$206),"nein",IF(COUNTIF($H$206:$H$206,"ja")+COUNTIF($H$206:$H$206,"entbehrlich")+COUNTIF($H$206:$H$206,"verwiesen")=COUNTA($H$206:$H$206),"ja","teilweise"))))))</f>
        <v/>
      </c>
      <c r="I205" s="11" t="n"/>
      <c r="J205" s="11" t="n"/>
      <c r="K205" s="11" t="n"/>
      <c r="L205" s="11" t="n"/>
      <c r="M205" s="11" t="inlineStr">
        <is>
          <t>Vertraulichkeit</t>
        </is>
      </c>
      <c r="N205" s="12" t="inlineStr">
        <is>
          <t>APP.1.2.A7-UA.1</t>
        </is>
      </c>
      <c r="O205" s="11" t="inlineStr">
        <is>
          <t>intersects-with</t>
        </is>
      </c>
      <c r="P205" s="12" t="inlineStr">
        <is>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is>
      </c>
      <c r="Q205" s="11" t="inlineStr">
        <is>
          <t>Webbrowser</t>
        </is>
      </c>
      <c r="R205" s="11" t="inlineStr">
        <is>
          <t>Konfigurationshistorie</t>
        </is>
      </c>
      <c r="S205" s="12" t="inlineStr">
        <is>
          <t>Cookies</t>
        </is>
      </c>
      <c r="T205" s="12" t="inlineStr">
        <is>
          <t>G 0.19 – Offenlegung schützenswerter Informationen; G 0.14 – Ausspähen von Informationen (Spionage)</t>
        </is>
      </c>
      <c r="U205" s="11" t="n">
        <v>3</v>
      </c>
      <c r="V205" s="11" t="n">
        <v>2</v>
      </c>
      <c r="W205" s="11" t="n">
        <v>0</v>
      </c>
      <c r="X205" s="11" t="n">
        <v>0</v>
      </c>
      <c r="Y205" s="11" t="n">
        <v>0</v>
      </c>
    </row>
    <row r="206">
      <c r="A206" s="11" t="inlineStr">
        <is>
          <t>KONF.12.3</t>
        </is>
      </c>
      <c r="B206" s="12" t="inlineStr">
        <is>
          <t>Cookies</t>
        </is>
      </c>
      <c r="C206" s="11" t="inlineStr">
        <is>
          <t>KONF.12.3</t>
        </is>
      </c>
      <c r="D206" s="11" t="inlineStr">
        <is>
          <t>Standard-Anforderungen</t>
        </is>
      </c>
      <c r="E206" s="12" t="inlineStr">
        <is>
          <t>Konfiguration für Webbrowser SOLLTE Cookies einschränken.</t>
        </is>
      </c>
      <c r="F206" s="14" t="n"/>
      <c r="G206" s="14" t="n"/>
      <c r="H206" s="14" t="inlineStr">
        <is>
          <t>unbearbeitet</t>
        </is>
      </c>
      <c r="I206" s="14" t="n"/>
      <c r="J206" s="14" t="n"/>
      <c r="K206" s="14" t="n"/>
      <c r="L206" s="15" t="n"/>
      <c r="M206" s="11" t="inlineStr">
        <is>
          <t>Vertraulichkeit</t>
        </is>
      </c>
      <c r="N206" s="12" t="inlineStr">
        <is>
          <t>APP.1.2.A7-UA.1</t>
        </is>
      </c>
      <c r="O206" s="11" t="inlineStr">
        <is>
          <t>intersects-with</t>
        </is>
      </c>
      <c r="P206" s="12" t="inlineStr">
        <is>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is>
      </c>
      <c r="Q206" s="11" t="inlineStr">
        <is>
          <t>Webbrowser</t>
        </is>
      </c>
      <c r="R206" s="11" t="inlineStr">
        <is>
          <t>Konfigurationshistorie</t>
        </is>
      </c>
      <c r="S206" s="12" t="inlineStr">
        <is>
          <t>Cookies</t>
        </is>
      </c>
      <c r="T206" s="12" t="inlineStr">
        <is>
          <t>G 0.19 – Offenlegung schützenswerter Informationen; G 0.14 – Ausspähen von Informationen (Spionage)</t>
        </is>
      </c>
      <c r="U206" s="11" t="n">
        <v>3</v>
      </c>
      <c r="V206" s="11" t="n">
        <v>2</v>
      </c>
      <c r="W206" s="11" t="n">
        <v>0</v>
      </c>
      <c r="X206" s="11" t="n">
        <v>0</v>
      </c>
      <c r="Y206" s="11" t="n">
        <v>0</v>
      </c>
    </row>
    <row r="207">
      <c r="A207" s="9" t="inlineStr">
        <is>
          <t>KONF.12.4</t>
        </is>
      </c>
      <c r="B207" s="10" t="inlineStr">
        <is>
          <t>Speicherung von Zugangsdaten</t>
        </is>
      </c>
      <c r="C207" s="11" t="n"/>
      <c r="D207" s="11" t="inlineStr">
        <is>
          <t>Standard-Anforderungen</t>
        </is>
      </c>
      <c r="E207" s="12" t="inlineStr">
        <is>
          <t>Gesamt:</t>
        </is>
      </c>
      <c r="F207" s="11" t="n"/>
      <c r="G207" s="11" t="n"/>
      <c r="H207" s="13">
        <f>IF(OR(COUNTBLANK($H$208:$H$208)&gt;0,COUNTIF($H$208:$H$208,"unbearbeitet")=COUNTA($H$208:$H$208)),"Bitte Teilanforderungen ausfüllen",IF(COUNTIF($H$208:$H$208,"zu klären")&gt;0,"zu klären",IF(COUNTIF($H$208:$H$208,"entbehrlich")=COUNTA($H$208:$H$208),"entbehrlich",IF(COUNTIF($H$208:$H$208,"verwiesen")=COUNTA($H$208:$H$208),"verwiesen",IF(COUNTIF($H$208:$H$208,"nein")+COUNTIF($H$208:$H$208,"entbehrlich")=COUNTA($H$208:$H$208),"nein",IF(COUNTIF($H$208:$H$208,"ja")+COUNTIF($H$208:$H$208,"entbehrlich")+COUNTIF($H$208:$H$208,"verwiesen")=COUNTA($H$208:$H$208),"ja","teilweise"))))))</f>
        <v/>
      </c>
      <c r="I207" s="11" t="n"/>
      <c r="J207" s="11" t="n"/>
      <c r="K207" s="11" t="n"/>
      <c r="L207" s="11" t="n"/>
      <c r="M207" s="11" t="inlineStr">
        <is>
          <t>Vertraulichkeit</t>
        </is>
      </c>
      <c r="N207" s="12" t="inlineStr">
        <is>
          <t>APP.1.2.A6-UA.3</t>
        </is>
      </c>
      <c r="O207" s="11" t="inlineStr">
        <is>
          <t>equivalent-to</t>
        </is>
      </c>
      <c r="P207" s="12" t="inlineStr">
        <is>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is>
      </c>
      <c r="Q207" s="11" t="inlineStr">
        <is>
          <t>Webbrowser</t>
        </is>
      </c>
      <c r="R207" s="11" t="inlineStr">
        <is>
          <t>Konfigurationshistorie</t>
        </is>
      </c>
      <c r="S207" s="12" t="inlineStr">
        <is>
          <t>die Speicherung von Zugangsdaten {{in einem dedizierten Passwort-Manager mit Browser-Integration oder direkt im Browser durch ein Master-Passwort geschützt}}</t>
        </is>
      </c>
      <c r="T207" s="12" t="inlineStr">
        <is>
          <t>G 0.19 – Offenlegung schützenswerter Informationen; G 0.30 – Unberechtigte Nutzung oder Administration von Geräten und Systemen</t>
        </is>
      </c>
      <c r="U207" s="11" t="n">
        <v>2</v>
      </c>
      <c r="V207" s="11" t="n">
        <v>2</v>
      </c>
      <c r="W207" s="11" t="n">
        <v>1</v>
      </c>
      <c r="X207" s="11" t="n">
        <v>1</v>
      </c>
      <c r="Y207" s="11" t="n">
        <v>1</v>
      </c>
    </row>
    <row r="208">
      <c r="A208" s="11" t="inlineStr">
        <is>
          <t>KONF.12.4</t>
        </is>
      </c>
      <c r="B208" s="12" t="inlineStr">
        <is>
          <t>Speicherung von Zugangsdaten</t>
        </is>
      </c>
      <c r="C208" s="11" t="inlineStr">
        <is>
          <t>KONF.12.4</t>
        </is>
      </c>
      <c r="D208" s="11" t="inlineStr">
        <is>
          <t>Standard-Anforderungen</t>
        </is>
      </c>
      <c r="E208" s="12" t="inlineStr">
        <is>
          <t>Konfiguration für Webbrowser SOLLTE die Speicherung von Zugangsdaten in einem dedizierten Passwort-Manager mit Browser-Integration oder direkt im Browser durch ein Master-Passwort geschützt aktivieren.</t>
        </is>
      </c>
      <c r="F208" s="14" t="n"/>
      <c r="G208" s="14" t="n"/>
      <c r="H208" s="14" t="inlineStr">
        <is>
          <t>unbearbeitet</t>
        </is>
      </c>
      <c r="I208" s="14" t="n"/>
      <c r="J208" s="14" t="n"/>
      <c r="K208" s="14" t="n"/>
      <c r="L208" s="15" t="n"/>
      <c r="M208" s="11" t="inlineStr">
        <is>
          <t>Vertraulichkeit</t>
        </is>
      </c>
      <c r="N208" s="12" t="inlineStr">
        <is>
          <t>APP.1.2.A6-UA.3</t>
        </is>
      </c>
      <c r="O208" s="11" t="inlineStr">
        <is>
          <t>equivalent-to</t>
        </is>
      </c>
      <c r="P208" s="12" t="inlineStr">
        <is>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is>
      </c>
      <c r="Q208" s="11" t="inlineStr">
        <is>
          <t>Webbrowser</t>
        </is>
      </c>
      <c r="R208" s="11" t="inlineStr">
        <is>
          <t>Konfigurationshistorie</t>
        </is>
      </c>
      <c r="S208" s="12" t="inlineStr">
        <is>
          <t>die Speicherung von Zugangsdaten {{in einem dedizierten Passwort-Manager mit Browser-Integration oder direkt im Browser durch ein Master-Passwort geschützt}}</t>
        </is>
      </c>
      <c r="T208" s="12" t="inlineStr">
        <is>
          <t>G 0.19 – Offenlegung schützenswerter Informationen; G 0.30 – Unberechtigte Nutzung oder Administration von Geräten und Systemen</t>
        </is>
      </c>
      <c r="U208" s="11" t="n">
        <v>2</v>
      </c>
      <c r="V208" s="11" t="n">
        <v>2</v>
      </c>
      <c r="W208" s="11" t="n">
        <v>1</v>
      </c>
      <c r="X208" s="11" t="n">
        <v>1</v>
      </c>
      <c r="Y208" s="11" t="n">
        <v>1</v>
      </c>
    </row>
    <row r="209">
      <c r="A209" s="9" t="inlineStr">
        <is>
          <t>KONF.12.5</t>
        </is>
      </c>
      <c r="B209" s="10" t="inlineStr">
        <is>
          <t>Auto-Vervollständigung von Daten</t>
        </is>
      </c>
      <c r="C209" s="11" t="n"/>
      <c r="D209" s="11" t="inlineStr">
        <is>
          <t>Standard-Anforderungen</t>
        </is>
      </c>
      <c r="E209" s="12" t="inlineStr">
        <is>
          <t>Gesamt:</t>
        </is>
      </c>
      <c r="F209" s="11" t="n"/>
      <c r="G209" s="11" t="n"/>
      <c r="H209" s="13">
        <f>IF(OR(COUNTBLANK($H$210:$H$210)&gt;0,COUNTIF($H$210:$H$210,"unbearbeitet")=COUNTA($H$210:$H$210)),"Bitte Teilanforderungen ausfüllen",IF(COUNTIF($H$210:$H$210,"zu klären")&gt;0,"zu klären",IF(COUNTIF($H$210:$H$210,"entbehrlich")=COUNTA($H$210:$H$210),"entbehrlich",IF(COUNTIF($H$210:$H$210,"verwiesen")=COUNTA($H$210:$H$210),"verwiesen",IF(COUNTIF($H$210:$H$210,"nein")+COUNTIF($H$210:$H$210,"entbehrlich")=COUNTA($H$210:$H$210),"nein",IF(COUNTIF($H$210:$H$210,"ja")+COUNTIF($H$210:$H$210,"entbehrlich")+COUNTIF($H$210:$H$210,"verwiesen")=COUNTA($H$210:$H$210),"ja","teilweise"))))))</f>
        <v/>
      </c>
      <c r="I209" s="11" t="n"/>
      <c r="J209" s="11" t="n"/>
      <c r="K209" s="11" t="n"/>
      <c r="L209" s="11" t="n"/>
      <c r="M209" s="11" t="inlineStr">
        <is>
          <t>Vertraulichkeit</t>
        </is>
      </c>
      <c r="N209" s="12" t="inlineStr"/>
      <c r="O209" s="11" t="inlineStr"/>
      <c r="P209" s="12" t="inlineStr">
        <is>
          <t>Webseiten können Eingaben auch auslesen, bevor diese abgesendet werden. Die Deaktivierung der Auto-Vervollständigung verhindert, dass der Browser diese Daten automatisch eingibt.</t>
        </is>
      </c>
      <c r="Q209" s="11" t="inlineStr">
        <is>
          <t>Webbrowser</t>
        </is>
      </c>
      <c r="R209" s="11" t="inlineStr">
        <is>
          <t>Konfigurationshistorie</t>
        </is>
      </c>
      <c r="S209" s="12" t="inlineStr">
        <is>
          <t>die Auto-Vervollständigung von Daten</t>
        </is>
      </c>
      <c r="T209" s="12" t="inlineStr">
        <is>
          <t>G 0.19 – Offenlegung schützenswerter Informationen; G 0.30 – Unberechtigte Nutzung oder Administration von Geräten und Systemen</t>
        </is>
      </c>
      <c r="U209" s="11" t="n">
        <v>4</v>
      </c>
      <c r="V209" s="11" t="n">
        <v>2</v>
      </c>
      <c r="W209" s="11" t="n">
        <v>1</v>
      </c>
      <c r="X209" s="11" t="n">
        <v>1</v>
      </c>
      <c r="Y209" s="11" t="n">
        <v>1</v>
      </c>
    </row>
    <row r="210">
      <c r="A210" s="11" t="inlineStr">
        <is>
          <t>KONF.12.5</t>
        </is>
      </c>
      <c r="B210" s="12" t="inlineStr">
        <is>
          <t>Auto-Vervollständigung von Daten</t>
        </is>
      </c>
      <c r="C210" s="11" t="inlineStr">
        <is>
          <t>KONF.12.5</t>
        </is>
      </c>
      <c r="D210" s="11" t="inlineStr">
        <is>
          <t>Standard-Anforderungen</t>
        </is>
      </c>
      <c r="E210" s="12" t="inlineStr">
        <is>
          <t>Konfiguration für Webbrowser SOLLTE die Auto-Vervollständigung von Daten einschränken.</t>
        </is>
      </c>
      <c r="F210" s="14" t="n"/>
      <c r="G210" s="14" t="n"/>
      <c r="H210" s="14" t="inlineStr">
        <is>
          <t>unbearbeitet</t>
        </is>
      </c>
      <c r="I210" s="14" t="n"/>
      <c r="J210" s="14" t="n"/>
      <c r="K210" s="14" t="n"/>
      <c r="L210" s="15" t="n"/>
      <c r="M210" s="11" t="inlineStr">
        <is>
          <t>Vertraulichkeit</t>
        </is>
      </c>
      <c r="N210" s="12" t="inlineStr"/>
      <c r="O210" s="11" t="inlineStr"/>
      <c r="P210" s="12" t="inlineStr">
        <is>
          <t>Webseiten können Eingaben auch auslesen, bevor diese abgesendet werden. Die Deaktivierung der Auto-Vervollständigung verhindert, dass der Browser diese Daten automatisch eingibt.</t>
        </is>
      </c>
      <c r="Q210" s="11" t="inlineStr">
        <is>
          <t>Webbrowser</t>
        </is>
      </c>
      <c r="R210" s="11" t="inlineStr">
        <is>
          <t>Konfigurationshistorie</t>
        </is>
      </c>
      <c r="S210" s="12" t="inlineStr">
        <is>
          <t>die Auto-Vervollständigung von Daten</t>
        </is>
      </c>
      <c r="T210" s="12" t="inlineStr">
        <is>
          <t>G 0.19 – Offenlegung schützenswerter Informationen; G 0.30 – Unberechtigte Nutzung oder Administration von Geräten und Systemen</t>
        </is>
      </c>
      <c r="U210" s="11" t="n">
        <v>4</v>
      </c>
      <c r="V210" s="11" t="n">
        <v>2</v>
      </c>
      <c r="W210" s="11" t="n">
        <v>1</v>
      </c>
      <c r="X210" s="11" t="n">
        <v>1</v>
      </c>
      <c r="Y210" s="11" t="n">
        <v>1</v>
      </c>
    </row>
    <row r="211">
      <c r="A211" s="9" t="inlineStr">
        <is>
          <t>KONF.12.6</t>
        </is>
      </c>
      <c r="B211" s="10" t="inlineStr">
        <is>
          <t>Browser-Historie</t>
        </is>
      </c>
      <c r="C211" s="11" t="n"/>
      <c r="D211" s="11" t="inlineStr">
        <is>
          <t>Anforderungen bei erhöhtem Schutzbedarf</t>
        </is>
      </c>
      <c r="E211" s="12" t="inlineStr">
        <is>
          <t>Gesamt:</t>
        </is>
      </c>
      <c r="F211" s="11" t="n"/>
      <c r="G211" s="11" t="n"/>
      <c r="H211" s="13">
        <f>IF(OR(COUNTBLANK($H$212:$H$212)&gt;0,COUNTIF($H$212:$H$212,"unbearbeitet")=COUNTA($H$212:$H$212)),"Bitte Teilanforderungen ausfüllen",IF(COUNTIF($H$212:$H$212,"zu klären")&gt;0,"zu klären",IF(COUNTIF($H$212:$H$212,"entbehrlich")=COUNTA($H$212:$H$212),"entbehrlich",IF(COUNTIF($H$212:$H$212,"verwiesen")=COUNTA($H$212:$H$212),"verwiesen",IF(COUNTIF($H$212:$H$212,"nein")+COUNTIF($H$212:$H$212,"entbehrlich")=COUNTA($H$212:$H$212),"nein",IF(COUNTIF($H$212:$H$212,"ja")+COUNTIF($H$212:$H$212,"entbehrlich")+COUNTIF($H$212:$H$212,"verwiesen")=COUNTA($H$212:$H$212),"ja","teilweise"))))))</f>
        <v/>
      </c>
      <c r="I211" s="11" t="n"/>
      <c r="J211" s="11" t="n"/>
      <c r="K211" s="11" t="n"/>
      <c r="L211" s="11" t="n"/>
      <c r="M211" s="11" t="inlineStr">
        <is>
          <t>Vertraulichkeit</t>
        </is>
      </c>
      <c r="N211" s="12" t="inlineStr"/>
      <c r="O211" s="11" t="inlineStr"/>
      <c r="P211" s="12" t="inlineStr">
        <is>
          <t>Kann durch das Löschen der Historie beim Beenden oder durch Deaktivierung der Historie umgesetzt werden.</t>
        </is>
      </c>
      <c r="Q211" s="11" t="inlineStr">
        <is>
          <t>Webbrowser</t>
        </is>
      </c>
      <c r="R211" s="11" t="inlineStr">
        <is>
          <t>Konfigurationshistorie</t>
        </is>
      </c>
      <c r="S211" s="12" t="inlineStr">
        <is>
          <t>die dauerhafte Browser-Historie</t>
        </is>
      </c>
      <c r="T211" s="12" t="inlineStr">
        <is>
          <t>G 0.19 – Offenlegung schützenswerter Informationen; G 0.14 – Ausspähen von Informationen (Spionage)</t>
        </is>
      </c>
      <c r="U211" s="11" t="n">
        <v>5</v>
      </c>
      <c r="V211" s="11" t="n">
        <v>2</v>
      </c>
      <c r="W211" s="11" t="n">
        <v>0</v>
      </c>
      <c r="X211" s="11" t="n">
        <v>0</v>
      </c>
      <c r="Y211" s="11" t="n">
        <v>0</v>
      </c>
    </row>
    <row r="212">
      <c r="A212" s="11" t="inlineStr">
        <is>
          <t>KONF.12.6</t>
        </is>
      </c>
      <c r="B212" s="12" t="inlineStr">
        <is>
          <t>Browser-Historie</t>
        </is>
      </c>
      <c r="C212" s="11" t="inlineStr">
        <is>
          <t>KONF.12.6</t>
        </is>
      </c>
      <c r="D212" s="11" t="inlineStr">
        <is>
          <t>Anforderungen bei erhöhtem Schutzbedarf</t>
        </is>
      </c>
      <c r="E212" s="12" t="inlineStr">
        <is>
          <t>Konfiguration für Webbrowser KANN die dauerhafte Browser-Historie deaktivieren.</t>
        </is>
      </c>
      <c r="F212" s="14" t="n"/>
      <c r="G212" s="14" t="n"/>
      <c r="H212" s="14" t="inlineStr">
        <is>
          <t>unbearbeitet</t>
        </is>
      </c>
      <c r="I212" s="14" t="n"/>
      <c r="J212" s="14" t="n"/>
      <c r="K212" s="14" t="n"/>
      <c r="L212" s="15" t="n"/>
      <c r="M212" s="11" t="inlineStr">
        <is>
          <t>Vertraulichkeit</t>
        </is>
      </c>
      <c r="N212" s="12" t="inlineStr"/>
      <c r="O212" s="11" t="inlineStr"/>
      <c r="P212" s="12" t="inlineStr">
        <is>
          <t>Kann durch das Löschen der Historie beim Beenden oder durch Deaktivierung der Historie umgesetzt werden.</t>
        </is>
      </c>
      <c r="Q212" s="11" t="inlineStr">
        <is>
          <t>Webbrowser</t>
        </is>
      </c>
      <c r="R212" s="11" t="inlineStr">
        <is>
          <t>Konfigurationshistorie</t>
        </is>
      </c>
      <c r="S212" s="12" t="inlineStr">
        <is>
          <t>die dauerhafte Browser-Historie</t>
        </is>
      </c>
      <c r="T212" s="12" t="inlineStr">
        <is>
          <t>G 0.19 – Offenlegung schützenswerter Informationen; G 0.14 – Ausspähen von Informationen (Spionage)</t>
        </is>
      </c>
      <c r="U212" s="11" t="n">
        <v>5</v>
      </c>
      <c r="V212" s="11" t="n">
        <v>2</v>
      </c>
      <c r="W212" s="11" t="n">
        <v>0</v>
      </c>
      <c r="X212" s="11" t="n">
        <v>0</v>
      </c>
      <c r="Y212" s="11" t="n">
        <v>0</v>
      </c>
    </row>
    <row r="213">
      <c r="A213" s="9" t="inlineStr">
        <is>
          <t>KONF.12.7</t>
        </is>
      </c>
      <c r="B213" s="10" t="inlineStr">
        <is>
          <t>Erweiterte Attribute</t>
        </is>
      </c>
      <c r="C213" s="11" t="n"/>
      <c r="D213" s="11" t="inlineStr">
        <is>
          <t>Standard-Anforderungen</t>
        </is>
      </c>
      <c r="E213" s="12" t="inlineStr">
        <is>
          <t>Gesamt:</t>
        </is>
      </c>
      <c r="F213" s="11" t="n"/>
      <c r="G213" s="11" t="n"/>
      <c r="H213" s="13">
        <f>IF(OR(COUNTBLANK($H$214:$H$214)&gt;0,COUNTIF($H$214:$H$214,"unbearbeitet")=COUNTA($H$214:$H$214)),"Bitte Teilanforderungen ausfüllen",IF(COUNTIF($H$214:$H$214,"zu klären")&gt;0,"zu klären",IF(COUNTIF($H$214:$H$214,"entbehrlich")=COUNTA($H$214:$H$214),"entbehrlich",IF(COUNTIF($H$214:$H$214,"verwiesen")=COUNTA($H$214:$H$214),"verwiesen",IF(COUNTIF($H$214:$H$214,"nein")+COUNTIF($H$214:$H$214,"entbehrlich")=COUNTA($H$214:$H$214),"nein",IF(COUNTIF($H$214:$H$214,"ja")+COUNTIF($H$214:$H$214,"entbehrlich")+COUNTIF($H$214:$H$214,"verwiesen")=COUNTA($H$214:$H$214),"ja","teilweise"))))))</f>
        <v/>
      </c>
      <c r="I213" s="11" t="n"/>
      <c r="J213" s="11" t="n"/>
      <c r="K213" s="11" t="n"/>
      <c r="L213" s="11" t="n"/>
      <c r="M213" s="11" t="inlineStr">
        <is>
          <t>Integrität, Authentizität</t>
        </is>
      </c>
      <c r="N213" s="12" t="inlineStr"/>
      <c r="O213" s="11" t="inlineStr"/>
      <c r="P213" s="12" t="inlineStr">
        <is>
          <t>Erweiterte Attribute ermöglichen die Speicherung von Metadaten zu Dateien zur Speicherung von Zugriffsrechten und Statusindikatoren. Kann unter Linux durch Samba mit Extended Attributes und unter Windows durch Nutzung des NTFS-Dateisystems umgesetzt werden.</t>
        </is>
      </c>
      <c r="Q213" s="11" t="inlineStr">
        <is>
          <t>Dateiserver</t>
        </is>
      </c>
      <c r="R213" s="11" t="inlineStr">
        <is>
          <t>Konfigurationshistorie</t>
        </is>
      </c>
      <c r="S213" s="12" t="inlineStr">
        <is>
          <t>erweiterte Attribute</t>
        </is>
      </c>
      <c r="T213" s="12" t="inlineStr">
        <is>
          <t>G 0.30 – Unberechtigte Nutzung oder Administration von Geräten und Systemen; G 0.22 – Manipulation von Informationen</t>
        </is>
      </c>
      <c r="U213" s="11" t="n">
        <v>1</v>
      </c>
      <c r="V213" s="11" t="n">
        <v>1</v>
      </c>
      <c r="W213" s="11" t="n">
        <v>2</v>
      </c>
      <c r="X213" s="11" t="n">
        <v>1</v>
      </c>
      <c r="Y213" s="11" t="n">
        <v>2</v>
      </c>
    </row>
    <row r="214">
      <c r="A214" s="11" t="inlineStr">
        <is>
          <t>KONF.12.7</t>
        </is>
      </c>
      <c r="B214" s="12" t="inlineStr">
        <is>
          <t>Erweiterte Attribute</t>
        </is>
      </c>
      <c r="C214" s="11" t="inlineStr">
        <is>
          <t>KONF.12.7</t>
        </is>
      </c>
      <c r="D214" s="11" t="inlineStr">
        <is>
          <t>Standard-Anforderungen</t>
        </is>
      </c>
      <c r="E214" s="12" t="inlineStr">
        <is>
          <t>Konfiguration für Dateiserver SOLLTE erweiterte Attribute aktivieren.</t>
        </is>
      </c>
      <c r="F214" s="14" t="n"/>
      <c r="G214" s="14" t="n"/>
      <c r="H214" s="14" t="inlineStr">
        <is>
          <t>unbearbeitet</t>
        </is>
      </c>
      <c r="I214" s="14" t="n"/>
      <c r="J214" s="14" t="n"/>
      <c r="K214" s="14" t="n"/>
      <c r="L214" s="15" t="n"/>
      <c r="M214" s="11" t="inlineStr">
        <is>
          <t>Integrität, Authentizität</t>
        </is>
      </c>
      <c r="N214" s="12" t="inlineStr"/>
      <c r="O214" s="11" t="inlineStr"/>
      <c r="P214" s="12" t="inlineStr">
        <is>
          <t>Erweiterte Attribute ermöglichen die Speicherung von Metadaten zu Dateien zur Speicherung von Zugriffsrechten und Statusindikatoren. Kann unter Linux durch Samba mit Extended Attributes und unter Windows durch Nutzung des NTFS-Dateisystems umgesetzt werden.</t>
        </is>
      </c>
      <c r="Q214" s="11" t="inlineStr">
        <is>
          <t>Dateiserver</t>
        </is>
      </c>
      <c r="R214" s="11" t="inlineStr">
        <is>
          <t>Konfigurationshistorie</t>
        </is>
      </c>
      <c r="S214" s="12" t="inlineStr">
        <is>
          <t>erweiterte Attribute</t>
        </is>
      </c>
      <c r="T214" s="12" t="inlineStr">
        <is>
          <t>G 0.30 – Unberechtigte Nutzung oder Administration von Geräten und Systemen; G 0.22 – Manipulation von Informationen</t>
        </is>
      </c>
      <c r="U214" s="11" t="n">
        <v>1</v>
      </c>
      <c r="V214" s="11" t="n">
        <v>1</v>
      </c>
      <c r="W214" s="11" t="n">
        <v>2</v>
      </c>
      <c r="X214" s="11" t="n">
        <v>1</v>
      </c>
      <c r="Y214" s="11" t="n">
        <v>2</v>
      </c>
    </row>
    <row r="215">
      <c r="A215" s="9" t="inlineStr">
        <is>
          <t>KONF.12.8</t>
        </is>
      </c>
      <c r="B215" s="10" t="inlineStr">
        <is>
          <t>Teilnahme per Default ohne Bild und Ton</t>
        </is>
      </c>
      <c r="C215" s="11" t="n"/>
      <c r="D215" s="11" t="inlineStr">
        <is>
          <t>Standard-Anforderungen</t>
        </is>
      </c>
      <c r="E215" s="12" t="inlineStr">
        <is>
          <t>Gesamt:</t>
        </is>
      </c>
      <c r="F215" s="11" t="n"/>
      <c r="G215" s="11" t="n"/>
      <c r="H215" s="13">
        <f>IF(OR(COUNTBLANK($H$216:$H$216)&gt;0,COUNTIF($H$216:$H$216,"unbearbeitet")=COUNTA($H$216:$H$216)),"Bitte Teilanforderungen ausfüllen",IF(COUNTIF($H$216:$H$216,"zu klären")&gt;0,"zu klären",IF(COUNTIF($H$216:$H$216,"entbehrlich")=COUNTA($H$216:$H$216),"entbehrlich",IF(COUNTIF($H$216:$H$216,"verwiesen")=COUNTA($H$216:$H$216),"verwiesen",IF(COUNTIF($H$216:$H$216,"nein")+COUNTIF($H$216:$H$216,"entbehrlich")=COUNTA($H$216:$H$216),"nein",IF(COUNTIF($H$216:$H$216,"ja")+COUNTIF($H$216:$H$216,"entbehrlich")+COUNTIF($H$216:$H$216,"verwiesen")=COUNTA($H$216:$H$216),"ja","teilweise"))))))</f>
        <v/>
      </c>
      <c r="I215" s="11" t="n"/>
      <c r="J215" s="11" t="n"/>
      <c r="K215" s="11" t="n"/>
      <c r="L215" s="11" t="n"/>
      <c r="M215" s="11" t="inlineStr">
        <is>
          <t>Vertraulichkeit</t>
        </is>
      </c>
      <c r="N215" s="12" t="inlineStr"/>
      <c r="O215" s="11" t="inlineStr"/>
      <c r="P215" s="12" t="inlineStr">
        <is>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is>
      </c>
      <c r="Q215" s="11" t="inlineStr">
        <is>
          <t>VK-Anwendungen</t>
        </is>
      </c>
      <c r="R215" s="11" t="inlineStr">
        <is>
          <t>Konfigurationshistorie</t>
        </is>
      </c>
      <c r="S215" s="12" t="inlineStr">
        <is>
          <t>beim Beitritt zu Konferenzschaltungen Bild und Ton per Default</t>
        </is>
      </c>
      <c r="T215" s="12" t="inlineStr">
        <is>
          <t>G 0.19 – Offenlegung schützenswerter Informationen; G 0.14 – Ausspähen von Informationen (Spionage)</t>
        </is>
      </c>
      <c r="U215" s="11" t="n">
        <v>1</v>
      </c>
      <c r="V215" s="11" t="n">
        <v>2</v>
      </c>
      <c r="W215" s="11" t="n">
        <v>0</v>
      </c>
      <c r="X215" s="11" t="n">
        <v>0</v>
      </c>
      <c r="Y215" s="11" t="n">
        <v>0</v>
      </c>
    </row>
    <row r="216">
      <c r="A216" s="11" t="inlineStr">
        <is>
          <t>KONF.12.8</t>
        </is>
      </c>
      <c r="B216" s="12" t="inlineStr">
        <is>
          <t>Teilnahme per Default ohne Bild und Ton</t>
        </is>
      </c>
      <c r="C216" s="11" t="inlineStr">
        <is>
          <t>KONF.12.8</t>
        </is>
      </c>
      <c r="D216" s="11" t="inlineStr">
        <is>
          <t>Standard-Anforderungen</t>
        </is>
      </c>
      <c r="E216" s="12" t="inlineStr">
        <is>
          <t>Konfiguration für VK-Anwendungen SOLLTE beim Beitritt zu Konferenzschaltungen Bild und Ton per Default deaktivieren.</t>
        </is>
      </c>
      <c r="F216" s="14" t="n"/>
      <c r="G216" s="14" t="n"/>
      <c r="H216" s="14" t="inlineStr">
        <is>
          <t>unbearbeitet</t>
        </is>
      </c>
      <c r="I216" s="14" t="n"/>
      <c r="J216" s="14" t="n"/>
      <c r="K216" s="14" t="n"/>
      <c r="L216" s="15" t="n"/>
      <c r="M216" s="11" t="inlineStr">
        <is>
          <t>Vertraulichkeit</t>
        </is>
      </c>
      <c r="N216" s="12" t="inlineStr"/>
      <c r="O216" s="11" t="inlineStr"/>
      <c r="P216" s="12" t="inlineStr">
        <is>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is>
      </c>
      <c r="Q216" s="11" t="inlineStr">
        <is>
          <t>VK-Anwendungen</t>
        </is>
      </c>
      <c r="R216" s="11" t="inlineStr">
        <is>
          <t>Konfigurationshistorie</t>
        </is>
      </c>
      <c r="S216" s="12" t="inlineStr">
        <is>
          <t>beim Beitritt zu Konferenzschaltungen Bild und Ton per Default</t>
        </is>
      </c>
      <c r="T216" s="12" t="inlineStr">
        <is>
          <t>G 0.19 – Offenlegung schützenswerter Informationen; G 0.14 – Ausspähen von Informationen (Spionage)</t>
        </is>
      </c>
      <c r="U216" s="11" t="n">
        <v>1</v>
      </c>
      <c r="V216" s="11" t="n">
        <v>2</v>
      </c>
      <c r="W216" s="11" t="n">
        <v>0</v>
      </c>
      <c r="X216" s="11" t="n">
        <v>0</v>
      </c>
      <c r="Y216" s="11" t="n">
        <v>0</v>
      </c>
    </row>
    <row r="217">
      <c r="A217" s="9" t="inlineStr">
        <is>
          <t>KONF.12.9</t>
        </is>
      </c>
      <c r="B217" s="10" t="inlineStr">
        <is>
          <t>Keine heimliche Aufzeichnung</t>
        </is>
      </c>
      <c r="C217" s="11" t="n"/>
      <c r="D217" s="11" t="inlineStr">
        <is>
          <t>Standard-Anforderungen</t>
        </is>
      </c>
      <c r="E217" s="12" t="inlineStr">
        <is>
          <t>Gesamt:</t>
        </is>
      </c>
      <c r="F217" s="11" t="n"/>
      <c r="G217" s="11" t="n"/>
      <c r="H217" s="13">
        <f>IF(OR(COUNTBLANK($H$218:$H$218)&gt;0,COUNTIF($H$218:$H$218,"unbearbeitet")=COUNTA($H$218:$H$218)),"Bitte Teilanforderungen ausfüllen",IF(COUNTIF($H$218:$H$218,"zu klären")&gt;0,"zu klären",IF(COUNTIF($H$218:$H$218,"entbehrlich")=COUNTA($H$218:$H$218),"entbehrlich",IF(COUNTIF($H$218:$H$218,"verwiesen")=COUNTA($H$218:$H$218),"verwiesen",IF(COUNTIF($H$218:$H$218,"nein")+COUNTIF($H$218:$H$218,"entbehrlich")=COUNTA($H$218:$H$218),"nein",IF(COUNTIF($H$218:$H$218,"ja")+COUNTIF($H$218:$H$218,"entbehrlich")+COUNTIF($H$218:$H$218,"verwiesen")=COUNTA($H$218:$H$218),"ja","teilweise"))))))</f>
        <v/>
      </c>
      <c r="I217" s="11" t="n"/>
      <c r="J217" s="11" t="n"/>
      <c r="K217" s="11" t="n"/>
      <c r="L217" s="11" t="n"/>
      <c r="M217" s="11" t="inlineStr">
        <is>
          <t>Vertraulichkeit</t>
        </is>
      </c>
      <c r="N217" s="12" t="inlineStr"/>
      <c r="O217" s="11" t="inlineStr"/>
      <c r="P217" s="12" t="inlineStr">
        <is>
          <t>Heimliche Aufzeichnungen verletzen die Vertraulichkeit der Kommunikation. Eine Aufzeichnung von Wort und Bild ohne den Willen der Aufgezeichneten kann zudem eine Persönlichkeitsrechtsverletzung bis hin zur Straftat (§ 201 StGB) darstellen. Falls die Anwendung so konfiguriert ist, dass Bild und Ton aufgezeichnet werden könnten, ist es daher unabdingbar, dass alle Teilnehmenden von der Anwendung über die Aufzeichnung informiert werden - auch wenn sie eine Konfernzschaltung später betreten oder kurz nicht zugehört haben. Dies gilt auch für Aufzeichnungen, die KI-gestützt ausgewertet werden. Falls die Möglichkeit zur Aufzeichnung vollständig deaktiviert ist, so ist diese Anforderung ebenfalls erfüllt. Alternativ kann die Anforderung auch erfüllt werden, indem die Anwendung beim Start einer Aufnahme alle Teilnehmenden informiert, z.B. über die Anzeige eines zu bestätigenden Warnhinweises und eine Ansage.</t>
        </is>
      </c>
      <c r="Q217" s="11" t="inlineStr">
        <is>
          <t>VK-Anwendungen</t>
        </is>
      </c>
      <c r="R217" s="11" t="inlineStr">
        <is>
          <t>Konfigurationshistorie</t>
        </is>
      </c>
      <c r="S217" s="12" t="inlineStr">
        <is>
          <t>heimliche Aufzeichnungen</t>
        </is>
      </c>
      <c r="T217" s="12" t="inlineStr">
        <is>
          <t>G 0.19 – Offenlegung schützenswerter Informationen; G 0.29 – Verstoß gegen Gesetze oder Regelungen</t>
        </is>
      </c>
      <c r="U217" s="11" t="n">
        <v>1</v>
      </c>
      <c r="V217" s="11" t="n">
        <v>2</v>
      </c>
      <c r="W217" s="11" t="n">
        <v>1</v>
      </c>
      <c r="X217" s="11" t="n">
        <v>1</v>
      </c>
      <c r="Y217" s="11" t="n">
        <v>0</v>
      </c>
    </row>
    <row r="218">
      <c r="A218" s="11" t="inlineStr">
        <is>
          <t>KONF.12.9</t>
        </is>
      </c>
      <c r="B218" s="12" t="inlineStr">
        <is>
          <t>Keine heimliche Aufzeichnung</t>
        </is>
      </c>
      <c r="C218" s="11" t="inlineStr">
        <is>
          <t>KONF.12.9</t>
        </is>
      </c>
      <c r="D218" s="11" t="inlineStr">
        <is>
          <t>Standard-Anforderungen</t>
        </is>
      </c>
      <c r="E218" s="12" t="inlineStr">
        <is>
          <t>Konfiguration für VK-Anwendungen SOLLTE heimliche Aufzeichnungen deaktivieren.</t>
        </is>
      </c>
      <c r="F218" s="14" t="n"/>
      <c r="G218" s="14" t="n"/>
      <c r="H218" s="14" t="inlineStr">
        <is>
          <t>unbearbeitet</t>
        </is>
      </c>
      <c r="I218" s="14" t="n"/>
      <c r="J218" s="14" t="n"/>
      <c r="K218" s="14" t="n"/>
      <c r="L218" s="15" t="n"/>
      <c r="M218" s="11" t="inlineStr">
        <is>
          <t>Vertraulichkeit</t>
        </is>
      </c>
      <c r="N218" s="12" t="inlineStr"/>
      <c r="O218" s="11" t="inlineStr"/>
      <c r="P218" s="12" t="inlineStr">
        <is>
          <t>Heimliche Aufzeichnungen verletzen die Vertraulichkeit der Kommunikation. Eine Aufzeichnung von Wort und Bild ohne den Willen der Aufgezeichneten kann zudem eine Persönlichkeitsrechtsverletzung bis hin zur Straftat (§ 201 StGB) darstellen. Falls die Anwendung so konfiguriert ist, dass Bild und Ton aufgezeichnet werden könnten, ist es daher unabdingbar, dass alle Teilnehmenden von der Anwendung über die Aufzeichnung informiert werden - auch wenn sie eine Konfernzschaltung später betreten oder kurz nicht zugehört haben. Dies gilt auch für Aufzeichnungen, die KI-gestützt ausgewertet werden. Falls die Möglichkeit zur Aufzeichnung vollständig deaktiviert ist, so ist diese Anforderung ebenfalls erfüllt. Alternativ kann die Anforderung auch erfüllt werden, indem die Anwendung beim Start einer Aufnahme alle Teilnehmenden informiert, z.B. über die Anzeige eines zu bestätigenden Warnhinweises und eine Ansage.</t>
        </is>
      </c>
      <c r="Q218" s="11" t="inlineStr">
        <is>
          <t>VK-Anwendungen</t>
        </is>
      </c>
      <c r="R218" s="11" t="inlineStr">
        <is>
          <t>Konfigurationshistorie</t>
        </is>
      </c>
      <c r="S218" s="12" t="inlineStr">
        <is>
          <t>heimliche Aufzeichnungen</t>
        </is>
      </c>
      <c r="T218" s="12" t="inlineStr">
        <is>
          <t>G 0.19 – Offenlegung schützenswerter Informationen; G 0.29 – Verstoß gegen Gesetze oder Regelungen</t>
        </is>
      </c>
      <c r="U218" s="11" t="n">
        <v>1</v>
      </c>
      <c r="V218" s="11" t="n">
        <v>2</v>
      </c>
      <c r="W218" s="11" t="n">
        <v>1</v>
      </c>
      <c r="X218" s="11" t="n">
        <v>1</v>
      </c>
      <c r="Y218" s="11" t="n">
        <v>0</v>
      </c>
    </row>
    <row r="219">
      <c r="A219" s="9" t="inlineStr">
        <is>
          <t>KONF.12.10</t>
        </is>
      </c>
      <c r="B219" s="10" t="inlineStr">
        <is>
          <t>Cookie-Attribute</t>
        </is>
      </c>
      <c r="C219" s="11" t="n"/>
      <c r="D219" s="11" t="inlineStr">
        <is>
          <t>Standard-Anforderungen</t>
        </is>
      </c>
      <c r="E219" s="12" t="inlineStr">
        <is>
          <t>Gesamt:</t>
        </is>
      </c>
      <c r="F219" s="11" t="n"/>
      <c r="G219" s="11" t="n"/>
      <c r="H219" s="13">
        <f>IF(OR(COUNTBLANK($H$220:$H$220)&gt;0,COUNTIF($H$220:$H$220,"unbearbeitet")=COUNTA($H$220:$H$220)),"Bitte Teilanforderungen ausfüllen",IF(COUNTIF($H$220:$H$220,"zu klären")&gt;0,"zu klären",IF(COUNTIF($H$220:$H$220,"entbehrlich")=COUNTA($H$220:$H$220),"entbehrlich",IF(COUNTIF($H$220:$H$220,"verwiesen")=COUNTA($H$220:$H$220),"verwiesen",IF(COUNTIF($H$220:$H$220,"nein")+COUNTIF($H$220:$H$220,"entbehrlich")=COUNTA($H$220:$H$220),"nein",IF(COUNTIF($H$220:$H$220,"ja")+COUNTIF($H$220:$H$220,"entbehrlich")+COUNTIF($H$220:$H$220,"verwiesen")=COUNTA($H$220:$H$220),"ja","teilweise"))))))</f>
        <v/>
      </c>
      <c r="I219" s="11" t="n"/>
      <c r="J219" s="11" t="n"/>
      <c r="K219" s="11" t="n"/>
      <c r="L219" s="11" t="n"/>
      <c r="M219" s="11" t="inlineStr">
        <is>
          <t>Vertraulichkeit</t>
        </is>
      </c>
      <c r="N219" s="12" t="inlineStr"/>
      <c r="O219" s="11" t="inlineStr"/>
      <c r="P219" s="12" t="inlineStr">
        <is>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is>
      </c>
      <c r="Q219" s="11" t="inlineStr">
        <is>
          <t>Webanwendungen</t>
        </is>
      </c>
      <c r="R219" s="11" t="inlineStr">
        <is>
          <t>Konfigurationshistorie</t>
        </is>
      </c>
      <c r="S219" s="12" t="inlineStr">
        <is>
          <t>Cookie-Attribute</t>
        </is>
      </c>
      <c r="T219" s="12" t="inlineStr">
        <is>
          <t>G 0.19 – Offenlegung schützenswerter Informationen; G 0.43 – Einspielen von Nachrichten</t>
        </is>
      </c>
      <c r="U219" s="11" t="n">
        <v>3</v>
      </c>
      <c r="V219" s="11" t="n">
        <v>2</v>
      </c>
      <c r="W219" s="11" t="n">
        <v>1</v>
      </c>
      <c r="X219" s="11" t="n">
        <v>0</v>
      </c>
      <c r="Y219" s="11" t="n">
        <v>1</v>
      </c>
    </row>
    <row r="220">
      <c r="A220" s="11" t="inlineStr">
        <is>
          <t>KONF.12.10</t>
        </is>
      </c>
      <c r="B220" s="12" t="inlineStr">
        <is>
          <t>Cookie-Attribute</t>
        </is>
      </c>
      <c r="C220" s="11" t="inlineStr">
        <is>
          <t>KONF.12.10</t>
        </is>
      </c>
      <c r="D220" s="11" t="inlineStr">
        <is>
          <t>Standard-Anforderungen</t>
        </is>
      </c>
      <c r="E220" s="12" t="inlineStr">
        <is>
          <t>Konfiguration für Webanwendungen SOLLTE Cookie-Attribute aktivieren.</t>
        </is>
      </c>
      <c r="F220" s="14" t="n"/>
      <c r="G220" s="14" t="n"/>
      <c r="H220" s="14" t="inlineStr">
        <is>
          <t>unbearbeitet</t>
        </is>
      </c>
      <c r="I220" s="14" t="n"/>
      <c r="J220" s="14" t="n"/>
      <c r="K220" s="14" t="n"/>
      <c r="L220" s="15" t="n"/>
      <c r="M220" s="11" t="inlineStr">
        <is>
          <t>Vertraulichkeit</t>
        </is>
      </c>
      <c r="N220" s="12" t="inlineStr"/>
      <c r="O220" s="11" t="inlineStr"/>
      <c r="P220" s="12" t="inlineStr">
        <is>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is>
      </c>
      <c r="Q220" s="11" t="inlineStr">
        <is>
          <t>Webanwendungen</t>
        </is>
      </c>
      <c r="R220" s="11" t="inlineStr">
        <is>
          <t>Konfigurationshistorie</t>
        </is>
      </c>
      <c r="S220" s="12" t="inlineStr">
        <is>
          <t>Cookie-Attribute</t>
        </is>
      </c>
      <c r="T220" s="12" t="inlineStr">
        <is>
          <t>G 0.19 – Offenlegung schützenswerter Informationen; G 0.43 – Einspielen von Nachrichten</t>
        </is>
      </c>
      <c r="U220" s="11" t="n">
        <v>3</v>
      </c>
      <c r="V220" s="11" t="n">
        <v>2</v>
      </c>
      <c r="W220" s="11" t="n">
        <v>1</v>
      </c>
      <c r="X220" s="11" t="n">
        <v>0</v>
      </c>
      <c r="Y220" s="11" t="n">
        <v>1</v>
      </c>
    </row>
    <row r="221">
      <c r="A221" s="9" t="inlineStr">
        <is>
          <t>KONF.12.11</t>
        </is>
      </c>
      <c r="B221" s="10" t="inlineStr">
        <is>
          <t>Anonyme oder Pseudonyme Kommunikation</t>
        </is>
      </c>
      <c r="C221" s="11" t="n"/>
      <c r="D221" s="11" t="inlineStr">
        <is>
          <t>Anforderungen bei erhöhtem Schutzbedarf</t>
        </is>
      </c>
      <c r="E221" s="12" t="inlineStr">
        <is>
          <t>Gesamt:</t>
        </is>
      </c>
      <c r="F221" s="11" t="n"/>
      <c r="G221" s="11" t="n"/>
      <c r="H221" s="13">
        <f>IF(OR(COUNTBLANK($H$222:$H$222)&gt;0,COUNTIF($H$222:$H$222,"unbearbeitet")=COUNTA($H$222:$H$222)),"Bitte Teilanforderungen ausfüllen",IF(COUNTIF($H$222:$H$222,"zu klären")&gt;0,"zu klären",IF(COUNTIF($H$222:$H$222,"entbehrlich")=COUNTA($H$222:$H$222),"entbehrlich",IF(COUNTIF($H$222:$H$222,"verwiesen")=COUNTA($H$222:$H$222),"verwiesen",IF(COUNTIF($H$222:$H$222,"nein")+COUNTIF($H$222:$H$222,"entbehrlich")=COUNTA($H$222:$H$222),"nein",IF(COUNTIF($H$222:$H$222,"ja")+COUNTIF($H$222:$H$222,"entbehrlich")+COUNTIF($H$222:$H$222,"verwiesen")=COUNTA($H$222:$H$222),"ja","teilweise"))))))</f>
        <v/>
      </c>
      <c r="I221" s="11" t="n"/>
      <c r="J221" s="11" t="n"/>
      <c r="K221" s="11" t="n"/>
      <c r="L221" s="11" t="n"/>
      <c r="M221" s="11" t="inlineStr">
        <is>
          <t>Vertraulichkeit</t>
        </is>
      </c>
      <c r="N221" s="12" t="inlineStr"/>
      <c r="O221" s="11" t="inlineStr"/>
      <c r="P221" s="12" t="inlineStr">
        <is>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is>
      </c>
      <c r="Q221" s="11" t="inlineStr">
        <is>
          <t>TK-Anwendungen</t>
        </is>
      </c>
      <c r="R221" s="11" t="inlineStr">
        <is>
          <t>Konfigurationshistorie</t>
        </is>
      </c>
      <c r="S221" s="12" t="inlineStr">
        <is>
          <t>die Übermittlung {{eines Pseudonyms oder gar keiner Anzeigekennung}}</t>
        </is>
      </c>
      <c r="T221" s="12" t="inlineStr">
        <is>
          <t>G 0.19 – Offenlegung schützenswerter Informationen; G 0.14 – Ausspähen von Informationen (Spionage)</t>
        </is>
      </c>
      <c r="U221" s="11" t="n">
        <v>5</v>
      </c>
      <c r="V221" s="11" t="n">
        <v>2</v>
      </c>
      <c r="W221" s="11" t="n">
        <v>0</v>
      </c>
      <c r="X221" s="11" t="n">
        <v>0</v>
      </c>
      <c r="Y221" s="11" t="n">
        <v>0</v>
      </c>
    </row>
    <row r="222">
      <c r="A222" s="11" t="inlineStr">
        <is>
          <t>KONF.12.11</t>
        </is>
      </c>
      <c r="B222" s="12" t="inlineStr">
        <is>
          <t>Anonyme oder Pseudonyme Kommunikation</t>
        </is>
      </c>
      <c r="C222" s="11" t="inlineStr">
        <is>
          <t>KONF.12.11</t>
        </is>
      </c>
      <c r="D222" s="11" t="inlineStr">
        <is>
          <t>Anforderungen bei erhöhtem Schutzbedarf</t>
        </is>
      </c>
      <c r="E222" s="12" t="inlineStr">
        <is>
          <t>Konfiguration für TK-Anwendungen KANN die Übermittlung eines Pseudonyms oder gar keiner Anzeigekennung zur Gegenstelle aktivieren.</t>
        </is>
      </c>
      <c r="F222" s="14" t="n"/>
      <c r="G222" s="14" t="n"/>
      <c r="H222" s="14" t="inlineStr">
        <is>
          <t>unbearbeitet</t>
        </is>
      </c>
      <c r="I222" s="14" t="n"/>
      <c r="J222" s="14" t="n"/>
      <c r="K222" s="14" t="n"/>
      <c r="L222" s="15" t="n"/>
      <c r="M222" s="11" t="inlineStr">
        <is>
          <t>Vertraulichkeit</t>
        </is>
      </c>
      <c r="N222" s="12" t="inlineStr"/>
      <c r="O222" s="11" t="inlineStr"/>
      <c r="P222" s="12" t="inlineStr">
        <is>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is>
      </c>
      <c r="Q222" s="11" t="inlineStr">
        <is>
          <t>TK-Anwendungen</t>
        </is>
      </c>
      <c r="R222" s="11" t="inlineStr">
        <is>
          <t>Konfigurationshistorie</t>
        </is>
      </c>
      <c r="S222" s="12" t="inlineStr">
        <is>
          <t>die Übermittlung {{eines Pseudonyms oder gar keiner Anzeigekennung}}</t>
        </is>
      </c>
      <c r="T222" s="12" t="inlineStr">
        <is>
          <t>G 0.19 – Offenlegung schützenswerter Informationen; G 0.14 – Ausspähen von Informationen (Spionage)</t>
        </is>
      </c>
      <c r="U222" s="11" t="n">
        <v>5</v>
      </c>
      <c r="V222" s="11" t="n">
        <v>2</v>
      </c>
      <c r="W222" s="11" t="n">
        <v>0</v>
      </c>
      <c r="X222" s="11" t="n">
        <v>0</v>
      </c>
      <c r="Y222" s="11" t="n">
        <v>0</v>
      </c>
    </row>
    <row r="223">
      <c r="A223" s="9" t="inlineStr">
        <is>
          <t>KONF.12.12</t>
        </is>
      </c>
      <c r="B223" s="10" t="inlineStr">
        <is>
          <t>Verbindungsprotokoll</t>
        </is>
      </c>
      <c r="C223" s="11" t="n"/>
      <c r="D223" s="11" t="inlineStr">
        <is>
          <t>Standard-Anforderungen</t>
        </is>
      </c>
      <c r="E223" s="12" t="inlineStr">
        <is>
          <t>Gesamt:</t>
        </is>
      </c>
      <c r="F223" s="11" t="n"/>
      <c r="G223" s="11" t="n"/>
      <c r="H223" s="13">
        <f>IF(OR(COUNTBLANK($H$224:$H$224)&gt;0,COUNTIF($H$224:$H$224,"unbearbeitet")=COUNTA($H$224:$H$224)),"Bitte Teilanforderungen ausfüllen",IF(COUNTIF($H$224:$H$224,"zu klären")&gt;0,"zu klären",IF(COUNTIF($H$224:$H$224,"entbehrlich")=COUNTA($H$224:$H$224),"entbehrlich",IF(COUNTIF($H$224:$H$224,"verwiesen")=COUNTA($H$224:$H$224),"verwiesen",IF(COUNTIF($H$224:$H$224,"nein")+COUNTIF($H$224:$H$224,"entbehrlich")=COUNTA($H$224:$H$224),"nein",IF(COUNTIF($H$224:$H$224,"ja")+COUNTIF($H$224:$H$224,"entbehrlich")+COUNTIF($H$224:$H$224,"verwiesen")=COUNTA($H$224:$H$224),"ja","teilweise"))))))</f>
        <v/>
      </c>
      <c r="I223" s="11" t="n"/>
      <c r="J223" s="11" t="n"/>
      <c r="K223" s="11" t="n"/>
      <c r="L223" s="11" t="n"/>
      <c r="M223" s="11" t="inlineStr">
        <is>
          <t>Vertraulichkeit, Integrität</t>
        </is>
      </c>
      <c r="N223" s="12" t="inlineStr"/>
      <c r="O223" s="11" t="inlineStr"/>
      <c r="P223" s="12" t="inlineStr">
        <is>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is>
      </c>
      <c r="Q223" s="11" t="inlineStr">
        <is>
          <t>TK-Anwendungen</t>
        </is>
      </c>
      <c r="R223" s="11" t="inlineStr">
        <is>
          <t>Konfigurationshistorie</t>
        </is>
      </c>
      <c r="S223" s="12" t="inlineStr">
        <is>
          <t>ein für Nutzende verfügbares Verbindungsprotokoll</t>
        </is>
      </c>
      <c r="T223" s="12" t="inlineStr">
        <is>
          <t>G 0.37 – Abstreiten von Handlungen; G 0.23 – Unbefugtes Eindringen in IT-Systeme</t>
        </is>
      </c>
      <c r="U223" s="11" t="n">
        <v>3</v>
      </c>
      <c r="V223" s="11" t="n">
        <v>2</v>
      </c>
      <c r="W223" s="11" t="n">
        <v>2</v>
      </c>
      <c r="X223" s="11" t="n">
        <v>0</v>
      </c>
      <c r="Y223" s="11" t="n">
        <v>1</v>
      </c>
    </row>
    <row r="224">
      <c r="A224" s="11" t="inlineStr">
        <is>
          <t>KONF.12.12</t>
        </is>
      </c>
      <c r="B224" s="12" t="inlineStr">
        <is>
          <t>Verbindungsprotokoll</t>
        </is>
      </c>
      <c r="C224" s="11" t="inlineStr">
        <is>
          <t>KONF.12.12</t>
        </is>
      </c>
      <c r="D224" s="11" t="inlineStr">
        <is>
          <t>Standard-Anforderungen</t>
        </is>
      </c>
      <c r="E224" s="12" t="inlineStr">
        <is>
          <t>Konfiguration für TK-Anwendungen SOLLTE ein für Nutzende verfügbares Verbindungsprotokoll protokollieren.</t>
        </is>
      </c>
      <c r="F224" s="14" t="n"/>
      <c r="G224" s="14" t="n"/>
      <c r="H224" s="14" t="inlineStr">
        <is>
          <t>unbearbeitet</t>
        </is>
      </c>
      <c r="I224" s="14" t="n"/>
      <c r="J224" s="14" t="n"/>
      <c r="K224" s="14" t="n"/>
      <c r="L224" s="15" t="n"/>
      <c r="M224" s="11" t="inlineStr">
        <is>
          <t>Vertraulichkeit, Integrität</t>
        </is>
      </c>
      <c r="N224" s="12" t="inlineStr"/>
      <c r="O224" s="11" t="inlineStr"/>
      <c r="P224" s="12" t="inlineStr">
        <is>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is>
      </c>
      <c r="Q224" s="11" t="inlineStr">
        <is>
          <t>TK-Anwendungen</t>
        </is>
      </c>
      <c r="R224" s="11" t="inlineStr">
        <is>
          <t>Konfigurationshistorie</t>
        </is>
      </c>
      <c r="S224" s="12" t="inlineStr">
        <is>
          <t>ein für Nutzende verfügbares Verbindungsprotokoll</t>
        </is>
      </c>
      <c r="T224" s="12" t="inlineStr">
        <is>
          <t>G 0.37 – Abstreiten von Handlungen; G 0.23 – Unbefugtes Eindringen in IT-Systeme</t>
        </is>
      </c>
      <c r="U224" s="11" t="n">
        <v>3</v>
      </c>
      <c r="V224" s="11" t="n">
        <v>2</v>
      </c>
      <c r="W224" s="11" t="n">
        <v>2</v>
      </c>
      <c r="X224" s="11" t="n">
        <v>0</v>
      </c>
      <c r="Y224" s="11" t="n">
        <v>1</v>
      </c>
    </row>
    <row r="225">
      <c r="A225" s="9" t="inlineStr">
        <is>
          <t>KONF.12.13</t>
        </is>
      </c>
      <c r="B225" s="10" t="inlineStr">
        <is>
          <t>Sendebericht</t>
        </is>
      </c>
      <c r="C225" s="11" t="n"/>
      <c r="D225" s="11" t="inlineStr">
        <is>
          <t>Standard-Anforderungen</t>
        </is>
      </c>
      <c r="E225" s="12" t="inlineStr">
        <is>
          <t>Gesamt:</t>
        </is>
      </c>
      <c r="F225" s="11" t="n"/>
      <c r="G225" s="11" t="n"/>
      <c r="H225" s="13">
        <f>IF(OR(COUNTBLANK($H$226:$H$226)&gt;0,COUNTIF($H$226:$H$226,"unbearbeitet")=COUNTA($H$226:$H$226)),"Bitte Teilanforderungen ausfüllen",IF(COUNTIF($H$226:$H$226,"zu klären")&gt;0,"zu klären",IF(COUNTIF($H$226:$H$226,"entbehrlich")=COUNTA($H$226:$H$226),"entbehrlich",IF(COUNTIF($H$226:$H$226,"verwiesen")=COUNTA($H$226:$H$226),"verwiesen",IF(COUNTIF($H$226:$H$226,"nein")+COUNTIF($H$226:$H$226,"entbehrlich")=COUNTA($H$226:$H$226),"nein",IF(COUNTIF($H$226:$H$226,"ja")+COUNTIF($H$226:$H$226,"entbehrlich")+COUNTIF($H$226:$H$226,"verwiesen")=COUNTA($H$226:$H$226),"ja","teilweise"))))))</f>
        <v/>
      </c>
      <c r="I225" s="11" t="n"/>
      <c r="J225" s="11" t="n"/>
      <c r="K225" s="11" t="n"/>
      <c r="L225" s="11" t="n"/>
      <c r="M225" s="11" t="inlineStr">
        <is>
          <t>Vertraulichkeit, Integrität</t>
        </is>
      </c>
      <c r="N225" s="12" t="inlineStr"/>
      <c r="O225" s="11" t="inlineStr"/>
      <c r="P225" s="12" t="inlineStr">
        <is>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is>
      </c>
      <c r="Q225" s="11" t="inlineStr">
        <is>
          <t>Faxe</t>
        </is>
      </c>
      <c r="R225" s="11" t="inlineStr">
        <is>
          <t>Konfigurationshistorie</t>
        </is>
      </c>
      <c r="S225" s="12" t="inlineStr">
        <is>
          <t>einen Sendebericht</t>
        </is>
      </c>
      <c r="T225" s="12" t="inlineStr">
        <is>
          <t>G 0.18 – Fehlplanung oder fehlende Anpassung; G 0.37 – Abstreiten von Handlungen</t>
        </is>
      </c>
      <c r="U225" s="11" t="n">
        <v>3</v>
      </c>
      <c r="V225" s="11" t="n">
        <v>2</v>
      </c>
      <c r="W225" s="11" t="n">
        <v>2</v>
      </c>
      <c r="X225" s="11" t="n">
        <v>1</v>
      </c>
      <c r="Y225" s="11" t="n">
        <v>1</v>
      </c>
    </row>
    <row r="226">
      <c r="A226" s="11" t="inlineStr">
        <is>
          <t>KONF.12.13</t>
        </is>
      </c>
      <c r="B226" s="12" t="inlineStr">
        <is>
          <t>Sendebericht</t>
        </is>
      </c>
      <c r="C226" s="11" t="inlineStr">
        <is>
          <t>KONF.12.13</t>
        </is>
      </c>
      <c r="D226" s="11" t="inlineStr">
        <is>
          <t>Standard-Anforderungen</t>
        </is>
      </c>
      <c r="E226" s="12" t="inlineStr">
        <is>
          <t>Konfiguration für Faxe SOLLTE einen Sendebericht protokollieren.</t>
        </is>
      </c>
      <c r="F226" s="14" t="n"/>
      <c r="G226" s="14" t="n"/>
      <c r="H226" s="14" t="inlineStr">
        <is>
          <t>unbearbeitet</t>
        </is>
      </c>
      <c r="I226" s="14" t="n"/>
      <c r="J226" s="14" t="n"/>
      <c r="K226" s="14" t="n"/>
      <c r="L226" s="15" t="n"/>
      <c r="M226" s="11" t="inlineStr">
        <is>
          <t>Vertraulichkeit, Integrität</t>
        </is>
      </c>
      <c r="N226" s="12" t="inlineStr"/>
      <c r="O226" s="11" t="inlineStr"/>
      <c r="P226" s="12" t="inlineStr">
        <is>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is>
      </c>
      <c r="Q226" s="11" t="inlineStr">
        <is>
          <t>Faxe</t>
        </is>
      </c>
      <c r="R226" s="11" t="inlineStr">
        <is>
          <t>Konfigurationshistorie</t>
        </is>
      </c>
      <c r="S226" s="12" t="inlineStr">
        <is>
          <t>einen Sendebericht</t>
        </is>
      </c>
      <c r="T226" s="12" t="inlineStr">
        <is>
          <t>G 0.18 – Fehlplanung oder fehlende Anpassung; G 0.37 – Abstreiten von Handlungen</t>
        </is>
      </c>
      <c r="U226" s="11" t="n">
        <v>3</v>
      </c>
      <c r="V226" s="11" t="n">
        <v>2</v>
      </c>
      <c r="W226" s="11" t="n">
        <v>2</v>
      </c>
      <c r="X226" s="11" t="n">
        <v>1</v>
      </c>
      <c r="Y226" s="11" t="n">
        <v>1</v>
      </c>
    </row>
    <row r="227">
      <c r="A227" s="9" t="inlineStr">
        <is>
          <t>KONF.12.14</t>
        </is>
      </c>
      <c r="B227" s="10" t="inlineStr">
        <is>
          <t>DNS-Falschinformationen</t>
        </is>
      </c>
      <c r="C227" s="11" t="n"/>
      <c r="D227" s="11" t="inlineStr">
        <is>
          <t>Standard-Anforderungen</t>
        </is>
      </c>
      <c r="E227" s="12" t="inlineStr">
        <is>
          <t>Gesamt:</t>
        </is>
      </c>
      <c r="F227" s="11" t="n"/>
      <c r="G227" s="11" t="n"/>
      <c r="H227" s="13">
        <f>IF(OR(COUNTBLANK($H$228:$H$228)&gt;0,COUNTIF($H$228:$H$228,"unbearbeitet")=COUNTA($H$228:$H$228)),"Bitte Teilanforderungen ausfüllen",IF(COUNTIF($H$228:$H$228,"zu klären")&gt;0,"zu klären",IF(COUNTIF($H$228:$H$228,"entbehrlich")=COUNTA($H$228:$H$228),"entbehrlich",IF(COUNTIF($H$228:$H$228,"verwiesen")=COUNTA($H$228:$H$228),"verwiesen",IF(COUNTIF($H$228:$H$228,"nein")+COUNTIF($H$228:$H$228,"entbehrlich")=COUNTA($H$228:$H$228),"nein",IF(COUNTIF($H$228:$H$228,"ja")+COUNTIF($H$228:$H$228,"entbehrlich")+COUNTIF($H$228:$H$228,"verwiesen")=COUNTA($H$228:$H$228),"ja","teilweise"))))))</f>
        <v/>
      </c>
      <c r="I227" s="11" t="n"/>
      <c r="J227" s="11" t="n"/>
      <c r="K227" s="11" t="n"/>
      <c r="L227" s="11" t="n"/>
      <c r="M227" s="11" t="inlineStr">
        <is>
          <t>Integrität, Authentizität</t>
        </is>
      </c>
      <c r="N227" s="12" t="inlineStr">
        <is>
          <t>APP.3.6.A4-UA.3</t>
        </is>
      </c>
      <c r="O227" s="11" t="inlineStr">
        <is>
          <t>equivalent-to</t>
        </is>
      </c>
      <c r="P227" s="12" t="inlineStr">
        <is>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is>
      </c>
      <c r="Q227" s="11" t="inlineStr">
        <is>
          <t>DNS-Server</t>
        </is>
      </c>
      <c r="R227" s="11" t="inlineStr">
        <is>
          <t>Konfigurationshistorie</t>
        </is>
      </c>
      <c r="S227" s="12" t="inlineStr">
        <is>
          <t>DNS-Antworten, die falsche Domain-Informationen liefern,</t>
        </is>
      </c>
      <c r="T227" s="12" t="inlineStr">
        <is>
          <t>G 0.43 – Einspielen von Nachrichten; G 0.22 – Manipulation von Informationen</t>
        </is>
      </c>
      <c r="U227" s="11" t="n">
        <v>3</v>
      </c>
      <c r="V227" s="11" t="n">
        <v>1</v>
      </c>
      <c r="W227" s="11" t="n">
        <v>2</v>
      </c>
      <c r="X227" s="11" t="n">
        <v>0</v>
      </c>
      <c r="Y227" s="11" t="n">
        <v>2</v>
      </c>
    </row>
    <row r="228">
      <c r="A228" s="11" t="inlineStr">
        <is>
          <t>KONF.12.14</t>
        </is>
      </c>
      <c r="B228" s="12" t="inlineStr">
        <is>
          <t>DNS-Falschinformationen</t>
        </is>
      </c>
      <c r="C228" s="11" t="inlineStr">
        <is>
          <t>KONF.12.14</t>
        </is>
      </c>
      <c r="D228" s="11" t="inlineStr">
        <is>
          <t>Standard-Anforderungen</t>
        </is>
      </c>
      <c r="E228" s="12" t="inlineStr">
        <is>
          <t>Konfiguration für DNS-Server SOLLTE DNS-Antworten, die falsche Domain-Informationen liefern, deaktivieren.</t>
        </is>
      </c>
      <c r="F228" s="14" t="n"/>
      <c r="G228" s="14" t="n"/>
      <c r="H228" s="14" t="inlineStr">
        <is>
          <t>unbearbeitet</t>
        </is>
      </c>
      <c r="I228" s="14" t="n"/>
      <c r="J228" s="14" t="n"/>
      <c r="K228" s="14" t="n"/>
      <c r="L228" s="15" t="n"/>
      <c r="M228" s="11" t="inlineStr">
        <is>
          <t>Integrität, Authentizität</t>
        </is>
      </c>
      <c r="N228" s="12" t="inlineStr">
        <is>
          <t>APP.3.6.A4-UA.3</t>
        </is>
      </c>
      <c r="O228" s="11" t="inlineStr">
        <is>
          <t>equivalent-to</t>
        </is>
      </c>
      <c r="P228" s="12" t="inlineStr">
        <is>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is>
      </c>
      <c r="Q228" s="11" t="inlineStr">
        <is>
          <t>DNS-Server</t>
        </is>
      </c>
      <c r="R228" s="11" t="inlineStr">
        <is>
          <t>Konfigurationshistorie</t>
        </is>
      </c>
      <c r="S228" s="12" t="inlineStr">
        <is>
          <t>DNS-Antworten, die falsche Domain-Informationen liefern,</t>
        </is>
      </c>
      <c r="T228" s="12" t="inlineStr">
        <is>
          <t>G 0.43 – Einspielen von Nachrichten; G 0.22 – Manipulation von Informationen</t>
        </is>
      </c>
      <c r="U228" s="11" t="n">
        <v>3</v>
      </c>
      <c r="V228" s="11" t="n">
        <v>1</v>
      </c>
      <c r="W228" s="11" t="n">
        <v>2</v>
      </c>
      <c r="X228" s="11" t="n">
        <v>0</v>
      </c>
      <c r="Y228" s="11" t="n">
        <v>2</v>
      </c>
    </row>
    <row r="229">
      <c r="A229" s="9" t="inlineStr">
        <is>
          <t>KONF.13.1</t>
        </is>
      </c>
      <c r="B229" s="10" t="inlineStr">
        <is>
          <t>Filtern schädlicher Nachrichten</t>
        </is>
      </c>
      <c r="C229" s="11" t="n"/>
      <c r="D229" s="11" t="inlineStr">
        <is>
          <t>Standard-Anforderungen</t>
        </is>
      </c>
      <c r="E229" s="12" t="inlineStr">
        <is>
          <t>Gesamt:</t>
        </is>
      </c>
      <c r="F229" s="11" t="n"/>
      <c r="G229" s="11" t="n"/>
      <c r="H229" s="13">
        <f>IF(OR(COUNTBLANK($H$230:$H$232)&gt;0,COUNTIF($H$230:$H$232,"unbearbeitet")=COUNTA($H$230:$H$232)),"Bitte Teilanforderungen ausfüllen",IF(COUNTIF($H$230:$H$232,"zu klären")&gt;0,"zu klären",IF(COUNTIF($H$230:$H$232,"entbehrlich")=COUNTA($H$230:$H$232),"entbehrlich",IF(COUNTIF($H$230:$H$232,"verwiesen")=COUNTA($H$230:$H$232),"verwiesen",IF(COUNTIF($H$230:$H$232,"nein")+COUNTIF($H$230:$H$232,"entbehrlich")=COUNTA($H$230:$H$232),"nein",IF(COUNTIF($H$230:$H$232,"ja")+COUNTIF($H$230:$H$232,"entbehrlich")+COUNTIF($H$230:$H$232,"verwiesen")=COUNTA($H$230:$H$232),"ja","teilweise"))))))</f>
        <v/>
      </c>
      <c r="I229" s="11" t="n"/>
      <c r="J229" s="11" t="n"/>
      <c r="K229" s="11" t="n"/>
      <c r="L229" s="11" t="n"/>
      <c r="M229" s="11" t="inlineStr">
        <is>
          <t>Vertraulichkeit, Integrität</t>
        </is>
      </c>
      <c r="N229" s="12" t="inlineStr"/>
      <c r="O229" s="11" t="inlineStr"/>
      <c r="P229" s="12" t="inlineStr">
        <is>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is>
      </c>
      <c r="Q229" s="11" t="inlineStr">
        <is>
          <t>Interpersonelle Kommunikation</t>
        </is>
      </c>
      <c r="R229" s="11" t="inlineStr">
        <is>
          <t>Konfigurationshistorie</t>
        </is>
      </c>
      <c r="S229" s="12" t="inlineStr">
        <is>
          <t>eine Filterung schädlicher Nachrichteninhalte</t>
        </is>
      </c>
      <c r="T229" s="12" t="inlineStr">
        <is>
          <t>G 0.39 – Schadprogramme; G 0.23 – Unbefugtes Eindringen in IT-Systeme</t>
        </is>
      </c>
      <c r="U229" s="11" t="n">
        <v>3</v>
      </c>
      <c r="V229" s="11" t="n">
        <v>2</v>
      </c>
      <c r="W229" s="11" t="n">
        <v>2</v>
      </c>
      <c r="X229" s="11" t="n">
        <v>1</v>
      </c>
      <c r="Y229" s="11" t="n">
        <v>0</v>
      </c>
    </row>
    <row r="230">
      <c r="A230" s="11" t="inlineStr">
        <is>
          <t>KONF.13.1</t>
        </is>
      </c>
      <c r="B230" s="12" t="inlineStr">
        <is>
          <t>Filtern schädlicher Nachrichten</t>
        </is>
      </c>
      <c r="C230" s="11" t="inlineStr">
        <is>
          <t>KONF.13.1</t>
        </is>
      </c>
      <c r="D230" s="11" t="inlineStr">
        <is>
          <t>Standard-Anforderungen</t>
        </is>
      </c>
      <c r="E230" s="12" t="inlineStr">
        <is>
          <t>Konfiguration für Interpersonelle Kommunikation SOLLTE eine Filterung schädlicher Nachrichteninhalte aktivieren.</t>
        </is>
      </c>
      <c r="F230" s="14" t="n"/>
      <c r="G230" s="14" t="n"/>
      <c r="H230" s="14" t="inlineStr">
        <is>
          <t>unbearbeitet</t>
        </is>
      </c>
      <c r="I230" s="14" t="n"/>
      <c r="J230" s="14" t="n"/>
      <c r="K230" s="14" t="n"/>
      <c r="L230" s="15" t="n"/>
      <c r="M230" s="11" t="inlineStr">
        <is>
          <t>Vertraulichkeit, Integrität</t>
        </is>
      </c>
      <c r="N230" s="12" t="inlineStr"/>
      <c r="O230" s="11" t="inlineStr"/>
      <c r="P230" s="12" t="inlineStr">
        <is>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is>
      </c>
      <c r="Q230" s="11" t="inlineStr">
        <is>
          <t>Interpersonelle Kommunikation</t>
        </is>
      </c>
      <c r="R230" s="11" t="inlineStr">
        <is>
          <t>Konfigurationshistorie</t>
        </is>
      </c>
      <c r="S230" s="12" t="inlineStr">
        <is>
          <t>eine Filterung schädlicher Nachrichteninhalte</t>
        </is>
      </c>
      <c r="T230" s="12" t="inlineStr">
        <is>
          <t>G 0.39 – Schadprogramme; G 0.23 – Unbefugtes Eindringen in IT-Systeme</t>
        </is>
      </c>
      <c r="U230" s="11" t="n">
        <v>3</v>
      </c>
      <c r="V230" s="11" t="n">
        <v>2</v>
      </c>
      <c r="W230" s="11" t="n">
        <v>2</v>
      </c>
      <c r="X230" s="11" t="n">
        <v>1</v>
      </c>
      <c r="Y230" s="11" t="n">
        <v>0</v>
      </c>
    </row>
    <row r="231">
      <c r="A231" s="11" t="inlineStr">
        <is>
          <t>KONF.13.1</t>
        </is>
      </c>
      <c r="B231" s="12" t="inlineStr">
        <is>
          <t>Filtern schädlicher Nachrichten</t>
        </is>
      </c>
      <c r="C231" s="11" t="inlineStr">
        <is>
          <t>KONF.13.1.1</t>
        </is>
      </c>
      <c r="D231" s="11" t="inlineStr">
        <is>
          <t>Standard-Anforderungen</t>
        </is>
      </c>
      <c r="E231" s="12" t="inlineStr">
        <is>
          <t>Konfiguration für Interpersonelle Kommunikation SOLLTE die Zustellung unerwünschter Nachrichten blockieren.</t>
        </is>
      </c>
      <c r="F231" s="14" t="n"/>
      <c r="G231" s="14" t="n"/>
      <c r="H231" s="14" t="inlineStr">
        <is>
          <t>unbearbeitet</t>
        </is>
      </c>
      <c r="I231" s="14" t="n"/>
      <c r="J231" s="14" t="n"/>
      <c r="K231" s="14" t="n"/>
      <c r="L231" s="15" t="n"/>
      <c r="M231" s="11" t="inlineStr">
        <is>
          <t>Vertraulichkeit, Integrität</t>
        </is>
      </c>
      <c r="N231" s="12" t="inlineStr"/>
      <c r="O231" s="11" t="inlineStr"/>
      <c r="P231" s="12" t="inlineStr">
        <is>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is>
      </c>
      <c r="Q231" s="11" t="inlineStr">
        <is>
          <t>Interpersonelle Kommunikation</t>
        </is>
      </c>
      <c r="R231" s="11" t="inlineStr">
        <is>
          <t>Konfigurationshistorie</t>
        </is>
      </c>
      <c r="S231" s="12" t="inlineStr">
        <is>
          <t>die Zustellung unerwünschter Nachrichten</t>
        </is>
      </c>
      <c r="T231" s="12" t="inlineStr">
        <is>
          <t>G 0.39 – Schadprogramme; G 0.42 – Social Engineering</t>
        </is>
      </c>
      <c r="U231" s="11" t="n">
        <v>3</v>
      </c>
      <c r="V231" s="11" t="n">
        <v>2</v>
      </c>
      <c r="W231" s="11" t="n">
        <v>2</v>
      </c>
      <c r="X231" s="11" t="n">
        <v>1</v>
      </c>
      <c r="Y231" s="11" t="n">
        <v>0</v>
      </c>
    </row>
    <row r="232">
      <c r="A232" s="11" t="inlineStr">
        <is>
          <t>KONF.13.1</t>
        </is>
      </c>
      <c r="B232" s="12" t="inlineStr">
        <is>
          <t>Filtern schädlicher Nachrichten</t>
        </is>
      </c>
      <c r="C232" s="11" t="inlineStr">
        <is>
          <t>KONF.13.1.2</t>
        </is>
      </c>
      <c r="D232" s="11" t="inlineStr">
        <is>
          <t>Standard-Anforderungen</t>
        </is>
      </c>
      <c r="E232" s="12" t="inlineStr">
        <is>
          <t>Konfiguration für Interpersonelle Kommunikation SOLLTE die automatische Interpretation aktiver Inhalte deaktivieren.</t>
        </is>
      </c>
      <c r="F232" s="14" t="n"/>
      <c r="G232" s="14" t="n"/>
      <c r="H232" s="14" t="inlineStr">
        <is>
          <t>unbearbeitet</t>
        </is>
      </c>
      <c r="I232" s="14" t="n"/>
      <c r="J232" s="14" t="n"/>
      <c r="K232" s="14" t="n"/>
      <c r="L232" s="15" t="n"/>
      <c r="M232" s="11" t="inlineStr">
        <is>
          <t>Vertraulichkeit, Integrität</t>
        </is>
      </c>
      <c r="N232" s="12" t="inlineStr">
        <is>
          <t>APP.1.1.A2-UA.1; APP.5.3.A1-UA.8</t>
        </is>
      </c>
      <c r="O232" s="11" t="inlineStr">
        <is>
          <t>intersects-with; subset-of</t>
        </is>
      </c>
      <c r="P232" s="12" t="inlineStr">
        <is>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is>
      </c>
      <c r="Q232" s="11" t="inlineStr">
        <is>
          <t>Interpersonelle Kommunikation</t>
        </is>
      </c>
      <c r="R232" s="11" t="inlineStr">
        <is>
          <t>Konfigurationshistorie</t>
        </is>
      </c>
      <c r="S232" s="12" t="inlineStr">
        <is>
          <t>die automatische Interpretation aktiver Inhalte</t>
        </is>
      </c>
      <c r="T232" s="12" t="inlineStr">
        <is>
          <t>G 0.39 – Schadprogramme; G 0.23 – Unbefugtes Eindringen in IT-Systeme</t>
        </is>
      </c>
      <c r="U232" s="11" t="n">
        <v>4</v>
      </c>
      <c r="V232" s="11" t="n">
        <v>2</v>
      </c>
      <c r="W232" s="11" t="n">
        <v>2</v>
      </c>
      <c r="X232" s="11" t="n">
        <v>1</v>
      </c>
      <c r="Y232" s="11" t="n">
        <v>0</v>
      </c>
    </row>
    <row r="233">
      <c r="A233" s="9" t="inlineStr">
        <is>
          <t>KONF.13.2</t>
        </is>
      </c>
      <c r="B233" s="10" t="inlineStr">
        <is>
          <t>Authentizität von Nachrichten</t>
        </is>
      </c>
      <c r="C233" s="11" t="n"/>
      <c r="D233" s="11" t="inlineStr">
        <is>
          <t>Standard-Anforderungen</t>
        </is>
      </c>
      <c r="E233" s="12" t="inlineStr">
        <is>
          <t>Gesamt:</t>
        </is>
      </c>
      <c r="F233" s="11" t="n"/>
      <c r="G233" s="11" t="n"/>
      <c r="H233" s="13">
        <f>IF(OR(COUNTBLANK($H$234:$H$236)&gt;0,COUNTIF($H$234:$H$236,"unbearbeitet")=COUNTA($H$234:$H$236)),"Bitte Teilanforderungen ausfüllen",IF(COUNTIF($H$234:$H$236,"zu klären")&gt;0,"zu klären",IF(COUNTIF($H$234:$H$236,"entbehrlich")=COUNTA($H$234:$H$236),"entbehrlich",IF(COUNTIF($H$234:$H$236,"verwiesen")=COUNTA($H$234:$H$236),"verwiesen",IF(COUNTIF($H$234:$H$236,"nein")+COUNTIF($H$234:$H$236,"entbehrlich")=COUNTA($H$234:$H$236),"nein",IF(COUNTIF($H$234:$H$236,"ja")+COUNTIF($H$234:$H$236,"entbehrlich")+COUNTIF($H$234:$H$236,"verwiesen")=COUNTA($H$234:$H$236),"ja","teilweise"))))))</f>
        <v/>
      </c>
      <c r="I233" s="11" t="n"/>
      <c r="J233" s="11" t="n"/>
      <c r="K233" s="11" t="n"/>
      <c r="L233" s="11" t="n"/>
      <c r="M233" s="11" t="inlineStr">
        <is>
          <t>Integrität</t>
        </is>
      </c>
      <c r="N233" s="12" t="inlineStr"/>
      <c r="O233" s="11" t="inlineStr"/>
      <c r="P233" s="12" t="inlineStr">
        <is>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is>
      </c>
      <c r="Q233" s="11" t="inlineStr">
        <is>
          <t>Interpersonelle Kommunikation</t>
        </is>
      </c>
      <c r="R233" s="11" t="inlineStr">
        <is>
          <t>Konfigurationshistorie</t>
        </is>
      </c>
      <c r="S233" s="12" t="inlineStr">
        <is>
          <t>eine automatische Verifikation der Authentizität von Nachrichten</t>
        </is>
      </c>
      <c r="T233" s="12" t="inlineStr">
        <is>
          <t>G 0.36 – Identitätsdiebstahl; G 0.22 – Manipulation von Informationen</t>
        </is>
      </c>
      <c r="U233" s="11" t="n">
        <v>2</v>
      </c>
      <c r="V233" s="11" t="n">
        <v>1</v>
      </c>
      <c r="W233" s="11" t="n">
        <v>2</v>
      </c>
      <c r="X233" s="11" t="n">
        <v>1</v>
      </c>
      <c r="Y233" s="11" t="n">
        <v>1</v>
      </c>
    </row>
    <row r="234">
      <c r="A234" s="11" t="inlineStr">
        <is>
          <t>KONF.13.2</t>
        </is>
      </c>
      <c r="B234" s="12" t="inlineStr">
        <is>
          <t>Authentizität von Nachrichten</t>
        </is>
      </c>
      <c r="C234" s="11" t="inlineStr">
        <is>
          <t>KONF.13.2</t>
        </is>
      </c>
      <c r="D234" s="11" t="inlineStr">
        <is>
          <t>Standard-Anforderungen</t>
        </is>
      </c>
      <c r="E234" s="12" t="inlineStr">
        <is>
          <t>Konfiguration für Interpersonelle Kommunikation SOLLTE eine automatische Verifikation der Authentizität von Nachrichten aktivieren.</t>
        </is>
      </c>
      <c r="F234" s="14" t="n"/>
      <c r="G234" s="14" t="n"/>
      <c r="H234" s="14" t="inlineStr">
        <is>
          <t>unbearbeitet</t>
        </is>
      </c>
      <c r="I234" s="14" t="n"/>
      <c r="J234" s="14" t="n"/>
      <c r="K234" s="14" t="n"/>
      <c r="L234" s="15" t="n"/>
      <c r="M234" s="11" t="inlineStr">
        <is>
          <t>Integrität</t>
        </is>
      </c>
      <c r="N234" s="12" t="inlineStr"/>
      <c r="O234" s="11" t="inlineStr"/>
      <c r="P234" s="12" t="inlineStr">
        <is>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is>
      </c>
      <c r="Q234" s="11" t="inlineStr">
        <is>
          <t>Interpersonelle Kommunikation</t>
        </is>
      </c>
      <c r="R234" s="11" t="inlineStr">
        <is>
          <t>Konfigurationshistorie</t>
        </is>
      </c>
      <c r="S234" s="12" t="inlineStr">
        <is>
          <t>eine automatische Verifikation der Authentizität von Nachrichten</t>
        </is>
      </c>
      <c r="T234" s="12" t="inlineStr">
        <is>
          <t>G 0.36 – Identitätsdiebstahl; G 0.22 – Manipulation von Informationen</t>
        </is>
      </c>
      <c r="U234" s="11" t="n">
        <v>2</v>
      </c>
      <c r="V234" s="11" t="n">
        <v>1</v>
      </c>
      <c r="W234" s="11" t="n">
        <v>2</v>
      </c>
      <c r="X234" s="11" t="n">
        <v>1</v>
      </c>
      <c r="Y234" s="11" t="n">
        <v>1</v>
      </c>
    </row>
    <row r="235">
      <c r="A235" s="11" t="inlineStr">
        <is>
          <t>KONF.13.2</t>
        </is>
      </c>
      <c r="B235" s="12" t="inlineStr">
        <is>
          <t>Authentizität von Nachrichten</t>
        </is>
      </c>
      <c r="C235" s="11" t="inlineStr">
        <is>
          <t>KONF.13.2.1</t>
        </is>
      </c>
      <c r="D235" s="11" t="inlineStr">
        <is>
          <t>Standard-Anforderungen</t>
        </is>
      </c>
      <c r="E235" s="12" t="inlineStr">
        <is>
          <t>Konfiguration für E-Mail SOLLTE eine automatische Verifikation der Sendeberechtigung aktivieren.</t>
        </is>
      </c>
      <c r="F235" s="14" t="n"/>
      <c r="G235" s="14" t="n"/>
      <c r="H235" s="14" t="inlineStr">
        <is>
          <t>unbearbeitet</t>
        </is>
      </c>
      <c r="I235" s="14" t="n"/>
      <c r="J235" s="14" t="n"/>
      <c r="K235" s="14" t="n"/>
      <c r="L235" s="15" t="n"/>
      <c r="M235" s="11" t="inlineStr">
        <is>
          <t>Vertraulichkeit, Integrität</t>
        </is>
      </c>
      <c r="N235" s="12" t="inlineStr"/>
      <c r="O235" s="11" t="inlineStr"/>
      <c r="P235" s="12" t="inlineStr">
        <is>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is>
      </c>
      <c r="Q235" s="11" t="inlineStr">
        <is>
          <t>E-Mail</t>
        </is>
      </c>
      <c r="R235" s="11" t="inlineStr">
        <is>
          <t>Konfigurationshistorie</t>
        </is>
      </c>
      <c r="S235" s="12" t="inlineStr">
        <is>
          <t>eine automatische Verifikation der Sendeberechtigung</t>
        </is>
      </c>
      <c r="T235" s="12" t="inlineStr">
        <is>
          <t>G 0.43 – Einspielen von Nachrichten; G 0.36 – Identitätsdiebstahl</t>
        </is>
      </c>
      <c r="U235" s="11" t="n">
        <v>2</v>
      </c>
      <c r="V235" s="11" t="n">
        <v>2</v>
      </c>
      <c r="W235" s="11" t="n">
        <v>2</v>
      </c>
      <c r="X235" s="11" t="n">
        <v>1</v>
      </c>
      <c r="Y235" s="11" t="n">
        <v>1</v>
      </c>
    </row>
    <row r="236">
      <c r="A236" s="11" t="inlineStr">
        <is>
          <t>KONF.13.2</t>
        </is>
      </c>
      <c r="B236" s="12" t="inlineStr">
        <is>
          <t>Authentizität von Nachrichten</t>
        </is>
      </c>
      <c r="C236" s="11" t="inlineStr">
        <is>
          <t>KONF.13.2.2</t>
        </is>
      </c>
      <c r="D236" s="11" t="inlineStr">
        <is>
          <t>Standard-Anforderungen</t>
        </is>
      </c>
      <c r="E236" s="12" t="inlineStr">
        <is>
          <t>Konfiguration für E-Mail SOLLTE die Serversignatur eingehender E-Mails automatisch authentifizieren.</t>
        </is>
      </c>
      <c r="F236" s="14" t="n"/>
      <c r="G236" s="14" t="n"/>
      <c r="H236" s="14" t="inlineStr">
        <is>
          <t>unbearbeitet</t>
        </is>
      </c>
      <c r="I236" s="14" t="n"/>
      <c r="J236" s="14" t="n"/>
      <c r="K236" s="14" t="n"/>
      <c r="L236" s="15" t="n"/>
      <c r="M236" s="11" t="inlineStr">
        <is>
          <t>Integrität</t>
        </is>
      </c>
      <c r="N236" s="12" t="inlineStr"/>
      <c r="O236" s="11" t="inlineStr"/>
      <c r="P236" s="12" t="inlineStr">
        <is>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236" s="11" t="inlineStr">
        <is>
          <t>E-Mail</t>
        </is>
      </c>
      <c r="R236" s="11" t="inlineStr">
        <is>
          <t>Konfigurationshistorie</t>
        </is>
      </c>
      <c r="S236" s="12" t="inlineStr">
        <is>
          <t>die Serversignatur eingehender E-Mails</t>
        </is>
      </c>
      <c r="T236" s="12" t="inlineStr">
        <is>
          <t>G 0.36 – Identitätsdiebstahl; G 0.46 – Integritätsverlust schützenswerter Informationen</t>
        </is>
      </c>
      <c r="U236" s="11" t="n">
        <v>2</v>
      </c>
      <c r="V236" s="11" t="n">
        <v>1</v>
      </c>
      <c r="W236" s="11" t="n">
        <v>2</v>
      </c>
      <c r="X236" s="11" t="n">
        <v>1</v>
      </c>
      <c r="Y236" s="11" t="n">
        <v>0</v>
      </c>
    </row>
    <row r="237">
      <c r="A237" s="9" t="inlineStr">
        <is>
          <t>KONF.13.3</t>
        </is>
      </c>
      <c r="B237" s="10" t="inlineStr">
        <is>
          <t>Kryptographische Signatur des Mailservers</t>
        </is>
      </c>
      <c r="C237" s="11" t="n"/>
      <c r="D237" s="11" t="inlineStr">
        <is>
          <t>Standard-Anforderungen</t>
        </is>
      </c>
      <c r="E237" s="12" t="inlineStr">
        <is>
          <t>Gesamt:</t>
        </is>
      </c>
      <c r="F237" s="11" t="n"/>
      <c r="G237" s="11" t="n"/>
      <c r="H237" s="13">
        <f>IF(OR(COUNTBLANK($H$238:$H$238)&gt;0,COUNTIF($H$238:$H$238,"unbearbeitet")=COUNTA($H$238:$H$238)),"Bitte Teilanforderungen ausfüllen",IF(COUNTIF($H$238:$H$238,"zu klären")&gt;0,"zu klären",IF(COUNTIF($H$238:$H$238,"entbehrlich")=COUNTA($H$238:$H$238),"entbehrlich",IF(COUNTIF($H$238:$H$238,"verwiesen")=COUNTA($H$238:$H$238),"verwiesen",IF(COUNTIF($H$238:$H$238,"nein")+COUNTIF($H$238:$H$238,"entbehrlich")=COUNTA($H$238:$H$238),"nein",IF(COUNTIF($H$238:$H$238,"ja")+COUNTIF($H$238:$H$238,"entbehrlich")+COUNTIF($H$238:$H$238,"verwiesen")=COUNTA($H$238:$H$238),"ja","teilweise"))))))</f>
        <v/>
      </c>
      <c r="I237" s="11" t="n"/>
      <c r="J237" s="11" t="n"/>
      <c r="K237" s="11" t="n"/>
      <c r="L237" s="11" t="n"/>
      <c r="M237" s="11" t="inlineStr">
        <is>
          <t>Integrität</t>
        </is>
      </c>
      <c r="N237" s="12" t="inlineStr"/>
      <c r="O237" s="11" t="inlineStr"/>
      <c r="P237" s="12" t="inlineStr">
        <is>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is>
      </c>
      <c r="Q237" s="11" t="inlineStr">
        <is>
          <t>E-Mail</t>
        </is>
      </c>
      <c r="R237" s="11" t="inlineStr">
        <is>
          <t>Konfigurationshistorie</t>
        </is>
      </c>
      <c r="S237" s="12" t="inlineStr">
        <is>
          <t>die Kryptographische Signatur des Mailservers</t>
        </is>
      </c>
      <c r="T237" s="12" t="inlineStr">
        <is>
          <t>G 0.36 – Identitätsdiebstahl; G 0.46 – Integritätsverlust schützenswerter Informationen</t>
        </is>
      </c>
      <c r="U237" s="11" t="n">
        <v>4</v>
      </c>
      <c r="V237" s="11" t="n">
        <v>1</v>
      </c>
      <c r="W237" s="11" t="n">
        <v>2</v>
      </c>
      <c r="X237" s="11" t="n">
        <v>1</v>
      </c>
      <c r="Y237" s="11" t="n">
        <v>0</v>
      </c>
    </row>
    <row r="238">
      <c r="A238" s="11" t="inlineStr">
        <is>
          <t>KONF.13.3</t>
        </is>
      </c>
      <c r="B238" s="12" t="inlineStr">
        <is>
          <t>Kryptographische Signatur des Mailservers</t>
        </is>
      </c>
      <c r="C238" s="11" t="inlineStr">
        <is>
          <t>KONF.13.3</t>
        </is>
      </c>
      <c r="D238" s="11" t="inlineStr">
        <is>
          <t>Standard-Anforderungen</t>
        </is>
      </c>
      <c r="E238" s="12" t="inlineStr">
        <is>
          <t>Konfiguration für E-Mail SOLLTE die Kryptographische Signatur des Mailservers aktivieren.</t>
        </is>
      </c>
      <c r="F238" s="14" t="n"/>
      <c r="G238" s="14" t="n"/>
      <c r="H238" s="14" t="inlineStr">
        <is>
          <t>unbearbeitet</t>
        </is>
      </c>
      <c r="I238" s="14" t="n"/>
      <c r="J238" s="14" t="n"/>
      <c r="K238" s="14" t="n"/>
      <c r="L238" s="15" t="n"/>
      <c r="M238" s="11" t="inlineStr">
        <is>
          <t>Integrität</t>
        </is>
      </c>
      <c r="N238" s="12" t="inlineStr"/>
      <c r="O238" s="11" t="inlineStr"/>
      <c r="P238" s="12" t="inlineStr">
        <is>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is>
      </c>
      <c r="Q238" s="11" t="inlineStr">
        <is>
          <t>E-Mail</t>
        </is>
      </c>
      <c r="R238" s="11" t="inlineStr">
        <is>
          <t>Konfigurationshistorie</t>
        </is>
      </c>
      <c r="S238" s="12" t="inlineStr">
        <is>
          <t>die Kryptographische Signatur des Mailservers</t>
        </is>
      </c>
      <c r="T238" s="12" t="inlineStr">
        <is>
          <t>G 0.36 – Identitätsdiebstahl; G 0.46 – Integritätsverlust schützenswerter Informationen</t>
        </is>
      </c>
      <c r="U238" s="11" t="n">
        <v>4</v>
      </c>
      <c r="V238" s="11" t="n">
        <v>1</v>
      </c>
      <c r="W238" s="11" t="n">
        <v>2</v>
      </c>
      <c r="X238" s="11" t="n">
        <v>1</v>
      </c>
      <c r="Y238" s="11" t="n">
        <v>0</v>
      </c>
    </row>
    <row r="239">
      <c r="A239" s="9" t="inlineStr">
        <is>
          <t>KONF.13.4</t>
        </is>
      </c>
      <c r="B239" s="10" t="inlineStr">
        <is>
          <t>Kryptographische Signatur durch Nutzende</t>
        </is>
      </c>
      <c r="C239" s="11" t="n"/>
      <c r="D239" s="11" t="inlineStr">
        <is>
          <t>Anforderungen bei erhöhtem Schutzbedarf</t>
        </is>
      </c>
      <c r="E239" s="12" t="inlineStr">
        <is>
          <t>Gesamt:</t>
        </is>
      </c>
      <c r="F239" s="11" t="n"/>
      <c r="G239" s="11" t="n"/>
      <c r="H239" s="13">
        <f>IF(OR(COUNTBLANK($H$240:$H$240)&gt;0,COUNTIF($H$240:$H$240,"unbearbeitet")=COUNTA($H$240:$H$240)),"Bitte Teilanforderungen ausfüllen",IF(COUNTIF($H$240:$H$240,"zu klären")&gt;0,"zu klären",IF(COUNTIF($H$240:$H$240,"entbehrlich")=COUNTA($H$240:$H$240),"entbehrlich",IF(COUNTIF($H$240:$H$240,"verwiesen")=COUNTA($H$240:$H$240),"verwiesen",IF(COUNTIF($H$240:$H$240,"nein")+COUNTIF($H$240:$H$240,"entbehrlich")=COUNTA($H$240:$H$240),"nein",IF(COUNTIF($H$240:$H$240,"ja")+COUNTIF($H$240:$H$240,"entbehrlich")+COUNTIF($H$240:$H$240,"verwiesen")=COUNTA($H$240:$H$240),"ja","teilweise"))))))</f>
        <v/>
      </c>
      <c r="I239" s="11" t="n"/>
      <c r="J239" s="11" t="n"/>
      <c r="K239" s="11" t="n"/>
      <c r="L239" s="11" t="n"/>
      <c r="M239" s="11" t="inlineStr">
        <is>
          <t>Vertraulichkeit, Integrität</t>
        </is>
      </c>
      <c r="N239" s="12" t="inlineStr"/>
      <c r="O239" s="11" t="inlineStr"/>
      <c r="P239" s="12" t="inlineStr">
        <is>
          <t>Wird eine vom E-Mail vom Sendenden signiert, so können bei Empfang die Authentizität und Integrität der Nachricht verifiziert werden. Dies kann mit S/MIME oder PGP umgesetzt werden.</t>
        </is>
      </c>
      <c r="Q239" s="11" t="inlineStr">
        <is>
          <t>E-Mail</t>
        </is>
      </c>
      <c r="R239" s="11" t="inlineStr">
        <is>
          <t>Konfigurationshistorie</t>
        </is>
      </c>
      <c r="S239" s="12" t="inlineStr">
        <is>
          <t>die kryptographische Signatur durch Nutzende</t>
        </is>
      </c>
      <c r="T239" s="12" t="inlineStr">
        <is>
          <t>G 0.36 – Identitätsdiebstahl; G 0.37 – Abstreiten von Handlungen</t>
        </is>
      </c>
      <c r="U239" s="11" t="n">
        <v>5</v>
      </c>
      <c r="V239" s="11" t="n">
        <v>2</v>
      </c>
      <c r="W239" s="11" t="n">
        <v>2</v>
      </c>
      <c r="X239" s="11" t="n">
        <v>1</v>
      </c>
      <c r="Y239" s="11" t="n">
        <v>1</v>
      </c>
    </row>
    <row r="240">
      <c r="A240" s="11" t="inlineStr">
        <is>
          <t>KONF.13.4</t>
        </is>
      </c>
      <c r="B240" s="12" t="inlineStr">
        <is>
          <t>Kryptographische Signatur durch Nutzende</t>
        </is>
      </c>
      <c r="C240" s="11" t="inlineStr">
        <is>
          <t>KONF.13.4</t>
        </is>
      </c>
      <c r="D240" s="11" t="inlineStr">
        <is>
          <t>Anforderungen bei erhöhtem Schutzbedarf</t>
        </is>
      </c>
      <c r="E240" s="12" t="inlineStr">
        <is>
          <t>Konfiguration für E-Mail KANN die kryptographische Signatur durch Nutzende aktivieren.</t>
        </is>
      </c>
      <c r="F240" s="14" t="n"/>
      <c r="G240" s="14" t="n"/>
      <c r="H240" s="14" t="inlineStr">
        <is>
          <t>unbearbeitet</t>
        </is>
      </c>
      <c r="I240" s="14" t="n"/>
      <c r="J240" s="14" t="n"/>
      <c r="K240" s="14" t="n"/>
      <c r="L240" s="15" t="n"/>
      <c r="M240" s="11" t="inlineStr">
        <is>
          <t>Vertraulichkeit, Integrität</t>
        </is>
      </c>
      <c r="N240" s="12" t="inlineStr"/>
      <c r="O240" s="11" t="inlineStr"/>
      <c r="P240" s="12" t="inlineStr">
        <is>
          <t>Wird eine vom E-Mail vom Sendenden signiert, so können bei Empfang die Authentizität und Integrität der Nachricht verifiziert werden. Dies kann mit S/MIME oder PGP umgesetzt werden.</t>
        </is>
      </c>
      <c r="Q240" s="11" t="inlineStr">
        <is>
          <t>E-Mail</t>
        </is>
      </c>
      <c r="R240" s="11" t="inlineStr">
        <is>
          <t>Konfigurationshistorie</t>
        </is>
      </c>
      <c r="S240" s="12" t="inlineStr">
        <is>
          <t>die kryptographische Signatur durch Nutzende</t>
        </is>
      </c>
      <c r="T240" s="12" t="inlineStr">
        <is>
          <t>G 0.36 – Identitätsdiebstahl; G 0.37 – Abstreiten von Handlungen</t>
        </is>
      </c>
      <c r="U240" s="11" t="n">
        <v>5</v>
      </c>
      <c r="V240" s="11" t="n">
        <v>2</v>
      </c>
      <c r="W240" s="11" t="n">
        <v>2</v>
      </c>
      <c r="X240" s="11" t="n">
        <v>1</v>
      </c>
      <c r="Y240" s="11" t="n">
        <v>1</v>
      </c>
    </row>
    <row r="241">
      <c r="A241" s="9" t="inlineStr">
        <is>
          <t>KONF.13.5</t>
        </is>
      </c>
      <c r="B241" s="10" t="inlineStr">
        <is>
          <t>Publikation der Sendeberechtigung</t>
        </is>
      </c>
      <c r="C241" s="11" t="n"/>
      <c r="D241" s="11" t="inlineStr">
        <is>
          <t>Standard-Anforderungen</t>
        </is>
      </c>
      <c r="E241" s="12" t="inlineStr">
        <is>
          <t>Gesamt:</t>
        </is>
      </c>
      <c r="F241" s="11" t="n"/>
      <c r="G241" s="11" t="n"/>
      <c r="H241" s="13">
        <f>IF(OR(COUNTBLANK($H$242:$H$243)&gt;0,COUNTIF($H$242:$H$243,"unbearbeitet")=COUNTA($H$242:$H$243)),"Bitte Teilanforderungen ausfüllen",IF(COUNTIF($H$242:$H$243,"zu klären")&gt;0,"zu klären",IF(COUNTIF($H$242:$H$243,"entbehrlich")=COUNTA($H$242:$H$243),"entbehrlich",IF(COUNTIF($H$242:$H$243,"verwiesen")=COUNTA($H$242:$H$243),"verwiesen",IF(COUNTIF($H$242:$H$243,"nein")+COUNTIF($H$242:$H$243,"entbehrlich")=COUNTA($H$242:$H$243),"nein",IF(COUNTIF($H$242:$H$243,"ja")+COUNTIF($H$242:$H$243,"entbehrlich")+COUNTIF($H$242:$H$243,"verwiesen")=COUNTA($H$242:$H$243),"ja","teilweise"))))))</f>
        <v/>
      </c>
      <c r="I241" s="11" t="n"/>
      <c r="J241" s="11" t="n"/>
      <c r="K241" s="11" t="n"/>
      <c r="L241" s="11" t="n"/>
      <c r="M241" s="11" t="inlineStr">
        <is>
          <t>Vertraulichkeit, Integrität</t>
        </is>
      </c>
      <c r="N241" s="12" t="inlineStr"/>
      <c r="O241" s="11" t="inlineStr"/>
      <c r="P241" s="12" t="inlineStr">
        <is>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is>
      </c>
      <c r="Q241" s="11" t="inlineStr">
        <is>
          <t>E-Mail</t>
        </is>
      </c>
      <c r="R241" s="11" t="inlineStr">
        <is>
          <t>Konfigurationshistorie</t>
        </is>
      </c>
      <c r="S241" s="12" t="inlineStr">
        <is>
          <t>die Publikation der eigenen Sendeberechtigung im DNS</t>
        </is>
      </c>
      <c r="T241" s="12" t="inlineStr">
        <is>
          <t>G 0.36 – Identitätsdiebstahl; G 0.43 – Einspielen von Nachrichten</t>
        </is>
      </c>
      <c r="U241" s="11" t="n">
        <v>3</v>
      </c>
      <c r="V241" s="11" t="n">
        <v>2</v>
      </c>
      <c r="W241" s="11" t="n">
        <v>2</v>
      </c>
      <c r="X241" s="11" t="n">
        <v>1</v>
      </c>
      <c r="Y241" s="11" t="n">
        <v>1</v>
      </c>
    </row>
    <row r="242">
      <c r="A242" s="11" t="inlineStr">
        <is>
          <t>KONF.13.5</t>
        </is>
      </c>
      <c r="B242" s="12" t="inlineStr">
        <is>
          <t>Publikation der Sendeberechtigung</t>
        </is>
      </c>
      <c r="C242" s="11" t="inlineStr">
        <is>
          <t>KONF.13.5</t>
        </is>
      </c>
      <c r="D242" s="11" t="inlineStr">
        <is>
          <t>Standard-Anforderungen</t>
        </is>
      </c>
      <c r="E242" s="12" t="inlineStr">
        <is>
          <t>Konfiguration für E-Mail SOLLTE die Publikation der eigenen Sendeberechtigung im DNS aktivieren.</t>
        </is>
      </c>
      <c r="F242" s="14" t="n"/>
      <c r="G242" s="14" t="n"/>
      <c r="H242" s="14" t="inlineStr">
        <is>
          <t>unbearbeitet</t>
        </is>
      </c>
      <c r="I242" s="14" t="n"/>
      <c r="J242" s="14" t="n"/>
      <c r="K242" s="14" t="n"/>
      <c r="L242" s="15" t="n"/>
      <c r="M242" s="11" t="inlineStr">
        <is>
          <t>Vertraulichkeit, Integrität</t>
        </is>
      </c>
      <c r="N242" s="12" t="inlineStr"/>
      <c r="O242" s="11" t="inlineStr"/>
      <c r="P242" s="12" t="inlineStr">
        <is>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is>
      </c>
      <c r="Q242" s="11" t="inlineStr">
        <is>
          <t>E-Mail</t>
        </is>
      </c>
      <c r="R242" s="11" t="inlineStr">
        <is>
          <t>Konfigurationshistorie</t>
        </is>
      </c>
      <c r="S242" s="12" t="inlineStr">
        <is>
          <t>die Publikation der eigenen Sendeberechtigung im DNS</t>
        </is>
      </c>
      <c r="T242" s="12" t="inlineStr">
        <is>
          <t>G 0.36 – Identitätsdiebstahl; G 0.43 – Einspielen von Nachrichten</t>
        </is>
      </c>
      <c r="U242" s="11" t="n">
        <v>3</v>
      </c>
      <c r="V242" s="11" t="n">
        <v>2</v>
      </c>
      <c r="W242" s="11" t="n">
        <v>2</v>
      </c>
      <c r="X242" s="11" t="n">
        <v>1</v>
      </c>
      <c r="Y242" s="11" t="n">
        <v>1</v>
      </c>
    </row>
    <row r="243">
      <c r="A243" s="11" t="inlineStr">
        <is>
          <t>KONF.13.5</t>
        </is>
      </c>
      <c r="B243" s="12" t="inlineStr">
        <is>
          <t>Publikation der Sendeberechtigung</t>
        </is>
      </c>
      <c r="C243" s="11" t="inlineStr">
        <is>
          <t>KONF.13.5.1</t>
        </is>
      </c>
      <c r="D243" s="11" t="inlineStr">
        <is>
          <t>Standard-Anforderungen</t>
        </is>
      </c>
      <c r="E243" s="12" t="inlineStr">
        <is>
          <t>Konfiguration für E-Mail SOLLTE eine strenge Senderpolicy aktivieren.</t>
        </is>
      </c>
      <c r="F243" s="14" t="n"/>
      <c r="G243" s="14" t="n"/>
      <c r="H243" s="14" t="inlineStr">
        <is>
          <t>unbearbeitet</t>
        </is>
      </c>
      <c r="I243" s="14" t="n"/>
      <c r="J243" s="14" t="n"/>
      <c r="K243" s="14" t="n"/>
      <c r="L243" s="15" t="n"/>
      <c r="M243" s="11" t="inlineStr">
        <is>
          <t>Vertraulichkeit, Integrität</t>
        </is>
      </c>
      <c r="N243" s="12" t="inlineStr">
        <is>
          <t>APP.5.3.A9-UA.4</t>
        </is>
      </c>
      <c r="O243" s="11" t="inlineStr">
        <is>
          <t>subset-of</t>
        </is>
      </c>
      <c r="P243" s="12" t="inlineStr">
        <is>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is>
      </c>
      <c r="Q243" s="11" t="inlineStr">
        <is>
          <t>E-Mail</t>
        </is>
      </c>
      <c r="R243" s="11" t="inlineStr">
        <is>
          <t>Konfigurationshistorie</t>
        </is>
      </c>
      <c r="S243" s="12" t="inlineStr">
        <is>
          <t>eine strenge Senderpolicy</t>
        </is>
      </c>
      <c r="T243" s="12" t="inlineStr">
        <is>
          <t>G 0.36 – Identitätsdiebstahl; G 0.42 – Social Engineering</t>
        </is>
      </c>
      <c r="U243" s="11" t="n">
        <v>4</v>
      </c>
      <c r="V243" s="11" t="n">
        <v>2</v>
      </c>
      <c r="W243" s="11" t="n">
        <v>2</v>
      </c>
      <c r="X243" s="11" t="n">
        <v>1</v>
      </c>
      <c r="Y243" s="11" t="n">
        <v>0</v>
      </c>
    </row>
    <row r="244">
      <c r="A244" s="9" t="inlineStr">
        <is>
          <t>KONF.13.6</t>
        </is>
      </c>
      <c r="B244" s="10" t="inlineStr">
        <is>
          <t>Publikation der Serversignatur</t>
        </is>
      </c>
      <c r="C244" s="11" t="n"/>
      <c r="D244" s="11" t="inlineStr">
        <is>
          <t>Standard-Anforderungen</t>
        </is>
      </c>
      <c r="E244" s="12" t="inlineStr">
        <is>
          <t>Gesamt:</t>
        </is>
      </c>
      <c r="F244" s="11" t="n"/>
      <c r="G244" s="11" t="n"/>
      <c r="H244" s="13">
        <f>IF(OR(COUNTBLANK($H$245:$H$245)&gt;0,COUNTIF($H$245:$H$245,"unbearbeitet")=COUNTA($H$245:$H$245)),"Bitte Teilanforderungen ausfüllen",IF(COUNTIF($H$245:$H$245,"zu klären")&gt;0,"zu klären",IF(COUNTIF($H$245:$H$245,"entbehrlich")=COUNTA($H$245:$H$245),"entbehrlich",IF(COUNTIF($H$245:$H$245,"verwiesen")=COUNTA($H$245:$H$245),"verwiesen",IF(COUNTIF($H$245:$H$245,"nein")+COUNTIF($H$245:$H$245,"entbehrlich")=COUNTA($H$245:$H$245),"nein",IF(COUNTIF($H$245:$H$245,"ja")+COUNTIF($H$245:$H$245,"entbehrlich")+COUNTIF($H$245:$H$245,"verwiesen")=COUNTA($H$245:$H$245),"ja","teilweise"))))))</f>
        <v/>
      </c>
      <c r="I244" s="11" t="n"/>
      <c r="J244" s="11" t="n"/>
      <c r="K244" s="11" t="n"/>
      <c r="L244" s="11" t="n"/>
      <c r="M244" s="11" t="inlineStr">
        <is>
          <t>Integrität</t>
        </is>
      </c>
      <c r="N244" s="12" t="inlineStr"/>
      <c r="O244" s="11" t="inlineStr"/>
      <c r="P244" s="12" t="inlineStr">
        <is>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is>
      </c>
      <c r="Q244" s="11" t="inlineStr">
        <is>
          <t>E-Mail</t>
        </is>
      </c>
      <c r="R244" s="11" t="inlineStr">
        <is>
          <t>Konfigurationshistorie</t>
        </is>
      </c>
      <c r="S244" s="12" t="inlineStr">
        <is>
          <t>die Publikation der Serversignatur</t>
        </is>
      </c>
      <c r="T244" s="12" t="inlineStr">
        <is>
          <t>G 0.36 – Identitätsdiebstahl; G 0.46 – Integritätsverlust schützenswerter Informationen</t>
        </is>
      </c>
      <c r="U244" s="11" t="n">
        <v>3</v>
      </c>
      <c r="V244" s="11" t="n">
        <v>1</v>
      </c>
      <c r="W244" s="11" t="n">
        <v>2</v>
      </c>
      <c r="X244" s="11" t="n">
        <v>1</v>
      </c>
      <c r="Y244" s="11" t="n">
        <v>0</v>
      </c>
    </row>
    <row r="245">
      <c r="A245" s="11" t="inlineStr">
        <is>
          <t>KONF.13.6</t>
        </is>
      </c>
      <c r="B245" s="12" t="inlineStr">
        <is>
          <t>Publikation der Serversignatur</t>
        </is>
      </c>
      <c r="C245" s="11" t="inlineStr">
        <is>
          <t>KONF.13.6</t>
        </is>
      </c>
      <c r="D245" s="11" t="inlineStr">
        <is>
          <t>Standard-Anforderungen</t>
        </is>
      </c>
      <c r="E245" s="12" t="inlineStr">
        <is>
          <t>Konfiguration für E-Mail SOLLTE die Publikation der Serversignatur im DNS aktivieren.</t>
        </is>
      </c>
      <c r="F245" s="14" t="n"/>
      <c r="G245" s="14" t="n"/>
      <c r="H245" s="14" t="inlineStr">
        <is>
          <t>unbearbeitet</t>
        </is>
      </c>
      <c r="I245" s="14" t="n"/>
      <c r="J245" s="14" t="n"/>
      <c r="K245" s="14" t="n"/>
      <c r="L245" s="15" t="n"/>
      <c r="M245" s="11" t="inlineStr">
        <is>
          <t>Integrität</t>
        </is>
      </c>
      <c r="N245" s="12" t="inlineStr"/>
      <c r="O245" s="11" t="inlineStr"/>
      <c r="P245" s="12" t="inlineStr">
        <is>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is>
      </c>
      <c r="Q245" s="11" t="inlineStr">
        <is>
          <t>E-Mail</t>
        </is>
      </c>
      <c r="R245" s="11" t="inlineStr">
        <is>
          <t>Konfigurationshistorie</t>
        </is>
      </c>
      <c r="S245" s="12" t="inlineStr">
        <is>
          <t>die Publikation der Serversignatur</t>
        </is>
      </c>
      <c r="T245" s="12" t="inlineStr">
        <is>
          <t>G 0.36 – Identitätsdiebstahl; G 0.46 – Integritätsverlust schützenswerter Informationen</t>
        </is>
      </c>
      <c r="U245" s="11" t="n">
        <v>3</v>
      </c>
      <c r="V245" s="11" t="n">
        <v>1</v>
      </c>
      <c r="W245" s="11" t="n">
        <v>2</v>
      </c>
      <c r="X245" s="11" t="n">
        <v>1</v>
      </c>
      <c r="Y245" s="11" t="n">
        <v>0</v>
      </c>
    </row>
    <row r="246">
      <c r="A246" s="9" t="inlineStr">
        <is>
          <t>KONF.13.7</t>
        </is>
      </c>
      <c r="B246" s="10" t="inlineStr">
        <is>
          <t>TLS-Reports</t>
        </is>
      </c>
      <c r="C246" s="11" t="n"/>
      <c r="D246" s="11" t="inlineStr">
        <is>
          <t>Anforderungen bei erhöhtem Schutzbedarf</t>
        </is>
      </c>
      <c r="E246" s="12" t="inlineStr">
        <is>
          <t>Gesamt:</t>
        </is>
      </c>
      <c r="F246" s="11" t="n"/>
      <c r="G246" s="11" t="n"/>
      <c r="H246" s="13">
        <f>IF(OR(COUNTBLANK($H$247:$H$247)&gt;0,COUNTIF($H$247:$H$247,"unbearbeitet")=COUNTA($H$247:$H$247)),"Bitte Teilanforderungen ausfüllen",IF(COUNTIF($H$247:$H$247,"zu klären")&gt;0,"zu klären",IF(COUNTIF($H$247:$H$247,"entbehrlich")=COUNTA($H$247:$H$247),"entbehrlich",IF(COUNTIF($H$247:$H$247,"verwiesen")=COUNTA($H$247:$H$247),"verwiesen",IF(COUNTIF($H$247:$H$247,"nein")+COUNTIF($H$247:$H$247,"entbehrlich")=COUNTA($H$247:$H$247),"nein",IF(COUNTIF($H$247:$H$247,"ja")+COUNTIF($H$247:$H$247,"entbehrlich")+COUNTIF($H$247:$H$247,"verwiesen")=COUNTA($H$247:$H$247),"ja","teilweise"))))))</f>
        <v/>
      </c>
      <c r="I246" s="11" t="n"/>
      <c r="J246" s="11" t="n"/>
      <c r="K246" s="11" t="n"/>
      <c r="L246" s="11" t="n"/>
      <c r="M246" s="11" t="inlineStr">
        <is>
          <t>Vertraulichkeit</t>
        </is>
      </c>
      <c r="N246" s="12" t="inlineStr"/>
      <c r="O246" s="11" t="inlineStr"/>
      <c r="P246" s="12" t="inlineStr">
        <is>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is>
      </c>
      <c r="Q246" s="11" t="inlineStr">
        <is>
          <t>E-Mail</t>
        </is>
      </c>
      <c r="R246" s="11" t="inlineStr">
        <is>
          <t>Konfigurationshistorie</t>
        </is>
      </c>
      <c r="S246" s="12" t="inlineStr">
        <is>
          <t>TLS-Reports</t>
        </is>
      </c>
      <c r="T246" s="12" t="inlineStr">
        <is>
          <t>G 0.43 – Einspielen von Nachrichten; G 0.15 – Abhören</t>
        </is>
      </c>
      <c r="U246" s="11" t="n">
        <v>5</v>
      </c>
      <c r="V246" s="11" t="n">
        <v>2</v>
      </c>
      <c r="W246" s="11" t="n">
        <v>1</v>
      </c>
      <c r="X246" s="11" t="n">
        <v>0</v>
      </c>
      <c r="Y246" s="11" t="n">
        <v>1</v>
      </c>
    </row>
    <row r="247">
      <c r="A247" s="11" t="inlineStr">
        <is>
          <t>KONF.13.7</t>
        </is>
      </c>
      <c r="B247" s="12" t="inlineStr">
        <is>
          <t>TLS-Reports</t>
        </is>
      </c>
      <c r="C247" s="11" t="inlineStr">
        <is>
          <t>KONF.13.7</t>
        </is>
      </c>
      <c r="D247" s="11" t="inlineStr">
        <is>
          <t>Anforderungen bei erhöhtem Schutzbedarf</t>
        </is>
      </c>
      <c r="E247" s="12" t="inlineStr">
        <is>
          <t>Konfiguration für E-Mail KANN TLS-Reports regelmäßig überprüfen.</t>
        </is>
      </c>
      <c r="F247" s="14" t="n"/>
      <c r="G247" s="14" t="n"/>
      <c r="H247" s="14" t="inlineStr">
        <is>
          <t>unbearbeitet</t>
        </is>
      </c>
      <c r="I247" s="14" t="n"/>
      <c r="J247" s="14" t="n"/>
      <c r="K247" s="14" t="n"/>
      <c r="L247" s="15" t="n"/>
      <c r="M247" s="11" t="inlineStr">
        <is>
          <t>Vertraulichkeit</t>
        </is>
      </c>
      <c r="N247" s="12" t="inlineStr"/>
      <c r="O247" s="11" t="inlineStr"/>
      <c r="P247" s="12" t="inlineStr">
        <is>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is>
      </c>
      <c r="Q247" s="11" t="inlineStr">
        <is>
          <t>E-Mail</t>
        </is>
      </c>
      <c r="R247" s="11" t="inlineStr">
        <is>
          <t>Konfigurationshistorie</t>
        </is>
      </c>
      <c r="S247" s="12" t="inlineStr">
        <is>
          <t>TLS-Reports</t>
        </is>
      </c>
      <c r="T247" s="12" t="inlineStr">
        <is>
          <t>G 0.43 – Einspielen von Nachrichten; G 0.15 – Abhören</t>
        </is>
      </c>
      <c r="U247" s="11" t="n">
        <v>5</v>
      </c>
      <c r="V247" s="11" t="n">
        <v>2</v>
      </c>
      <c r="W247" s="11" t="n">
        <v>1</v>
      </c>
      <c r="X247" s="11" t="n">
        <v>0</v>
      </c>
      <c r="Y247" s="11" t="n">
        <v>1</v>
      </c>
    </row>
    <row r="248">
      <c r="A248" s="9" t="inlineStr">
        <is>
          <t>KONF.13.8</t>
        </is>
      </c>
      <c r="B248" s="10" t="inlineStr">
        <is>
          <t>DMARC-Reports</t>
        </is>
      </c>
      <c r="C248" s="11" t="n"/>
      <c r="D248" s="11" t="inlineStr">
        <is>
          <t>Anforderungen bei erhöhtem Schutzbedarf</t>
        </is>
      </c>
      <c r="E248" s="12" t="inlineStr">
        <is>
          <t>Gesamt:</t>
        </is>
      </c>
      <c r="F248" s="11" t="n"/>
      <c r="G248" s="11" t="n"/>
      <c r="H248" s="13">
        <f>IF(OR(COUNTBLANK($H$249:$H$249)&gt;0,COUNTIF($H$249:$H$249,"unbearbeitet")=COUNTA($H$249:$H$249)),"Bitte Teilanforderungen ausfüllen",IF(COUNTIF($H$249:$H$249,"zu klären")&gt;0,"zu klären",IF(COUNTIF($H$249:$H$249,"entbehrlich")=COUNTA($H$249:$H$249),"entbehrlich",IF(COUNTIF($H$249:$H$249,"verwiesen")=COUNTA($H$249:$H$249),"verwiesen",IF(COUNTIF($H$249:$H$249,"nein")+COUNTIF($H$249:$H$249,"entbehrlich")=COUNTA($H$249:$H$249),"nein",IF(COUNTIF($H$249:$H$249,"ja")+COUNTIF($H$249:$H$249,"entbehrlich")+COUNTIF($H$249:$H$249,"verwiesen")=COUNTA($H$249:$H$249),"ja","teilweise"))))))</f>
        <v/>
      </c>
      <c r="I248" s="11" t="n"/>
      <c r="J248" s="11" t="n"/>
      <c r="K248" s="11" t="n"/>
      <c r="L248" s="11" t="n"/>
      <c r="M248" s="11" t="inlineStr">
        <is>
          <t>Vertraulichkeit, Integrität</t>
        </is>
      </c>
      <c r="N248" s="12" t="inlineStr"/>
      <c r="O248" s="11" t="inlineStr"/>
      <c r="P248" s="12" t="inlineStr">
        <is>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is>
      </c>
      <c r="Q248" s="11" t="inlineStr">
        <is>
          <t>E-Mail</t>
        </is>
      </c>
      <c r="R248" s="11" t="inlineStr">
        <is>
          <t>Konfigurationshistorie</t>
        </is>
      </c>
      <c r="S248" s="12" t="inlineStr">
        <is>
          <t>DMARC-Reports</t>
        </is>
      </c>
      <c r="T248" s="12" t="inlineStr">
        <is>
          <t>G 0.36 – Identitätsdiebstahl; G 0.42 – Social Engineering</t>
        </is>
      </c>
      <c r="U248" s="11" t="n">
        <v>5</v>
      </c>
      <c r="V248" s="11" t="n">
        <v>2</v>
      </c>
      <c r="W248" s="11" t="n">
        <v>2</v>
      </c>
      <c r="X248" s="11" t="n">
        <v>1</v>
      </c>
      <c r="Y248" s="11" t="n">
        <v>0</v>
      </c>
    </row>
    <row r="249">
      <c r="A249" s="11" t="inlineStr">
        <is>
          <t>KONF.13.8</t>
        </is>
      </c>
      <c r="B249" s="12" t="inlineStr">
        <is>
          <t>DMARC-Reports</t>
        </is>
      </c>
      <c r="C249" s="11" t="inlineStr">
        <is>
          <t>KONF.13.8</t>
        </is>
      </c>
      <c r="D249" s="11" t="inlineStr">
        <is>
          <t>Anforderungen bei erhöhtem Schutzbedarf</t>
        </is>
      </c>
      <c r="E249" s="12" t="inlineStr">
        <is>
          <t>Konfiguration für E-Mail KANN DMARC-Reports regelmäßig oder bei Eingang überprüfen.</t>
        </is>
      </c>
      <c r="F249" s="14" t="n"/>
      <c r="G249" s="14" t="n"/>
      <c r="H249" s="14" t="inlineStr">
        <is>
          <t>unbearbeitet</t>
        </is>
      </c>
      <c r="I249" s="14" t="n"/>
      <c r="J249" s="14" t="n"/>
      <c r="K249" s="14" t="n"/>
      <c r="L249" s="15" t="n"/>
      <c r="M249" s="11" t="inlineStr">
        <is>
          <t>Vertraulichkeit, Integrität</t>
        </is>
      </c>
      <c r="N249" s="12" t="inlineStr"/>
      <c r="O249" s="11" t="inlineStr"/>
      <c r="P249" s="12" t="inlineStr">
        <is>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is>
      </c>
      <c r="Q249" s="11" t="inlineStr">
        <is>
          <t>E-Mail</t>
        </is>
      </c>
      <c r="R249" s="11" t="inlineStr">
        <is>
          <t>Konfigurationshistorie</t>
        </is>
      </c>
      <c r="S249" s="12" t="inlineStr">
        <is>
          <t>DMARC-Reports</t>
        </is>
      </c>
      <c r="T249" s="12" t="inlineStr">
        <is>
          <t>G 0.36 – Identitätsdiebstahl; G 0.42 – Social Engineering</t>
        </is>
      </c>
      <c r="U249" s="11" t="n">
        <v>5</v>
      </c>
      <c r="V249" s="11" t="n">
        <v>2</v>
      </c>
      <c r="W249" s="11" t="n">
        <v>2</v>
      </c>
      <c r="X249" s="11" t="n">
        <v>1</v>
      </c>
      <c r="Y249" s="11" t="n">
        <v>0</v>
      </c>
    </row>
    <row r="250">
      <c r="A250" s="9" t="inlineStr">
        <is>
          <t>KONF.13.9</t>
        </is>
      </c>
      <c r="B250" s="10" t="inlineStr">
        <is>
          <t>Publikation der DMARC-Richtlinie</t>
        </is>
      </c>
      <c r="C250" s="11" t="n"/>
      <c r="D250" s="11" t="inlineStr">
        <is>
          <t>Standard-Anforderungen</t>
        </is>
      </c>
      <c r="E250" s="12" t="inlineStr">
        <is>
          <t>Gesamt:</t>
        </is>
      </c>
      <c r="F250" s="11" t="n"/>
      <c r="G250" s="11" t="n"/>
      <c r="H250" s="13">
        <f>IF(OR(COUNTBLANK($H$251:$H$251)&gt;0,COUNTIF($H$251:$H$251,"unbearbeitet")=COUNTA($H$251:$H$251)),"Bitte Teilanforderungen ausfüllen",IF(COUNTIF($H$251:$H$251,"zu klären")&gt;0,"zu klären",IF(COUNTIF($H$251:$H$251,"entbehrlich")=COUNTA($H$251:$H$251),"entbehrlich",IF(COUNTIF($H$251:$H$251,"verwiesen")=COUNTA($H$251:$H$251),"verwiesen",IF(COUNTIF($H$251:$H$251,"nein")+COUNTIF($H$251:$H$251,"entbehrlich")=COUNTA($H$251:$H$251),"nein",IF(COUNTIF($H$251:$H$251,"ja")+COUNTIF($H$251:$H$251,"entbehrlich")+COUNTIF($H$251:$H$251,"verwiesen")=COUNTA($H$251:$H$251),"ja","teilweise"))))))</f>
        <v/>
      </c>
      <c r="I250" s="11" t="n"/>
      <c r="J250" s="11" t="n"/>
      <c r="K250" s="11" t="n"/>
      <c r="L250" s="11" t="n"/>
      <c r="M250" s="11" t="inlineStr">
        <is>
          <t>Vertraulichkeit, Integrität</t>
        </is>
      </c>
      <c r="N250" s="12" t="inlineStr"/>
      <c r="O250" s="11" t="inlineStr"/>
      <c r="P250" s="12" t="inlineStr">
        <is>
          <t>Eine DMARC-Richtlinie legt fest, welchen Umgang sie sich von Empfängern wünschen, die E-Mails von ihrer Domain nicht authentifizieren können. Die Information der Empfänger kann über einen DMARC-Eintrag im DNS erfolgen.</t>
        </is>
      </c>
      <c r="Q250" s="11" t="inlineStr">
        <is>
          <t>E-Mail</t>
        </is>
      </c>
      <c r="R250" s="11" t="inlineStr">
        <is>
          <t>Konfigurationshistorie</t>
        </is>
      </c>
      <c r="S250" s="12" t="inlineStr">
        <is>
          <t>die Publikation der DMARC-Richtlinie</t>
        </is>
      </c>
      <c r="T250" s="12" t="inlineStr">
        <is>
          <t>G 0.36 – Identitätsdiebstahl; G 0.42 – Social Engineering</t>
        </is>
      </c>
      <c r="U250" s="11" t="n">
        <v>3</v>
      </c>
      <c r="V250" s="11" t="n">
        <v>2</v>
      </c>
      <c r="W250" s="11" t="n">
        <v>2</v>
      </c>
      <c r="X250" s="11" t="n">
        <v>1</v>
      </c>
      <c r="Y250" s="11" t="n">
        <v>0</v>
      </c>
    </row>
    <row r="251">
      <c r="A251" s="11" t="inlineStr">
        <is>
          <t>KONF.13.9</t>
        </is>
      </c>
      <c r="B251" s="12" t="inlineStr">
        <is>
          <t>Publikation der DMARC-Richtlinie</t>
        </is>
      </c>
      <c r="C251" s="11" t="inlineStr">
        <is>
          <t>KONF.13.9</t>
        </is>
      </c>
      <c r="D251" s="11" t="inlineStr">
        <is>
          <t>Standard-Anforderungen</t>
        </is>
      </c>
      <c r="E251" s="12" t="inlineStr">
        <is>
          <t>Konfiguration für E-Mail SOLLTE die Publikation der DMARC-Richtlinie aktivieren.</t>
        </is>
      </c>
      <c r="F251" s="14" t="n"/>
      <c r="G251" s="14" t="n"/>
      <c r="H251" s="14" t="inlineStr">
        <is>
          <t>unbearbeitet</t>
        </is>
      </c>
      <c r="I251" s="14" t="n"/>
      <c r="J251" s="14" t="n"/>
      <c r="K251" s="14" t="n"/>
      <c r="L251" s="15" t="n"/>
      <c r="M251" s="11" t="inlineStr">
        <is>
          <t>Vertraulichkeit, Integrität</t>
        </is>
      </c>
      <c r="N251" s="12" t="inlineStr"/>
      <c r="O251" s="11" t="inlineStr"/>
      <c r="P251" s="12" t="inlineStr">
        <is>
          <t>Eine DMARC-Richtlinie legt fest, welchen Umgang sie sich von Empfängern wünschen, die E-Mails von ihrer Domain nicht authentifizieren können. Die Information der Empfänger kann über einen DMARC-Eintrag im DNS erfolgen.</t>
        </is>
      </c>
      <c r="Q251" s="11" t="inlineStr">
        <is>
          <t>E-Mail</t>
        </is>
      </c>
      <c r="R251" s="11" t="inlineStr">
        <is>
          <t>Konfigurationshistorie</t>
        </is>
      </c>
      <c r="S251" s="12" t="inlineStr">
        <is>
          <t>die Publikation der DMARC-Richtlinie</t>
        </is>
      </c>
      <c r="T251" s="12" t="inlineStr">
        <is>
          <t>G 0.36 – Identitätsdiebstahl; G 0.42 – Social Engineering</t>
        </is>
      </c>
      <c r="U251" s="11" t="n">
        <v>3</v>
      </c>
      <c r="V251" s="11" t="n">
        <v>2</v>
      </c>
      <c r="W251" s="11" t="n">
        <v>2</v>
      </c>
      <c r="X251" s="11" t="n">
        <v>1</v>
      </c>
      <c r="Y251" s="11" t="n">
        <v>0</v>
      </c>
    </row>
    <row r="252">
      <c r="A252" s="9" t="inlineStr">
        <is>
          <t>KONF.13.10</t>
        </is>
      </c>
      <c r="B252" s="10" t="inlineStr">
        <is>
          <t>Authentifizierung der Server-Zertifikate über DNS</t>
        </is>
      </c>
      <c r="C252" s="11" t="n"/>
      <c r="D252" s="11" t="inlineStr">
        <is>
          <t>Standard-Anforderungen</t>
        </is>
      </c>
      <c r="E252" s="12" t="inlineStr">
        <is>
          <t>Gesamt:</t>
        </is>
      </c>
      <c r="F252" s="11" t="n"/>
      <c r="G252" s="11" t="n"/>
      <c r="H252" s="13">
        <f>IF(OR(COUNTBLANK($H$253:$H$253)&gt;0,COUNTIF($H$253:$H$253,"unbearbeitet")=COUNTA($H$253:$H$253)),"Bitte Teilanforderungen ausfüllen",IF(COUNTIF($H$253:$H$253,"zu klären")&gt;0,"zu klären",IF(COUNTIF($H$253:$H$253,"entbehrlich")=COUNTA($H$253:$H$253),"entbehrlich",IF(COUNTIF($H$253:$H$253,"verwiesen")=COUNTA($H$253:$H$253),"verwiesen",IF(COUNTIF($H$253:$H$253,"nein")+COUNTIF($H$253:$H$253,"entbehrlich")=COUNTA($H$253:$H$253),"nein",IF(COUNTIF($H$253:$H$253,"ja")+COUNTIF($H$253:$H$253,"entbehrlich")+COUNTIF($H$253:$H$253,"verwiesen")=COUNTA($H$253:$H$253),"ja","teilweise"))))))</f>
        <v/>
      </c>
      <c r="I252" s="11" t="n"/>
      <c r="J252" s="11" t="n"/>
      <c r="K252" s="11" t="n"/>
      <c r="L252" s="11" t="n"/>
      <c r="M252" s="11" t="inlineStr">
        <is>
          <t>Vertraulichkeit, Integrität</t>
        </is>
      </c>
      <c r="N252" s="12" t="inlineStr">
        <is>
          <t>APP.3.6.A1-UA.1</t>
        </is>
      </c>
      <c r="O252" s="11" t="inlineStr">
        <is>
          <t>intersects-with</t>
        </is>
      </c>
      <c r="P252" s="12" t="inlineStr">
        <is>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is>
      </c>
      <c r="Q252" s="11" t="inlineStr">
        <is>
          <t>E-Mail</t>
        </is>
      </c>
      <c r="R252" s="11" t="inlineStr">
        <is>
          <t>Konfigurationshistorie</t>
        </is>
      </c>
      <c r="S252" s="12" t="inlineStr">
        <is>
          <t>die Authentifizierung der Server-Zertifikate über das DNS</t>
        </is>
      </c>
      <c r="T252" s="12" t="inlineStr">
        <is>
          <t>G 0.43 – Einspielen von Nachrichten; G 0.36 – Identitätsdiebstahl</t>
        </is>
      </c>
      <c r="U252" s="11" t="n">
        <v>4</v>
      </c>
      <c r="V252" s="11" t="n">
        <v>2</v>
      </c>
      <c r="W252" s="11" t="n">
        <v>2</v>
      </c>
      <c r="X252" s="11" t="n">
        <v>1</v>
      </c>
      <c r="Y252" s="11" t="n">
        <v>1</v>
      </c>
    </row>
    <row r="253">
      <c r="A253" s="11" t="inlineStr">
        <is>
          <t>KONF.13.10</t>
        </is>
      </c>
      <c r="B253" s="12" t="inlineStr">
        <is>
          <t>Authentifizierung der Server-Zertifikate über DNS</t>
        </is>
      </c>
      <c r="C253" s="11" t="inlineStr">
        <is>
          <t>KONF.13.10</t>
        </is>
      </c>
      <c r="D253" s="11" t="inlineStr">
        <is>
          <t>Standard-Anforderungen</t>
        </is>
      </c>
      <c r="E253" s="12" t="inlineStr">
        <is>
          <t>Konfiguration für E-Mail SOLLTE die Authentifizierung der Server-Zertifikate über das DNS aktivieren.</t>
        </is>
      </c>
      <c r="F253" s="14" t="n"/>
      <c r="G253" s="14" t="n"/>
      <c r="H253" s="14" t="inlineStr">
        <is>
          <t>unbearbeitet</t>
        </is>
      </c>
      <c r="I253" s="14" t="n"/>
      <c r="J253" s="14" t="n"/>
      <c r="K253" s="14" t="n"/>
      <c r="L253" s="15" t="n"/>
      <c r="M253" s="11" t="inlineStr">
        <is>
          <t>Vertraulichkeit, Integrität</t>
        </is>
      </c>
      <c r="N253" s="12" t="inlineStr">
        <is>
          <t>APP.3.6.A1-UA.1</t>
        </is>
      </c>
      <c r="O253" s="11" t="inlineStr">
        <is>
          <t>intersects-with</t>
        </is>
      </c>
      <c r="P253" s="12" t="inlineStr">
        <is>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is>
      </c>
      <c r="Q253" s="11" t="inlineStr">
        <is>
          <t>E-Mail</t>
        </is>
      </c>
      <c r="R253" s="11" t="inlineStr">
        <is>
          <t>Konfigurationshistorie</t>
        </is>
      </c>
      <c r="S253" s="12" t="inlineStr">
        <is>
          <t>die Authentifizierung der Server-Zertifikate über das DNS</t>
        </is>
      </c>
      <c r="T253" s="12" t="inlineStr">
        <is>
          <t>G 0.43 – Einspielen von Nachrichten; G 0.36 – Identitätsdiebstahl</t>
        </is>
      </c>
      <c r="U253" s="11" t="n">
        <v>4</v>
      </c>
      <c r="V253" s="11" t="n">
        <v>2</v>
      </c>
      <c r="W253" s="11" t="n">
        <v>2</v>
      </c>
      <c r="X253" s="11" t="n">
        <v>1</v>
      </c>
      <c r="Y253" s="11" t="n">
        <v>1</v>
      </c>
    </row>
    <row r="254">
      <c r="A254" s="9" t="inlineStr">
        <is>
          <t>KONF.13.11</t>
        </is>
      </c>
      <c r="B254" s="10" t="inlineStr">
        <is>
          <t>MTA-STS</t>
        </is>
      </c>
      <c r="C254" s="11" t="n"/>
      <c r="D254" s="11" t="inlineStr">
        <is>
          <t>Standard-Anforderungen</t>
        </is>
      </c>
      <c r="E254" s="12" t="inlineStr">
        <is>
          <t>Gesamt:</t>
        </is>
      </c>
      <c r="F254" s="11" t="n"/>
      <c r="G254" s="11" t="n"/>
      <c r="H254" s="13">
        <f>IF(OR(COUNTBLANK($H$255:$H$255)&gt;0,COUNTIF($H$255:$H$255,"unbearbeitet")=COUNTA($H$255:$H$255)),"Bitte Teilanforderungen ausfüllen",IF(COUNTIF($H$255:$H$255,"zu klären")&gt;0,"zu klären",IF(COUNTIF($H$255:$H$255,"entbehrlich")=COUNTA($H$255:$H$255),"entbehrlich",IF(COUNTIF($H$255:$H$255,"verwiesen")=COUNTA($H$255:$H$255),"verwiesen",IF(COUNTIF($H$255:$H$255,"nein")+COUNTIF($H$255:$H$255,"entbehrlich")=COUNTA($H$255:$H$255),"nein",IF(COUNTIF($H$255:$H$255,"ja")+COUNTIF($H$255:$H$255,"entbehrlich")+COUNTIF($H$255:$H$255,"verwiesen")=COUNTA($H$255:$H$255),"ja","teilweise"))))))</f>
        <v/>
      </c>
      <c r="I254" s="11" t="n"/>
      <c r="J254" s="11" t="n"/>
      <c r="K254" s="11" t="n"/>
      <c r="L254" s="11" t="n"/>
      <c r="M254" s="11" t="inlineStr">
        <is>
          <t>Vertraulichkeit</t>
        </is>
      </c>
      <c r="N254" s="12" t="inlineStr"/>
      <c r="O254" s="11" t="inlineStr"/>
      <c r="P254" s="12" t="inlineStr">
        <is>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is>
      </c>
      <c r="Q254" s="11" t="inlineStr">
        <is>
          <t>E-Mail</t>
        </is>
      </c>
      <c r="R254" s="11" t="inlineStr">
        <is>
          <t>Konfigurationshistorie</t>
        </is>
      </c>
      <c r="S254" s="12" t="inlineStr">
        <is>
          <t>MTA-STS</t>
        </is>
      </c>
      <c r="T254" s="12" t="inlineStr">
        <is>
          <t>G 0.43 – Einspielen von Nachrichten; G 0.15 – Abhören</t>
        </is>
      </c>
      <c r="U254" s="11" t="n">
        <v>4</v>
      </c>
      <c r="V254" s="11" t="n">
        <v>2</v>
      </c>
      <c r="W254" s="11" t="n">
        <v>1</v>
      </c>
      <c r="X254" s="11" t="n">
        <v>0</v>
      </c>
      <c r="Y254" s="11" t="n">
        <v>1</v>
      </c>
    </row>
    <row r="255">
      <c r="A255" s="11" t="inlineStr">
        <is>
          <t>KONF.13.11</t>
        </is>
      </c>
      <c r="B255" s="12" t="inlineStr">
        <is>
          <t>MTA-STS</t>
        </is>
      </c>
      <c r="C255" s="11" t="inlineStr">
        <is>
          <t>KONF.13.11</t>
        </is>
      </c>
      <c r="D255" s="11" t="inlineStr">
        <is>
          <t>Standard-Anforderungen</t>
        </is>
      </c>
      <c r="E255" s="12" t="inlineStr">
        <is>
          <t>Konfiguration für E-Mail SOLLTE MTA-STS aktivieren.</t>
        </is>
      </c>
      <c r="F255" s="14" t="n"/>
      <c r="G255" s="14" t="n"/>
      <c r="H255" s="14" t="inlineStr">
        <is>
          <t>unbearbeitet</t>
        </is>
      </c>
      <c r="I255" s="14" t="n"/>
      <c r="J255" s="14" t="n"/>
      <c r="K255" s="14" t="n"/>
      <c r="L255" s="15" t="n"/>
      <c r="M255" s="11" t="inlineStr">
        <is>
          <t>Vertraulichkeit</t>
        </is>
      </c>
      <c r="N255" s="12" t="inlineStr"/>
      <c r="O255" s="11" t="inlineStr"/>
      <c r="P255" s="12" t="inlineStr">
        <is>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is>
      </c>
      <c r="Q255" s="11" t="inlineStr">
        <is>
          <t>E-Mail</t>
        </is>
      </c>
      <c r="R255" s="11" t="inlineStr">
        <is>
          <t>Konfigurationshistorie</t>
        </is>
      </c>
      <c r="S255" s="12" t="inlineStr">
        <is>
          <t>MTA-STS</t>
        </is>
      </c>
      <c r="T255" s="12" t="inlineStr">
        <is>
          <t>G 0.43 – Einspielen von Nachrichten; G 0.15 – Abhören</t>
        </is>
      </c>
      <c r="U255" s="11" t="n">
        <v>4</v>
      </c>
      <c r="V255" s="11" t="n">
        <v>2</v>
      </c>
      <c r="W255" s="11" t="n">
        <v>1</v>
      </c>
      <c r="X255" s="11" t="n">
        <v>0</v>
      </c>
      <c r="Y255" s="11" t="n">
        <v>1</v>
      </c>
    </row>
    <row r="256">
      <c r="A256" s="9" t="inlineStr">
        <is>
          <t>KONF.14.1</t>
        </is>
      </c>
      <c r="B256" s="10" t="inlineStr">
        <is>
          <t>Verschlüsselung beim Transport</t>
        </is>
      </c>
      <c r="C256" s="11" t="n"/>
      <c r="D256" s="11" t="inlineStr">
        <is>
          <t>Standard-Anforderungen</t>
        </is>
      </c>
      <c r="E256" s="12" t="inlineStr">
        <is>
          <t>Gesamt:</t>
        </is>
      </c>
      <c r="F256" s="11" t="n"/>
      <c r="G256" s="11" t="n"/>
      <c r="H256" s="13">
        <f>IF(OR(COUNTBLANK($H$257:$H$259)&gt;0,COUNTIF($H$257:$H$259,"unbearbeitet")=COUNTA($H$257:$H$259)),"Bitte Teilanforderungen ausfüllen",IF(COUNTIF($H$257:$H$259,"zu klären")&gt;0,"zu klären",IF(COUNTIF($H$257:$H$259,"entbehrlich")=COUNTA($H$257:$H$259),"entbehrlich",IF(COUNTIF($H$257:$H$259,"verwiesen")=COUNTA($H$257:$H$259),"verwiesen",IF(COUNTIF($H$257:$H$259,"nein")+COUNTIF($H$257:$H$259,"entbehrlich")=COUNTA($H$257:$H$259),"nein",IF(COUNTIF($H$257:$H$259,"ja")+COUNTIF($H$257:$H$259,"entbehrlich")+COUNTIF($H$257:$H$259,"verwiesen")=COUNTA($H$257:$H$259),"ja","teilweise"))))))</f>
        <v/>
      </c>
      <c r="I256" s="11" t="n"/>
      <c r="J256" s="11" t="n"/>
      <c r="K256" s="11" t="n"/>
      <c r="L256" s="11" t="n"/>
      <c r="M256" s="11" t="inlineStr">
        <is>
          <t>Vertraulichkeit</t>
        </is>
      </c>
      <c r="N256" s="12" t="inlineStr">
        <is>
          <t>APP.1.1.A15-UA.1; APP.1.2.A2-UA.2; APP.3.4.A15-UA.1; IND.2.1.A2-UA.2</t>
        </is>
      </c>
      <c r="O256" s="11" t="inlineStr">
        <is>
          <t>intersects-with; intersects-with; subset-of; equivalent-to</t>
        </is>
      </c>
      <c r="P256" s="12" t="inlineStr">
        <is>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is>
      </c>
      <c r="Q256" s="11" t="inlineStr">
        <is>
          <t>Anwendungen</t>
        </is>
      </c>
      <c r="R256" s="11" t="inlineStr">
        <is>
          <t>Konfigurationshistorie</t>
        </is>
      </c>
      <c r="S256" s="12" t="inlineStr">
        <is>
          <t>Kommunikation beim Transport</t>
        </is>
      </c>
      <c r="T256" s="12" t="inlineStr">
        <is>
          <t>G 0.43 – Einspielen von Nachrichten; G 0.15 – Abhören</t>
        </is>
      </c>
      <c r="U256" s="11" t="n">
        <v>2</v>
      </c>
      <c r="V256" s="11" t="n">
        <v>2</v>
      </c>
      <c r="W256" s="11" t="n">
        <v>1</v>
      </c>
      <c r="X256" s="11" t="n">
        <v>0</v>
      </c>
      <c r="Y256" s="11" t="n">
        <v>1</v>
      </c>
    </row>
    <row r="257">
      <c r="A257" s="11" t="inlineStr">
        <is>
          <t>KONF.14.1</t>
        </is>
      </c>
      <c r="B257" s="12" t="inlineStr">
        <is>
          <t>Verschlüsselung beim Transport</t>
        </is>
      </c>
      <c r="C257" s="11" t="inlineStr">
        <is>
          <t>KONF.14.1</t>
        </is>
      </c>
      <c r="D257" s="11" t="inlineStr">
        <is>
          <t>Standard-Anforderungen</t>
        </is>
      </c>
      <c r="E257" s="12" t="inlineStr">
        <is>
          <t>Konfiguration für Anwendungen SOLLTE Kommunikation beim Transport über Netze nach einem anerkannten Standard verschlüsseln.</t>
        </is>
      </c>
      <c r="F257" s="14" t="n"/>
      <c r="G257" s="14" t="n"/>
      <c r="H257" s="14" t="inlineStr">
        <is>
          <t>unbearbeitet</t>
        </is>
      </c>
      <c r="I257" s="14" t="n"/>
      <c r="J257" s="14" t="n"/>
      <c r="K257" s="14" t="n"/>
      <c r="L257" s="15" t="n"/>
      <c r="M257" s="11" t="inlineStr">
        <is>
          <t>Vertraulichkeit</t>
        </is>
      </c>
      <c r="N257" s="12" t="inlineStr">
        <is>
          <t>APP.1.1.A15-UA.1; APP.1.2.A2-UA.2; APP.3.4.A15-UA.1; IND.2.1.A2-UA.2</t>
        </is>
      </c>
      <c r="O257" s="11" t="inlineStr">
        <is>
          <t>intersects-with; intersects-with; subset-of; equivalent-to</t>
        </is>
      </c>
      <c r="P257" s="12" t="inlineStr">
        <is>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is>
      </c>
      <c r="Q257" s="11" t="inlineStr">
        <is>
          <t>Anwendungen</t>
        </is>
      </c>
      <c r="R257" s="11" t="inlineStr">
        <is>
          <t>Konfigurationshistorie</t>
        </is>
      </c>
      <c r="S257" s="12" t="inlineStr">
        <is>
          <t>Kommunikation beim Transport</t>
        </is>
      </c>
      <c r="T257" s="12" t="inlineStr">
        <is>
          <t>G 0.43 – Einspielen von Nachrichten; G 0.15 – Abhören</t>
        </is>
      </c>
      <c r="U257" s="11" t="n">
        <v>2</v>
      </c>
      <c r="V257" s="11" t="n">
        <v>2</v>
      </c>
      <c r="W257" s="11" t="n">
        <v>1</v>
      </c>
      <c r="X257" s="11" t="n">
        <v>0</v>
      </c>
      <c r="Y257" s="11" t="n">
        <v>1</v>
      </c>
    </row>
    <row r="258">
      <c r="A258" s="11" t="inlineStr">
        <is>
          <t>KONF.14.1</t>
        </is>
      </c>
      <c r="B258" s="12" t="inlineStr">
        <is>
          <t>Verschlüsselung beim Transport</t>
        </is>
      </c>
      <c r="C258" s="11" t="inlineStr">
        <is>
          <t>KONF.14.1.1</t>
        </is>
      </c>
      <c r="D258" s="11" t="inlineStr">
        <is>
          <t>Standard-Anforderungen</t>
        </is>
      </c>
      <c r="E258" s="12" t="inlineStr">
        <is>
          <t>Konfiguration für Anwendungen SOLLTE unverschlüsselte und anfällige Verbindungen über Netze deaktivieren.</t>
        </is>
      </c>
      <c r="F258" s="14" t="n"/>
      <c r="G258" s="14" t="n"/>
      <c r="H258" s="14" t="inlineStr">
        <is>
          <t>unbearbeitet</t>
        </is>
      </c>
      <c r="I258" s="14" t="n"/>
      <c r="J258" s="14" t="n"/>
      <c r="K258" s="14" t="n"/>
      <c r="L258" s="15" t="n"/>
      <c r="M258" s="11" t="inlineStr">
        <is>
          <t>Vertraulichkeit</t>
        </is>
      </c>
      <c r="N258" s="12" t="inlineStr"/>
      <c r="O258" s="11" t="inlineStr"/>
      <c r="P258" s="12" t="inlineStr">
        <is>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is>
      </c>
      <c r="Q258" s="11" t="inlineStr">
        <is>
          <t>Anwendungen</t>
        </is>
      </c>
      <c r="R258" s="11" t="inlineStr">
        <is>
          <t>Konfigurationshistorie</t>
        </is>
      </c>
      <c r="S258" s="12" t="inlineStr">
        <is>
          <t>unverschlüsselte und anfällige Verbindungen</t>
        </is>
      </c>
      <c r="T258" s="12" t="inlineStr">
        <is>
          <t>G 0.43 – Einspielen von Nachrichten; G 0.15 – Abhören</t>
        </is>
      </c>
      <c r="U258" s="11" t="n">
        <v>4</v>
      </c>
      <c r="V258" s="11" t="n">
        <v>2</v>
      </c>
      <c r="W258" s="11" t="n">
        <v>1</v>
      </c>
      <c r="X258" s="11" t="n">
        <v>0</v>
      </c>
      <c r="Y258" s="11" t="n">
        <v>1</v>
      </c>
    </row>
    <row r="259">
      <c r="A259" s="11" t="inlineStr">
        <is>
          <t>KONF.14.1</t>
        </is>
      </c>
      <c r="B259" s="12" t="inlineStr">
        <is>
          <t>Verschlüsselung beim Transport</t>
        </is>
      </c>
      <c r="C259" s="11" t="inlineStr">
        <is>
          <t>KONF.14.1.2</t>
        </is>
      </c>
      <c r="D259" s="11" t="inlineStr">
        <is>
          <t>Anforderungen bei erhöhtem Schutzbedarf</t>
        </is>
      </c>
      <c r="E259" s="12" t="inlineStr">
        <is>
          <t>Konfiguration für Anwendungen KANN die Kommunikation Ende-zu-Ende über Netze verschlüsseln.</t>
        </is>
      </c>
      <c r="F259" s="14" t="n"/>
      <c r="G259" s="14" t="n"/>
      <c r="H259" s="14" t="inlineStr">
        <is>
          <t>unbearbeitet</t>
        </is>
      </c>
      <c r="I259" s="14" t="n"/>
      <c r="J259" s="14" t="n"/>
      <c r="K259" s="14" t="n"/>
      <c r="L259" s="15" t="n"/>
      <c r="M259" s="11" t="inlineStr">
        <is>
          <t>Vertraulichkeit</t>
        </is>
      </c>
      <c r="N259" s="12" t="inlineStr"/>
      <c r="O259" s="11" t="inlineStr"/>
      <c r="P259" s="12" t="inlineStr">
        <is>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is>
      </c>
      <c r="Q259" s="11" t="inlineStr">
        <is>
          <t>Anwendungen</t>
        </is>
      </c>
      <c r="R259" s="11" t="inlineStr">
        <is>
          <t>Konfigurationshistorie</t>
        </is>
      </c>
      <c r="S259" s="12" t="inlineStr">
        <is>
          <t>die Kommunikation Ende-zu-Ende</t>
        </is>
      </c>
      <c r="T259" s="12" t="inlineStr">
        <is>
          <t>G 0.19 – Offenlegung schützenswerter Informationen; G 0.15 – Abhören</t>
        </is>
      </c>
      <c r="U259" s="11" t="n">
        <v>5</v>
      </c>
      <c r="V259" s="11" t="n">
        <v>2</v>
      </c>
      <c r="W259" s="11" t="n">
        <v>0</v>
      </c>
      <c r="X259" s="11" t="n">
        <v>0</v>
      </c>
      <c r="Y259" s="11" t="n">
        <v>0</v>
      </c>
    </row>
    <row r="260">
      <c r="A260" s="9" t="inlineStr">
        <is>
          <t>KONF.14.2</t>
        </is>
      </c>
      <c r="B260" s="10" t="inlineStr">
        <is>
          <t>Source Port Randomisierung</t>
        </is>
      </c>
      <c r="C260" s="11" t="n"/>
      <c r="D260" s="11" t="inlineStr">
        <is>
          <t>Standard-Anforderungen</t>
        </is>
      </c>
      <c r="E260" s="12" t="inlineStr">
        <is>
          <t>Gesamt:</t>
        </is>
      </c>
      <c r="F260" s="11" t="n"/>
      <c r="G260" s="11" t="n"/>
      <c r="H260" s="13">
        <f>IF(OR(COUNTBLANK($H$261:$H$261)&gt;0,COUNTIF($H$261:$H$261,"unbearbeitet")=COUNTA($H$261:$H$261)),"Bitte Teilanforderungen ausfüllen",IF(COUNTIF($H$261:$H$261,"zu klären")&gt;0,"zu klären",IF(COUNTIF($H$261:$H$261,"entbehrlich")=COUNTA($H$261:$H$261),"entbehrlich",IF(COUNTIF($H$261:$H$261,"verwiesen")=COUNTA($H$261:$H$261),"verwiesen",IF(COUNTIF($H$261:$H$261,"nein")+COUNTIF($H$261:$H$261,"entbehrlich")=COUNTA($H$261:$H$261),"nein",IF(COUNTIF($H$261:$H$261,"ja")+COUNTIF($H$261:$H$261,"entbehrlich")+COUNTIF($H$261:$H$261,"verwiesen")=COUNTA($H$261:$H$261),"ja","teilweise"))))))</f>
        <v/>
      </c>
      <c r="I260" s="11" t="n"/>
      <c r="J260" s="11" t="n"/>
      <c r="K260" s="11" t="n"/>
      <c r="L260" s="11" t="n"/>
      <c r="M260" s="11" t="inlineStr">
        <is>
          <t>Integrität, Authentizität</t>
        </is>
      </c>
      <c r="N260" s="12" t="inlineStr"/>
      <c r="O260" s="11" t="inlineStr"/>
      <c r="P260" s="12" t="inlineStr">
        <is>
          <t>Die mehrfache Verwendung gleicher Source Ports erleichtert Angreifern das Erraten gültiger Antworten, z. B. bei DNS-Spoofing oder Cache-Poisoning-Angriffen. Sourceport-Randomisierung (IETFC RFC 5452) erhöht die Anzahl möglicher Kombinationen und erschwert derartige Angriffe.</t>
        </is>
      </c>
      <c r="Q260" s="11" t="inlineStr">
        <is>
          <t>DNS-Server</t>
        </is>
      </c>
      <c r="R260" s="11" t="inlineStr">
        <is>
          <t>Konfigurationshistorie</t>
        </is>
      </c>
      <c r="S260" s="12" t="inlineStr">
        <is>
          <t>Source Port Randomisierung</t>
        </is>
      </c>
      <c r="T260" s="12" t="inlineStr">
        <is>
          <t>G 0.43 – Einspielen von Nachrichten; G 0.22 – Manipulation von Informationen</t>
        </is>
      </c>
      <c r="U260" s="11" t="n">
        <v>1</v>
      </c>
      <c r="V260" s="11" t="n">
        <v>1</v>
      </c>
      <c r="W260" s="11" t="n">
        <v>2</v>
      </c>
      <c r="X260" s="11" t="n">
        <v>0</v>
      </c>
      <c r="Y260" s="11" t="n">
        <v>2</v>
      </c>
    </row>
    <row r="261">
      <c r="A261" s="11" t="inlineStr">
        <is>
          <t>KONF.14.2</t>
        </is>
      </c>
      <c r="B261" s="12" t="inlineStr">
        <is>
          <t>Source Port Randomisierung</t>
        </is>
      </c>
      <c r="C261" s="11" t="inlineStr">
        <is>
          <t>KONF.14.2</t>
        </is>
      </c>
      <c r="D261" s="11" t="inlineStr">
        <is>
          <t>Standard-Anforderungen</t>
        </is>
      </c>
      <c r="E261" s="12" t="inlineStr">
        <is>
          <t>Konfiguration für DNS-Server SOLLTE Source Port Randomisierung aktivieren.</t>
        </is>
      </c>
      <c r="F261" s="14" t="n"/>
      <c r="G261" s="14" t="n"/>
      <c r="H261" s="14" t="inlineStr">
        <is>
          <t>unbearbeitet</t>
        </is>
      </c>
      <c r="I261" s="14" t="n"/>
      <c r="J261" s="14" t="n"/>
      <c r="K261" s="14" t="n"/>
      <c r="L261" s="15" t="n"/>
      <c r="M261" s="11" t="inlineStr">
        <is>
          <t>Integrität, Authentizität</t>
        </is>
      </c>
      <c r="N261" s="12" t="inlineStr"/>
      <c r="O261" s="11" t="inlineStr"/>
      <c r="P261" s="12" t="inlineStr">
        <is>
          <t>Die mehrfache Verwendung gleicher Source Ports erleichtert Angreifern das Erraten gültiger Antworten, z. B. bei DNS-Spoofing oder Cache-Poisoning-Angriffen. Sourceport-Randomisierung (IETFC RFC 5452) erhöht die Anzahl möglicher Kombinationen und erschwert derartige Angriffe.</t>
        </is>
      </c>
      <c r="Q261" s="11" t="inlineStr">
        <is>
          <t>DNS-Server</t>
        </is>
      </c>
      <c r="R261" s="11" t="inlineStr">
        <is>
          <t>Konfigurationshistorie</t>
        </is>
      </c>
      <c r="S261" s="12" t="inlineStr">
        <is>
          <t>Source Port Randomisierung</t>
        </is>
      </c>
      <c r="T261" s="12" t="inlineStr">
        <is>
          <t>G 0.43 – Einspielen von Nachrichten; G 0.22 – Manipulation von Informationen</t>
        </is>
      </c>
      <c r="U261" s="11" t="n">
        <v>1</v>
      </c>
      <c r="V261" s="11" t="n">
        <v>1</v>
      </c>
      <c r="W261" s="11" t="n">
        <v>2</v>
      </c>
      <c r="X261" s="11" t="n">
        <v>0</v>
      </c>
      <c r="Y261" s="11" t="n">
        <v>2</v>
      </c>
    </row>
    <row r="262">
      <c r="A262" s="9" t="inlineStr">
        <is>
          <t>KONF.14.3</t>
        </is>
      </c>
      <c r="B262" s="10" t="inlineStr">
        <is>
          <t>Iterative Beantwortung</t>
        </is>
      </c>
      <c r="C262" s="11" t="n"/>
      <c r="D262" s="11" t="inlineStr">
        <is>
          <t>Standard-Anforderungen</t>
        </is>
      </c>
      <c r="E262" s="12" t="inlineStr">
        <is>
          <t>Gesamt:</t>
        </is>
      </c>
      <c r="F262" s="11" t="n"/>
      <c r="G262" s="11" t="n"/>
      <c r="H262" s="13">
        <f>IF(OR(COUNTBLANK($H$263:$H$263)&gt;0,COUNTIF($H$263:$H$263,"unbearbeitet")=COUNTA($H$263:$H$263)),"Bitte Teilanforderungen ausfüllen",IF(COUNTIF($H$263:$H$263,"zu klären")&gt;0,"zu klären",IF(COUNTIF($H$263:$H$263,"entbehrlich")=COUNTA($H$263:$H$263),"entbehrlich",IF(COUNTIF($H$263:$H$263,"verwiesen")=COUNTA($H$263:$H$263),"verwiesen",IF(COUNTIF($H$263:$H$263,"nein")+COUNTIF($H$263:$H$263,"entbehrlich")=COUNTA($H$263:$H$263),"nein",IF(COUNTIF($H$263:$H$263,"ja")+COUNTIF($H$263:$H$263,"entbehrlich")+COUNTIF($H$263:$H$263,"verwiesen")=COUNTA($H$263:$H$263),"ja","teilweise"))))))</f>
        <v/>
      </c>
      <c r="I262" s="11" t="n"/>
      <c r="J262" s="11" t="n"/>
      <c r="K262" s="11" t="n"/>
      <c r="L262" s="11" t="n"/>
      <c r="M262" s="11" t="inlineStr">
        <is>
          <t>Verfügbarkeit</t>
        </is>
      </c>
      <c r="N262" s="12" t="inlineStr"/>
      <c r="O262" s="11" t="inlineStr"/>
      <c r="P262" s="12" t="inlineStr">
        <is>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is>
      </c>
      <c r="Q262" s="11" t="inlineStr">
        <is>
          <t>DNS-Server</t>
        </is>
      </c>
      <c r="R262" s="11" t="inlineStr">
        <is>
          <t>Konfigurationshistorie</t>
        </is>
      </c>
      <c r="S262" s="12" t="inlineStr">
        <is>
          <t>die iterative Beantwortung von DNS-Anfragen</t>
        </is>
      </c>
      <c r="T262" s="12" t="inlineStr">
        <is>
          <t>G 0.40 – Verhinderung von Diensten (Denial of Service); G 0.30 – Unberechtigte Nutzung oder Administration von Geräten und Systemen</t>
        </is>
      </c>
      <c r="U262" s="11" t="n">
        <v>1</v>
      </c>
      <c r="V262" s="11" t="n">
        <v>1</v>
      </c>
      <c r="W262" s="11" t="n">
        <v>1</v>
      </c>
      <c r="X262" s="11" t="n">
        <v>2</v>
      </c>
      <c r="Y262" s="11" t="n">
        <v>1</v>
      </c>
    </row>
    <row r="263">
      <c r="A263" s="11" t="inlineStr">
        <is>
          <t>KONF.14.3</t>
        </is>
      </c>
      <c r="B263" s="12" t="inlineStr">
        <is>
          <t>Iterative Beantwortung</t>
        </is>
      </c>
      <c r="C263" s="11" t="inlineStr">
        <is>
          <t>KONF.14.3</t>
        </is>
      </c>
      <c r="D263" s="11" t="inlineStr">
        <is>
          <t>Standard-Anforderungen</t>
        </is>
      </c>
      <c r="E263" s="12" t="inlineStr">
        <is>
          <t>Konfiguration für DNS-Server SOLLTE die iterative Beantwortung von DNS-Anfragen aus dem Internet aktivieren.</t>
        </is>
      </c>
      <c r="F263" s="14" t="n"/>
      <c r="G263" s="14" t="n"/>
      <c r="H263" s="14" t="inlineStr">
        <is>
          <t>unbearbeitet</t>
        </is>
      </c>
      <c r="I263" s="14" t="n"/>
      <c r="J263" s="14" t="n"/>
      <c r="K263" s="14" t="n"/>
      <c r="L263" s="15" t="n"/>
      <c r="M263" s="11" t="inlineStr">
        <is>
          <t>Verfügbarkeit</t>
        </is>
      </c>
      <c r="N263" s="12" t="inlineStr"/>
      <c r="O263" s="11" t="inlineStr"/>
      <c r="P263" s="12" t="inlineStr">
        <is>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is>
      </c>
      <c r="Q263" s="11" t="inlineStr">
        <is>
          <t>DNS-Server</t>
        </is>
      </c>
      <c r="R263" s="11" t="inlineStr">
        <is>
          <t>Konfigurationshistorie</t>
        </is>
      </c>
      <c r="S263" s="12" t="inlineStr">
        <is>
          <t>die iterative Beantwortung von DNS-Anfragen</t>
        </is>
      </c>
      <c r="T263" s="12" t="inlineStr">
        <is>
          <t>G 0.40 – Verhinderung von Diensten (Denial of Service); G 0.30 – Unberechtigte Nutzung oder Administration von Geräten und Systemen</t>
        </is>
      </c>
      <c r="U263" s="11" t="n">
        <v>1</v>
      </c>
      <c r="V263" s="11" t="n">
        <v>1</v>
      </c>
      <c r="W263" s="11" t="n">
        <v>1</v>
      </c>
      <c r="X263" s="11" t="n">
        <v>2</v>
      </c>
      <c r="Y263" s="11" t="n">
        <v>1</v>
      </c>
    </row>
    <row r="264">
      <c r="A264" s="9" t="inlineStr">
        <is>
          <t>KONF.14.4</t>
        </is>
      </c>
      <c r="B264" s="10" t="inlineStr">
        <is>
          <t>Caching</t>
        </is>
      </c>
      <c r="C264" s="11" t="n"/>
      <c r="D264" s="11" t="inlineStr">
        <is>
          <t>Anforderungen bei erhöhtem Schutzbedarf</t>
        </is>
      </c>
      <c r="E264" s="12" t="inlineStr">
        <is>
          <t>Gesamt:</t>
        </is>
      </c>
      <c r="F264" s="11" t="n"/>
      <c r="G264" s="11" t="n"/>
      <c r="H264" s="13">
        <f>IF(OR(COUNTBLANK($H$265:$H$265)&gt;0,COUNTIF($H$265:$H$265,"unbearbeitet")=COUNTA($H$265:$H$265)),"Bitte Teilanforderungen ausfüllen",IF(COUNTIF($H$265:$H$265,"zu klären")&gt;0,"zu klären",IF(COUNTIF($H$265:$H$265,"entbehrlich")=COUNTA($H$265:$H$265),"entbehrlich",IF(COUNTIF($H$265:$H$265,"verwiesen")=COUNTA($H$265:$H$265),"verwiesen",IF(COUNTIF($H$265:$H$265,"nein")+COUNTIF($H$265:$H$265,"entbehrlich")=COUNTA($H$265:$H$265),"nein",IF(COUNTIF($H$265:$H$265,"ja")+COUNTIF($H$265:$H$265,"entbehrlich")+COUNTIF($H$265:$H$265,"verwiesen")=COUNTA($H$265:$H$265),"ja","teilweise"))))))</f>
        <v/>
      </c>
      <c r="I264" s="11" t="n"/>
      <c r="J264" s="11" t="n"/>
      <c r="K264" s="11" t="n"/>
      <c r="L264" s="11" t="n"/>
      <c r="M264" s="11" t="inlineStr">
        <is>
          <t>Verfügbarkeit</t>
        </is>
      </c>
      <c r="N264" s="12" t="inlineStr"/>
      <c r="O264" s="11" t="inlineStr"/>
      <c r="P264" s="12" t="inlineStr">
        <is>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is>
      </c>
      <c r="Q264" s="11" t="inlineStr">
        <is>
          <t>Anwendungen, Endgeräte</t>
        </is>
      </c>
      <c r="R264" s="11" t="inlineStr">
        <is>
          <t>Konfigurationshistorie</t>
        </is>
      </c>
      <c r="S264" s="12" t="inlineStr">
        <is>
          <t>eine Zwischenspeicherung häufig verwendeter Daten</t>
        </is>
      </c>
      <c r="T264" s="12" t="inlineStr">
        <is>
          <t>G 0.27 – Ressourcenmangel; G 0.40 – Verhinderung von Diensten (Denial of Service)</t>
        </is>
      </c>
      <c r="U264" s="11" t="n">
        <v>5</v>
      </c>
      <c r="V264" s="11" t="n">
        <v>0</v>
      </c>
      <c r="W264" s="11" t="n">
        <v>0</v>
      </c>
      <c r="X264" s="11" t="n">
        <v>2</v>
      </c>
      <c r="Y264" s="11" t="n">
        <v>0</v>
      </c>
    </row>
    <row r="265">
      <c r="A265" s="11" t="inlineStr">
        <is>
          <t>KONF.14.4</t>
        </is>
      </c>
      <c r="B265" s="12" t="inlineStr">
        <is>
          <t>Caching</t>
        </is>
      </c>
      <c r="C265" s="11" t="inlineStr">
        <is>
          <t>KONF.14.4</t>
        </is>
      </c>
      <c r="D265" s="11" t="inlineStr">
        <is>
          <t>Anforderungen bei erhöhtem Schutzbedarf</t>
        </is>
      </c>
      <c r="E265" s="12" t="inlineStr">
        <is>
          <t>Konfiguration für Anwendungen von Endgeräten KANN eine Zwischenspeicherung häufig verwendeter Daten aktivieren.</t>
        </is>
      </c>
      <c r="F265" s="14" t="n"/>
      <c r="G265" s="14" t="n"/>
      <c r="H265" s="14" t="inlineStr">
        <is>
          <t>unbearbeitet</t>
        </is>
      </c>
      <c r="I265" s="14" t="n"/>
      <c r="J265" s="14" t="n"/>
      <c r="K265" s="14" t="n"/>
      <c r="L265" s="15" t="n"/>
      <c r="M265" s="11" t="inlineStr">
        <is>
          <t>Verfügbarkeit</t>
        </is>
      </c>
      <c r="N265" s="12" t="inlineStr"/>
      <c r="O265" s="11" t="inlineStr"/>
      <c r="P265" s="12" t="inlineStr">
        <is>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is>
      </c>
      <c r="Q265" s="11" t="inlineStr">
        <is>
          <t>Anwendungen, Endgeräte</t>
        </is>
      </c>
      <c r="R265" s="11" t="inlineStr">
        <is>
          <t>Konfigurationshistorie</t>
        </is>
      </c>
      <c r="S265" s="12" t="inlineStr">
        <is>
          <t>eine Zwischenspeicherung häufig verwendeter Daten</t>
        </is>
      </c>
      <c r="T265" s="12" t="inlineStr">
        <is>
          <t>G 0.27 – Ressourcenmangel; G 0.40 – Verhinderung von Diensten (Denial of Service)</t>
        </is>
      </c>
      <c r="U265" s="11" t="n">
        <v>5</v>
      </c>
      <c r="V265" s="11" t="n">
        <v>0</v>
      </c>
      <c r="W265" s="11" t="n">
        <v>0</v>
      </c>
      <c r="X265" s="11" t="n">
        <v>2</v>
      </c>
      <c r="Y265" s="11" t="n">
        <v>0</v>
      </c>
    </row>
    <row r="266">
      <c r="A266" s="9" t="inlineStr">
        <is>
          <t>KONF.14.5</t>
        </is>
      </c>
      <c r="B266" s="10" t="inlineStr">
        <is>
          <t>Zeitüberschreitung von Netzverbindungen</t>
        </is>
      </c>
      <c r="C266" s="11" t="n"/>
      <c r="D266" s="11" t="inlineStr">
        <is>
          <t>Standard-Anforderungen</t>
        </is>
      </c>
      <c r="E266" s="12" t="inlineStr">
        <is>
          <t>Gesamt:</t>
        </is>
      </c>
      <c r="F266" s="11" t="n"/>
      <c r="G266" s="11" t="n"/>
      <c r="H266" s="13">
        <f>IF(OR(COUNTBLANK($H$267:$H$267)&gt;0,COUNTIF($H$267:$H$267,"unbearbeitet")=COUNTA($H$267:$H$267)),"Bitte Teilanforderungen ausfüllen",IF(COUNTIF($H$267:$H$267,"zu klären")&gt;0,"zu klären",IF(COUNTIF($H$267:$H$267,"entbehrlich")=COUNTA($H$267:$H$267),"entbehrlich",IF(COUNTIF($H$267:$H$267,"verwiesen")=COUNTA($H$267:$H$267),"verwiesen",IF(COUNTIF($H$267:$H$267,"nein")+COUNTIF($H$267:$H$267,"entbehrlich")=COUNTA($H$267:$H$267),"nein",IF(COUNTIF($H$267:$H$267,"ja")+COUNTIF($H$267:$H$267,"entbehrlich")+COUNTIF($H$267:$H$267,"verwiesen")=COUNTA($H$267:$H$267),"ja","teilweise"))))))</f>
        <v/>
      </c>
      <c r="I266" s="11" t="n"/>
      <c r="J266" s="11" t="n"/>
      <c r="K266" s="11" t="n"/>
      <c r="L266" s="11" t="n"/>
      <c r="M266" s="11" t="inlineStr">
        <is>
          <t>Verfügbarkeit</t>
        </is>
      </c>
      <c r="N266" s="12" t="inlineStr"/>
      <c r="O266" s="11" t="inlineStr"/>
      <c r="P266" s="12" t="inlineStr">
        <is>
          <t>Dauerhaft aufrecht erhaltene, ungenutzte Verbindungen erhöhen die Gefahr unbefugter Zugriffe auf die Anwendung oder eines Überlaufens von Systemressourcen.</t>
        </is>
      </c>
      <c r="Q266" s="11" t="inlineStr">
        <is>
          <t>Anwendungen</t>
        </is>
      </c>
      <c r="R266" s="11" t="inlineStr">
        <is>
          <t>Konfigurationshistorie</t>
        </is>
      </c>
      <c r="S266" s="12" t="inlineStr">
        <is>
          <t>Netzverbindungen bei Zeitüberschreitung</t>
        </is>
      </c>
      <c r="T266" s="12" t="inlineStr">
        <is>
          <t>G 0.27 – Ressourcenmangel; G 0.40 – Verhinderung von Diensten (Denial of Service)</t>
        </is>
      </c>
      <c r="U266" s="11" t="n">
        <v>4</v>
      </c>
      <c r="V266" s="11" t="n">
        <v>0</v>
      </c>
      <c r="W266" s="11" t="n">
        <v>0</v>
      </c>
      <c r="X266" s="11" t="n">
        <v>2</v>
      </c>
      <c r="Y266" s="11" t="n">
        <v>0</v>
      </c>
    </row>
    <row r="267">
      <c r="A267" s="11" t="inlineStr">
        <is>
          <t>KONF.14.5</t>
        </is>
      </c>
      <c r="B267" s="12" t="inlineStr">
        <is>
          <t>Zeitüberschreitung von Netzverbindungen</t>
        </is>
      </c>
      <c r="C267" s="11" t="inlineStr">
        <is>
          <t>KONF.14.5</t>
        </is>
      </c>
      <c r="D267" s="11" t="inlineStr">
        <is>
          <t>Standard-Anforderungen</t>
        </is>
      </c>
      <c r="E267" s="12" t="inlineStr">
        <is>
          <t>Konfiguration für Anwendungen SOLLTE Netzverbindungen bei Zeitüberschreitung blockieren.</t>
        </is>
      </c>
      <c r="F267" s="14" t="n"/>
      <c r="G267" s="14" t="n"/>
      <c r="H267" s="14" t="inlineStr">
        <is>
          <t>unbearbeitet</t>
        </is>
      </c>
      <c r="I267" s="14" t="n"/>
      <c r="J267" s="14" t="n"/>
      <c r="K267" s="14" t="n"/>
      <c r="L267" s="15" t="n"/>
      <c r="M267" s="11" t="inlineStr">
        <is>
          <t>Verfügbarkeit</t>
        </is>
      </c>
      <c r="N267" s="12" t="inlineStr"/>
      <c r="O267" s="11" t="inlineStr"/>
      <c r="P267" s="12" t="inlineStr">
        <is>
          <t>Dauerhaft aufrecht erhaltene, ungenutzte Verbindungen erhöhen die Gefahr unbefugter Zugriffe auf die Anwendung oder eines Überlaufens von Systemressourcen.</t>
        </is>
      </c>
      <c r="Q267" s="11" t="inlineStr">
        <is>
          <t>Anwendungen</t>
        </is>
      </c>
      <c r="R267" s="11" t="inlineStr">
        <is>
          <t>Konfigurationshistorie</t>
        </is>
      </c>
      <c r="S267" s="12" t="inlineStr">
        <is>
          <t>Netzverbindungen bei Zeitüberschreitung</t>
        </is>
      </c>
      <c r="T267" s="12" t="inlineStr">
        <is>
          <t>G 0.27 – Ressourcenmangel; G 0.40 – Verhinderung von Diensten (Denial of Service)</t>
        </is>
      </c>
      <c r="U267" s="11" t="n">
        <v>4</v>
      </c>
      <c r="V267" s="11" t="n">
        <v>0</v>
      </c>
      <c r="W267" s="11" t="n">
        <v>0</v>
      </c>
      <c r="X267" s="11" t="n">
        <v>2</v>
      </c>
      <c r="Y267" s="11" t="n">
        <v>0</v>
      </c>
    </row>
    <row r="268">
      <c r="A268" s="9" t="inlineStr">
        <is>
          <t>KONF.15.1</t>
        </is>
      </c>
      <c r="B268" s="10" t="inlineStr">
        <is>
          <t>Begrenzung des Speicherplatzes</t>
        </is>
      </c>
      <c r="C268" s="11" t="n"/>
      <c r="D268" s="11" t="inlineStr">
        <is>
          <t>Anforderungen bei erhöhtem Schutzbedarf</t>
        </is>
      </c>
      <c r="E268" s="12" t="inlineStr">
        <is>
          <t>Gesamt:</t>
        </is>
      </c>
      <c r="F268" s="11" t="n"/>
      <c r="G268" s="11" t="n"/>
      <c r="H268" s="13">
        <f>IF(OR(COUNTBLANK($H$269:$H$269)&gt;0,COUNTIF($H$269:$H$269,"unbearbeitet")=COUNTA($H$269:$H$269)),"Bitte Teilanforderungen ausfüllen",IF(COUNTIF($H$269:$H$269,"zu klären")&gt;0,"zu klären",IF(COUNTIF($H$269:$H$269,"entbehrlich")=COUNTA($H$269:$H$269),"entbehrlich",IF(COUNTIF($H$269:$H$269,"verwiesen")=COUNTA($H$269:$H$269),"verwiesen",IF(COUNTIF($H$269:$H$269,"nein")+COUNTIF($H$269:$H$269,"entbehrlich")=COUNTA($H$269:$H$269),"nein",IF(COUNTIF($H$269:$H$269,"ja")+COUNTIF($H$269:$H$269,"entbehrlich")+COUNTIF($H$269:$H$269,"verwiesen")=COUNTA($H$269:$H$269),"ja","teilweise"))))))</f>
        <v/>
      </c>
      <c r="I268" s="11" t="n"/>
      <c r="J268" s="11" t="n"/>
      <c r="K268" s="11" t="n"/>
      <c r="L268" s="11" t="n"/>
      <c r="M268" s="11" t="inlineStr">
        <is>
          <t>Verfügbarkeit</t>
        </is>
      </c>
      <c r="N268" s="12" t="inlineStr"/>
      <c r="O268" s="11" t="inlineStr"/>
      <c r="P268" s="12" t="inlineStr">
        <is>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is>
      </c>
      <c r="Q268" s="11" t="inlineStr">
        <is>
          <t>Anwendungen, Hostsysteme</t>
        </is>
      </c>
      <c r="R268" s="11" t="inlineStr">
        <is>
          <t>Konfigurationshistorie</t>
        </is>
      </c>
      <c r="S268" s="12" t="inlineStr">
        <is>
          <t>in der Anwendung zur Verfügung stehenden Speicherplatz pro {{Zugangskonto oder Mandant}}</t>
        </is>
      </c>
      <c r="T268" s="12" t="inlineStr">
        <is>
          <t>G 0.27 – Ressourcenmangel; G 0.40 – Verhinderung von Diensten (Denial of Service)</t>
        </is>
      </c>
      <c r="U268" s="11" t="n">
        <v>5</v>
      </c>
      <c r="V268" s="11" t="n">
        <v>0</v>
      </c>
      <c r="W268" s="11" t="n">
        <v>0</v>
      </c>
      <c r="X268" s="11" t="n">
        <v>2</v>
      </c>
      <c r="Y268" s="11" t="n">
        <v>0</v>
      </c>
    </row>
    <row r="269">
      <c r="A269" s="11" t="inlineStr">
        <is>
          <t>KONF.15.1</t>
        </is>
      </c>
      <c r="B269" s="12" t="inlineStr">
        <is>
          <t>Begrenzung des Speicherplatzes</t>
        </is>
      </c>
      <c r="C269" s="11" t="inlineStr">
        <is>
          <t>KONF.15.1</t>
        </is>
      </c>
      <c r="D269" s="11" t="inlineStr">
        <is>
          <t>Anforderungen bei erhöhtem Schutzbedarf</t>
        </is>
      </c>
      <c r="E269" s="12" t="inlineStr">
        <is>
          <t>Konfiguration für Anwendungen von Hostsystemen KANN in der Anwendung zur Verfügung stehenden Speicherplatz pro Zugangskonto oder Mandant anhand von Schwellwerten einschränken.</t>
        </is>
      </c>
      <c r="F269" s="14" t="n"/>
      <c r="G269" s="14" t="n"/>
      <c r="H269" s="14" t="inlineStr">
        <is>
          <t>unbearbeitet</t>
        </is>
      </c>
      <c r="I269" s="14" t="n"/>
      <c r="J269" s="14" t="n"/>
      <c r="K269" s="14" t="n"/>
      <c r="L269" s="15" t="n"/>
      <c r="M269" s="11" t="inlineStr">
        <is>
          <t>Verfügbarkeit</t>
        </is>
      </c>
      <c r="N269" s="12" t="inlineStr"/>
      <c r="O269" s="11" t="inlineStr"/>
      <c r="P269" s="12" t="inlineStr">
        <is>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is>
      </c>
      <c r="Q269" s="11" t="inlineStr">
        <is>
          <t>Anwendungen, Hostsysteme</t>
        </is>
      </c>
      <c r="R269" s="11" t="inlineStr">
        <is>
          <t>Konfigurationshistorie</t>
        </is>
      </c>
      <c r="S269" s="12" t="inlineStr">
        <is>
          <t>in der Anwendung zur Verfügung stehenden Speicherplatz pro {{Zugangskonto oder Mandant}}</t>
        </is>
      </c>
      <c r="T269" s="12" t="inlineStr">
        <is>
          <t>G 0.27 – Ressourcenmangel; G 0.40 – Verhinderung von Diensten (Denial of Service)</t>
        </is>
      </c>
      <c r="U269" s="11" t="n">
        <v>5</v>
      </c>
      <c r="V269" s="11" t="n">
        <v>0</v>
      </c>
      <c r="W269" s="11" t="n">
        <v>0</v>
      </c>
      <c r="X269" s="11" t="n">
        <v>2</v>
      </c>
      <c r="Y269" s="11" t="n">
        <v>0</v>
      </c>
    </row>
    <row r="270">
      <c r="A270" s="9" t="inlineStr">
        <is>
          <t>KONF.15.2</t>
        </is>
      </c>
      <c r="B270" s="10" t="inlineStr">
        <is>
          <t>Begrenzung der Rechenleistung</t>
        </is>
      </c>
      <c r="C270" s="11" t="n"/>
      <c r="D270" s="11" t="inlineStr">
        <is>
          <t>Anforderungen bei erhöhtem Schutzbedarf</t>
        </is>
      </c>
      <c r="E270" s="12" t="inlineStr">
        <is>
          <t>Gesamt:</t>
        </is>
      </c>
      <c r="F270" s="11" t="n"/>
      <c r="G270" s="11" t="n"/>
      <c r="H270" s="13">
        <f>IF(OR(COUNTBLANK($H$271:$H$271)&gt;0,COUNTIF($H$271:$H$271,"unbearbeitet")=COUNTA($H$271:$H$271)),"Bitte Teilanforderungen ausfüllen",IF(COUNTIF($H$271:$H$271,"zu klären")&gt;0,"zu klären",IF(COUNTIF($H$271:$H$271,"entbehrlich")=COUNTA($H$271:$H$271),"entbehrlich",IF(COUNTIF($H$271:$H$271,"verwiesen")=COUNTA($H$271:$H$271),"verwiesen",IF(COUNTIF($H$271:$H$271,"nein")+COUNTIF($H$271:$H$271,"entbehrlich")=COUNTA($H$271:$H$271),"nein",IF(COUNTIF($H$271:$H$271,"ja")+COUNTIF($H$271:$H$271,"entbehrlich")+COUNTIF($H$271:$H$271,"verwiesen")=COUNTA($H$271:$H$271),"ja","teilweise"))))))</f>
        <v/>
      </c>
      <c r="I270" s="11" t="n"/>
      <c r="J270" s="11" t="n"/>
      <c r="K270" s="11" t="n"/>
      <c r="L270" s="11" t="n"/>
      <c r="M270" s="11" t="inlineStr">
        <is>
          <t>Verfügbarkeit</t>
        </is>
      </c>
      <c r="N270" s="12" t="inlineStr"/>
      <c r="O270" s="11" t="inlineStr"/>
      <c r="P270" s="12" t="inlineStr">
        <is>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is>
      </c>
      <c r="Q270" s="11" t="inlineStr">
        <is>
          <t>Anwendungen, Hostsysteme</t>
        </is>
      </c>
      <c r="R270" s="11" t="inlineStr">
        <is>
          <t>Konfigurationshistorie</t>
        </is>
      </c>
      <c r="S270" s="12" t="inlineStr">
        <is>
          <t>die Rechenleistung</t>
        </is>
      </c>
      <c r="T270" s="12" t="inlineStr">
        <is>
          <t>G 0.27 – Ressourcenmangel; G 0.40 – Verhinderung von Diensten (Denial of Service)</t>
        </is>
      </c>
      <c r="U270" s="11" t="n">
        <v>5</v>
      </c>
      <c r="V270" s="11" t="n">
        <v>0</v>
      </c>
      <c r="W270" s="11" t="n">
        <v>0</v>
      </c>
      <c r="X270" s="11" t="n">
        <v>2</v>
      </c>
      <c r="Y270" s="11" t="n">
        <v>0</v>
      </c>
    </row>
    <row r="271">
      <c r="A271" s="11" t="inlineStr">
        <is>
          <t>KONF.15.2</t>
        </is>
      </c>
      <c r="B271" s="12" t="inlineStr">
        <is>
          <t>Begrenzung der Rechenleistung</t>
        </is>
      </c>
      <c r="C271" s="11" t="inlineStr">
        <is>
          <t>KONF.15.2</t>
        </is>
      </c>
      <c r="D271" s="11" t="inlineStr">
        <is>
          <t>Anforderungen bei erhöhtem Schutzbedarf</t>
        </is>
      </c>
      <c r="E271" s="12" t="inlineStr">
        <is>
          <t>Konfiguration für Anwendungen von Hostsystemen KANN die Rechenleistung einschränken.</t>
        </is>
      </c>
      <c r="F271" s="14" t="n"/>
      <c r="G271" s="14" t="n"/>
      <c r="H271" s="14" t="inlineStr">
        <is>
          <t>unbearbeitet</t>
        </is>
      </c>
      <c r="I271" s="14" t="n"/>
      <c r="J271" s="14" t="n"/>
      <c r="K271" s="14" t="n"/>
      <c r="L271" s="15" t="n"/>
      <c r="M271" s="11" t="inlineStr">
        <is>
          <t>Verfügbarkeit</t>
        </is>
      </c>
      <c r="N271" s="12" t="inlineStr"/>
      <c r="O271" s="11" t="inlineStr"/>
      <c r="P271" s="12" t="inlineStr">
        <is>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is>
      </c>
      <c r="Q271" s="11" t="inlineStr">
        <is>
          <t>Anwendungen, Hostsysteme</t>
        </is>
      </c>
      <c r="R271" s="11" t="inlineStr">
        <is>
          <t>Konfigurationshistorie</t>
        </is>
      </c>
      <c r="S271" s="12" t="inlineStr">
        <is>
          <t>die Rechenleistung</t>
        </is>
      </c>
      <c r="T271" s="12" t="inlineStr">
        <is>
          <t>G 0.27 – Ressourcenmangel; G 0.40 – Verhinderung von Diensten (Denial of Service)</t>
        </is>
      </c>
      <c r="U271" s="11" t="n">
        <v>5</v>
      </c>
      <c r="V271" s="11" t="n">
        <v>0</v>
      </c>
      <c r="W271" s="11" t="n">
        <v>0</v>
      </c>
      <c r="X271" s="11" t="n">
        <v>2</v>
      </c>
      <c r="Y271" s="11" t="n">
        <v>0</v>
      </c>
    </row>
    <row r="272">
      <c r="A272" s="9" t="inlineStr">
        <is>
          <t>KONF.15.3</t>
        </is>
      </c>
      <c r="B272" s="10" t="inlineStr">
        <is>
          <t>Denial of Service</t>
        </is>
      </c>
      <c r="C272" s="11" t="n"/>
      <c r="D272" s="11" t="inlineStr">
        <is>
          <t>Anforderungen bei erhöhtem Schutzbedarf</t>
        </is>
      </c>
      <c r="E272" s="12" t="inlineStr">
        <is>
          <t>Gesamt:</t>
        </is>
      </c>
      <c r="F272" s="11" t="n"/>
      <c r="G272" s="11" t="n"/>
      <c r="H272" s="13">
        <f>IF(OR(COUNTBLANK($H$273:$H$273)&gt;0,COUNTIF($H$273:$H$273,"unbearbeitet")=COUNTA($H$273:$H$273)),"Bitte Teilanforderungen ausfüllen",IF(COUNTIF($H$273:$H$273,"zu klären")&gt;0,"zu klären",IF(COUNTIF($H$273:$H$273,"entbehrlich")=COUNTA($H$273:$H$273),"entbehrlich",IF(COUNTIF($H$273:$H$273,"verwiesen")=COUNTA($H$273:$H$273),"verwiesen",IF(COUNTIF($H$273:$H$273,"nein")+COUNTIF($H$273:$H$273,"entbehrlich")=COUNTA($H$273:$H$273),"nein",IF(COUNTIF($H$273:$H$273,"ja")+COUNTIF($H$273:$H$273,"entbehrlich")+COUNTIF($H$273:$H$273,"verwiesen")=COUNTA($H$273:$H$273),"ja","teilweise"))))))</f>
        <v/>
      </c>
      <c r="I272" s="11" t="n"/>
      <c r="J272" s="11" t="n"/>
      <c r="K272" s="11" t="n"/>
      <c r="L272" s="11" t="n"/>
      <c r="M272" s="11" t="inlineStr">
        <is>
          <t>Verfügbarkeit</t>
        </is>
      </c>
      <c r="N272" s="12" t="inlineStr"/>
      <c r="O272" s="11" t="inlineStr"/>
      <c r="P272" s="12" t="inlineStr">
        <is>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is>
      </c>
      <c r="Q272" s="11" t="inlineStr">
        <is>
          <t>Anwendungen, Hostsysteme</t>
        </is>
      </c>
      <c r="R272" s="11" t="inlineStr">
        <is>
          <t>Konfigurationshistorie</t>
        </is>
      </c>
      <c r="S272" s="12" t="inlineStr">
        <is>
          <t>Schutzmaßnahmen gegen Denial of Service</t>
        </is>
      </c>
      <c r="T272" s="12" t="inlineStr">
        <is>
          <t>G 0.27 – Ressourcenmangel; G 0.40 – Verhinderung von Diensten (Denial of Service)</t>
        </is>
      </c>
      <c r="U272" s="11" t="n">
        <v>5</v>
      </c>
      <c r="V272" s="11" t="n">
        <v>0</v>
      </c>
      <c r="W272" s="11" t="n">
        <v>0</v>
      </c>
      <c r="X272" s="11" t="n">
        <v>2</v>
      </c>
      <c r="Y272" s="11" t="n">
        <v>0</v>
      </c>
    </row>
    <row r="273">
      <c r="A273" s="11" t="inlineStr">
        <is>
          <t>KONF.15.3</t>
        </is>
      </c>
      <c r="B273" s="12" t="inlineStr">
        <is>
          <t>Denial of Service</t>
        </is>
      </c>
      <c r="C273" s="11" t="inlineStr">
        <is>
          <t>KONF.15.3</t>
        </is>
      </c>
      <c r="D273" s="11" t="inlineStr">
        <is>
          <t>Anforderungen bei erhöhtem Schutzbedarf</t>
        </is>
      </c>
      <c r="E273" s="12" t="inlineStr">
        <is>
          <t>Konfiguration für Anwendungen von Hostsystemen KANN Schutzmaßnahmen gegen Denial of Service aktivieren.</t>
        </is>
      </c>
      <c r="F273" s="14" t="n"/>
      <c r="G273" s="14" t="n"/>
      <c r="H273" s="14" t="inlineStr">
        <is>
          <t>unbearbeitet</t>
        </is>
      </c>
      <c r="I273" s="14" t="n"/>
      <c r="J273" s="14" t="n"/>
      <c r="K273" s="14" t="n"/>
      <c r="L273" s="15" t="n"/>
      <c r="M273" s="11" t="inlineStr">
        <is>
          <t>Verfügbarkeit</t>
        </is>
      </c>
      <c r="N273" s="12" t="inlineStr"/>
      <c r="O273" s="11" t="inlineStr"/>
      <c r="P273" s="12" t="inlineStr">
        <is>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is>
      </c>
      <c r="Q273" s="11" t="inlineStr">
        <is>
          <t>Anwendungen, Hostsysteme</t>
        </is>
      </c>
      <c r="R273" s="11" t="inlineStr">
        <is>
          <t>Konfigurationshistorie</t>
        </is>
      </c>
      <c r="S273" s="12" t="inlineStr">
        <is>
          <t>Schutzmaßnahmen gegen Denial of Service</t>
        </is>
      </c>
      <c r="T273" s="12" t="inlineStr">
        <is>
          <t>G 0.27 – Ressourcenmangel; G 0.40 – Verhinderung von Diensten (Denial of Service)</t>
        </is>
      </c>
      <c r="U273" s="11" t="n">
        <v>5</v>
      </c>
      <c r="V273" s="11" t="n">
        <v>0</v>
      </c>
      <c r="W273" s="11" t="n">
        <v>0</v>
      </c>
      <c r="X273" s="11" t="n">
        <v>2</v>
      </c>
      <c r="Y273" s="11" t="n">
        <v>0</v>
      </c>
    </row>
    <row r="274">
      <c r="A274" s="9" t="inlineStr">
        <is>
          <t>KONF.15.4</t>
        </is>
      </c>
      <c r="B274" s="10" t="inlineStr">
        <is>
          <t>Überbuchung von virtualisierten Ressourcen</t>
        </is>
      </c>
      <c r="C274" s="11" t="n"/>
      <c r="D274" s="11" t="inlineStr">
        <is>
          <t>Anforderungen bei erhöhtem Schutzbedarf</t>
        </is>
      </c>
      <c r="E274" s="12" t="inlineStr">
        <is>
          <t>Gesamt:</t>
        </is>
      </c>
      <c r="F274" s="11" t="n"/>
      <c r="G274" s="11" t="n"/>
      <c r="H274" s="13">
        <f>IF(OR(COUNTBLANK($H$275:$H$275)&gt;0,COUNTIF($H$275:$H$275,"unbearbeitet")=COUNTA($H$275:$H$275)),"Bitte Teilanforderungen ausfüllen",IF(COUNTIF($H$275:$H$275,"zu klären")&gt;0,"zu klären",IF(COUNTIF($H$275:$H$275,"entbehrlich")=COUNTA($H$275:$H$275),"entbehrlich",IF(COUNTIF($H$275:$H$275,"verwiesen")=COUNTA($H$275:$H$275),"verwiesen",IF(COUNTIF($H$275:$H$275,"nein")+COUNTIF($H$275:$H$275,"entbehrlich")=COUNTA($H$275:$H$275),"nein",IF(COUNTIF($H$275:$H$275,"ja")+COUNTIF($H$275:$H$275,"entbehrlich")+COUNTIF($H$275:$H$275,"verwiesen")=COUNTA($H$275:$H$275),"ja","teilweise"))))))</f>
        <v/>
      </c>
      <c r="I274" s="11" t="n"/>
      <c r="J274" s="11" t="n"/>
      <c r="K274" s="11" t="n"/>
      <c r="L274" s="11" t="n"/>
      <c r="M274" s="11" t="inlineStr">
        <is>
          <t>Verfügbarkeit</t>
        </is>
      </c>
      <c r="N274" s="12" t="inlineStr"/>
      <c r="O274" s="11" t="inlineStr"/>
      <c r="P274" s="12" t="inlineStr">
        <is>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is>
      </c>
      <c r="Q274" s="11" t="inlineStr">
        <is>
          <t>Virtualisierungslösungen</t>
        </is>
      </c>
      <c r="R274" s="11" t="inlineStr">
        <is>
          <t>Konfigurationshistorie</t>
        </is>
      </c>
      <c r="S274" s="12" t="inlineStr">
        <is>
          <t>die Überbuchung von virtualisierten Ressourcen</t>
        </is>
      </c>
      <c r="T274" s="12" t="inlineStr">
        <is>
          <t>G 0.27 – Ressourcenmangel; G 0.40 – Verhinderung von Diensten (Denial of Service)</t>
        </is>
      </c>
      <c r="U274" s="11" t="n">
        <v>5</v>
      </c>
      <c r="V274" s="11" t="n">
        <v>0</v>
      </c>
      <c r="W274" s="11" t="n">
        <v>0</v>
      </c>
      <c r="X274" s="11" t="n">
        <v>2</v>
      </c>
      <c r="Y274" s="11" t="n">
        <v>0</v>
      </c>
    </row>
    <row r="275">
      <c r="A275" s="11" t="inlineStr">
        <is>
          <t>KONF.15.4</t>
        </is>
      </c>
      <c r="B275" s="12" t="inlineStr">
        <is>
          <t>Überbuchung von virtualisierten Ressourcen</t>
        </is>
      </c>
      <c r="C275" s="11" t="inlineStr">
        <is>
          <t>KONF.15.4</t>
        </is>
      </c>
      <c r="D275" s="11" t="inlineStr">
        <is>
          <t>Anforderungen bei erhöhtem Schutzbedarf</t>
        </is>
      </c>
      <c r="E275" s="12" t="inlineStr">
        <is>
          <t>Konfiguration für Virtualisierungslösungen KANN die Überbuchung von virtualisierten Ressourcen deaktivieren.</t>
        </is>
      </c>
      <c r="F275" s="14" t="n"/>
      <c r="G275" s="14" t="n"/>
      <c r="H275" s="14" t="inlineStr">
        <is>
          <t>unbearbeitet</t>
        </is>
      </c>
      <c r="I275" s="14" t="n"/>
      <c r="J275" s="14" t="n"/>
      <c r="K275" s="14" t="n"/>
      <c r="L275" s="15" t="n"/>
      <c r="M275" s="11" t="inlineStr">
        <is>
          <t>Verfügbarkeit</t>
        </is>
      </c>
      <c r="N275" s="12" t="inlineStr"/>
      <c r="O275" s="11" t="inlineStr"/>
      <c r="P275" s="12" t="inlineStr">
        <is>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is>
      </c>
      <c r="Q275" s="11" t="inlineStr">
        <is>
          <t>Virtualisierungslösungen</t>
        </is>
      </c>
      <c r="R275" s="11" t="inlineStr">
        <is>
          <t>Konfigurationshistorie</t>
        </is>
      </c>
      <c r="S275" s="12" t="inlineStr">
        <is>
          <t>die Überbuchung von virtualisierten Ressourcen</t>
        </is>
      </c>
      <c r="T275" s="12" t="inlineStr">
        <is>
          <t>G 0.27 – Ressourcenmangel; G 0.40 – Verhinderung von Diensten (Denial of Service)</t>
        </is>
      </c>
      <c r="U275" s="11" t="n">
        <v>5</v>
      </c>
      <c r="V275" s="11" t="n">
        <v>0</v>
      </c>
      <c r="W275" s="11" t="n">
        <v>0</v>
      </c>
      <c r="X275" s="11" t="n">
        <v>2</v>
      </c>
      <c r="Y275" s="11" t="n">
        <v>0</v>
      </c>
    </row>
  </sheetData>
  <autoFilter ref="A6:Y6"/>
  <conditionalFormatting sqref="H7:H275">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20 H21 H23 H25 H27 H28 H29 H31 H32 H34 H36 H38 H40 H42 H44 H46 H48 H50 H52 H53 H55 H57 H59 H60 H62 H63 H65 H67 H69 H71 H72 H73 H75 H77 H78 H79 H80 H82 H84 H86 H87 H89 H91 H92 H94 H96 H98 H100 H102 H104 H106 H108 H110 H112 H114 H116 H118 H120 H122 H124 H126 H128 H130 H132 H134 H136 H138 H140 H142 H144 H145 H147 H148 H150 H152 H154 H156 H158 H159 H161 H163 H165 H167 H168 H170 H171 H172 H174 H176 H178 H180 H182 H184 H185 H186 H187 H189 H191 H192 H193 H194 H195 H196 H197 H198 H199 H200 H201 H202 H204 H206 H208 H210 H212 H214 H216 H218 H220 H222 H224 H226 H228 H230 H231 H232 H234 H235 H236 H238 H240 H242 H243 H245 H247 H249 H251 H253 H255 H257 H258 H259 H261 H263 H265 H267 H269 H271 H273 H275"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68"/>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NOT</t>
        </is>
      </c>
      <c r="B3" s="6" t="inlineStr">
        <is>
          <t>Notfallplanung</t>
        </is>
      </c>
    </row>
    <row r="4">
      <c r="A4" s="3" t="inlineStr">
        <is>
          <t>Zielobjekte</t>
        </is>
      </c>
      <c r="B4" s="7">
        <f>IF('Praktiken'!D15="","",'Praktiken'!D15)</f>
        <v/>
      </c>
    </row>
    <row r="5">
      <c r="A5" s="3" t="inlineStr">
        <is>
          <t>Zuständig</t>
        </is>
      </c>
      <c r="B5" s="7">
        <f>IF('Praktiken'!S15="","",'Praktiken'!S15)</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NOT.1.1</t>
        </is>
      </c>
      <c r="B7" s="10" t="inlineStr">
        <is>
          <t>Verfahren und Regelungen</t>
        </is>
      </c>
      <c r="C7" s="11" t="n"/>
      <c r="D7" s="11" t="inlineStr">
        <is>
          <t>Basis-Anforderungen</t>
        </is>
      </c>
      <c r="E7" s="12" t="inlineStr">
        <is>
          <t>Gesamt:</t>
        </is>
      </c>
      <c r="F7" s="11" t="n"/>
      <c r="G7" s="11" t="n"/>
      <c r="H7" s="13">
        <f>IF(OR(COUNTBLANK($H$8:$H$11)&gt;0,COUNTIF($H$8:$H$11,"unbearbeitet")=COUNTA($H$8:$H$11)),"Bitte Teilanforderungen ausfüllen",IF(COUNTIF($H$8:$H$11,"zu klären")&gt;0,"zu klären",IF(COUNTIF($H$8:$H$11,"entbehrlich")=COUNTA($H$8:$H$11),"entbehrlich",IF(COUNTIF($H$8:$H$11,"verwiesen")=COUNTA($H$8:$H$11),"verwiesen",IF(COUNTIF($H$8:$H$11,"nein")+COUNTIF($H$8:$H$11,"entbehrlich")=COUNTA($H$8:$H$11),"nein",IF(COUNTIF($H$8:$H$11,"ja")+COUNTIF($H$8:$H$11,"entbehrlich")+COUNTIF($H$8:$H$11,"verwiesen")=COUNTA($H$8:$H$11),"ja","teilweise"))))))</f>
        <v/>
      </c>
      <c r="I7" s="11" t="n"/>
      <c r="J7" s="11" t="n"/>
      <c r="K7" s="11" t="n"/>
      <c r="L7" s="11" t="n"/>
      <c r="M7" s="11" t="inlineStr">
        <is>
          <t>Verfügbarkeit</t>
        </is>
      </c>
      <c r="N7" s="12" t="inlineStr">
        <is>
          <t>APP.4.2.A28-UA.3; IND.1.A13-UA.1; OPS.1.1.1.A17-UA.3</t>
        </is>
      </c>
      <c r="O7" s="11" t="inlineStr">
        <is>
          <t>intersects-with; subset-of; intersects-with</t>
        </is>
      </c>
      <c r="P7" s="12" t="inlineStr">
        <is>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is>
      </c>
      <c r="Q7" s="11" t="inlineStr"/>
      <c r="R7" s="11" t="inlineStr">
        <is>
          <t>BC-Leitlinie</t>
        </is>
      </c>
      <c r="S7" s="12" t="inlineStr">
        <is>
          <t>Verfahren und Regelungen zur Vorsorge für Notfälle der Informationssicherheit</t>
        </is>
      </c>
      <c r="T7" s="12" t="inlineStr">
        <is>
          <t>G 0.18 – Fehlplanung oder fehlende Anpassung</t>
        </is>
      </c>
      <c r="U7" s="11" t="n">
        <v>0</v>
      </c>
      <c r="V7" s="11" t="n">
        <v>1</v>
      </c>
      <c r="W7" s="11" t="n">
        <v>1</v>
      </c>
      <c r="X7" s="11" t="n">
        <v>2</v>
      </c>
      <c r="Y7" s="11" t="n">
        <v>0</v>
      </c>
    </row>
    <row r="8">
      <c r="A8" s="11" t="inlineStr">
        <is>
          <t>NOT.1.1</t>
        </is>
      </c>
      <c r="B8" s="12" t="inlineStr">
        <is>
          <t>Verfahren und Regelungen</t>
        </is>
      </c>
      <c r="C8" s="11" t="inlineStr">
        <is>
          <t>NOT.1.1.1</t>
        </is>
      </c>
      <c r="D8" s="11" t="inlineStr">
        <is>
          <t>Basis-Anforderungen</t>
        </is>
      </c>
      <c r="E8" s="12" t="inlineStr">
        <is>
          <t>Notfallplanung MUSS die Verfahren und Regelungen dokumentieren.</t>
        </is>
      </c>
      <c r="F8" s="14" t="n"/>
      <c r="G8" s="14" t="n"/>
      <c r="H8" s="14" t="inlineStr">
        <is>
          <t>unbearbeitet</t>
        </is>
      </c>
      <c r="I8" s="14" t="n"/>
      <c r="J8" s="14" t="n"/>
      <c r="K8" s="14" t="n"/>
      <c r="L8" s="15" t="n"/>
      <c r="M8" s="11" t="inlineStr"/>
      <c r="N8" s="12" t="inlineStr">
        <is>
          <t>DER.4.A12-UA.1</t>
        </is>
      </c>
      <c r="O8" s="11" t="inlineStr">
        <is>
          <t>equivalent-to</t>
        </is>
      </c>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t>
        </is>
      </c>
      <c r="U8" s="11" t="n">
        <v>0</v>
      </c>
      <c r="V8" s="11" t="n">
        <v>1</v>
      </c>
      <c r="W8" s="11" t="n">
        <v>1</v>
      </c>
      <c r="X8" s="11" t="n">
        <v>1</v>
      </c>
      <c r="Y8" s="11" t="n">
        <v>1</v>
      </c>
    </row>
    <row r="9">
      <c r="A9" s="11" t="inlineStr">
        <is>
          <t>NOT.1.1</t>
        </is>
      </c>
      <c r="B9" s="12" t="inlineStr">
        <is>
          <t>Verfahren und Regelungen</t>
        </is>
      </c>
      <c r="C9" s="11" t="inlineStr">
        <is>
          <t>NOT.1.1.2</t>
        </is>
      </c>
      <c r="D9" s="11" t="inlineStr">
        <is>
          <t>Basis-Anforderungen</t>
        </is>
      </c>
      <c r="E9" s="12" t="inlineStr">
        <is>
          <t>Notfallplanung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NOT.1.1</t>
        </is>
      </c>
      <c r="B10" s="12" t="inlineStr">
        <is>
          <t>Verfahren und Regelungen</t>
        </is>
      </c>
      <c r="C10" s="11" t="inlineStr">
        <is>
          <t>NOT.1.1.3</t>
        </is>
      </c>
      <c r="D10" s="11" t="inlineStr">
        <is>
          <t>Basis-Anforderungen</t>
        </is>
      </c>
      <c r="E10" s="12" t="inlineStr">
        <is>
          <t>Notfallplanung MUSS die zuständigen Personen oder Rollen über die Verfahren und Regelungen informieren.</t>
        </is>
      </c>
      <c r="F10" s="14" t="n"/>
      <c r="G10" s="14" t="n"/>
      <c r="H10" s="14" t="inlineStr">
        <is>
          <t>unbearbeitet</t>
        </is>
      </c>
      <c r="I10" s="14" t="n"/>
      <c r="J10" s="14" t="n"/>
      <c r="K10" s="14" t="n"/>
      <c r="L10" s="15" t="n"/>
      <c r="M10" s="11" t="inlineStr">
        <is>
          <t>Integrität</t>
        </is>
      </c>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2</v>
      </c>
      <c r="X10" s="11" t="n">
        <v>1</v>
      </c>
      <c r="Y10" s="11" t="n">
        <v>0</v>
      </c>
    </row>
    <row r="11">
      <c r="A11" s="11" t="inlineStr">
        <is>
          <t>NOT.1.1</t>
        </is>
      </c>
      <c r="B11" s="12" t="inlineStr">
        <is>
          <t>Verfahren und Regelungen</t>
        </is>
      </c>
      <c r="C11" s="11" t="inlineStr">
        <is>
          <t>NOT.1.1.4</t>
        </is>
      </c>
      <c r="D11" s="11" t="inlineStr">
        <is>
          <t>Anforderungen bei erhöhtem Schutzbedarf</t>
        </is>
      </c>
      <c r="E11" s="12" t="inlineStr">
        <is>
          <t>Notfallplanung KANN ein Reaktiv-, Aufbau- oder Standard-BCMS nach BSI-Standard 200-4 verankern.</t>
        </is>
      </c>
      <c r="F11" s="14" t="n"/>
      <c r="G11" s="14" t="n"/>
      <c r="H11" s="14" t="inlineStr">
        <is>
          <t>unbearbeitet</t>
        </is>
      </c>
      <c r="I11" s="14" t="n"/>
      <c r="J11" s="14" t="n"/>
      <c r="K11" s="14" t="n"/>
      <c r="L11" s="15" t="n"/>
      <c r="M11" s="11" t="inlineStr">
        <is>
          <t>Verfügbarkeit</t>
        </is>
      </c>
      <c r="N11" s="12" t="inlineStr"/>
      <c r="O11" s="11" t="inlineStr"/>
      <c r="P11" s="12" t="inlineStr">
        <is>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is>
      </c>
      <c r="Q11" s="11" t="inlineStr"/>
      <c r="R11" s="11" t="inlineStr">
        <is>
          <t>BC-Leitlinie</t>
        </is>
      </c>
      <c r="S11" s="12" t="inlineStr">
        <is>
          <t>ein {{Reaktiv-, Aufbau- oder Standard-}}BCMS nach {{einem anerkannten BCM-Standard}}</t>
        </is>
      </c>
      <c r="T11" s="12" t="inlineStr">
        <is>
          <t>G 0.18 – Fehlplanung oder fehlende Anpassung</t>
        </is>
      </c>
      <c r="U11" s="11" t="n">
        <v>5</v>
      </c>
      <c r="V11" s="11" t="n">
        <v>1</v>
      </c>
      <c r="W11" s="11" t="n">
        <v>1</v>
      </c>
      <c r="X11" s="11" t="n">
        <v>2</v>
      </c>
      <c r="Y11" s="11" t="n">
        <v>0</v>
      </c>
    </row>
    <row r="12">
      <c r="A12" s="9" t="inlineStr">
        <is>
          <t>NOT.1.2</t>
        </is>
      </c>
      <c r="B12" s="10" t="inlineStr">
        <is>
          <t>Regelmäßige Überprüfung</t>
        </is>
      </c>
      <c r="C12" s="11" t="n"/>
      <c r="D12" s="11" t="inlineStr">
        <is>
          <t>Basis-Anforderungen</t>
        </is>
      </c>
      <c r="E12" s="12" t="inlineStr">
        <is>
          <t>Gesamt:</t>
        </is>
      </c>
      <c r="F12" s="11" t="n"/>
      <c r="G12" s="11" t="n"/>
      <c r="H12" s="13">
        <f>IF(OR(COUNTBLANK($H$13:$H$13)&gt;0,COUNTIF($H$13:$H$13,"unbearbeitet")=COUNTA($H$13:$H$13)),"Bitte Teilanforderungen ausfüllen",IF(COUNTIF($H$13:$H$13,"zu klären")&gt;0,"zu klären",IF(COUNTIF($H$13:$H$13,"entbehrlich")=COUNTA($H$13:$H$13),"entbehrlich",IF(COUNTIF($H$13:$H$13,"verwiesen")=COUNTA($H$13:$H$13),"verwiesen",IF(COUNTIF($H$13:$H$13,"nein")+COUNTIF($H$13:$H$13,"entbehrlich")=COUNTA($H$13:$H$13),"nein",IF(COUNTIF($H$13:$H$13,"ja")+COUNTIF($H$13:$H$13,"entbehrlich")+COUNTIF($H$13:$H$13,"verwiesen")=COUNTA($H$13:$H$13),"ja","teilweise"))))))</f>
        <v/>
      </c>
      <c r="I12" s="11" t="n"/>
      <c r="J12" s="11" t="n"/>
      <c r="K12" s="11" t="n"/>
      <c r="L12" s="11" t="n"/>
      <c r="M12" s="11" t="inlineStr"/>
      <c r="N12" s="12" t="inlineStr">
        <is>
          <t>DER.4.A13-UA.2</t>
        </is>
      </c>
      <c r="O12" s="11" t="inlineStr">
        <is>
          <t>equivalent-to</t>
        </is>
      </c>
      <c r="P12"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11" t="inlineStr">
        <is>
          <t>NOT.1.2</t>
        </is>
      </c>
      <c r="B13" s="12" t="inlineStr">
        <is>
          <t>Regelmäßige Überprüfung</t>
        </is>
      </c>
      <c r="C13" s="11" t="inlineStr">
        <is>
          <t>NOT.1.2</t>
        </is>
      </c>
      <c r="D13" s="11" t="inlineStr">
        <is>
          <t>Basis-Anforderungen</t>
        </is>
      </c>
      <c r="E13" s="12" t="inlineStr">
        <is>
          <t>Notfallplanung MUSS die Verfahren und Regelungen regelmäßig und anlassbezogen auf Aktualität überprüfen.</t>
        </is>
      </c>
      <c r="F13" s="14" t="n"/>
      <c r="G13" s="14" t="n"/>
      <c r="H13" s="14" t="inlineStr">
        <is>
          <t>unbearbeitet</t>
        </is>
      </c>
      <c r="I13" s="14" t="n"/>
      <c r="J13" s="14" t="n"/>
      <c r="K13" s="14" t="n"/>
      <c r="L13" s="15" t="n"/>
      <c r="M13" s="11" t="inlineStr"/>
      <c r="N13" s="12" t="inlineStr">
        <is>
          <t>DER.4.A13-UA.2</t>
        </is>
      </c>
      <c r="O13" s="11" t="inlineStr">
        <is>
          <t>equivalent-to</t>
        </is>
      </c>
      <c r="P13"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3" s="11" t="inlineStr"/>
      <c r="R13" s="11" t="inlineStr">
        <is>
          <t>Übungs- und Prüfplan</t>
        </is>
      </c>
      <c r="S13" s="12" t="inlineStr">
        <is>
          <t>die Verfahren und Regelungen</t>
        </is>
      </c>
      <c r="T13" s="12" t="inlineStr">
        <is>
          <t>G 0.18 – Fehlplanung oder fehlende Anpassung</t>
        </is>
      </c>
      <c r="U13" s="11" t="n">
        <v>0</v>
      </c>
      <c r="V13" s="11" t="n">
        <v>1</v>
      </c>
      <c r="W13" s="11" t="n">
        <v>1</v>
      </c>
      <c r="X13" s="11" t="n">
        <v>1</v>
      </c>
      <c r="Y13" s="11" t="n">
        <v>0</v>
      </c>
    </row>
    <row r="14">
      <c r="A14" s="9" t="inlineStr">
        <is>
          <t>NOT.2.1</t>
        </is>
      </c>
      <c r="B14" s="10" t="inlineStr">
        <is>
          <t>Verfahren und Regelungen zur BAO</t>
        </is>
      </c>
      <c r="C14" s="11" t="n"/>
      <c r="D14" s="11" t="inlineStr">
        <is>
          <t>Standard-Anforderungen</t>
        </is>
      </c>
      <c r="E14" s="12" t="inlineStr">
        <is>
          <t>Gesamt:</t>
        </is>
      </c>
      <c r="F14" s="11" t="n"/>
      <c r="G14" s="11" t="n"/>
      <c r="H14" s="13">
        <f>IF(OR(COUNTBLANK($H$15:$H$19)&gt;0,COUNTIF($H$15:$H$19,"unbearbeitet")=COUNTA($H$15:$H$19)),"Bitte Teilanforderungen ausfüllen",IF(COUNTIF($H$15:$H$19,"zu klären")&gt;0,"zu klären",IF(COUNTIF($H$15:$H$19,"entbehrlich")=COUNTA($H$15:$H$19),"entbehrlich",IF(COUNTIF($H$15:$H$19,"verwiesen")=COUNTA($H$15:$H$19),"verwiesen",IF(COUNTIF($H$15:$H$19,"nein")+COUNTIF($H$15:$H$19,"entbehrlich")=COUNTA($H$15:$H$19),"nein",IF(COUNTIF($H$15:$H$19,"ja")+COUNTIF($H$15:$H$19,"entbehrlich")+COUNTIF($H$15:$H$19,"verwiesen")=COUNTA($H$15:$H$19),"ja","teilweise"))))))</f>
        <v/>
      </c>
      <c r="I14" s="11" t="n"/>
      <c r="J14" s="11" t="n"/>
      <c r="K14" s="11" t="n"/>
      <c r="L14" s="11" t="n"/>
      <c r="M14" s="11" t="inlineStr"/>
      <c r="N14" s="12" t="inlineStr"/>
      <c r="O14" s="11" t="inlineStr"/>
      <c r="P14" s="12" t="inlineStr">
        <is>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is>
      </c>
      <c r="Q14" s="11" t="inlineStr"/>
      <c r="R14" s="11" t="inlineStr">
        <is>
          <t>Notfallhandbuch</t>
        </is>
      </c>
      <c r="S14" s="12" t="inlineStr">
        <is>
          <t>Verfahren und Regelungen für eine Besondere Aufbauorganisation (BAO) zur Behandlung von Notfällen und Krisen</t>
        </is>
      </c>
      <c r="T14" s="12" t="inlineStr">
        <is>
          <t>G 0.18 – Fehlplanung oder fehlende Anpassung</t>
        </is>
      </c>
      <c r="U14" s="11" t="n">
        <v>4</v>
      </c>
      <c r="V14" s="11" t="n">
        <v>1</v>
      </c>
      <c r="W14" s="11" t="n">
        <v>1</v>
      </c>
      <c r="X14" s="11" t="n">
        <v>1</v>
      </c>
      <c r="Y14" s="11" t="n">
        <v>0</v>
      </c>
    </row>
    <row r="15">
      <c r="A15" s="11" t="inlineStr">
        <is>
          <t>NOT.2.1</t>
        </is>
      </c>
      <c r="B15" s="12" t="inlineStr">
        <is>
          <t>Verfahren und Regelungen zur BAO</t>
        </is>
      </c>
      <c r="C15" s="11" t="inlineStr">
        <is>
          <t>NOT.2.1</t>
        </is>
      </c>
      <c r="D15" s="11" t="inlineStr">
        <is>
          <t>Standard-Anforderungen</t>
        </is>
      </c>
      <c r="E15" s="12" t="inlineStr">
        <is>
          <t>Notfallplanung SOLLTE Verfahren und Regelungen für eine Besondere Aufbauorganisation (BAO) zur Behandlung von Notfällen und Krisen verankern.</t>
        </is>
      </c>
      <c r="F15" s="14" t="n"/>
      <c r="G15" s="14" t="n"/>
      <c r="H15" s="14" t="inlineStr">
        <is>
          <t>unbearbeitet</t>
        </is>
      </c>
      <c r="I15" s="14" t="n"/>
      <c r="J15" s="14" t="n"/>
      <c r="K15" s="14" t="n"/>
      <c r="L15" s="15" t="n"/>
      <c r="M15" s="11" t="inlineStr"/>
      <c r="N15" s="12" t="inlineStr"/>
      <c r="O15" s="11" t="inlineStr"/>
      <c r="P15" s="12" t="inlineStr">
        <is>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is>
      </c>
      <c r="Q15" s="11" t="inlineStr"/>
      <c r="R15" s="11" t="inlineStr">
        <is>
          <t>Notfallhandbuch</t>
        </is>
      </c>
      <c r="S15" s="12" t="inlineStr">
        <is>
          <t>Verfahren und Regelungen für eine Besondere Aufbauorganisation (BAO) zur Behandlung von Notfällen und Krisen</t>
        </is>
      </c>
      <c r="T15" s="12" t="inlineStr">
        <is>
          <t>G 0.18 – Fehlplanung oder fehlende Anpassung</t>
        </is>
      </c>
      <c r="U15" s="11" t="n">
        <v>4</v>
      </c>
      <c r="V15" s="11" t="n">
        <v>1</v>
      </c>
      <c r="W15" s="11" t="n">
        <v>1</v>
      </c>
      <c r="X15" s="11" t="n">
        <v>1</v>
      </c>
      <c r="Y15" s="11" t="n">
        <v>0</v>
      </c>
    </row>
    <row r="16">
      <c r="A16" s="11" t="inlineStr">
        <is>
          <t>NOT.2.1</t>
        </is>
      </c>
      <c r="B16" s="12" t="inlineStr">
        <is>
          <t>Verfahren und Regelungen zur BAO</t>
        </is>
      </c>
      <c r="C16" s="11" t="inlineStr">
        <is>
          <t>NOT.2.1.1</t>
        </is>
      </c>
      <c r="D16" s="11" t="inlineStr">
        <is>
          <t>Standard-Anforderungen</t>
        </is>
      </c>
      <c r="E16" s="12" t="inlineStr">
        <is>
          <t>Notfallplanung SOLLTE Aufgaben für die BAO einschließlich BAO-Stab und Notfallteams zuständigen Personen oder Rollen zuweisen.</t>
        </is>
      </c>
      <c r="F16" s="14" t="n"/>
      <c r="G16" s="14" t="n"/>
      <c r="H16" s="14" t="inlineStr">
        <is>
          <t>unbearbeitet</t>
        </is>
      </c>
      <c r="I16" s="14" t="n"/>
      <c r="J16" s="14" t="n"/>
      <c r="K16" s="14" t="n"/>
      <c r="L16" s="15" t="n"/>
      <c r="M16" s="11" t="inlineStr"/>
      <c r="N16" s="12" t="inlineStr"/>
      <c r="O16" s="11" t="inlineStr"/>
      <c r="P16" s="12" t="inlineStr">
        <is>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is>
      </c>
      <c r="Q16" s="11" t="inlineStr"/>
      <c r="R16" s="11" t="inlineStr">
        <is>
          <t>Notfallhandbuch</t>
        </is>
      </c>
      <c r="S16" s="12" t="inlineStr">
        <is>
          <t>Aufgaben für die BAO</t>
        </is>
      </c>
      <c r="T16" s="12" t="inlineStr">
        <is>
          <t>G 0.18 – Fehlplanung oder fehlende Anpassung</t>
        </is>
      </c>
      <c r="U16" s="11" t="n">
        <v>4</v>
      </c>
      <c r="V16" s="11" t="n">
        <v>1</v>
      </c>
      <c r="W16" s="11" t="n">
        <v>1</v>
      </c>
      <c r="X16" s="11" t="n">
        <v>1</v>
      </c>
      <c r="Y16" s="11" t="n">
        <v>0</v>
      </c>
    </row>
    <row r="17">
      <c r="A17" s="11" t="inlineStr">
        <is>
          <t>NOT.2.1</t>
        </is>
      </c>
      <c r="B17" s="12" t="inlineStr">
        <is>
          <t>Verfahren und Regelungen zur BAO</t>
        </is>
      </c>
      <c r="C17" s="11" t="inlineStr">
        <is>
          <t>NOT.2.1.2</t>
        </is>
      </c>
      <c r="D17" s="11" t="inlineStr">
        <is>
          <t>Standard-Anforderungen</t>
        </is>
      </c>
      <c r="E17" s="12" t="inlineStr">
        <is>
          <t>Notfallplanung SOLLTE die Alarmierung der BAO verankern.</t>
        </is>
      </c>
      <c r="F17" s="14" t="n"/>
      <c r="G17" s="14" t="n"/>
      <c r="H17" s="14" t="inlineStr">
        <is>
          <t>unbearbeitet</t>
        </is>
      </c>
      <c r="I17" s="14" t="n"/>
      <c r="J17" s="14" t="n"/>
      <c r="K17" s="14" t="n"/>
      <c r="L17" s="15" t="n"/>
      <c r="M17" s="11" t="inlineStr"/>
      <c r="N17" s="12" t="inlineStr"/>
      <c r="O17" s="11" t="inlineStr"/>
      <c r="P17" s="12" t="inlineStr">
        <is>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is>
      </c>
      <c r="Q17" s="11" t="inlineStr"/>
      <c r="R17" s="11" t="inlineStr">
        <is>
          <t>Notfallhandbuch</t>
        </is>
      </c>
      <c r="S17" s="12" t="inlineStr">
        <is>
          <t>die Alarmierung der BAO</t>
        </is>
      </c>
      <c r="T17" s="12" t="inlineStr">
        <is>
          <t>G 0.18 – Fehlplanung oder fehlende Anpassung</t>
        </is>
      </c>
      <c r="U17" s="11" t="n">
        <v>4</v>
      </c>
      <c r="V17" s="11" t="n">
        <v>1</v>
      </c>
      <c r="W17" s="11" t="n">
        <v>1</v>
      </c>
      <c r="X17" s="11" t="n">
        <v>1</v>
      </c>
      <c r="Y17" s="11" t="n">
        <v>0</v>
      </c>
    </row>
    <row r="18">
      <c r="A18" s="11" t="inlineStr">
        <is>
          <t>NOT.2.1</t>
        </is>
      </c>
      <c r="B18" s="12" t="inlineStr">
        <is>
          <t>Verfahren und Regelungen zur BAO</t>
        </is>
      </c>
      <c r="C18" s="11" t="inlineStr">
        <is>
          <t>NOT.2.1.3</t>
        </is>
      </c>
      <c r="D18" s="11" t="inlineStr">
        <is>
          <t>Anforderungen bei erhöhtem Schutzbedarf</t>
        </is>
      </c>
      <c r="E18" s="12" t="inlineStr">
        <is>
          <t>Notfallplanung KANN einen Stabsraum für den Stab installieren.</t>
        </is>
      </c>
      <c r="F18" s="14" t="n"/>
      <c r="G18" s="14" t="n"/>
      <c r="H18" s="14" t="inlineStr">
        <is>
          <t>unbearbeitet</t>
        </is>
      </c>
      <c r="I18" s="14" t="n"/>
      <c r="J18" s="14" t="n"/>
      <c r="K18" s="14" t="n"/>
      <c r="L18" s="15" t="n"/>
      <c r="M18" s="11" t="inlineStr"/>
      <c r="N18" s="12" t="inlineStr"/>
      <c r="O18" s="11" t="inlineStr"/>
      <c r="P18" s="12" t="inlineStr">
        <is>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is>
      </c>
      <c r="Q18" s="11" t="inlineStr"/>
      <c r="R18" s="11" t="inlineStr">
        <is>
          <t>Notfallhandbuch</t>
        </is>
      </c>
      <c r="S18" s="12" t="inlineStr">
        <is>
          <t>einen Stabsraum für den Stab</t>
        </is>
      </c>
      <c r="T18" s="12" t="inlineStr">
        <is>
          <t>G 0.18 – Fehlplanung oder fehlende Anpassung</t>
        </is>
      </c>
      <c r="U18" s="11" t="n">
        <v>5</v>
      </c>
      <c r="V18" s="11" t="n">
        <v>1</v>
      </c>
      <c r="W18" s="11" t="n">
        <v>1</v>
      </c>
      <c r="X18" s="11" t="n">
        <v>1</v>
      </c>
      <c r="Y18" s="11" t="n">
        <v>0</v>
      </c>
    </row>
    <row r="19">
      <c r="A19" s="11" t="inlineStr">
        <is>
          <t>NOT.2.1</t>
        </is>
      </c>
      <c r="B19" s="12" t="inlineStr">
        <is>
          <t>Verfahren und Regelungen zur BAO</t>
        </is>
      </c>
      <c r="C19" s="11" t="inlineStr">
        <is>
          <t>NOT.2.1.4</t>
        </is>
      </c>
      <c r="D19" s="11" t="inlineStr">
        <is>
          <t>Anforderungen bei erhöhtem Schutzbedarf</t>
        </is>
      </c>
      <c r="E19" s="12" t="inlineStr">
        <is>
          <t>Notfallplanung KANN die Funktionsfähigkeit der BAO regelmäßig durch Stabsübungen überprüfen.</t>
        </is>
      </c>
      <c r="F19" s="14" t="n"/>
      <c r="G19" s="14" t="n"/>
      <c r="H19" s="14" t="inlineStr">
        <is>
          <t>unbearbeitet</t>
        </is>
      </c>
      <c r="I19" s="14" t="n"/>
      <c r="J19" s="14" t="n"/>
      <c r="K19" s="14" t="n"/>
      <c r="L19" s="15" t="n"/>
      <c r="M19" s="11" t="inlineStr">
        <is>
          <t>Verfügbarkeit</t>
        </is>
      </c>
      <c r="N19" s="12" t="inlineStr">
        <is>
          <t>IND.1.A13-UA.1</t>
        </is>
      </c>
      <c r="O19" s="11" t="inlineStr">
        <is>
          <t>subset-of</t>
        </is>
      </c>
      <c r="P19" s="12" t="inlineStr">
        <is>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is>
      </c>
      <c r="Q19" s="11" t="inlineStr"/>
      <c r="R19" s="11" t="inlineStr">
        <is>
          <t>Notfallhandbuch</t>
        </is>
      </c>
      <c r="S19" s="12" t="inlineStr">
        <is>
          <t>die Funktionsfähigkeit der BAO</t>
        </is>
      </c>
      <c r="T19" s="12" t="inlineStr">
        <is>
          <t>G 0.1 – Feuer</t>
        </is>
      </c>
      <c r="U19" s="11" t="n">
        <v>5</v>
      </c>
      <c r="V19" s="11" t="n">
        <v>0</v>
      </c>
      <c r="W19" s="11" t="n">
        <v>0</v>
      </c>
      <c r="X19" s="11" t="n">
        <v>2</v>
      </c>
      <c r="Y19" s="11" t="n">
        <v>0</v>
      </c>
    </row>
    <row r="20">
      <c r="A20" s="9" t="inlineStr">
        <is>
          <t>NOT.3.1</t>
        </is>
      </c>
      <c r="B20" s="10" t="inlineStr">
        <is>
          <t>Wiederanlaufplan</t>
        </is>
      </c>
      <c r="C20" s="11" t="n"/>
      <c r="D20" s="11" t="inlineStr">
        <is>
          <t>Standard-Anforderungen</t>
        </is>
      </c>
      <c r="E20" s="12" t="inlineStr">
        <is>
          <t>Gesamt:</t>
        </is>
      </c>
      <c r="F20" s="11" t="n"/>
      <c r="G20" s="11" t="n"/>
      <c r="H20" s="13">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
      </c>
      <c r="I20" s="11" t="n"/>
      <c r="J20" s="11" t="n"/>
      <c r="K20" s="11" t="n"/>
      <c r="L20" s="11" t="n"/>
      <c r="M20" s="11" t="inlineStr">
        <is>
          <t>Verfügbarkeit</t>
        </is>
      </c>
      <c r="N20" s="12" t="inlineStr"/>
      <c r="O20" s="11" t="inlineStr"/>
      <c r="P20" s="12" t="inlineStr">
        <is>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is>
      </c>
      <c r="Q20" s="11" t="inlineStr"/>
      <c r="R20" s="11" t="inlineStr">
        <is>
          <t>Notfallhandbuch</t>
        </is>
      </c>
      <c r="S20" s="12" t="inlineStr">
        <is>
          <t>einen Wiederanlaufplan für zeitkritische Systeme und Anwendungen</t>
        </is>
      </c>
      <c r="T20" s="12" t="inlineStr">
        <is>
          <t>G 0.18 – Fehlplanung oder fehlende Anpassung</t>
        </is>
      </c>
      <c r="U20" s="11" t="n">
        <v>4</v>
      </c>
      <c r="V20" s="11" t="n">
        <v>1</v>
      </c>
      <c r="W20" s="11" t="n">
        <v>1</v>
      </c>
      <c r="X20" s="11" t="n">
        <v>2</v>
      </c>
      <c r="Y20" s="11" t="n">
        <v>0</v>
      </c>
    </row>
    <row r="21">
      <c r="A21" s="11" t="inlineStr">
        <is>
          <t>NOT.3.1</t>
        </is>
      </c>
      <c r="B21" s="12" t="inlineStr">
        <is>
          <t>Wiederanlaufplan</t>
        </is>
      </c>
      <c r="C21" s="11" t="inlineStr">
        <is>
          <t>NOT.3.1</t>
        </is>
      </c>
      <c r="D21" s="11" t="inlineStr">
        <is>
          <t>Standard-Anforderungen</t>
        </is>
      </c>
      <c r="E21" s="12" t="inlineStr">
        <is>
          <t>Notfallplanung SOLLTE einen Wiederanlaufplan für zeitkritische Systeme und Anwendungen dokumentieren.</t>
        </is>
      </c>
      <c r="F21" s="14" t="n"/>
      <c r="G21" s="14" t="n"/>
      <c r="H21" s="14" t="inlineStr">
        <is>
          <t>unbearbeitet</t>
        </is>
      </c>
      <c r="I21" s="14" t="n"/>
      <c r="J21" s="14" t="n"/>
      <c r="K21" s="14" t="n"/>
      <c r="L21" s="15" t="n"/>
      <c r="M21" s="11" t="inlineStr">
        <is>
          <t>Verfügbarkeit</t>
        </is>
      </c>
      <c r="N21" s="12" t="inlineStr"/>
      <c r="O21" s="11" t="inlineStr"/>
      <c r="P21" s="12" t="inlineStr">
        <is>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is>
      </c>
      <c r="Q21" s="11" t="inlineStr"/>
      <c r="R21" s="11" t="inlineStr">
        <is>
          <t>Notfallhandbuch</t>
        </is>
      </c>
      <c r="S21" s="12" t="inlineStr">
        <is>
          <t>einen Wiederanlaufplan für zeitkritische Systeme und Anwendungen</t>
        </is>
      </c>
      <c r="T21" s="12" t="inlineStr">
        <is>
          <t>G 0.18 – Fehlplanung oder fehlende Anpassung</t>
        </is>
      </c>
      <c r="U21" s="11" t="n">
        <v>4</v>
      </c>
      <c r="V21" s="11" t="n">
        <v>1</v>
      </c>
      <c r="W21" s="11" t="n">
        <v>1</v>
      </c>
      <c r="X21" s="11" t="n">
        <v>2</v>
      </c>
      <c r="Y21" s="11" t="n">
        <v>0</v>
      </c>
    </row>
    <row r="22">
      <c r="A22" s="9" t="inlineStr">
        <is>
          <t>NOT.3.2</t>
        </is>
      </c>
      <c r="B22" s="10" t="inlineStr">
        <is>
          <t>Geschäftsfortführungsplan</t>
        </is>
      </c>
      <c r="C22" s="11" t="n"/>
      <c r="D22" s="11" t="inlineStr">
        <is>
          <t>Anforderungen bei erhöhtem Schutzbedarf</t>
        </is>
      </c>
      <c r="E22" s="12" t="inlineStr">
        <is>
          <t>Gesamt:</t>
        </is>
      </c>
      <c r="F22" s="11" t="n"/>
      <c r="G22" s="11" t="n"/>
      <c r="H22" s="13">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
      </c>
      <c r="I22" s="11" t="n"/>
      <c r="J22" s="11" t="n"/>
      <c r="K22" s="11" t="n"/>
      <c r="L22" s="11" t="n"/>
      <c r="M22" s="11" t="inlineStr">
        <is>
          <t>Verfügbarkeit</t>
        </is>
      </c>
      <c r="N22" s="12" t="inlineStr"/>
      <c r="O22" s="11" t="inlineStr"/>
      <c r="P22" s="12" t="inlineStr">
        <is>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is>
      </c>
      <c r="Q22" s="11" t="inlineStr"/>
      <c r="R22" s="11" t="inlineStr">
        <is>
          <t>Notfallhandbuch</t>
        </is>
      </c>
      <c r="S22" s="12" t="inlineStr">
        <is>
          <t>einen Geschäftsfortführungsplan für zeitkritische Geschäftsprozesse</t>
        </is>
      </c>
      <c r="T22" s="12" t="inlineStr">
        <is>
          <t>G 0.18 – Fehlplanung oder fehlende Anpassung</t>
        </is>
      </c>
      <c r="U22" s="11" t="n">
        <v>5</v>
      </c>
      <c r="V22" s="11" t="n">
        <v>1</v>
      </c>
      <c r="W22" s="11" t="n">
        <v>1</v>
      </c>
      <c r="X22" s="11" t="n">
        <v>2</v>
      </c>
      <c r="Y22" s="11" t="n">
        <v>0</v>
      </c>
    </row>
    <row r="23">
      <c r="A23" s="11" t="inlineStr">
        <is>
          <t>NOT.3.2</t>
        </is>
      </c>
      <c r="B23" s="12" t="inlineStr">
        <is>
          <t>Geschäftsfortführungsplan</t>
        </is>
      </c>
      <c r="C23" s="11" t="inlineStr">
        <is>
          <t>NOT.3.2</t>
        </is>
      </c>
      <c r="D23" s="11" t="inlineStr">
        <is>
          <t>Anforderungen bei erhöhtem Schutzbedarf</t>
        </is>
      </c>
      <c r="E23" s="12" t="inlineStr">
        <is>
          <t>Notfallplanung KANN einen Geschäftsfortführungsplan für zeitkritische Geschäftsprozesse dokumentieren.</t>
        </is>
      </c>
      <c r="F23" s="14" t="n"/>
      <c r="G23" s="14" t="n"/>
      <c r="H23" s="14" t="inlineStr">
        <is>
          <t>unbearbeitet</t>
        </is>
      </c>
      <c r="I23" s="14" t="n"/>
      <c r="J23" s="14" t="n"/>
      <c r="K23" s="14" t="n"/>
      <c r="L23" s="15" t="n"/>
      <c r="M23" s="11" t="inlineStr">
        <is>
          <t>Verfügbarkeit</t>
        </is>
      </c>
      <c r="N23" s="12" t="inlineStr"/>
      <c r="O23" s="11" t="inlineStr"/>
      <c r="P23" s="12" t="inlineStr">
        <is>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is>
      </c>
      <c r="Q23" s="11" t="inlineStr"/>
      <c r="R23" s="11" t="inlineStr">
        <is>
          <t>Notfallhandbuch</t>
        </is>
      </c>
      <c r="S23" s="12" t="inlineStr">
        <is>
          <t>einen Geschäftsfortführungsplan für zeitkritische Geschäftsprozesse</t>
        </is>
      </c>
      <c r="T23" s="12" t="inlineStr">
        <is>
          <t>G 0.18 – Fehlplanung oder fehlende Anpassung</t>
        </is>
      </c>
      <c r="U23" s="11" t="n">
        <v>5</v>
      </c>
      <c r="V23" s="11" t="n">
        <v>1</v>
      </c>
      <c r="W23" s="11" t="n">
        <v>1</v>
      </c>
      <c r="X23" s="11" t="n">
        <v>2</v>
      </c>
      <c r="Y23" s="11" t="n">
        <v>0</v>
      </c>
    </row>
    <row r="24">
      <c r="A24" s="9" t="inlineStr">
        <is>
          <t>NOT.3.3</t>
        </is>
      </c>
      <c r="B24" s="10" t="inlineStr">
        <is>
          <t>Sensibilisierung zum Vorgehen im Notfall</t>
        </is>
      </c>
      <c r="C24" s="11" t="n"/>
      <c r="D24" s="11" t="inlineStr">
        <is>
          <t>Standard-Anforderungen</t>
        </is>
      </c>
      <c r="E24" s="12" t="inlineStr">
        <is>
          <t>Gesamt:</t>
        </is>
      </c>
      <c r="F24" s="11" t="n"/>
      <c r="G24" s="11" t="n"/>
      <c r="H24" s="13">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
      </c>
      <c r="I24" s="11" t="n"/>
      <c r="J24" s="11" t="n"/>
      <c r="K24" s="11" t="n"/>
      <c r="L24" s="11" t="n"/>
      <c r="M24" s="11" t="inlineStr">
        <is>
          <t>Verfügbarkeit</t>
        </is>
      </c>
      <c r="N24" s="12" t="inlineStr"/>
      <c r="O24" s="11" t="inlineStr"/>
      <c r="P24" s="12" t="inlineStr">
        <is>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is>
      </c>
      <c r="Q24" s="11" t="inlineStr">
        <is>
          <t>Nutzende</t>
        </is>
      </c>
      <c r="R24" s="11" t="inlineStr">
        <is>
          <t>Schulungsplan</t>
        </is>
      </c>
      <c r="S24" s="12" t="inlineStr">
        <is>
          <t>zur Vorgehensweise in Notfällen und Krisen</t>
        </is>
      </c>
      <c r="T24" s="12" t="inlineStr">
        <is>
          <t>G 0.25 – Ausfall von Geräten oder Systemen; G 0.27 – Ressourcenmangel; G 0.40 – Verhinderung von Diensten (Denial of Service)</t>
        </is>
      </c>
      <c r="U24" s="11" t="n">
        <v>4</v>
      </c>
      <c r="V24" s="11" t="n">
        <v>0</v>
      </c>
      <c r="W24" s="11" t="n">
        <v>0</v>
      </c>
      <c r="X24" s="11" t="n">
        <v>2</v>
      </c>
      <c r="Y24" s="11" t="n">
        <v>0</v>
      </c>
    </row>
    <row r="25">
      <c r="A25" s="11" t="inlineStr">
        <is>
          <t>NOT.3.3</t>
        </is>
      </c>
      <c r="B25" s="12" t="inlineStr">
        <is>
          <t>Sensibilisierung zum Vorgehen im Notfall</t>
        </is>
      </c>
      <c r="C25" s="11" t="inlineStr">
        <is>
          <t>NOT.3.3</t>
        </is>
      </c>
      <c r="D25" s="11" t="inlineStr">
        <is>
          <t>Standard-Anforderungen</t>
        </is>
      </c>
      <c r="E25" s="12" t="inlineStr">
        <is>
          <t>Notfallplanung für Nutzende SOLLTE zur Vorgehensweise in Notfällen und Krisen sensibilisieren.</t>
        </is>
      </c>
      <c r="F25" s="14" t="n"/>
      <c r="G25" s="14" t="n"/>
      <c r="H25" s="14" t="inlineStr">
        <is>
          <t>unbearbeitet</t>
        </is>
      </c>
      <c r="I25" s="14" t="n"/>
      <c r="J25" s="14" t="n"/>
      <c r="K25" s="14" t="n"/>
      <c r="L25" s="15" t="n"/>
      <c r="M25" s="11" t="inlineStr">
        <is>
          <t>Verfügbarkeit</t>
        </is>
      </c>
      <c r="N25" s="12" t="inlineStr"/>
      <c r="O25" s="11" t="inlineStr"/>
      <c r="P25" s="12" t="inlineStr">
        <is>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is>
      </c>
      <c r="Q25" s="11" t="inlineStr">
        <is>
          <t>Nutzende</t>
        </is>
      </c>
      <c r="R25" s="11" t="inlineStr">
        <is>
          <t>Schulungsplan</t>
        </is>
      </c>
      <c r="S25" s="12" t="inlineStr">
        <is>
          <t>zur Vorgehensweise in Notfällen und Krisen</t>
        </is>
      </c>
      <c r="T25" s="12" t="inlineStr">
        <is>
          <t>G 0.25 – Ausfall von Geräten oder Systemen; G 0.27 – Ressourcenmangel; G 0.40 – Verhinderung von Diensten (Denial of Service)</t>
        </is>
      </c>
      <c r="U25" s="11" t="n">
        <v>4</v>
      </c>
      <c r="V25" s="11" t="n">
        <v>0</v>
      </c>
      <c r="W25" s="11" t="n">
        <v>0</v>
      </c>
      <c r="X25" s="11" t="n">
        <v>2</v>
      </c>
      <c r="Y25" s="11" t="n">
        <v>0</v>
      </c>
    </row>
    <row r="26">
      <c r="A26" s="9" t="inlineStr">
        <is>
          <t>NOT.3.4</t>
        </is>
      </c>
      <c r="B26" s="10" t="inlineStr">
        <is>
          <t>Funktionstest</t>
        </is>
      </c>
      <c r="C26" s="11" t="n"/>
      <c r="D26" s="11" t="inlineStr">
        <is>
          <t>Anforderungen bei erhöhtem Schutzbedarf</t>
        </is>
      </c>
      <c r="E26" s="12" t="inlineStr">
        <is>
          <t>Gesamt:</t>
        </is>
      </c>
      <c r="F26" s="11" t="n"/>
      <c r="G26" s="11" t="n"/>
      <c r="H26" s="13">
        <f>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
      </c>
      <c r="I26" s="11" t="n"/>
      <c r="J26" s="11" t="n"/>
      <c r="K26" s="11" t="n"/>
      <c r="L26" s="11" t="n"/>
      <c r="M26" s="11" t="inlineStr">
        <is>
          <t>Verfügbarkeit</t>
        </is>
      </c>
      <c r="N26" s="12" t="inlineStr">
        <is>
          <t>IND.1.A13-UA.1</t>
        </is>
      </c>
      <c r="O26" s="11" t="inlineStr">
        <is>
          <t>subset-of</t>
        </is>
      </c>
      <c r="P26" s="12" t="inlineStr">
        <is>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is>
      </c>
      <c r="Q26" s="11" t="inlineStr"/>
      <c r="R26" s="11" t="inlineStr">
        <is>
          <t>Übungsplan</t>
        </is>
      </c>
      <c r="S26" s="12" t="inlineStr">
        <is>
          <t>die tatsächliche Funktionstüchtigkeit von Notfallplänen</t>
        </is>
      </c>
      <c r="T26" s="12" t="inlineStr">
        <is>
          <t>G 0.18 – Fehlplanung oder fehlende Anpassung</t>
        </is>
      </c>
      <c r="U26" s="11" t="n">
        <v>5</v>
      </c>
      <c r="V26" s="11" t="n">
        <v>1</v>
      </c>
      <c r="W26" s="11" t="n">
        <v>1</v>
      </c>
      <c r="X26" s="11" t="n">
        <v>2</v>
      </c>
      <c r="Y26" s="11" t="n">
        <v>0</v>
      </c>
    </row>
    <row r="27">
      <c r="A27" s="11" t="inlineStr">
        <is>
          <t>NOT.3.4</t>
        </is>
      </c>
      <c r="B27" s="12" t="inlineStr">
        <is>
          <t>Funktionstest</t>
        </is>
      </c>
      <c r="C27" s="11" t="inlineStr">
        <is>
          <t>NOT.3.4</t>
        </is>
      </c>
      <c r="D27" s="11" t="inlineStr">
        <is>
          <t>Anforderungen bei erhöhtem Schutzbedarf</t>
        </is>
      </c>
      <c r="E27" s="12" t="inlineStr">
        <is>
          <t>Notfallplanung KANN die tatsächliche Funktionstüchtigkeit von Notfallplänen regelmäßig überprüfen.</t>
        </is>
      </c>
      <c r="F27" s="14" t="n"/>
      <c r="G27" s="14" t="n"/>
      <c r="H27" s="14" t="inlineStr">
        <is>
          <t>unbearbeitet</t>
        </is>
      </c>
      <c r="I27" s="14" t="n"/>
      <c r="J27" s="14" t="n"/>
      <c r="K27" s="14" t="n"/>
      <c r="L27" s="15" t="n"/>
      <c r="M27" s="11" t="inlineStr">
        <is>
          <t>Verfügbarkeit</t>
        </is>
      </c>
      <c r="N27" s="12" t="inlineStr">
        <is>
          <t>IND.1.A13-UA.1</t>
        </is>
      </c>
      <c r="O27" s="11" t="inlineStr">
        <is>
          <t>subset-of</t>
        </is>
      </c>
      <c r="P27" s="12" t="inlineStr">
        <is>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is>
      </c>
      <c r="Q27" s="11" t="inlineStr"/>
      <c r="R27" s="11" t="inlineStr">
        <is>
          <t>Übungsplan</t>
        </is>
      </c>
      <c r="S27" s="12" t="inlineStr">
        <is>
          <t>die tatsächliche Funktionstüchtigkeit von Notfallplänen</t>
        </is>
      </c>
      <c r="T27" s="12" t="inlineStr">
        <is>
          <t>G 0.18 – Fehlplanung oder fehlende Anpassung</t>
        </is>
      </c>
      <c r="U27" s="11" t="n">
        <v>5</v>
      </c>
      <c r="V27" s="11" t="n">
        <v>1</v>
      </c>
      <c r="W27" s="11" t="n">
        <v>1</v>
      </c>
      <c r="X27" s="11" t="n">
        <v>2</v>
      </c>
      <c r="Y27" s="11" t="n">
        <v>0</v>
      </c>
    </row>
    <row r="28">
      <c r="A28" s="9" t="inlineStr">
        <is>
          <t>NOT.3.5</t>
        </is>
      </c>
      <c r="B28" s="10" t="inlineStr">
        <is>
          <t>Ausweich-Telekommunikation</t>
        </is>
      </c>
      <c r="C28" s="11" t="n"/>
      <c r="D28" s="11" t="inlineStr">
        <is>
          <t>Standard-Anforderungen</t>
        </is>
      </c>
      <c r="E28" s="12" t="inlineStr">
        <is>
          <t>Gesamt:</t>
        </is>
      </c>
      <c r="F28" s="11" t="n"/>
      <c r="G28" s="11" t="n"/>
      <c r="H28" s="13">
        <f>IF(OR(COUNTBLANK($H$29:$H$29)&gt;0,COUNTIF($H$29:$H$29,"unbearbeitet")=COUNTA($H$29:$H$29)),"Bitte Teilanforderungen ausfüllen",IF(COUNTIF($H$29:$H$29,"zu klären")&gt;0,"zu klären",IF(COUNTIF($H$29:$H$29,"entbehrlich")=COUNTA($H$29:$H$29),"entbehrlich",IF(COUNTIF($H$29:$H$29,"verwiesen")=COUNTA($H$29:$H$29),"verwiesen",IF(COUNTIF($H$29:$H$29,"nein")+COUNTIF($H$29:$H$29,"entbehrlich")=COUNTA($H$29:$H$29),"nein",IF(COUNTIF($H$29:$H$29,"ja")+COUNTIF($H$29:$H$29,"entbehrlich")+COUNTIF($H$29:$H$29,"verwiesen")=COUNTA($H$29:$H$29),"ja","teilweise"))))))</f>
        <v/>
      </c>
      <c r="I28" s="11" t="n"/>
      <c r="J28" s="11" t="n"/>
      <c r="K28" s="11" t="n"/>
      <c r="L28" s="11" t="n"/>
      <c r="M28" s="11" t="inlineStr">
        <is>
          <t>Verfügbarkeit</t>
        </is>
      </c>
      <c r="N28" s="12" t="inlineStr">
        <is>
          <t>IND.1.A24-UA.1</t>
        </is>
      </c>
      <c r="O28" s="11" t="inlineStr">
        <is>
          <t>intersects-with</t>
        </is>
      </c>
      <c r="P28" s="12" t="inlineStr">
        <is>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is>
      </c>
      <c r="Q28" s="11" t="inlineStr"/>
      <c r="R28" s="11" t="inlineStr">
        <is>
          <t>Notfallhandbuch</t>
        </is>
      </c>
      <c r="S28" s="12" t="inlineStr">
        <is>
          <t>Ausweich-Telekommunikationsdienste</t>
        </is>
      </c>
      <c r="T28" s="12" t="inlineStr">
        <is>
          <t>G 0.18 – Fehlplanung oder fehlende Anpassung</t>
        </is>
      </c>
      <c r="U28" s="11" t="n">
        <v>4</v>
      </c>
      <c r="V28" s="11" t="n">
        <v>1</v>
      </c>
      <c r="W28" s="11" t="n">
        <v>1</v>
      </c>
      <c r="X28" s="11" t="n">
        <v>2</v>
      </c>
      <c r="Y28" s="11" t="n">
        <v>0</v>
      </c>
    </row>
    <row r="29">
      <c r="A29" s="11" t="inlineStr">
        <is>
          <t>NOT.3.5</t>
        </is>
      </c>
      <c r="B29" s="12" t="inlineStr">
        <is>
          <t>Ausweich-Telekommunikation</t>
        </is>
      </c>
      <c r="C29" s="11" t="inlineStr">
        <is>
          <t>NOT.3.5</t>
        </is>
      </c>
      <c r="D29" s="11" t="inlineStr">
        <is>
          <t>Standard-Anforderungen</t>
        </is>
      </c>
      <c r="E29" s="12" t="inlineStr">
        <is>
          <t>Notfallplanung SOLLTE Ausweich-Telekommunikationsdienste verankern.</t>
        </is>
      </c>
      <c r="F29" s="14" t="n"/>
      <c r="G29" s="14" t="n"/>
      <c r="H29" s="14" t="inlineStr">
        <is>
          <t>unbearbeitet</t>
        </is>
      </c>
      <c r="I29" s="14" t="n"/>
      <c r="J29" s="14" t="n"/>
      <c r="K29" s="14" t="n"/>
      <c r="L29" s="15" t="n"/>
      <c r="M29" s="11" t="inlineStr">
        <is>
          <t>Verfügbarkeit</t>
        </is>
      </c>
      <c r="N29" s="12" t="inlineStr">
        <is>
          <t>IND.1.A24-UA.1</t>
        </is>
      </c>
      <c r="O29" s="11" t="inlineStr">
        <is>
          <t>intersects-with</t>
        </is>
      </c>
      <c r="P29" s="12" t="inlineStr">
        <is>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is>
      </c>
      <c r="Q29" s="11" t="inlineStr"/>
      <c r="R29" s="11" t="inlineStr">
        <is>
          <t>Notfallhandbuch</t>
        </is>
      </c>
      <c r="S29" s="12" t="inlineStr">
        <is>
          <t>Ausweich-Telekommunikationsdienste</t>
        </is>
      </c>
      <c r="T29" s="12" t="inlineStr">
        <is>
          <t>G 0.18 – Fehlplanung oder fehlende Anpassung</t>
        </is>
      </c>
      <c r="U29" s="11" t="n">
        <v>4</v>
      </c>
      <c r="V29" s="11" t="n">
        <v>1</v>
      </c>
      <c r="W29" s="11" t="n">
        <v>1</v>
      </c>
      <c r="X29" s="11" t="n">
        <v>2</v>
      </c>
      <c r="Y29" s="11" t="n">
        <v>0</v>
      </c>
    </row>
    <row r="30">
      <c r="A30" s="9" t="inlineStr">
        <is>
          <t>NOT.3.6</t>
        </is>
      </c>
      <c r="B30" s="10" t="inlineStr">
        <is>
          <t>Sicherheitsmechanismen</t>
        </is>
      </c>
      <c r="C30" s="11" t="n"/>
      <c r="D30" s="11" t="inlineStr">
        <is>
          <t>Standard-Anforderungen</t>
        </is>
      </c>
      <c r="E30" s="12" t="inlineStr">
        <is>
          <t>Gesamt:</t>
        </is>
      </c>
      <c r="F30" s="11" t="n"/>
      <c r="G30" s="11" t="n"/>
      <c r="H30" s="13">
        <f>IF(OR(COUNTBLANK($H$31:$H$31)&gt;0,COUNTIF($H$31:$H$31,"unbearbeitet")=COUNTA($H$31:$H$31)),"Bitte Teilanforderungen ausfüllen",IF(COUNTIF($H$31:$H$31,"zu klären")&gt;0,"zu klären",IF(COUNTIF($H$31:$H$31,"entbehrlich")=COUNTA($H$31:$H$31),"entbehrlich",IF(COUNTIF($H$31:$H$31,"verwiesen")=COUNTA($H$31:$H$31),"verwiesen",IF(COUNTIF($H$31:$H$31,"nein")+COUNTIF($H$31:$H$31,"entbehrlich")=COUNTA($H$31:$H$31),"nein",IF(COUNTIF($H$31:$H$31,"ja")+COUNTIF($H$31:$H$31,"entbehrlich")+COUNTIF($H$31:$H$31,"verwiesen")=COUNTA($H$31:$H$31),"ja","teilweise"))))))</f>
        <v/>
      </c>
      <c r="I30" s="11" t="n"/>
      <c r="J30" s="11" t="n"/>
      <c r="K30" s="11" t="n"/>
      <c r="L30" s="11" t="n"/>
      <c r="M30" s="11" t="inlineStr"/>
      <c r="N30" s="12" t="inlineStr">
        <is>
          <t>APP.1.2.A12-UA.1</t>
        </is>
      </c>
      <c r="O30" s="11" t="inlineStr">
        <is>
          <t>intersects-with</t>
        </is>
      </c>
      <c r="P30" s="12" t="inlineStr">
        <is>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is>
      </c>
      <c r="Q30" s="11" t="inlineStr"/>
      <c r="R30" s="11" t="inlineStr">
        <is>
          <t>Notfallhandbuch</t>
        </is>
      </c>
      <c r="S30" s="12" t="inlineStr">
        <is>
          <t>alternative Sicherheitsmechanismen</t>
        </is>
      </c>
      <c r="T30" s="12" t="inlineStr">
        <is>
          <t>G 0.18 – Fehlplanung oder fehlende Anpassung</t>
        </is>
      </c>
      <c r="U30" s="11" t="n">
        <v>4</v>
      </c>
      <c r="V30" s="11" t="n">
        <v>1</v>
      </c>
      <c r="W30" s="11" t="n">
        <v>1</v>
      </c>
      <c r="X30" s="11" t="n">
        <v>1</v>
      </c>
      <c r="Y30" s="11" t="n">
        <v>0</v>
      </c>
    </row>
    <row r="31">
      <c r="A31" s="11" t="inlineStr">
        <is>
          <t>NOT.3.6</t>
        </is>
      </c>
      <c r="B31" s="12" t="inlineStr">
        <is>
          <t>Sicherheitsmechanismen</t>
        </is>
      </c>
      <c r="C31" s="11" t="inlineStr">
        <is>
          <t>NOT.3.6</t>
        </is>
      </c>
      <c r="D31" s="11" t="inlineStr">
        <is>
          <t>Standard-Anforderungen</t>
        </is>
      </c>
      <c r="E31" s="12" t="inlineStr">
        <is>
          <t>Notfallplanung SOLLTE alternative Sicherheitsmechanismen , die in Notfällen greifen, verankern.</t>
        </is>
      </c>
      <c r="F31" s="14" t="n"/>
      <c r="G31" s="14" t="n"/>
      <c r="H31" s="14" t="inlineStr">
        <is>
          <t>unbearbeitet</t>
        </is>
      </c>
      <c r="I31" s="14" t="n"/>
      <c r="J31" s="14" t="n"/>
      <c r="K31" s="14" t="n"/>
      <c r="L31" s="15" t="n"/>
      <c r="M31" s="11" t="inlineStr"/>
      <c r="N31" s="12" t="inlineStr">
        <is>
          <t>APP.1.2.A12-UA.1</t>
        </is>
      </c>
      <c r="O31" s="11" t="inlineStr">
        <is>
          <t>intersects-with</t>
        </is>
      </c>
      <c r="P31" s="12" t="inlineStr">
        <is>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is>
      </c>
      <c r="Q31" s="11" t="inlineStr"/>
      <c r="R31" s="11" t="inlineStr">
        <is>
          <t>Notfallhandbuch</t>
        </is>
      </c>
      <c r="S31" s="12" t="inlineStr">
        <is>
          <t>alternative Sicherheitsmechanismen</t>
        </is>
      </c>
      <c r="T31" s="12" t="inlineStr">
        <is>
          <t>G 0.18 – Fehlplanung oder fehlende Anpassung</t>
        </is>
      </c>
      <c r="U31" s="11" t="n">
        <v>4</v>
      </c>
      <c r="V31" s="11" t="n">
        <v>1</v>
      </c>
      <c r="W31" s="11" t="n">
        <v>1</v>
      </c>
      <c r="X31" s="11" t="n">
        <v>1</v>
      </c>
      <c r="Y31" s="11" t="n">
        <v>0</v>
      </c>
    </row>
    <row r="32">
      <c r="A32" s="9" t="inlineStr">
        <is>
          <t>NOT.4.1</t>
        </is>
      </c>
      <c r="B32" s="10" t="inlineStr">
        <is>
          <t>Dokumentation der Quellen</t>
        </is>
      </c>
      <c r="C32" s="11" t="n"/>
      <c r="D32" s="11" t="inlineStr">
        <is>
          <t>Standard-Anforderungen</t>
        </is>
      </c>
      <c r="E32" s="12" t="inlineStr">
        <is>
          <t>Gesamt:</t>
        </is>
      </c>
      <c r="F32" s="11" t="n"/>
      <c r="G32" s="11" t="n"/>
      <c r="H32" s="13">
        <f>IF(OR(COUNTBLANK($H$33:$H$33)&gt;0,COUNTIF($H$33:$H$33,"unbearbeitet")=COUNTA($H$33:$H$33)),"Bitte Teilanforderungen ausfüllen",IF(COUNTIF($H$33:$H$33,"zu klären")&gt;0,"zu klären",IF(COUNTIF($H$33:$H$33,"entbehrlich")=COUNTA($H$33:$H$33),"entbehrlich",IF(COUNTIF($H$33:$H$33,"verwiesen")=COUNTA($H$33:$H$33),"verwiesen",IF(COUNTIF($H$33:$H$33,"nein")+COUNTIF($H$33:$H$33,"entbehrlich")=COUNTA($H$33:$H$33),"nein",IF(COUNTIF($H$33:$H$33,"ja")+COUNTIF($H$33:$H$33,"entbehrlich")+COUNTIF($H$33:$H$33,"verwiesen")=COUNTA($H$33:$H$33),"ja","teilweise"))))))</f>
        <v/>
      </c>
      <c r="I32" s="11" t="n"/>
      <c r="J32" s="11" t="n"/>
      <c r="K32" s="11" t="n"/>
      <c r="L32" s="11" t="n"/>
      <c r="M32" s="11" t="inlineStr">
        <is>
          <t>Verfügbarkeit</t>
        </is>
      </c>
      <c r="N32" s="12" t="inlineStr"/>
      <c r="O32" s="11" t="inlineStr"/>
      <c r="P32" s="12" t="inlineStr">
        <is>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is>
      </c>
      <c r="Q32" s="11" t="inlineStr"/>
      <c r="R32" s="11" t="inlineStr">
        <is>
          <t>Datensicherungskonzept</t>
        </is>
      </c>
      <c r="S32" s="12" t="inlineStr">
        <is>
          <t>die zu sichernden Daten</t>
        </is>
      </c>
      <c r="T32" s="12" t="inlineStr">
        <is>
          <t>G 0.45 – Datenverlust; G 0.18 – Fehlplanung oder fehlende Anpassung; G 0.25 – Ausfall von Geräten oder Systemen; G 0.37 – Abstreiten von Handlungen</t>
        </is>
      </c>
      <c r="U32" s="11" t="n">
        <v>2</v>
      </c>
      <c r="V32" s="11" t="n">
        <v>1</v>
      </c>
      <c r="W32" s="11" t="n">
        <v>1</v>
      </c>
      <c r="X32" s="11" t="n">
        <v>2</v>
      </c>
      <c r="Y32" s="11" t="n">
        <v>1</v>
      </c>
    </row>
    <row r="33">
      <c r="A33" s="11" t="inlineStr">
        <is>
          <t>NOT.4.1</t>
        </is>
      </c>
      <c r="B33" s="12" t="inlineStr">
        <is>
          <t>Dokumentation der Quellen</t>
        </is>
      </c>
      <c r="C33" s="11" t="inlineStr">
        <is>
          <t>NOT.4.1</t>
        </is>
      </c>
      <c r="D33" s="11" t="inlineStr">
        <is>
          <t>Standard-Anforderungen</t>
        </is>
      </c>
      <c r="E33" s="12" t="inlineStr">
        <is>
          <t>Notfallplanung SOLLTE die zu sichernden Daten dokumentieren.</t>
        </is>
      </c>
      <c r="F33" s="14" t="n"/>
      <c r="G33" s="14" t="n"/>
      <c r="H33" s="14" t="inlineStr">
        <is>
          <t>unbearbeitet</t>
        </is>
      </c>
      <c r="I33" s="14" t="n"/>
      <c r="J33" s="14" t="n"/>
      <c r="K33" s="14" t="n"/>
      <c r="L33" s="15" t="n"/>
      <c r="M33" s="11" t="inlineStr">
        <is>
          <t>Verfügbarkeit</t>
        </is>
      </c>
      <c r="N33" s="12" t="inlineStr"/>
      <c r="O33" s="11" t="inlineStr"/>
      <c r="P33" s="12" t="inlineStr">
        <is>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is>
      </c>
      <c r="Q33" s="11" t="inlineStr"/>
      <c r="R33" s="11" t="inlineStr">
        <is>
          <t>Datensicherungskonzept</t>
        </is>
      </c>
      <c r="S33" s="12" t="inlineStr">
        <is>
          <t>die zu sichernden Daten</t>
        </is>
      </c>
      <c r="T33" s="12" t="inlineStr">
        <is>
          <t>G 0.45 – Datenverlust; G 0.18 – Fehlplanung oder fehlende Anpassung; G 0.25 – Ausfall von Geräten oder Systemen; G 0.37 – Abstreiten von Handlungen</t>
        </is>
      </c>
      <c r="U33" s="11" t="n">
        <v>2</v>
      </c>
      <c r="V33" s="11" t="n">
        <v>1</v>
      </c>
      <c r="W33" s="11" t="n">
        <v>1</v>
      </c>
      <c r="X33" s="11" t="n">
        <v>2</v>
      </c>
      <c r="Y33" s="11" t="n">
        <v>1</v>
      </c>
    </row>
    <row r="34">
      <c r="A34" s="9" t="inlineStr">
        <is>
          <t>NOT.4.2</t>
        </is>
      </c>
      <c r="B34" s="10" t="inlineStr">
        <is>
          <t>Sicherung des Systems</t>
        </is>
      </c>
      <c r="C34" s="11" t="n"/>
      <c r="D34" s="11" t="inlineStr">
        <is>
          <t>Standard-Anforderungen</t>
        </is>
      </c>
      <c r="E34" s="12" t="inlineStr">
        <is>
          <t>Gesamt:</t>
        </is>
      </c>
      <c r="F34" s="11" t="n"/>
      <c r="G34" s="11" t="n"/>
      <c r="H34" s="13">
        <f>IF(OR(COUNTBLANK($H$35:$H$35)&gt;0,COUNTIF($H$35:$H$35,"unbearbeitet")=COUNTA($H$35:$H$35)),"Bitte Teilanforderungen ausfüllen",IF(COUNTIF($H$35:$H$35,"zu klären")&gt;0,"zu klären",IF(COUNTIF($H$35:$H$35,"entbehrlich")=COUNTA($H$35:$H$35),"entbehrlich",IF(COUNTIF($H$35:$H$35,"verwiesen")=COUNTA($H$35:$H$35),"verwiesen",IF(COUNTIF($H$35:$H$35,"nein")+COUNTIF($H$35:$H$35,"entbehrlich")=COUNTA($H$35:$H$35),"nein",IF(COUNTIF($H$35:$H$35,"ja")+COUNTIF($H$35:$H$35,"entbehrlich")+COUNTIF($H$35:$H$35,"verwiesen")=COUNTA($H$35:$H$35),"ja","teilweise"))))))</f>
        <v/>
      </c>
      <c r="I34" s="11" t="n"/>
      <c r="J34" s="11" t="n"/>
      <c r="K34" s="11" t="n"/>
      <c r="L34" s="11" t="n"/>
      <c r="M34" s="11" t="inlineStr">
        <is>
          <t>Verfügbarkeit</t>
        </is>
      </c>
      <c r="N34" s="12" t="inlineStr"/>
      <c r="O34" s="11" t="inlineStr"/>
      <c r="P34" s="12" t="inlineStr">
        <is>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is>
      </c>
      <c r="Q34" s="11" t="inlineStr">
        <is>
          <t>IT-Systeme</t>
        </is>
      </c>
      <c r="R34" s="11" t="inlineStr">
        <is>
          <t>Datensicherungskonzept</t>
        </is>
      </c>
      <c r="S34" s="12" t="inlineStr">
        <is>
          <t>deren Datensicherung</t>
        </is>
      </c>
      <c r="T34" s="12" t="inlineStr">
        <is>
          <t>G 0.45 – Datenverlust; G 0.39 – Schadprogramme; G 0.25 – Ausfall von Geräten oder Systemen</t>
        </is>
      </c>
      <c r="U34" s="11" t="n">
        <v>3</v>
      </c>
      <c r="V34" s="11" t="n">
        <v>1</v>
      </c>
      <c r="W34" s="11" t="n">
        <v>1</v>
      </c>
      <c r="X34" s="11" t="n">
        <v>2</v>
      </c>
      <c r="Y34" s="11" t="n">
        <v>0</v>
      </c>
    </row>
    <row r="35">
      <c r="A35" s="11" t="inlineStr">
        <is>
          <t>NOT.4.2</t>
        </is>
      </c>
      <c r="B35" s="12" t="inlineStr">
        <is>
          <t>Sicherung des Systems</t>
        </is>
      </c>
      <c r="C35" s="11" t="inlineStr">
        <is>
          <t>NOT.4.2</t>
        </is>
      </c>
      <c r="D35" s="11" t="inlineStr">
        <is>
          <t>Standard-Anforderungen</t>
        </is>
      </c>
      <c r="E35" s="12" t="inlineStr">
        <is>
          <t>Notfallplanung für IT-Systeme SOLLTE deren Datensicherung regelmäßig ausführen.</t>
        </is>
      </c>
      <c r="F35" s="14" t="n"/>
      <c r="G35" s="14" t="n"/>
      <c r="H35" s="14" t="inlineStr">
        <is>
          <t>unbearbeitet</t>
        </is>
      </c>
      <c r="I35" s="14" t="n"/>
      <c r="J35" s="14" t="n"/>
      <c r="K35" s="14" t="n"/>
      <c r="L35" s="15" t="n"/>
      <c r="M35" s="11" t="inlineStr">
        <is>
          <t>Verfügbarkeit</t>
        </is>
      </c>
      <c r="N35" s="12" t="inlineStr"/>
      <c r="O35" s="11" t="inlineStr"/>
      <c r="P35" s="12" t="inlineStr">
        <is>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is>
      </c>
      <c r="Q35" s="11" t="inlineStr">
        <is>
          <t>IT-Systeme</t>
        </is>
      </c>
      <c r="R35" s="11" t="inlineStr">
        <is>
          <t>Datensicherungskonzept</t>
        </is>
      </c>
      <c r="S35" s="12" t="inlineStr">
        <is>
          <t>deren Datensicherung</t>
        </is>
      </c>
      <c r="T35" s="12" t="inlineStr">
        <is>
          <t>G 0.45 – Datenverlust; G 0.39 – Schadprogramme; G 0.25 – Ausfall von Geräten oder Systemen</t>
        </is>
      </c>
      <c r="U35" s="11" t="n">
        <v>3</v>
      </c>
      <c r="V35" s="11" t="n">
        <v>1</v>
      </c>
      <c r="W35" s="11" t="n">
        <v>1</v>
      </c>
      <c r="X35" s="11" t="n">
        <v>2</v>
      </c>
      <c r="Y35" s="11" t="n">
        <v>0</v>
      </c>
    </row>
    <row r="36">
      <c r="A36" s="9" t="inlineStr">
        <is>
          <t>NOT.4.3</t>
        </is>
      </c>
      <c r="B36" s="10" t="inlineStr">
        <is>
          <t>Sicherung der Anwendung</t>
        </is>
      </c>
      <c r="C36" s="11" t="n"/>
      <c r="D36" s="11" t="inlineStr">
        <is>
          <t>Standard-Anforderungen</t>
        </is>
      </c>
      <c r="E36" s="12" t="inlineStr">
        <is>
          <t>Gesamt:</t>
        </is>
      </c>
      <c r="F36" s="11" t="n"/>
      <c r="G36" s="11" t="n"/>
      <c r="H36" s="13">
        <f>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
      </c>
      <c r="I36" s="11" t="n"/>
      <c r="J36" s="11" t="n"/>
      <c r="K36" s="11" t="n"/>
      <c r="L36" s="11" t="n"/>
      <c r="M36" s="11" t="inlineStr">
        <is>
          <t>Verfügbarkeit</t>
        </is>
      </c>
      <c r="N36" s="12" t="inlineStr"/>
      <c r="O36" s="11" t="inlineStr"/>
      <c r="P36" s="12" t="inlineStr">
        <is>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is>
      </c>
      <c r="Q36" s="11" t="inlineStr">
        <is>
          <t>Anwendungen</t>
        </is>
      </c>
      <c r="R36" s="11" t="inlineStr">
        <is>
          <t>Datensicherungskonzept</t>
        </is>
      </c>
      <c r="S36" s="12" t="inlineStr">
        <is>
          <t>deren Datensicherung</t>
        </is>
      </c>
      <c r="T36" s="12" t="inlineStr">
        <is>
          <t>G 0.45 – Datenverlust; G 0.39 – Schadprogramme; G 0.25 – Ausfall von Geräten oder Systemen</t>
        </is>
      </c>
      <c r="U36" s="11" t="n">
        <v>3</v>
      </c>
      <c r="V36" s="11" t="n">
        <v>1</v>
      </c>
      <c r="W36" s="11" t="n">
        <v>1</v>
      </c>
      <c r="X36" s="11" t="n">
        <v>2</v>
      </c>
      <c r="Y36" s="11" t="n">
        <v>0</v>
      </c>
    </row>
    <row r="37">
      <c r="A37" s="11" t="inlineStr">
        <is>
          <t>NOT.4.3</t>
        </is>
      </c>
      <c r="B37" s="12" t="inlineStr">
        <is>
          <t>Sicherung der Anwendung</t>
        </is>
      </c>
      <c r="C37" s="11" t="inlineStr">
        <is>
          <t>NOT.4.3</t>
        </is>
      </c>
      <c r="D37" s="11" t="inlineStr">
        <is>
          <t>Standard-Anforderungen</t>
        </is>
      </c>
      <c r="E37" s="12" t="inlineStr">
        <is>
          <t>Notfallplanung für Anwendungen SOLLTE deren Datensicherung regelmäßig ausführen.</t>
        </is>
      </c>
      <c r="F37" s="14" t="n"/>
      <c r="G37" s="14" t="n"/>
      <c r="H37" s="14" t="inlineStr">
        <is>
          <t>unbearbeitet</t>
        </is>
      </c>
      <c r="I37" s="14" t="n"/>
      <c r="J37" s="14" t="n"/>
      <c r="K37" s="14" t="n"/>
      <c r="L37" s="15" t="n"/>
      <c r="M37" s="11" t="inlineStr">
        <is>
          <t>Verfügbarkeit</t>
        </is>
      </c>
      <c r="N37" s="12" t="inlineStr"/>
      <c r="O37" s="11" t="inlineStr"/>
      <c r="P37" s="12" t="inlineStr">
        <is>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is>
      </c>
      <c r="Q37" s="11" t="inlineStr">
        <is>
          <t>Anwendungen</t>
        </is>
      </c>
      <c r="R37" s="11" t="inlineStr">
        <is>
          <t>Datensicherungskonzept</t>
        </is>
      </c>
      <c r="S37" s="12" t="inlineStr">
        <is>
          <t>deren Datensicherung</t>
        </is>
      </c>
      <c r="T37" s="12" t="inlineStr">
        <is>
          <t>G 0.45 – Datenverlust; G 0.39 – Schadprogramme; G 0.25 – Ausfall von Geräten oder Systemen</t>
        </is>
      </c>
      <c r="U37" s="11" t="n">
        <v>3</v>
      </c>
      <c r="V37" s="11" t="n">
        <v>1</v>
      </c>
      <c r="W37" s="11" t="n">
        <v>1</v>
      </c>
      <c r="X37" s="11" t="n">
        <v>2</v>
      </c>
      <c r="Y37" s="11" t="n">
        <v>0</v>
      </c>
    </row>
    <row r="38">
      <c r="A38" s="9" t="inlineStr">
        <is>
          <t>NOT.4.4</t>
        </is>
      </c>
      <c r="B38" s="10" t="inlineStr">
        <is>
          <t>Automatische Datensicherung</t>
        </is>
      </c>
      <c r="C38" s="11" t="n"/>
      <c r="D38" s="11" t="inlineStr">
        <is>
          <t>Standard-Anforderungen</t>
        </is>
      </c>
      <c r="E38" s="12" t="inlineStr">
        <is>
          <t>Gesamt:</t>
        </is>
      </c>
      <c r="F38" s="11" t="n"/>
      <c r="G38" s="11" t="n"/>
      <c r="H38" s="13">
        <f>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
      </c>
      <c r="I38" s="11" t="n"/>
      <c r="J38" s="11" t="n"/>
      <c r="K38" s="11" t="n"/>
      <c r="L38" s="11" t="n"/>
      <c r="M38" s="11" t="inlineStr">
        <is>
          <t>Verfügbarkeit</t>
        </is>
      </c>
      <c r="N38" s="12" t="inlineStr"/>
      <c r="O38" s="11" t="inlineStr"/>
      <c r="P38" s="12" t="inlineStr">
        <is>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is>
      </c>
      <c r="Q38" s="11" t="inlineStr">
        <is>
          <t>Daten</t>
        </is>
      </c>
      <c r="R38" s="11" t="inlineStr">
        <is>
          <t>Datensicherungskonzept</t>
        </is>
      </c>
      <c r="S38" s="12" t="inlineStr">
        <is>
          <t>die Datensicherung</t>
        </is>
      </c>
      <c r="T38" s="12" t="inlineStr">
        <is>
          <t>G 0.45 – Datenverlust; G 0.39 – Schadprogramme</t>
        </is>
      </c>
      <c r="U38" s="11" t="n">
        <v>3</v>
      </c>
      <c r="V38" s="11" t="n">
        <v>1</v>
      </c>
      <c r="W38" s="11" t="n">
        <v>1</v>
      </c>
      <c r="X38" s="11" t="n">
        <v>2</v>
      </c>
      <c r="Y38" s="11" t="n">
        <v>0</v>
      </c>
    </row>
    <row r="39">
      <c r="A39" s="11" t="inlineStr">
        <is>
          <t>NOT.4.4</t>
        </is>
      </c>
      <c r="B39" s="12" t="inlineStr">
        <is>
          <t>Automatische Datensicherung</t>
        </is>
      </c>
      <c r="C39" s="11" t="inlineStr">
        <is>
          <t>NOT.4.4</t>
        </is>
      </c>
      <c r="D39" s="11" t="inlineStr">
        <is>
          <t>Standard-Anforderungen</t>
        </is>
      </c>
      <c r="E39" s="12" t="inlineStr">
        <is>
          <t>Notfallplanung für Daten SOLLTE die Datensicherung durch einen automatisierten Mechanismus ausführen.</t>
        </is>
      </c>
      <c r="F39" s="14" t="n"/>
      <c r="G39" s="14" t="n"/>
      <c r="H39" s="14" t="inlineStr">
        <is>
          <t>unbearbeitet</t>
        </is>
      </c>
      <c r="I39" s="14" t="n"/>
      <c r="J39" s="14" t="n"/>
      <c r="K39" s="14" t="n"/>
      <c r="L39" s="15" t="n"/>
      <c r="M39" s="11" t="inlineStr">
        <is>
          <t>Verfügbarkeit</t>
        </is>
      </c>
      <c r="N39" s="12" t="inlineStr"/>
      <c r="O39" s="11" t="inlineStr"/>
      <c r="P39" s="12" t="inlineStr">
        <is>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is>
      </c>
      <c r="Q39" s="11" t="inlineStr">
        <is>
          <t>Daten</t>
        </is>
      </c>
      <c r="R39" s="11" t="inlineStr">
        <is>
          <t>Datensicherungskonzept</t>
        </is>
      </c>
      <c r="S39" s="12" t="inlineStr">
        <is>
          <t>die Datensicherung</t>
        </is>
      </c>
      <c r="T39" s="12" t="inlineStr">
        <is>
          <t>G 0.45 – Datenverlust; G 0.39 – Schadprogramme</t>
        </is>
      </c>
      <c r="U39" s="11" t="n">
        <v>3</v>
      </c>
      <c r="V39" s="11" t="n">
        <v>1</v>
      </c>
      <c r="W39" s="11" t="n">
        <v>1</v>
      </c>
      <c r="X39" s="11" t="n">
        <v>2</v>
      </c>
      <c r="Y39" s="11" t="n">
        <v>0</v>
      </c>
    </row>
    <row r="40">
      <c r="A40" s="9" t="inlineStr">
        <is>
          <t>NOT.4.5</t>
        </is>
      </c>
      <c r="B40" s="10" t="inlineStr">
        <is>
          <t>Archivierung langfristig benötigter Daten</t>
        </is>
      </c>
      <c r="C40" s="11" t="n"/>
      <c r="D40" s="11" t="inlineStr">
        <is>
          <t>Standard-Anforderungen</t>
        </is>
      </c>
      <c r="E40" s="12" t="inlineStr">
        <is>
          <t>Gesamt:</t>
        </is>
      </c>
      <c r="F40" s="11" t="n"/>
      <c r="G40" s="11" t="n"/>
      <c r="H40" s="13">
        <f>IF(OR(COUNTBLANK($H$41:$H$43)&gt;0,COUNTIF($H$41:$H$43,"unbearbeitet")=COUNTA($H$41:$H$43)),"Bitte Teilanforderungen ausfüllen",IF(COUNTIF($H$41:$H$43,"zu klären")&gt;0,"zu klären",IF(COUNTIF($H$41:$H$43,"entbehrlich")=COUNTA($H$41:$H$43),"entbehrlich",IF(COUNTIF($H$41:$H$43,"verwiesen")=COUNTA($H$41:$H$43),"verwiesen",IF(COUNTIF($H$41:$H$43,"nein")+COUNTIF($H$41:$H$43,"entbehrlich")=COUNTA($H$41:$H$43),"nein",IF(COUNTIF($H$41:$H$43,"ja")+COUNTIF($H$41:$H$43,"entbehrlich")+COUNTIF($H$41:$H$43,"verwiesen")=COUNTA($H$41:$H$43),"ja","teilweise"))))))</f>
        <v/>
      </c>
      <c r="I40" s="11" t="n"/>
      <c r="J40" s="11" t="n"/>
      <c r="K40" s="11" t="n"/>
      <c r="L40" s="11" t="n"/>
      <c r="M40" s="11" t="inlineStr">
        <is>
          <t>Verfügbarkeit</t>
        </is>
      </c>
      <c r="N40" s="12" t="inlineStr"/>
      <c r="O40" s="11" t="inlineStr"/>
      <c r="P40" s="12" t="inlineStr">
        <is>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is>
      </c>
      <c r="Q40" s="11" t="inlineStr">
        <is>
          <t>Daten</t>
        </is>
      </c>
      <c r="R40" s="11" t="inlineStr">
        <is>
          <t>Datensicherungskonzept</t>
        </is>
      </c>
      <c r="S40" s="12" t="inlineStr">
        <is>
          <t>die Archivierung langfristig benötigter Daten</t>
        </is>
      </c>
      <c r="T40" s="12" t="inlineStr">
        <is>
          <t>G 0.45 – Datenverlust; G 0.39 – Schadprogramme</t>
        </is>
      </c>
      <c r="U40" s="11" t="n">
        <v>4</v>
      </c>
      <c r="V40" s="11" t="n">
        <v>1</v>
      </c>
      <c r="W40" s="11" t="n">
        <v>1</v>
      </c>
      <c r="X40" s="11" t="n">
        <v>2</v>
      </c>
      <c r="Y40" s="11" t="n">
        <v>0</v>
      </c>
    </row>
    <row r="41">
      <c r="A41" s="11" t="inlineStr">
        <is>
          <t>NOT.4.5</t>
        </is>
      </c>
      <c r="B41" s="12" t="inlineStr">
        <is>
          <t>Archivierung langfristig benötigter Daten</t>
        </is>
      </c>
      <c r="C41" s="11" t="inlineStr">
        <is>
          <t>NOT.4.5</t>
        </is>
      </c>
      <c r="D41" s="11" t="inlineStr">
        <is>
          <t>Standard-Anforderungen</t>
        </is>
      </c>
      <c r="E41" s="12" t="inlineStr">
        <is>
          <t>Notfallplanung für Daten SOLLTE die Archivierung langfristig benötigter Daten regelmäßig ausführen.</t>
        </is>
      </c>
      <c r="F41" s="14" t="n"/>
      <c r="G41" s="14" t="n"/>
      <c r="H41" s="14" t="inlineStr">
        <is>
          <t>unbearbeitet</t>
        </is>
      </c>
      <c r="I41" s="14" t="n"/>
      <c r="J41" s="14" t="n"/>
      <c r="K41" s="14" t="n"/>
      <c r="L41" s="15" t="n"/>
      <c r="M41" s="11" t="inlineStr">
        <is>
          <t>Verfügbarkeit</t>
        </is>
      </c>
      <c r="N41" s="12" t="inlineStr"/>
      <c r="O41" s="11" t="inlineStr"/>
      <c r="P41" s="12" t="inlineStr">
        <is>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is>
      </c>
      <c r="Q41" s="11" t="inlineStr">
        <is>
          <t>Daten</t>
        </is>
      </c>
      <c r="R41" s="11" t="inlineStr">
        <is>
          <t>Datensicherungskonzept</t>
        </is>
      </c>
      <c r="S41" s="12" t="inlineStr">
        <is>
          <t>die Archivierung langfristig benötigter Daten</t>
        </is>
      </c>
      <c r="T41" s="12" t="inlineStr">
        <is>
          <t>G 0.45 – Datenverlust; G 0.39 – Schadprogramme</t>
        </is>
      </c>
      <c r="U41" s="11" t="n">
        <v>4</v>
      </c>
      <c r="V41" s="11" t="n">
        <v>1</v>
      </c>
      <c r="W41" s="11" t="n">
        <v>1</v>
      </c>
      <c r="X41" s="11" t="n">
        <v>2</v>
      </c>
      <c r="Y41" s="11" t="n">
        <v>0</v>
      </c>
    </row>
    <row r="42">
      <c r="A42" s="11" t="inlineStr">
        <is>
          <t>NOT.4.5</t>
        </is>
      </c>
      <c r="B42" s="12" t="inlineStr">
        <is>
          <t>Archivierung langfristig benötigter Daten</t>
        </is>
      </c>
      <c r="C42" s="11" t="inlineStr">
        <is>
          <t>NOT.4.5.1</t>
        </is>
      </c>
      <c r="D42" s="11" t="inlineStr">
        <is>
          <t>Standard-Anforderungen</t>
        </is>
      </c>
      <c r="E42" s="12" t="inlineStr">
        <is>
          <t>Notfallplanung für Daten SOLLTE die Archivierung von Assets, die zur Verwendung von archivierten Daten erforderlich sind, regelmäßig ausführen.</t>
        </is>
      </c>
      <c r="F42" s="14" t="n"/>
      <c r="G42" s="14" t="n"/>
      <c r="H42" s="14" t="inlineStr">
        <is>
          <t>unbearbeitet</t>
        </is>
      </c>
      <c r="I42" s="14" t="n"/>
      <c r="J42" s="14" t="n"/>
      <c r="K42" s="14" t="n"/>
      <c r="L42" s="15" t="n"/>
      <c r="M42" s="11" t="inlineStr">
        <is>
          <t>Verfügbarkeit</t>
        </is>
      </c>
      <c r="N42" s="12" t="inlineStr"/>
      <c r="O42" s="11" t="inlineStr"/>
      <c r="P42" s="12" t="inlineStr">
        <is>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is>
      </c>
      <c r="Q42" s="11" t="inlineStr">
        <is>
          <t>Daten</t>
        </is>
      </c>
      <c r="R42" s="11" t="inlineStr">
        <is>
          <t>Datensicherungskonzept</t>
        </is>
      </c>
      <c r="S42" s="12" t="inlineStr">
        <is>
          <t>die Archivierung von Assets, die zur Verwendung von archivierten Daten erforderlich sind,</t>
        </is>
      </c>
      <c r="T42" s="12" t="inlineStr">
        <is>
          <t>G 0.45 – Datenverlust; G 0.39 – Schadprogramme; G 0.25 – Ausfall von Geräten oder Systemen</t>
        </is>
      </c>
      <c r="U42" s="11" t="n">
        <v>4</v>
      </c>
      <c r="V42" s="11" t="n">
        <v>1</v>
      </c>
      <c r="W42" s="11" t="n">
        <v>1</v>
      </c>
      <c r="X42" s="11" t="n">
        <v>2</v>
      </c>
      <c r="Y42" s="11" t="n">
        <v>0</v>
      </c>
    </row>
    <row r="43">
      <c r="A43" s="11" t="inlineStr">
        <is>
          <t>NOT.4.5</t>
        </is>
      </c>
      <c r="B43" s="12" t="inlineStr">
        <is>
          <t>Archivierung langfristig benötigter Daten</t>
        </is>
      </c>
      <c r="C43" s="11" t="inlineStr">
        <is>
          <t>NOT.4.5.2</t>
        </is>
      </c>
      <c r="D43" s="11" t="inlineStr">
        <is>
          <t>Standard-Anforderungen</t>
        </is>
      </c>
      <c r="E43" s="12" t="inlineStr">
        <is>
          <t>Notfallplanung für Daten SOLLTE die Archivierung von Dokumentationen, die zur Verwendung von archivierten Daten erforderlich sind, regelmäßig ausführen.</t>
        </is>
      </c>
      <c r="F43" s="14" t="n"/>
      <c r="G43" s="14" t="n"/>
      <c r="H43" s="14" t="inlineStr">
        <is>
          <t>unbearbeitet</t>
        </is>
      </c>
      <c r="I43" s="14" t="n"/>
      <c r="J43" s="14" t="n"/>
      <c r="K43" s="14" t="n"/>
      <c r="L43" s="15" t="n"/>
      <c r="M43" s="11" t="inlineStr">
        <is>
          <t>Verfügbarkeit</t>
        </is>
      </c>
      <c r="N43" s="12" t="inlineStr"/>
      <c r="O43" s="11" t="inlineStr"/>
      <c r="P43" s="12" t="inlineStr">
        <is>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is>
      </c>
      <c r="Q43" s="11" t="inlineStr">
        <is>
          <t>Daten</t>
        </is>
      </c>
      <c r="R43" s="11" t="inlineStr">
        <is>
          <t>Datensicherungskonzept</t>
        </is>
      </c>
      <c r="S43" s="12" t="inlineStr">
        <is>
          <t>die Archivierung von Dokumentationen, die zur Verwendung von archivierten Daten erforderlich sind,</t>
        </is>
      </c>
      <c r="T43" s="12" t="inlineStr">
        <is>
          <t>G 0.45 – Datenverlust; G 0.39 – Schadprogramme; G 0.18 – Fehlplanung oder fehlende Anpassung; G 0.37 – Abstreiten von Handlungen</t>
        </is>
      </c>
      <c r="U43" s="11" t="n">
        <v>4</v>
      </c>
      <c r="V43" s="11" t="n">
        <v>1</v>
      </c>
      <c r="W43" s="11" t="n">
        <v>1</v>
      </c>
      <c r="X43" s="11" t="n">
        <v>2</v>
      </c>
      <c r="Y43" s="11" t="n">
        <v>1</v>
      </c>
    </row>
    <row r="44">
      <c r="A44" s="9" t="inlineStr">
        <is>
          <t>NOT.4.6</t>
        </is>
      </c>
      <c r="B44" s="10" t="inlineStr">
        <is>
          <t>Geschützte Aufbewahrung</t>
        </is>
      </c>
      <c r="C44" s="11" t="n"/>
      <c r="D44" s="11" t="inlineStr">
        <is>
          <t>Standard-Anforderungen</t>
        </is>
      </c>
      <c r="E44" s="12" t="inlineStr">
        <is>
          <t>Gesamt:</t>
        </is>
      </c>
      <c r="F44" s="11" t="n"/>
      <c r="G44" s="11" t="n"/>
      <c r="H44" s="13">
        <f>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
      </c>
      <c r="I44" s="11" t="n"/>
      <c r="J44" s="11" t="n"/>
      <c r="K44" s="11" t="n"/>
      <c r="L44" s="11" t="n"/>
      <c r="M44" s="11" t="inlineStr">
        <is>
          <t>Integrität</t>
        </is>
      </c>
      <c r="N44" s="12" t="inlineStr"/>
      <c r="O44" s="11" t="inlineStr"/>
      <c r="P44" s="12" t="inlineStr">
        <is>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is>
      </c>
      <c r="Q44" s="11" t="inlineStr"/>
      <c r="R44" s="11" t="inlineStr">
        <is>
          <t>Datensicherungskonzept</t>
        </is>
      </c>
      <c r="S44" s="12" t="inlineStr">
        <is>
          <t>eine geschützte Aufbewahrung von Datensicherungen</t>
        </is>
      </c>
      <c r="T44" s="12" t="inlineStr">
        <is>
          <t>G 0.45 – Datenverlust; G 0.39 – Schadprogramme; G 0.25 – Ausfall von Geräten oder Systemen</t>
        </is>
      </c>
      <c r="U44" s="11" t="n">
        <v>2</v>
      </c>
      <c r="V44" s="11" t="n">
        <v>1</v>
      </c>
      <c r="W44" s="11" t="n">
        <v>2</v>
      </c>
      <c r="X44" s="11" t="n">
        <v>1</v>
      </c>
      <c r="Y44" s="11" t="n">
        <v>0</v>
      </c>
    </row>
    <row r="45">
      <c r="A45" s="11" t="inlineStr">
        <is>
          <t>NOT.4.6</t>
        </is>
      </c>
      <c r="B45" s="12" t="inlineStr">
        <is>
          <t>Geschützte Aufbewahrung</t>
        </is>
      </c>
      <c r="C45" s="11" t="inlineStr">
        <is>
          <t>NOT.4.6</t>
        </is>
      </c>
      <c r="D45" s="11" t="inlineStr">
        <is>
          <t>Standard-Anforderungen</t>
        </is>
      </c>
      <c r="E45" s="12" t="inlineStr">
        <is>
          <t>Notfallplanung SOLLTE eine geschützte Aufbewahrung von Datensicherungen verankern.</t>
        </is>
      </c>
      <c r="F45" s="14" t="n"/>
      <c r="G45" s="14" t="n"/>
      <c r="H45" s="14" t="inlineStr">
        <is>
          <t>unbearbeitet</t>
        </is>
      </c>
      <c r="I45" s="14" t="n"/>
      <c r="J45" s="14" t="n"/>
      <c r="K45" s="14" t="n"/>
      <c r="L45" s="15" t="n"/>
      <c r="M45" s="11" t="inlineStr">
        <is>
          <t>Integrität</t>
        </is>
      </c>
      <c r="N45" s="12" t="inlineStr"/>
      <c r="O45" s="11" t="inlineStr"/>
      <c r="P45" s="12" t="inlineStr">
        <is>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is>
      </c>
      <c r="Q45" s="11" t="inlineStr"/>
      <c r="R45" s="11" t="inlineStr">
        <is>
          <t>Datensicherungskonzept</t>
        </is>
      </c>
      <c r="S45" s="12" t="inlineStr">
        <is>
          <t>eine geschützte Aufbewahrung von Datensicherungen</t>
        </is>
      </c>
      <c r="T45" s="12" t="inlineStr">
        <is>
          <t>G 0.45 – Datenverlust; G 0.39 – Schadprogramme; G 0.25 – Ausfall von Geräten oder Systemen</t>
        </is>
      </c>
      <c r="U45" s="11" t="n">
        <v>2</v>
      </c>
      <c r="V45" s="11" t="n">
        <v>1</v>
      </c>
      <c r="W45" s="11" t="n">
        <v>2</v>
      </c>
      <c r="X45" s="11" t="n">
        <v>1</v>
      </c>
      <c r="Y45" s="11" t="n">
        <v>0</v>
      </c>
    </row>
    <row r="46">
      <c r="A46" s="9" t="inlineStr">
        <is>
          <t>NOT.4.7</t>
        </is>
      </c>
      <c r="B46" s="10" t="inlineStr">
        <is>
          <t>Versionierte Datensicherung</t>
        </is>
      </c>
      <c r="C46" s="11" t="n"/>
      <c r="D46" s="11" t="inlineStr">
        <is>
          <t>Standard-Anforderungen</t>
        </is>
      </c>
      <c r="E46" s="12" t="inlineStr">
        <is>
          <t>Gesamt:</t>
        </is>
      </c>
      <c r="F46" s="11" t="n"/>
      <c r="G46" s="11" t="n"/>
      <c r="H46" s="13">
        <f>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
      </c>
      <c r="I46" s="11" t="n"/>
      <c r="J46" s="11" t="n"/>
      <c r="K46" s="11" t="n"/>
      <c r="L46" s="11" t="n"/>
      <c r="M46" s="11" t="inlineStr">
        <is>
          <t>Verfügbarkeit</t>
        </is>
      </c>
      <c r="N46" s="12" t="inlineStr"/>
      <c r="O46" s="11" t="inlineStr"/>
      <c r="P46" s="12" t="inlineStr">
        <is>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is>
      </c>
      <c r="Q46" s="11" t="inlineStr"/>
      <c r="R46" s="11" t="inlineStr">
        <is>
          <t>Datensicherungskonzept</t>
        </is>
      </c>
      <c r="S46" s="12" t="inlineStr">
        <is>
          <t>eine Versionierung der Datensicherung</t>
        </is>
      </c>
      <c r="T46" s="12" t="inlineStr">
        <is>
          <t>G 0.45 – Datenverlust; G 0.39 – Schadprogramme</t>
        </is>
      </c>
      <c r="U46" s="11" t="n">
        <v>3</v>
      </c>
      <c r="V46" s="11" t="n">
        <v>1</v>
      </c>
      <c r="W46" s="11" t="n">
        <v>1</v>
      </c>
      <c r="X46" s="11" t="n">
        <v>2</v>
      </c>
      <c r="Y46" s="11" t="n">
        <v>0</v>
      </c>
    </row>
    <row r="47">
      <c r="A47" s="11" t="inlineStr">
        <is>
          <t>NOT.4.7</t>
        </is>
      </c>
      <c r="B47" s="12" t="inlineStr">
        <is>
          <t>Versionierte Datensicherung</t>
        </is>
      </c>
      <c r="C47" s="11" t="inlineStr">
        <is>
          <t>NOT.4.7</t>
        </is>
      </c>
      <c r="D47" s="11" t="inlineStr">
        <is>
          <t>Standard-Anforderungen</t>
        </is>
      </c>
      <c r="E47" s="12" t="inlineStr">
        <is>
          <t>Notfallplanung SOLLTE eine Versionierung der Datensicherung verankern.</t>
        </is>
      </c>
      <c r="F47" s="14" t="n"/>
      <c r="G47" s="14" t="n"/>
      <c r="H47" s="14" t="inlineStr">
        <is>
          <t>unbearbeitet</t>
        </is>
      </c>
      <c r="I47" s="14" t="n"/>
      <c r="J47" s="14" t="n"/>
      <c r="K47" s="14" t="n"/>
      <c r="L47" s="15" t="n"/>
      <c r="M47" s="11" t="inlineStr">
        <is>
          <t>Verfügbarkeit</t>
        </is>
      </c>
      <c r="N47" s="12" t="inlineStr"/>
      <c r="O47" s="11" t="inlineStr"/>
      <c r="P47" s="12" t="inlineStr">
        <is>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is>
      </c>
      <c r="Q47" s="11" t="inlineStr"/>
      <c r="R47" s="11" t="inlineStr">
        <is>
          <t>Datensicherungskonzept</t>
        </is>
      </c>
      <c r="S47" s="12" t="inlineStr">
        <is>
          <t>eine Versionierung der Datensicherung</t>
        </is>
      </c>
      <c r="T47" s="12" t="inlineStr">
        <is>
          <t>G 0.45 – Datenverlust; G 0.39 – Schadprogramme</t>
        </is>
      </c>
      <c r="U47" s="11" t="n">
        <v>3</v>
      </c>
      <c r="V47" s="11" t="n">
        <v>1</v>
      </c>
      <c r="W47" s="11" t="n">
        <v>1</v>
      </c>
      <c r="X47" s="11" t="n">
        <v>2</v>
      </c>
      <c r="Y47" s="11" t="n">
        <v>0</v>
      </c>
    </row>
    <row r="48">
      <c r="A48" s="9" t="inlineStr">
        <is>
          <t>NOT.4.8</t>
        </is>
      </c>
      <c r="B48" s="10" t="inlineStr">
        <is>
          <t>Verschlüsselte Datensicherung</t>
        </is>
      </c>
      <c r="C48" s="11" t="n"/>
      <c r="D48" s="11" t="inlineStr">
        <is>
          <t>Standard-Anforderungen</t>
        </is>
      </c>
      <c r="E48" s="12" t="inlineStr">
        <is>
          <t>Gesamt:</t>
        </is>
      </c>
      <c r="F48" s="11" t="n"/>
      <c r="G48" s="11" t="n"/>
      <c r="H48" s="13">
        <f>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
      </c>
      <c r="I48" s="11" t="n"/>
      <c r="J48" s="11" t="n"/>
      <c r="K48" s="11" t="n"/>
      <c r="L48" s="11" t="n"/>
      <c r="M48" s="11" t="inlineStr">
        <is>
          <t>Vertraulichkeit</t>
        </is>
      </c>
      <c r="N48" s="12" t="inlineStr"/>
      <c r="O48" s="11" t="inlineStr"/>
      <c r="P48" s="12" t="inlineStr">
        <is>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is>
      </c>
      <c r="Q48" s="11" t="inlineStr"/>
      <c r="R48" s="11" t="inlineStr">
        <is>
          <t>Datensicherungskonzept</t>
        </is>
      </c>
      <c r="S48" s="12" t="inlineStr">
        <is>
          <t>die Datensicherung</t>
        </is>
      </c>
      <c r="T48" s="12" t="inlineStr">
        <is>
          <t>G 0.45 – Datenverlust; G 0.39 – Schadprogramme; G 0.25 – Ausfall von Geräten oder Systemen; G 0.19 – Offenlegung schützenswerter Informationen</t>
        </is>
      </c>
      <c r="U48" s="11" t="n">
        <v>3</v>
      </c>
      <c r="V48" s="11" t="n">
        <v>2</v>
      </c>
      <c r="W48" s="11" t="n">
        <v>1</v>
      </c>
      <c r="X48" s="11" t="n">
        <v>1</v>
      </c>
      <c r="Y48" s="11" t="n">
        <v>0</v>
      </c>
    </row>
    <row r="49">
      <c r="A49" s="11" t="inlineStr">
        <is>
          <t>NOT.4.8</t>
        </is>
      </c>
      <c r="B49" s="12" t="inlineStr">
        <is>
          <t>Verschlüsselte Datensicherung</t>
        </is>
      </c>
      <c r="C49" s="11" t="inlineStr">
        <is>
          <t>NOT.4.8</t>
        </is>
      </c>
      <c r="D49" s="11" t="inlineStr">
        <is>
          <t>Standard-Anforderungen</t>
        </is>
      </c>
      <c r="E49" s="12" t="inlineStr">
        <is>
          <t>Notfallplanung SOLLTE die Datensicherung durch einen anerkannten kryptographischen Algorithmus verschlüsseln.</t>
        </is>
      </c>
      <c r="F49" s="14" t="n"/>
      <c r="G49" s="14" t="n"/>
      <c r="H49" s="14" t="inlineStr">
        <is>
          <t>unbearbeitet</t>
        </is>
      </c>
      <c r="I49" s="14" t="n"/>
      <c r="J49" s="14" t="n"/>
      <c r="K49" s="14" t="n"/>
      <c r="L49" s="15" t="n"/>
      <c r="M49" s="11" t="inlineStr">
        <is>
          <t>Vertraulichkeit</t>
        </is>
      </c>
      <c r="N49" s="12" t="inlineStr"/>
      <c r="O49" s="11" t="inlineStr"/>
      <c r="P49" s="12" t="inlineStr">
        <is>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is>
      </c>
      <c r="Q49" s="11" t="inlineStr"/>
      <c r="R49" s="11" t="inlineStr">
        <is>
          <t>Datensicherungskonzept</t>
        </is>
      </c>
      <c r="S49" s="12" t="inlineStr">
        <is>
          <t>die Datensicherung</t>
        </is>
      </c>
      <c r="T49" s="12" t="inlineStr">
        <is>
          <t>G 0.45 – Datenverlust; G 0.39 – Schadprogramme; G 0.25 – Ausfall von Geräten oder Systemen; G 0.19 – Offenlegung schützenswerter Informationen</t>
        </is>
      </c>
      <c r="U49" s="11" t="n">
        <v>3</v>
      </c>
      <c r="V49" s="11" t="n">
        <v>2</v>
      </c>
      <c r="W49" s="11" t="n">
        <v>1</v>
      </c>
      <c r="X49" s="11" t="n">
        <v>1</v>
      </c>
      <c r="Y49" s="11" t="n">
        <v>0</v>
      </c>
    </row>
    <row r="50">
      <c r="A50" s="9" t="inlineStr">
        <is>
          <t>NOT.4.9</t>
        </is>
      </c>
      <c r="B50" s="10" t="inlineStr">
        <is>
          <t>Speichermedien</t>
        </is>
      </c>
      <c r="C50" s="11" t="n"/>
      <c r="D50" s="11" t="inlineStr">
        <is>
          <t>Standard-Anforderungen</t>
        </is>
      </c>
      <c r="E50" s="12" t="inlineStr">
        <is>
          <t>Gesamt:</t>
        </is>
      </c>
      <c r="F50" s="11" t="n"/>
      <c r="G50" s="11" t="n"/>
      <c r="H50" s="13">
        <f>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
      </c>
      <c r="I50" s="11" t="n"/>
      <c r="J50" s="11" t="n"/>
      <c r="K50" s="11" t="n"/>
      <c r="L50" s="11" t="n"/>
      <c r="M50" s="11" t="inlineStr">
        <is>
          <t>Integrität</t>
        </is>
      </c>
      <c r="N50" s="12" t="inlineStr"/>
      <c r="O50" s="11" t="inlineStr"/>
      <c r="P50" s="12" t="inlineStr">
        <is>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is>
      </c>
      <c r="Q50" s="11" t="inlineStr"/>
      <c r="R50" s="11" t="inlineStr">
        <is>
          <t>Datensicherungskonzept</t>
        </is>
      </c>
      <c r="S50" s="12" t="inlineStr">
        <is>
          <t>dedizierte Speichermedien,</t>
        </is>
      </c>
      <c r="T50" s="12" t="inlineStr">
        <is>
          <t>G 0.45 – Datenverlust; G 0.39 – Schadprogramme; G 0.25 – Ausfall von Geräten oder Systemen</t>
        </is>
      </c>
      <c r="U50" s="11" t="n">
        <v>3</v>
      </c>
      <c r="V50" s="11" t="n">
        <v>1</v>
      </c>
      <c r="W50" s="11" t="n">
        <v>2</v>
      </c>
      <c r="X50" s="11" t="n">
        <v>1</v>
      </c>
      <c r="Y50" s="11" t="n">
        <v>0</v>
      </c>
    </row>
    <row r="51">
      <c r="A51" s="11" t="inlineStr">
        <is>
          <t>NOT.4.9</t>
        </is>
      </c>
      <c r="B51" s="12" t="inlineStr">
        <is>
          <t>Speichermedien</t>
        </is>
      </c>
      <c r="C51" s="11" t="inlineStr">
        <is>
          <t>NOT.4.9</t>
        </is>
      </c>
      <c r="D51" s="11" t="inlineStr">
        <is>
          <t>Standard-Anforderungen</t>
        </is>
      </c>
      <c r="E51" s="12" t="inlineStr">
        <is>
          <t>Notfallplanung SOLLTE dedizierte Speichermedien, die für den festgelegten Aufbewahrungszeitraum geeignet sind, installieren.</t>
        </is>
      </c>
      <c r="F51" s="14" t="n"/>
      <c r="G51" s="14" t="n"/>
      <c r="H51" s="14" t="inlineStr">
        <is>
          <t>unbearbeitet</t>
        </is>
      </c>
      <c r="I51" s="14" t="n"/>
      <c r="J51" s="14" t="n"/>
      <c r="K51" s="14" t="n"/>
      <c r="L51" s="15" t="n"/>
      <c r="M51" s="11" t="inlineStr">
        <is>
          <t>Integrität</t>
        </is>
      </c>
      <c r="N51" s="12" t="inlineStr"/>
      <c r="O51" s="11" t="inlineStr"/>
      <c r="P51" s="12" t="inlineStr">
        <is>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is>
      </c>
      <c r="Q51" s="11" t="inlineStr"/>
      <c r="R51" s="11" t="inlineStr">
        <is>
          <t>Datensicherungskonzept</t>
        </is>
      </c>
      <c r="S51" s="12" t="inlineStr">
        <is>
          <t>dedizierte Speichermedien,</t>
        </is>
      </c>
      <c r="T51" s="12" t="inlineStr">
        <is>
          <t>G 0.45 – Datenverlust; G 0.39 – Schadprogramme; G 0.25 – Ausfall von Geräten oder Systemen</t>
        </is>
      </c>
      <c r="U51" s="11" t="n">
        <v>3</v>
      </c>
      <c r="V51" s="11" t="n">
        <v>1</v>
      </c>
      <c r="W51" s="11" t="n">
        <v>2</v>
      </c>
      <c r="X51" s="11" t="n">
        <v>1</v>
      </c>
      <c r="Y51" s="11" t="n">
        <v>0</v>
      </c>
    </row>
    <row r="52">
      <c r="A52" s="9" t="inlineStr">
        <is>
          <t>NOT.4.10</t>
        </is>
      </c>
      <c r="B52" s="10" t="inlineStr">
        <is>
          <t>Getrennte Aufbewahrung</t>
        </is>
      </c>
      <c r="C52" s="11" t="n"/>
      <c r="D52" s="11" t="inlineStr">
        <is>
          <t>Standard-Anforderungen</t>
        </is>
      </c>
      <c r="E52" s="12" t="inlineStr">
        <is>
          <t>Gesamt:</t>
        </is>
      </c>
      <c r="F52" s="11" t="n"/>
      <c r="G52" s="11" t="n"/>
      <c r="H52" s="13">
        <f>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
      </c>
      <c r="I52" s="11" t="n"/>
      <c r="J52" s="11" t="n"/>
      <c r="K52" s="11" t="n"/>
      <c r="L52" s="11" t="n"/>
      <c r="M52" s="11" t="inlineStr">
        <is>
          <t>Verfügbarkeit</t>
        </is>
      </c>
      <c r="N52" s="12" t="inlineStr"/>
      <c r="O52" s="11" t="inlineStr"/>
      <c r="P52" s="12" t="inlineStr">
        <is>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is>
      </c>
      <c r="Q52" s="11" t="inlineStr"/>
      <c r="R52" s="11" t="inlineStr">
        <is>
          <t>Datensicherungskonzept</t>
        </is>
      </c>
      <c r="S52" s="12" t="inlineStr">
        <is>
          <t>die Datensicherung getrennt von den Originaldaten</t>
        </is>
      </c>
      <c r="T52" s="12" t="inlineStr">
        <is>
          <t>G 0.45 – Datenverlust; G 0.39 – Schadprogramme; G 0.1 – Feuer; G 0.25 – Ausfall von Geräten oder Systemen</t>
        </is>
      </c>
      <c r="U52" s="11" t="n">
        <v>3</v>
      </c>
      <c r="V52" s="11" t="n">
        <v>1</v>
      </c>
      <c r="W52" s="11" t="n">
        <v>1</v>
      </c>
      <c r="X52" s="11" t="n">
        <v>2</v>
      </c>
      <c r="Y52" s="11" t="n">
        <v>0</v>
      </c>
    </row>
    <row r="53">
      <c r="A53" s="11" t="inlineStr">
        <is>
          <t>NOT.4.10</t>
        </is>
      </c>
      <c r="B53" s="12" t="inlineStr">
        <is>
          <t>Getrennte Aufbewahrung</t>
        </is>
      </c>
      <c r="C53" s="11" t="inlineStr">
        <is>
          <t>NOT.4.10</t>
        </is>
      </c>
      <c r="D53" s="11" t="inlineStr">
        <is>
          <t>Standard-Anforderungen</t>
        </is>
      </c>
      <c r="E53" s="12" t="inlineStr">
        <is>
          <t>Notfallplanung SOLLTE die Datensicherung getrennt von den Originaldaten platzieren.</t>
        </is>
      </c>
      <c r="F53" s="14" t="n"/>
      <c r="G53" s="14" t="n"/>
      <c r="H53" s="14" t="inlineStr">
        <is>
          <t>unbearbeitet</t>
        </is>
      </c>
      <c r="I53" s="14" t="n"/>
      <c r="J53" s="14" t="n"/>
      <c r="K53" s="14" t="n"/>
      <c r="L53" s="15" t="n"/>
      <c r="M53" s="11" t="inlineStr">
        <is>
          <t>Verfügbarkeit</t>
        </is>
      </c>
      <c r="N53" s="12" t="inlineStr"/>
      <c r="O53" s="11" t="inlineStr"/>
      <c r="P53" s="12" t="inlineStr">
        <is>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is>
      </c>
      <c r="Q53" s="11" t="inlineStr"/>
      <c r="R53" s="11" t="inlineStr">
        <is>
          <t>Datensicherungskonzept</t>
        </is>
      </c>
      <c r="S53" s="12" t="inlineStr">
        <is>
          <t>die Datensicherung getrennt von den Originaldaten</t>
        </is>
      </c>
      <c r="T53" s="12" t="inlineStr">
        <is>
          <t>G 0.45 – Datenverlust; G 0.39 – Schadprogramme; G 0.1 – Feuer; G 0.25 – Ausfall von Geräten oder Systemen</t>
        </is>
      </c>
      <c r="U53" s="11" t="n">
        <v>3</v>
      </c>
      <c r="V53" s="11" t="n">
        <v>1</v>
      </c>
      <c r="W53" s="11" t="n">
        <v>1</v>
      </c>
      <c r="X53" s="11" t="n">
        <v>2</v>
      </c>
      <c r="Y53" s="11" t="n">
        <v>0</v>
      </c>
    </row>
    <row r="54">
      <c r="A54" s="9" t="inlineStr">
        <is>
          <t>NOT.4.11</t>
        </is>
      </c>
      <c r="B54" s="10" t="inlineStr">
        <is>
          <t>Datenträgerarchiv</t>
        </is>
      </c>
      <c r="C54" s="11" t="n"/>
      <c r="D54" s="11" t="inlineStr">
        <is>
          <t>Standard-Anforderungen</t>
        </is>
      </c>
      <c r="E54" s="12" t="inlineStr">
        <is>
          <t>Gesamt:</t>
        </is>
      </c>
      <c r="F54" s="11" t="n"/>
      <c r="G54" s="11" t="n"/>
      <c r="H54" s="13">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
      </c>
      <c r="I54" s="11" t="n"/>
      <c r="J54" s="11" t="n"/>
      <c r="K54" s="11" t="n"/>
      <c r="L54" s="11" t="n"/>
      <c r="M54" s="11" t="inlineStr">
        <is>
          <t>Integrität</t>
        </is>
      </c>
      <c r="N54" s="12" t="inlineStr"/>
      <c r="O54" s="11" t="inlineStr"/>
      <c r="P54" s="12" t="inlineStr">
        <is>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is>
      </c>
      <c r="Q54" s="11" t="inlineStr"/>
      <c r="R54" s="11" t="inlineStr">
        <is>
          <t>Datensicherungskonzept</t>
        </is>
      </c>
      <c r="S54" s="12" t="inlineStr">
        <is>
          <t>ein Datenträgerarchiv</t>
        </is>
      </c>
      <c r="T54" s="12" t="inlineStr">
        <is>
          <t>G 0.45 – Datenverlust; G 0.39 – Schadprogramme</t>
        </is>
      </c>
      <c r="U54" s="11" t="n">
        <v>4</v>
      </c>
      <c r="V54" s="11" t="n">
        <v>1</v>
      </c>
      <c r="W54" s="11" t="n">
        <v>2</v>
      </c>
      <c r="X54" s="11" t="n">
        <v>1</v>
      </c>
      <c r="Y54" s="11" t="n">
        <v>0</v>
      </c>
    </row>
    <row r="55">
      <c r="A55" s="11" t="inlineStr">
        <is>
          <t>NOT.4.11</t>
        </is>
      </c>
      <c r="B55" s="12" t="inlineStr">
        <is>
          <t>Datenträgerarchiv</t>
        </is>
      </c>
      <c r="C55" s="11" t="inlineStr">
        <is>
          <t>NOT.4.11</t>
        </is>
      </c>
      <c r="D55" s="11" t="inlineStr">
        <is>
          <t>Standard-Anforderungen</t>
        </is>
      </c>
      <c r="E55" s="12" t="inlineStr">
        <is>
          <t>Notfallplanung SOLLTE ein Datenträgerarchiv installieren.</t>
        </is>
      </c>
      <c r="F55" s="14" t="n"/>
      <c r="G55" s="14" t="n"/>
      <c r="H55" s="14" t="inlineStr">
        <is>
          <t>unbearbeitet</t>
        </is>
      </c>
      <c r="I55" s="14" t="n"/>
      <c r="J55" s="14" t="n"/>
      <c r="K55" s="14" t="n"/>
      <c r="L55" s="15" t="n"/>
      <c r="M55" s="11" t="inlineStr">
        <is>
          <t>Integrität</t>
        </is>
      </c>
      <c r="N55" s="12" t="inlineStr"/>
      <c r="O55" s="11" t="inlineStr"/>
      <c r="P55" s="12" t="inlineStr">
        <is>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is>
      </c>
      <c r="Q55" s="11" t="inlineStr"/>
      <c r="R55" s="11" t="inlineStr">
        <is>
          <t>Datensicherungskonzept</t>
        </is>
      </c>
      <c r="S55" s="12" t="inlineStr">
        <is>
          <t>ein Datenträgerarchiv</t>
        </is>
      </c>
      <c r="T55" s="12" t="inlineStr">
        <is>
          <t>G 0.45 – Datenverlust; G 0.39 – Schadprogramme</t>
        </is>
      </c>
      <c r="U55" s="11" t="n">
        <v>4</v>
      </c>
      <c r="V55" s="11" t="n">
        <v>1</v>
      </c>
      <c r="W55" s="11" t="n">
        <v>2</v>
      </c>
      <c r="X55" s="11" t="n">
        <v>1</v>
      </c>
      <c r="Y55" s="11" t="n">
        <v>0</v>
      </c>
    </row>
    <row r="56">
      <c r="A56" s="9" t="inlineStr">
        <is>
          <t>NOT.4.12</t>
        </is>
      </c>
      <c r="B56" s="10" t="inlineStr">
        <is>
          <t>Georedundanz</t>
        </is>
      </c>
      <c r="C56" s="11" t="n"/>
      <c r="D56" s="11" t="inlineStr">
        <is>
          <t>Anforderungen bei erhöhtem Schutzbedarf</t>
        </is>
      </c>
      <c r="E56" s="12" t="inlineStr">
        <is>
          <t>Gesamt:</t>
        </is>
      </c>
      <c r="F56" s="11" t="n"/>
      <c r="G56" s="11" t="n"/>
      <c r="H56" s="13">
        <f>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
      </c>
      <c r="I56" s="11" t="n"/>
      <c r="J56" s="11" t="n"/>
      <c r="K56" s="11" t="n"/>
      <c r="L56" s="11" t="n"/>
      <c r="M56" s="11" t="inlineStr">
        <is>
          <t>Verfügbarkeit</t>
        </is>
      </c>
      <c r="N56" s="12" t="inlineStr"/>
      <c r="O56" s="11" t="inlineStr"/>
      <c r="P56" s="12" t="inlineStr">
        <is>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is>
      </c>
      <c r="Q56" s="11" t="inlineStr"/>
      <c r="R56" s="11" t="inlineStr">
        <is>
          <t>Datensicherungskonzept</t>
        </is>
      </c>
      <c r="S56" s="12" t="inlineStr">
        <is>
          <t>die georedundante Aufbewahrung mindestens einer Kopie der Datensicherung</t>
        </is>
      </c>
      <c r="T56" s="12" t="inlineStr">
        <is>
          <t>G 0.39 – Schadprogramme</t>
        </is>
      </c>
      <c r="U56" s="11" t="n">
        <v>5</v>
      </c>
      <c r="V56" s="11" t="n">
        <v>1</v>
      </c>
      <c r="W56" s="11" t="n">
        <v>1</v>
      </c>
      <c r="X56" s="11" t="n">
        <v>2</v>
      </c>
      <c r="Y56" s="11" t="n">
        <v>0</v>
      </c>
    </row>
    <row r="57">
      <c r="A57" s="11" t="inlineStr">
        <is>
          <t>NOT.4.12</t>
        </is>
      </c>
      <c r="B57" s="12" t="inlineStr">
        <is>
          <t>Georedundanz</t>
        </is>
      </c>
      <c r="C57" s="11" t="inlineStr">
        <is>
          <t>NOT.4.12</t>
        </is>
      </c>
      <c r="D57" s="11" t="inlineStr">
        <is>
          <t>Anforderungen bei erhöhtem Schutzbedarf</t>
        </is>
      </c>
      <c r="E57" s="12" t="inlineStr">
        <is>
          <t>Notfallplanung KANN die georedundante Aufbewahrung mindestens einer Kopie der Datensicherung verankern.</t>
        </is>
      </c>
      <c r="F57" s="14" t="n"/>
      <c r="G57" s="14" t="n"/>
      <c r="H57" s="14" t="inlineStr">
        <is>
          <t>unbearbeitet</t>
        </is>
      </c>
      <c r="I57" s="14" t="n"/>
      <c r="J57" s="14" t="n"/>
      <c r="K57" s="14" t="n"/>
      <c r="L57" s="15" t="n"/>
      <c r="M57" s="11" t="inlineStr">
        <is>
          <t>Verfügbarkeit</t>
        </is>
      </c>
      <c r="N57" s="12" t="inlineStr"/>
      <c r="O57" s="11" t="inlineStr"/>
      <c r="P57" s="12" t="inlineStr">
        <is>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is>
      </c>
      <c r="Q57" s="11" t="inlineStr"/>
      <c r="R57" s="11" t="inlineStr">
        <is>
          <t>Datensicherungskonzept</t>
        </is>
      </c>
      <c r="S57" s="12" t="inlineStr">
        <is>
          <t>die georedundante Aufbewahrung mindestens einer Kopie der Datensicherung</t>
        </is>
      </c>
      <c r="T57" s="12" t="inlineStr">
        <is>
          <t>G 0.39 – Schadprogramme</t>
        </is>
      </c>
      <c r="U57" s="11" t="n">
        <v>5</v>
      </c>
      <c r="V57" s="11" t="n">
        <v>1</v>
      </c>
      <c r="W57" s="11" t="n">
        <v>1</v>
      </c>
      <c r="X57" s="11" t="n">
        <v>2</v>
      </c>
      <c r="Y57" s="11" t="n">
        <v>0</v>
      </c>
    </row>
    <row r="58">
      <c r="A58" s="9" t="inlineStr">
        <is>
          <t>NOT.4.13</t>
        </is>
      </c>
      <c r="B58" s="10" t="inlineStr">
        <is>
          <t>Datensouveränität</t>
        </is>
      </c>
      <c r="C58" s="11" t="n"/>
      <c r="D58" s="11" t="inlineStr">
        <is>
          <t>Standard-Anforderungen</t>
        </is>
      </c>
      <c r="E58" s="12" t="inlineStr">
        <is>
          <t>Gesamt:</t>
        </is>
      </c>
      <c r="F58" s="11" t="n"/>
      <c r="G58" s="11" t="n"/>
      <c r="H58" s="13">
        <f>IF(OR(COUNTBLANK($H$59:$H$59)&gt;0,COUNTIF($H$59:$H$59,"unbearbeitet")=COUNTA($H$59:$H$59)),"Bitte Teilanforderungen ausfüllen",IF(COUNTIF($H$59:$H$59,"zu klären")&gt;0,"zu klären",IF(COUNTIF($H$59:$H$59,"entbehrlich")=COUNTA($H$59:$H$59),"entbehrlich",IF(COUNTIF($H$59:$H$59,"verwiesen")=COUNTA($H$59:$H$59),"verwiesen",IF(COUNTIF($H$59:$H$59,"nein")+COUNTIF($H$59:$H$59,"entbehrlich")=COUNTA($H$59:$H$59),"nein",IF(COUNTIF($H$59:$H$59,"ja")+COUNTIF($H$59:$H$59,"entbehrlich")+COUNTIF($H$59:$H$59,"verwiesen")=COUNTA($H$59:$H$59),"ja","teilweise"))))))</f>
        <v/>
      </c>
      <c r="I58" s="11" t="n"/>
      <c r="J58" s="11" t="n"/>
      <c r="K58" s="11" t="n"/>
      <c r="L58" s="11" t="n"/>
      <c r="M58" s="11" t="inlineStr">
        <is>
          <t>Verfügbarkeit</t>
        </is>
      </c>
      <c r="N58" s="12" t="inlineStr"/>
      <c r="O58" s="11" t="inlineStr"/>
      <c r="P58" s="12" t="inlineStr">
        <is>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is>
      </c>
      <c r="Q58" s="11" t="inlineStr">
        <is>
          <t>Outsourcing</t>
        </is>
      </c>
      <c r="R58" s="11" t="inlineStr">
        <is>
          <t>Datensicherungskonzept</t>
        </is>
      </c>
      <c r="S58" s="12" t="inlineStr">
        <is>
          <t>die Datensicherung von Daten, die bei einem Dienstleister verarbeitet werden,</t>
        </is>
      </c>
      <c r="T58" s="12" t="inlineStr">
        <is>
          <t>G 0.45 – Datenverlust; G 0.39 – Schadprogramme; G 0.25 – Ausfall von Geräten oder Systemen</t>
        </is>
      </c>
      <c r="U58" s="11" t="n">
        <v>3</v>
      </c>
      <c r="V58" s="11" t="n">
        <v>1</v>
      </c>
      <c r="W58" s="11" t="n">
        <v>1</v>
      </c>
      <c r="X58" s="11" t="n">
        <v>2</v>
      </c>
      <c r="Y58" s="11" t="n">
        <v>0</v>
      </c>
    </row>
    <row r="59">
      <c r="A59" s="11" t="inlineStr">
        <is>
          <t>NOT.4.13</t>
        </is>
      </c>
      <c r="B59" s="12" t="inlineStr">
        <is>
          <t>Datensouveränität</t>
        </is>
      </c>
      <c r="C59" s="11" t="inlineStr">
        <is>
          <t>NOT.4.13</t>
        </is>
      </c>
      <c r="D59" s="11" t="inlineStr">
        <is>
          <t>Standard-Anforderungen</t>
        </is>
      </c>
      <c r="E59" s="12" t="inlineStr">
        <is>
          <t>Notfallplanung für Outsourcing SOLLTE die Datensicherung von Daten, die bei einem Dienstleister verarbeitet werden, nach einem anerkannten Standard regelmäßig ausführen.</t>
        </is>
      </c>
      <c r="F59" s="14" t="n"/>
      <c r="G59" s="14" t="n"/>
      <c r="H59" s="14" t="inlineStr">
        <is>
          <t>unbearbeitet</t>
        </is>
      </c>
      <c r="I59" s="14" t="n"/>
      <c r="J59" s="14" t="n"/>
      <c r="K59" s="14" t="n"/>
      <c r="L59" s="15" t="n"/>
      <c r="M59" s="11" t="inlineStr">
        <is>
          <t>Verfügbarkeit</t>
        </is>
      </c>
      <c r="N59" s="12" t="inlineStr"/>
      <c r="O59" s="11" t="inlineStr"/>
      <c r="P59" s="12" t="inlineStr">
        <is>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is>
      </c>
      <c r="Q59" s="11" t="inlineStr">
        <is>
          <t>Outsourcing</t>
        </is>
      </c>
      <c r="R59" s="11" t="inlineStr">
        <is>
          <t>Datensicherungskonzept</t>
        </is>
      </c>
      <c r="S59" s="12" t="inlineStr">
        <is>
          <t>die Datensicherung von Daten, die bei einem Dienstleister verarbeitet werden,</t>
        </is>
      </c>
      <c r="T59" s="12" t="inlineStr">
        <is>
          <t>G 0.45 – Datenverlust; G 0.39 – Schadprogramme; G 0.25 – Ausfall von Geräten oder Systemen</t>
        </is>
      </c>
      <c r="U59" s="11" t="n">
        <v>3</v>
      </c>
      <c r="V59" s="11" t="n">
        <v>1</v>
      </c>
      <c r="W59" s="11" t="n">
        <v>1</v>
      </c>
      <c r="X59" s="11" t="n">
        <v>2</v>
      </c>
      <c r="Y59" s="11" t="n">
        <v>0</v>
      </c>
    </row>
    <row r="60">
      <c r="A60" s="9" t="inlineStr">
        <is>
          <t>NOT.4.14</t>
        </is>
      </c>
      <c r="B60" s="10" t="inlineStr">
        <is>
          <t>Offline-Kopie</t>
        </is>
      </c>
      <c r="C60" s="11" t="n"/>
      <c r="D60" s="11" t="inlineStr">
        <is>
          <t>Standard-Anforderungen</t>
        </is>
      </c>
      <c r="E60" s="12" t="inlineStr">
        <is>
          <t>Gesamt:</t>
        </is>
      </c>
      <c r="F60" s="11" t="n"/>
      <c r="G60" s="11" t="n"/>
      <c r="H60" s="13">
        <f>IF(OR(COUNTBLANK($H$61:$H$61)&gt;0,COUNTIF($H$61:$H$61,"unbearbeitet")=COUNTA($H$61:$H$61)),"Bitte Teilanforderungen ausfüllen",IF(COUNTIF($H$61:$H$61,"zu klären")&gt;0,"zu klären",IF(COUNTIF($H$61:$H$61,"entbehrlich")=COUNTA($H$61:$H$61),"entbehrlich",IF(COUNTIF($H$61:$H$61,"verwiesen")=COUNTA($H$61:$H$61),"verwiesen",IF(COUNTIF($H$61:$H$61,"nein")+COUNTIF($H$61:$H$61,"entbehrlich")=COUNTA($H$61:$H$61),"nein",IF(COUNTIF($H$61:$H$61,"ja")+COUNTIF($H$61:$H$61,"entbehrlich")+COUNTIF($H$61:$H$61,"verwiesen")=COUNTA($H$61:$H$61),"ja","teilweise"))))))</f>
        <v/>
      </c>
      <c r="I60" s="11" t="n"/>
      <c r="J60" s="11" t="n"/>
      <c r="K60" s="11" t="n"/>
      <c r="L60" s="11" t="n"/>
      <c r="M60" s="11" t="inlineStr">
        <is>
          <t>Verfügbarkeit</t>
        </is>
      </c>
      <c r="N60" s="12" t="inlineStr"/>
      <c r="O60" s="11" t="inlineStr"/>
      <c r="P60" s="12" t="inlineStr">
        <is>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is>
      </c>
      <c r="Q60" s="11" t="inlineStr">
        <is>
          <t>Daten</t>
        </is>
      </c>
      <c r="R60" s="11" t="inlineStr">
        <is>
          <t>Datensicherungskonzept</t>
        </is>
      </c>
      <c r="S60" s="12" t="inlineStr">
        <is>
          <t>eine Offline-Kopie</t>
        </is>
      </c>
      <c r="T60" s="12" t="inlineStr">
        <is>
          <t>G 0.45 – Datenverlust; G 0.39 – Schadprogramme; G 0.25 – Ausfall von Geräten oder Systemen; G 0.1 – Feuer</t>
        </is>
      </c>
      <c r="U60" s="11" t="n">
        <v>3</v>
      </c>
      <c r="V60" s="11" t="n">
        <v>1</v>
      </c>
      <c r="W60" s="11" t="n">
        <v>1</v>
      </c>
      <c r="X60" s="11" t="n">
        <v>2</v>
      </c>
      <c r="Y60" s="11" t="n">
        <v>0</v>
      </c>
    </row>
    <row r="61">
      <c r="A61" s="11" t="inlineStr">
        <is>
          <t>NOT.4.14</t>
        </is>
      </c>
      <c r="B61" s="12" t="inlineStr">
        <is>
          <t>Offline-Kopie</t>
        </is>
      </c>
      <c r="C61" s="11" t="inlineStr">
        <is>
          <t>NOT.4.14</t>
        </is>
      </c>
      <c r="D61" s="11" t="inlineStr">
        <is>
          <t>Standard-Anforderungen</t>
        </is>
      </c>
      <c r="E61" s="12" t="inlineStr">
        <is>
          <t>Notfallplanung für Daten SOLLTE eine Offline-Kopie regelmäßig ausführen.</t>
        </is>
      </c>
      <c r="F61" s="14" t="n"/>
      <c r="G61" s="14" t="n"/>
      <c r="H61" s="14" t="inlineStr">
        <is>
          <t>unbearbeitet</t>
        </is>
      </c>
      <c r="I61" s="14" t="n"/>
      <c r="J61" s="14" t="n"/>
      <c r="K61" s="14" t="n"/>
      <c r="L61" s="15" t="n"/>
      <c r="M61" s="11" t="inlineStr">
        <is>
          <t>Verfügbarkeit</t>
        </is>
      </c>
      <c r="N61" s="12" t="inlineStr"/>
      <c r="O61" s="11" t="inlineStr"/>
      <c r="P61" s="12" t="inlineStr">
        <is>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is>
      </c>
      <c r="Q61" s="11" t="inlineStr">
        <is>
          <t>Daten</t>
        </is>
      </c>
      <c r="R61" s="11" t="inlineStr">
        <is>
          <t>Datensicherungskonzept</t>
        </is>
      </c>
      <c r="S61" s="12" t="inlineStr">
        <is>
          <t>eine Offline-Kopie</t>
        </is>
      </c>
      <c r="T61" s="12" t="inlineStr">
        <is>
          <t>G 0.45 – Datenverlust; G 0.39 – Schadprogramme; G 0.25 – Ausfall von Geräten oder Systemen; G 0.1 – Feuer</t>
        </is>
      </c>
      <c r="U61" s="11" t="n">
        <v>3</v>
      </c>
      <c r="V61" s="11" t="n">
        <v>1</v>
      </c>
      <c r="W61" s="11" t="n">
        <v>1</v>
      </c>
      <c r="X61" s="11" t="n">
        <v>2</v>
      </c>
      <c r="Y61" s="11" t="n">
        <v>0</v>
      </c>
    </row>
    <row r="62">
      <c r="A62" s="9" t="inlineStr">
        <is>
          <t>NOT.4.15</t>
        </is>
      </c>
      <c r="B62" s="10" t="inlineStr">
        <is>
          <t>Vorgehen zur Wiederherstellung</t>
        </is>
      </c>
      <c r="C62" s="11" t="n"/>
      <c r="D62" s="11" t="inlineStr">
        <is>
          <t>Standard-Anforderungen</t>
        </is>
      </c>
      <c r="E62" s="12" t="inlineStr">
        <is>
          <t>Gesamt:</t>
        </is>
      </c>
      <c r="F62" s="11" t="n"/>
      <c r="G62" s="11" t="n"/>
      <c r="H62" s="13">
        <f>IF(OR(COUNTBLANK($H$63:$H$63)&gt;0,COUNTIF($H$63:$H$63,"unbearbeitet")=COUNTA($H$63:$H$63)),"Bitte Teilanforderungen ausfüllen",IF(COUNTIF($H$63:$H$63,"zu klären")&gt;0,"zu klären",IF(COUNTIF($H$63:$H$63,"entbehrlich")=COUNTA($H$63:$H$63),"entbehrlich",IF(COUNTIF($H$63:$H$63,"verwiesen")=COUNTA($H$63:$H$63),"verwiesen",IF(COUNTIF($H$63:$H$63,"nein")+COUNTIF($H$63:$H$63,"entbehrlich")=COUNTA($H$63:$H$63),"nein",IF(COUNTIF($H$63:$H$63,"ja")+COUNTIF($H$63:$H$63,"entbehrlich")+COUNTIF($H$63:$H$63,"verwiesen")=COUNTA($H$63:$H$63),"ja","teilweise"))))))</f>
        <v/>
      </c>
      <c r="I62" s="11" t="n"/>
      <c r="J62" s="11" t="n"/>
      <c r="K62" s="11" t="n"/>
      <c r="L62" s="11" t="n"/>
      <c r="M62" s="11" t="inlineStr"/>
      <c r="N62" s="12" t="inlineStr"/>
      <c r="O62" s="11" t="inlineStr"/>
      <c r="P62" s="12" t="inlineStr">
        <is>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is>
      </c>
      <c r="Q62" s="11" t="inlineStr"/>
      <c r="R62" s="11" t="inlineStr">
        <is>
          <t>Datensicherungskonzept</t>
        </is>
      </c>
      <c r="S62" s="12" t="inlineStr">
        <is>
          <t>die Vorgehensweise zur Wiederherstellung</t>
        </is>
      </c>
      <c r="T62" s="12" t="inlineStr">
        <is>
          <t>G 0.45 – Datenverlust; G 0.39 – Schadprogramme; G 0.25 – Ausfall von Geräten oder Systemen</t>
        </is>
      </c>
      <c r="U62" s="11" t="n">
        <v>2</v>
      </c>
      <c r="V62" s="11" t="n">
        <v>1</v>
      </c>
      <c r="W62" s="11" t="n">
        <v>1</v>
      </c>
      <c r="X62" s="11" t="n">
        <v>1</v>
      </c>
      <c r="Y62" s="11" t="n">
        <v>0</v>
      </c>
    </row>
    <row r="63">
      <c r="A63" s="11" t="inlineStr">
        <is>
          <t>NOT.4.15</t>
        </is>
      </c>
      <c r="B63" s="12" t="inlineStr">
        <is>
          <t>Vorgehen zur Wiederherstellung</t>
        </is>
      </c>
      <c r="C63" s="11" t="inlineStr">
        <is>
          <t>NOT.4.15</t>
        </is>
      </c>
      <c r="D63" s="11" t="inlineStr">
        <is>
          <t>Standard-Anforderungen</t>
        </is>
      </c>
      <c r="E63" s="12" t="inlineStr">
        <is>
          <t>Notfallplanung SOLLTE die Vorgehensweise zur Wiederherstellung dokumentieren.</t>
        </is>
      </c>
      <c r="F63" s="14" t="n"/>
      <c r="G63" s="14" t="n"/>
      <c r="H63" s="14" t="inlineStr">
        <is>
          <t>unbearbeitet</t>
        </is>
      </c>
      <c r="I63" s="14" t="n"/>
      <c r="J63" s="14" t="n"/>
      <c r="K63" s="14" t="n"/>
      <c r="L63" s="15" t="n"/>
      <c r="M63" s="11" t="inlineStr"/>
      <c r="N63" s="12" t="inlineStr"/>
      <c r="O63" s="11" t="inlineStr"/>
      <c r="P63" s="12" t="inlineStr">
        <is>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is>
      </c>
      <c r="Q63" s="11" t="inlineStr"/>
      <c r="R63" s="11" t="inlineStr">
        <is>
          <t>Datensicherungskonzept</t>
        </is>
      </c>
      <c r="S63" s="12" t="inlineStr">
        <is>
          <t>die Vorgehensweise zur Wiederherstellung</t>
        </is>
      </c>
      <c r="T63" s="12" t="inlineStr">
        <is>
          <t>G 0.45 – Datenverlust; G 0.39 – Schadprogramme; G 0.25 – Ausfall von Geräten oder Systemen</t>
        </is>
      </c>
      <c r="U63" s="11" t="n">
        <v>2</v>
      </c>
      <c r="V63" s="11" t="n">
        <v>1</v>
      </c>
      <c r="W63" s="11" t="n">
        <v>1</v>
      </c>
      <c r="X63" s="11" t="n">
        <v>1</v>
      </c>
      <c r="Y63" s="11" t="n">
        <v>0</v>
      </c>
    </row>
    <row r="64">
      <c r="A64" s="9" t="inlineStr">
        <is>
          <t>NOT.4.16</t>
        </is>
      </c>
      <c r="B64" s="10" t="inlineStr">
        <is>
          <t>Test der Datensicherung</t>
        </is>
      </c>
      <c r="C64" s="11" t="n"/>
      <c r="D64" s="11" t="inlineStr">
        <is>
          <t>Standard-Anforderungen</t>
        </is>
      </c>
      <c r="E64" s="12" t="inlineStr">
        <is>
          <t>Gesamt:</t>
        </is>
      </c>
      <c r="F64" s="11" t="n"/>
      <c r="G64" s="11" t="n"/>
      <c r="H64" s="13">
        <f>IF(OR(COUNTBLANK($H$65:$H$66)&gt;0,COUNTIF($H$65:$H$66,"unbearbeitet")=COUNTA($H$65:$H$66)),"Bitte Teilanforderungen ausfüllen",IF(COUNTIF($H$65:$H$66,"zu klären")&gt;0,"zu klären",IF(COUNTIF($H$65:$H$66,"entbehrlich")=COUNTA($H$65:$H$66),"entbehrlich",IF(COUNTIF($H$65:$H$66,"verwiesen")=COUNTA($H$65:$H$66),"verwiesen",IF(COUNTIF($H$65:$H$66,"nein")+COUNTIF($H$65:$H$66,"entbehrlich")=COUNTA($H$65:$H$66),"nein",IF(COUNTIF($H$65:$H$66,"ja")+COUNTIF($H$65:$H$66,"entbehrlich")+COUNTIF($H$65:$H$66,"verwiesen")=COUNTA($H$65:$H$66),"ja","teilweise"))))))</f>
        <v/>
      </c>
      <c r="I64" s="11" t="n"/>
      <c r="J64" s="11" t="n"/>
      <c r="K64" s="11" t="n"/>
      <c r="L64" s="11" t="n"/>
      <c r="M64" s="11" t="inlineStr">
        <is>
          <t>Integrität</t>
        </is>
      </c>
      <c r="N64" s="12" t="inlineStr"/>
      <c r="O64" s="11" t="inlineStr"/>
      <c r="P64" s="12" t="inlineStr">
        <is>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is>
      </c>
      <c r="Q64" s="11" t="inlineStr">
        <is>
          <t>Daten</t>
        </is>
      </c>
      <c r="R64" s="11" t="inlineStr">
        <is>
          <t>Datensicherungskonzept</t>
        </is>
      </c>
      <c r="S64" s="12" t="inlineStr">
        <is>
          <t>den Erfolg der Datensicherung</t>
        </is>
      </c>
      <c r="T64" s="12" t="inlineStr">
        <is>
          <t>G 0.45 – Datenverlust; G 0.39 – Schadprogramme</t>
        </is>
      </c>
      <c r="U64" s="11" t="n">
        <v>3</v>
      </c>
      <c r="V64" s="11" t="n">
        <v>1</v>
      </c>
      <c r="W64" s="11" t="n">
        <v>2</v>
      </c>
      <c r="X64" s="11" t="n">
        <v>1</v>
      </c>
      <c r="Y64" s="11" t="n">
        <v>0</v>
      </c>
    </row>
    <row r="65">
      <c r="A65" s="11" t="inlineStr">
        <is>
          <t>NOT.4.16</t>
        </is>
      </c>
      <c r="B65" s="12" t="inlineStr">
        <is>
          <t>Test der Datensicherung</t>
        </is>
      </c>
      <c r="C65" s="11" t="inlineStr">
        <is>
          <t>NOT.4.16</t>
        </is>
      </c>
      <c r="D65" s="11" t="inlineStr">
        <is>
          <t>Standard-Anforderungen</t>
        </is>
      </c>
      <c r="E65" s="12" t="inlineStr">
        <is>
          <t>Notfallplanung für Daten SOLLTE den Erfolg der Datensicherung regelmäßig überprüfen.</t>
        </is>
      </c>
      <c r="F65" s="14" t="n"/>
      <c r="G65" s="14" t="n"/>
      <c r="H65" s="14" t="inlineStr">
        <is>
          <t>unbearbeitet</t>
        </is>
      </c>
      <c r="I65" s="14" t="n"/>
      <c r="J65" s="14" t="n"/>
      <c r="K65" s="14" t="n"/>
      <c r="L65" s="15" t="n"/>
      <c r="M65" s="11" t="inlineStr">
        <is>
          <t>Integrität</t>
        </is>
      </c>
      <c r="N65" s="12" t="inlineStr"/>
      <c r="O65" s="11" t="inlineStr"/>
      <c r="P65" s="12" t="inlineStr">
        <is>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is>
      </c>
      <c r="Q65" s="11" t="inlineStr">
        <is>
          <t>Daten</t>
        </is>
      </c>
      <c r="R65" s="11" t="inlineStr">
        <is>
          <t>Datensicherungskonzept</t>
        </is>
      </c>
      <c r="S65" s="12" t="inlineStr">
        <is>
          <t>den Erfolg der Datensicherung</t>
        </is>
      </c>
      <c r="T65" s="12" t="inlineStr">
        <is>
          <t>G 0.45 – Datenverlust; G 0.39 – Schadprogramme</t>
        </is>
      </c>
      <c r="U65" s="11" t="n">
        <v>3</v>
      </c>
      <c r="V65" s="11" t="n">
        <v>1</v>
      </c>
      <c r="W65" s="11" t="n">
        <v>2</v>
      </c>
      <c r="X65" s="11" t="n">
        <v>1</v>
      </c>
      <c r="Y65" s="11" t="n">
        <v>0</v>
      </c>
    </row>
    <row r="66">
      <c r="A66" s="11" t="inlineStr">
        <is>
          <t>NOT.4.16</t>
        </is>
      </c>
      <c r="B66" s="12" t="inlineStr">
        <is>
          <t>Test der Datensicherung</t>
        </is>
      </c>
      <c r="C66" s="11" t="inlineStr">
        <is>
          <t>NOT.4.16.1</t>
        </is>
      </c>
      <c r="D66" s="11" t="inlineStr">
        <is>
          <t>Standard-Anforderungen</t>
        </is>
      </c>
      <c r="E66" s="12" t="inlineStr">
        <is>
          <t>Notfallplanung für Daten SOLLTE die Wiederherstellung mindestens anhand von repräsentativen Stichproben regelmäßig überprüfen.</t>
        </is>
      </c>
      <c r="F66" s="14" t="n"/>
      <c r="G66" s="14" t="n"/>
      <c r="H66" s="14" t="inlineStr">
        <is>
          <t>unbearbeitet</t>
        </is>
      </c>
      <c r="I66" s="14" t="n"/>
      <c r="J66" s="14" t="n"/>
      <c r="K66" s="14" t="n"/>
      <c r="L66" s="15" t="n"/>
      <c r="M66" s="11" t="inlineStr">
        <is>
          <t>Integrität</t>
        </is>
      </c>
      <c r="N66" s="12" t="inlineStr"/>
      <c r="O66" s="11" t="inlineStr"/>
      <c r="P66" s="12" t="inlineStr">
        <is>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is>
      </c>
      <c r="Q66" s="11" t="inlineStr">
        <is>
          <t>Daten</t>
        </is>
      </c>
      <c r="R66" s="11" t="inlineStr">
        <is>
          <t>Datensicherungskonzept</t>
        </is>
      </c>
      <c r="S66" s="12" t="inlineStr">
        <is>
          <t>die Wiederherstellung</t>
        </is>
      </c>
      <c r="T66" s="12" t="inlineStr">
        <is>
          <t>G 0.45 – Datenverlust; G 0.39 – Schadprogramme; G 0.25 – Ausfall von Geräten oder Systemen</t>
        </is>
      </c>
      <c r="U66" s="11" t="n">
        <v>3</v>
      </c>
      <c r="V66" s="11" t="n">
        <v>1</v>
      </c>
      <c r="W66" s="11" t="n">
        <v>2</v>
      </c>
      <c r="X66" s="11" t="n">
        <v>1</v>
      </c>
      <c r="Y66" s="11" t="n">
        <v>0</v>
      </c>
    </row>
    <row r="67">
      <c r="A67" s="9" t="inlineStr">
        <is>
          <t>NOT.4.17</t>
        </is>
      </c>
      <c r="B67" s="10" t="inlineStr">
        <is>
          <t>Anwendungstest</t>
        </is>
      </c>
      <c r="C67" s="11" t="n"/>
      <c r="D67" s="11" t="inlineStr">
        <is>
          <t>Anforderungen bei erhöhtem Schutzbedarf</t>
        </is>
      </c>
      <c r="E67" s="12" t="inlineStr">
        <is>
          <t>Gesamt:</t>
        </is>
      </c>
      <c r="F67" s="11" t="n"/>
      <c r="G67" s="11" t="n"/>
      <c r="H67" s="13">
        <f>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
      </c>
      <c r="I67" s="11" t="n"/>
      <c r="J67" s="11" t="n"/>
      <c r="K67" s="11" t="n"/>
      <c r="L67" s="11" t="n"/>
      <c r="M67" s="11" t="inlineStr">
        <is>
          <t>Integrität</t>
        </is>
      </c>
      <c r="N67" s="12" t="inlineStr"/>
      <c r="O67" s="11" t="inlineStr"/>
      <c r="P67" s="12" t="inlineStr">
        <is>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is>
      </c>
      <c r="Q67" s="11" t="inlineStr">
        <is>
          <t>Anwendungen</t>
        </is>
      </c>
      <c r="R67" s="11" t="inlineStr">
        <is>
          <t>Datensicherungskonzept</t>
        </is>
      </c>
      <c r="S67" s="12" t="inlineStr">
        <is>
          <t>deren Funktionsfähigkeit nach Wiederherstellung</t>
        </is>
      </c>
      <c r="T67" s="12" t="inlineStr">
        <is>
          <t>G 0.45 – Datenverlust; G 0.39 – Schadprogramme; G 0.25 – Ausfall von Geräten oder Systemen</t>
        </is>
      </c>
      <c r="U67" s="11" t="n">
        <v>5</v>
      </c>
      <c r="V67" s="11" t="n">
        <v>1</v>
      </c>
      <c r="W67" s="11" t="n">
        <v>2</v>
      </c>
      <c r="X67" s="11" t="n">
        <v>1</v>
      </c>
      <c r="Y67" s="11" t="n">
        <v>0</v>
      </c>
    </row>
    <row r="68">
      <c r="A68" s="11" t="inlineStr">
        <is>
          <t>NOT.4.17</t>
        </is>
      </c>
      <c r="B68" s="12" t="inlineStr">
        <is>
          <t>Anwendungstest</t>
        </is>
      </c>
      <c r="C68" s="11" t="inlineStr">
        <is>
          <t>NOT.4.17</t>
        </is>
      </c>
      <c r="D68" s="11" t="inlineStr">
        <is>
          <t>Anforderungen bei erhöhtem Schutzbedarf</t>
        </is>
      </c>
      <c r="E68" s="12" t="inlineStr">
        <is>
          <t>Notfallplanung für Anwendungen KANN deren Funktionsfähigkeit nach Wiederherstellung regelmäßig überprüfen.</t>
        </is>
      </c>
      <c r="F68" s="14" t="n"/>
      <c r="G68" s="14" t="n"/>
      <c r="H68" s="14" t="inlineStr">
        <is>
          <t>unbearbeitet</t>
        </is>
      </c>
      <c r="I68" s="14" t="n"/>
      <c r="J68" s="14" t="n"/>
      <c r="K68" s="14" t="n"/>
      <c r="L68" s="15" t="n"/>
      <c r="M68" s="11" t="inlineStr">
        <is>
          <t>Integrität</t>
        </is>
      </c>
      <c r="N68" s="12" t="inlineStr"/>
      <c r="O68" s="11" t="inlineStr"/>
      <c r="P68" s="12" t="inlineStr">
        <is>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is>
      </c>
      <c r="Q68" s="11" t="inlineStr">
        <is>
          <t>Anwendungen</t>
        </is>
      </c>
      <c r="R68" s="11" t="inlineStr">
        <is>
          <t>Datensicherungskonzept</t>
        </is>
      </c>
      <c r="S68" s="12" t="inlineStr">
        <is>
          <t>deren Funktionsfähigkeit nach Wiederherstellung</t>
        </is>
      </c>
      <c r="T68" s="12" t="inlineStr">
        <is>
          <t>G 0.45 – Datenverlust; G 0.39 – Schadprogramme; G 0.25 – Ausfall von Geräten oder Systemen</t>
        </is>
      </c>
      <c r="U68" s="11" t="n">
        <v>5</v>
      </c>
      <c r="V68" s="11" t="n">
        <v>1</v>
      </c>
      <c r="W68" s="11" t="n">
        <v>2</v>
      </c>
      <c r="X68" s="11" t="n">
        <v>1</v>
      </c>
      <c r="Y68" s="11" t="n">
        <v>0</v>
      </c>
    </row>
  </sheetData>
  <autoFilter ref="A6:Y6"/>
  <conditionalFormatting sqref="H7:H68">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1 H13 H15 H16 H17 H18 H19 H21 H23 H25 H27 H29 H31 H33 H35 H37 H39 H41 H42 H43 H45 H47 H49 H51 H53 H55 H57 H59 H61 H63 H65 H66 H68"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36"/>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PERF</t>
        </is>
      </c>
      <c r="B3" s="6" t="inlineStr">
        <is>
          <t>Monitoring-Evaluation</t>
        </is>
      </c>
    </row>
    <row r="4">
      <c r="A4" s="3" t="inlineStr">
        <is>
          <t>Zielobjekte</t>
        </is>
      </c>
      <c r="B4" s="7">
        <f>IF('Praktiken'!D16="","",'Praktiken'!D16)</f>
        <v/>
      </c>
    </row>
    <row r="5">
      <c r="A5" s="3" t="inlineStr">
        <is>
          <t>Zuständig</t>
        </is>
      </c>
      <c r="B5" s="7">
        <f>IF('Praktiken'!S16="","",'Praktiken'!S16)</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PERF.1.1</t>
        </is>
      </c>
      <c r="B7" s="10" t="inlineStr">
        <is>
          <t>Verfahren und Regelungen</t>
        </is>
      </c>
      <c r="C7" s="11" t="n"/>
      <c r="D7" s="11" t="inlineStr">
        <is>
          <t>Basis-Anforderungen</t>
        </is>
      </c>
      <c r="E7" s="12" t="inlineStr">
        <is>
          <t>Gesamt:</t>
        </is>
      </c>
      <c r="F7" s="11" t="n"/>
      <c r="G7" s="11" t="n"/>
      <c r="H7" s="13">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
      </c>
      <c r="I7" s="11" t="n"/>
      <c r="J7" s="11" t="n"/>
      <c r="K7" s="11" t="n"/>
      <c r="L7" s="11" t="n"/>
      <c r="M7" s="11" t="inlineStr"/>
      <c r="N7" s="12" t="inlineStr"/>
      <c r="O7" s="11" t="inlineStr"/>
      <c r="P7" s="12" t="inlineStr">
        <is>
          <t>Die bei der Festlegung des Verfahrens und der Regelungen im Einzelnen zu berücksichtigenden Inhalte ergeben sich aus den Anforderungen dieser Praktik. Die Ergebnisse müssen strukturiert dokumentiert und an die relevanten Stakeholder kommuniziert werden.</t>
        </is>
      </c>
      <c r="Q7" s="11" t="inlineStr"/>
      <c r="R7" s="11" t="inlineStr"/>
      <c r="S7" s="12" t="inlineStr">
        <is>
          <t>Verfahren und Regelungen zur Messung und Bewertung der Leistung des ISMS</t>
        </is>
      </c>
      <c r="T7" s="12" t="inlineStr"/>
      <c r="U7" s="11" t="n">
        <v>0</v>
      </c>
      <c r="V7" s="11" t="n"/>
      <c r="W7" s="11" t="n"/>
      <c r="X7" s="11" t="n"/>
      <c r="Y7" s="11" t="n"/>
    </row>
    <row r="8">
      <c r="A8" s="11" t="inlineStr">
        <is>
          <t>PERF.1.1</t>
        </is>
      </c>
      <c r="B8" s="12" t="inlineStr">
        <is>
          <t>Verfahren und Regelungen</t>
        </is>
      </c>
      <c r="C8" s="11" t="inlineStr">
        <is>
          <t>PERF.1.1</t>
        </is>
      </c>
      <c r="D8" s="11" t="inlineStr">
        <is>
          <t>Basis-Anforderungen</t>
        </is>
      </c>
      <c r="E8" s="12" t="inlineStr">
        <is>
          <t>Monitoring-Evaluation MUSS Verfahren und Regelungen zur Messung und Bewertung der Leistung des ISMS verankern.</t>
        </is>
      </c>
      <c r="F8" s="14" t="n"/>
      <c r="G8" s="14" t="n"/>
      <c r="H8" s="14" t="inlineStr">
        <is>
          <t>unbearbeitet</t>
        </is>
      </c>
      <c r="I8" s="14" t="n"/>
      <c r="J8" s="14" t="n"/>
      <c r="K8" s="14" t="n"/>
      <c r="L8" s="15" t="n"/>
      <c r="M8" s="11" t="inlineStr"/>
      <c r="N8" s="12" t="inlineStr"/>
      <c r="O8" s="11" t="inlineStr"/>
      <c r="P8" s="12" t="inlineStr">
        <is>
          <t>Die bei der Festlegung des Verfahrens und der Regelungen im Einzelnen zu berücksichtigenden Inhalte ergeben sich aus den Anforderungen dieser Praktik. Die Ergebnisse müssen strukturiert dokumentiert und an die relevanten Stakeholder kommuniziert werden.</t>
        </is>
      </c>
      <c r="Q8" s="11" t="inlineStr"/>
      <c r="R8" s="11" t="inlineStr"/>
      <c r="S8" s="12" t="inlineStr">
        <is>
          <t>Verfahren und Regelungen zur Messung und Bewertung der Leistung des ISMS</t>
        </is>
      </c>
      <c r="T8" s="12" t="inlineStr"/>
      <c r="U8" s="11" t="n">
        <v>0</v>
      </c>
      <c r="V8" s="11" t="n"/>
      <c r="W8" s="11" t="n"/>
      <c r="X8" s="11" t="n"/>
      <c r="Y8" s="11" t="n"/>
    </row>
    <row r="9">
      <c r="A9" s="9" t="inlineStr">
        <is>
          <t>PERF.1.2</t>
        </is>
      </c>
      <c r="B9" s="10" t="inlineStr">
        <is>
          <t>Evaluation des Umsetzungsplans</t>
        </is>
      </c>
      <c r="C9" s="11" t="n"/>
      <c r="D9" s="11" t="inlineStr">
        <is>
          <t>Basis-Anforderungen</t>
        </is>
      </c>
      <c r="E9" s="12" t="inlineStr">
        <is>
          <t>Gesamt:</t>
        </is>
      </c>
      <c r="F9" s="11" t="n"/>
      <c r="G9" s="11" t="n"/>
      <c r="H9" s="13">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
      </c>
      <c r="I9" s="11" t="n"/>
      <c r="J9" s="11" t="n"/>
      <c r="K9" s="11" t="n"/>
      <c r="L9" s="11" t="n"/>
      <c r="M9" s="11" t="inlineStr"/>
      <c r="N9" s="12" t="inlineStr"/>
      <c r="O9" s="11" t="inlineStr"/>
      <c r="P9" s="12" t="inlineStr">
        <is>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is>
      </c>
      <c r="Q9" s="11" t="inlineStr"/>
      <c r="R9" s="11" t="inlineStr"/>
      <c r="S9" s="12" t="inlineStr">
        <is>
          <t>die {{regelmäßige}} Überprüfung und Fortschreibung des Umsetzungsplans</t>
        </is>
      </c>
      <c r="T9" s="12" t="inlineStr"/>
      <c r="U9" s="11" t="n">
        <v>0</v>
      </c>
      <c r="V9" s="11" t="n"/>
      <c r="W9" s="11" t="n"/>
      <c r="X9" s="11" t="n"/>
      <c r="Y9" s="11" t="n"/>
    </row>
    <row r="10">
      <c r="A10" s="11" t="inlineStr">
        <is>
          <t>PERF.1.2</t>
        </is>
      </c>
      <c r="B10" s="12" t="inlineStr">
        <is>
          <t>Evaluation des Umsetzungsplans</t>
        </is>
      </c>
      <c r="C10" s="11" t="inlineStr">
        <is>
          <t>PERF.1.2</t>
        </is>
      </c>
      <c r="D10" s="11" t="inlineStr">
        <is>
          <t>Basis-Anforderungen</t>
        </is>
      </c>
      <c r="E10" s="12" t="inlineStr">
        <is>
          <t>Monitoring-Evaluation MUSS die regelmäßige Überprüfung und Fortschreibung des Umsetzungsplans in Bezug auf Fortschritt, Fristeinhaltung und inhaltlicher Korrektheit verankern.</t>
        </is>
      </c>
      <c r="F10" s="14" t="n"/>
      <c r="G10" s="14" t="n"/>
      <c r="H10" s="14" t="inlineStr">
        <is>
          <t>unbearbeitet</t>
        </is>
      </c>
      <c r="I10" s="14" t="n"/>
      <c r="J10" s="14" t="n"/>
      <c r="K10" s="14" t="n"/>
      <c r="L10" s="15" t="n"/>
      <c r="M10" s="11" t="inlineStr"/>
      <c r="N10" s="12" t="inlineStr"/>
      <c r="O10" s="11" t="inlineStr"/>
      <c r="P10" s="12" t="inlineStr">
        <is>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is>
      </c>
      <c r="Q10" s="11" t="inlineStr"/>
      <c r="R10" s="11" t="inlineStr"/>
      <c r="S10" s="12" t="inlineStr">
        <is>
          <t>die {{regelmäßige}} Überprüfung und Fortschreibung des Umsetzungsplans</t>
        </is>
      </c>
      <c r="T10" s="12" t="inlineStr"/>
      <c r="U10" s="11" t="n">
        <v>0</v>
      </c>
      <c r="V10" s="11" t="n"/>
      <c r="W10" s="11" t="n"/>
      <c r="X10" s="11" t="n"/>
      <c r="Y10" s="11" t="n"/>
    </row>
    <row r="11">
      <c r="A11" s="9" t="inlineStr">
        <is>
          <t>PERF.1.3</t>
        </is>
      </c>
      <c r="B11" s="10" t="inlineStr">
        <is>
          <t>Aktualität der Anforderungen</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is>
      </c>
      <c r="Q11" s="11" t="inlineStr"/>
      <c r="R11" s="11" t="inlineStr"/>
      <c r="S11" s="12" t="inlineStr">
        <is>
          <t>die Aktualität der Anforderungen</t>
        </is>
      </c>
      <c r="T11" s="12" t="inlineStr"/>
      <c r="U11" s="11" t="n">
        <v>0</v>
      </c>
      <c r="V11" s="11" t="n"/>
      <c r="W11" s="11" t="n"/>
      <c r="X11" s="11" t="n"/>
      <c r="Y11" s="11" t="n"/>
    </row>
    <row r="12">
      <c r="A12" s="11" t="inlineStr">
        <is>
          <t>PERF.1.3</t>
        </is>
      </c>
      <c r="B12" s="12" t="inlineStr">
        <is>
          <t>Aktualität der Anforderungen</t>
        </is>
      </c>
      <c r="C12" s="11" t="inlineStr">
        <is>
          <t>PERF.1.3</t>
        </is>
      </c>
      <c r="D12" s="11" t="inlineStr">
        <is>
          <t>Basis-Anforderungen</t>
        </is>
      </c>
      <c r="E12" s="12" t="inlineStr">
        <is>
          <t>Monitoring-Evaluation MUSS die Aktualität der Anforderungen regelmäßig überprüfen.</t>
        </is>
      </c>
      <c r="F12" s="14" t="n"/>
      <c r="G12" s="14" t="n"/>
      <c r="H12" s="14" t="inlineStr">
        <is>
          <t>unbearbeitet</t>
        </is>
      </c>
      <c r="I12" s="14" t="n"/>
      <c r="J12" s="14" t="n"/>
      <c r="K12" s="14" t="n"/>
      <c r="L12" s="15" t="n"/>
      <c r="M12" s="11" t="inlineStr"/>
      <c r="N12" s="12" t="inlineStr"/>
      <c r="O12" s="11" t="inlineStr"/>
      <c r="P12" s="12" t="inlineStr">
        <is>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is>
      </c>
      <c r="Q12" s="11" t="inlineStr"/>
      <c r="R12" s="11" t="inlineStr"/>
      <c r="S12" s="12" t="inlineStr">
        <is>
          <t>die Aktualität der Anforderungen</t>
        </is>
      </c>
      <c r="T12" s="12" t="inlineStr"/>
      <c r="U12" s="11" t="n">
        <v>0</v>
      </c>
      <c r="V12" s="11" t="n"/>
      <c r="W12" s="11" t="n"/>
      <c r="X12" s="11" t="n"/>
      <c r="Y12" s="11" t="n"/>
    </row>
    <row r="13">
      <c r="A13" s="9" t="inlineStr">
        <is>
          <t>PERF.2.1</t>
        </is>
      </c>
      <c r="B13" s="10" t="inlineStr">
        <is>
          <t>Überwachung der Einhaltung von Verpflichtungen</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is>
      </c>
      <c r="Q13" s="11" t="inlineStr"/>
      <c r="R13" s="11" t="inlineStr"/>
      <c r="S13" s="12" t="inlineStr">
        <is>
          <t>die Einhaltung von Verpflichtungen</t>
        </is>
      </c>
      <c r="T13" s="12" t="inlineStr"/>
      <c r="U13" s="11" t="n">
        <v>2</v>
      </c>
      <c r="V13" s="11" t="n"/>
      <c r="W13" s="11" t="n"/>
      <c r="X13" s="11" t="n"/>
      <c r="Y13" s="11" t="n"/>
    </row>
    <row r="14">
      <c r="A14" s="11" t="inlineStr">
        <is>
          <t>PERF.2.1</t>
        </is>
      </c>
      <c r="B14" s="12" t="inlineStr">
        <is>
          <t>Überwachung der Einhaltung von Verpflichtungen</t>
        </is>
      </c>
      <c r="C14" s="11" t="inlineStr">
        <is>
          <t>PERF.2.1</t>
        </is>
      </c>
      <c r="D14" s="11" t="inlineStr">
        <is>
          <t>Standard-Anforderungen</t>
        </is>
      </c>
      <c r="E14" s="12" t="inlineStr">
        <is>
          <t>Monitoring-Evaluation SOLLTE die Einhaltung von Verpflichtungen regelmäßig sowie anlassbezogen überprüfen.</t>
        </is>
      </c>
      <c r="F14" s="14" t="n"/>
      <c r="G14" s="14" t="n"/>
      <c r="H14" s="14" t="inlineStr">
        <is>
          <t>unbearbeitet</t>
        </is>
      </c>
      <c r="I14" s="14" t="n"/>
      <c r="J14" s="14" t="n"/>
      <c r="K14" s="14" t="n"/>
      <c r="L14" s="15" t="n"/>
      <c r="M14" s="11" t="inlineStr"/>
      <c r="N14" s="12" t="inlineStr"/>
      <c r="O14" s="11" t="inlineStr"/>
      <c r="P14" s="12" t="inlineStr">
        <is>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is>
      </c>
      <c r="Q14" s="11" t="inlineStr"/>
      <c r="R14" s="11" t="inlineStr"/>
      <c r="S14" s="12" t="inlineStr">
        <is>
          <t>die Einhaltung von Verpflichtungen</t>
        </is>
      </c>
      <c r="T14" s="12" t="inlineStr"/>
      <c r="U14" s="11" t="n">
        <v>2</v>
      </c>
      <c r="V14" s="11" t="n"/>
      <c r="W14" s="11" t="n"/>
      <c r="X14" s="11" t="n"/>
      <c r="Y14" s="11" t="n"/>
    </row>
    <row r="15">
      <c r="A15" s="9" t="inlineStr">
        <is>
          <t>PERF.3.1</t>
        </is>
      </c>
      <c r="B15" s="10" t="inlineStr">
        <is>
          <t>Aufbau und Pflege eines Auditprogramms</t>
        </is>
      </c>
      <c r="C15" s="11" t="n"/>
      <c r="D15" s="11" t="inlineStr">
        <is>
          <t>Basis-Anforderungen</t>
        </is>
      </c>
      <c r="E15" s="12" t="inlineStr">
        <is>
          <t>Gesamt:</t>
        </is>
      </c>
      <c r="F15" s="11" t="n"/>
      <c r="G15" s="11" t="n"/>
      <c r="H15" s="13">
        <f>IF(OR(COUNTBLANK($H$16:$H$19)&gt;0,COUNTIF($H$16:$H$19,"unbearbeitet")=COUNTA($H$16:$H$19)),"Bitte Teilanforderungen ausfüllen",IF(COUNTIF($H$16:$H$19,"zu klären")&gt;0,"zu klären",IF(COUNTIF($H$16:$H$19,"entbehrlich")=COUNTA($H$16:$H$19),"entbehrlich",IF(COUNTIF($H$16:$H$19,"verwiesen")=COUNTA($H$16:$H$19),"verwiesen",IF(COUNTIF($H$16:$H$19,"nein")+COUNTIF($H$16:$H$19,"entbehrlich")=COUNTA($H$16:$H$19),"nein",IF(COUNTIF($H$16:$H$19,"ja")+COUNTIF($H$16:$H$19,"entbehrlich")+COUNTIF($H$16:$H$19,"verwiesen")=COUNTA($H$16:$H$19),"ja","teilweise"))))))</f>
        <v/>
      </c>
      <c r="I15" s="11" t="n"/>
      <c r="J15" s="11" t="n"/>
      <c r="K15" s="11" t="n"/>
      <c r="L15" s="11" t="n"/>
      <c r="M15" s="11" t="inlineStr"/>
      <c r="N15" s="12" t="inlineStr"/>
      <c r="O15" s="11" t="inlineStr"/>
      <c r="P15" s="12" t="inlineStr">
        <is>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is>
      </c>
      <c r="Q15" s="11" t="inlineStr"/>
      <c r="R15" s="11" t="inlineStr"/>
      <c r="S15" s="12" t="inlineStr">
        <is>
          <t>ein Verfahren zum Aufbau und zur Pflege eines oder mehrerer Auditprogramme</t>
        </is>
      </c>
      <c r="T15" s="12" t="inlineStr"/>
      <c r="U15" s="11" t="n">
        <v>0</v>
      </c>
      <c r="V15" s="11" t="n"/>
      <c r="W15" s="11" t="n"/>
      <c r="X15" s="11" t="n"/>
      <c r="Y15" s="11" t="n"/>
    </row>
    <row r="16">
      <c r="A16" s="11" t="inlineStr">
        <is>
          <t>PERF.3.1</t>
        </is>
      </c>
      <c r="B16" s="12" t="inlineStr">
        <is>
          <t>Aufbau und Pflege eines Auditprogramms</t>
        </is>
      </c>
      <c r="C16" s="11" t="inlineStr">
        <is>
          <t>PERF.3.1.1</t>
        </is>
      </c>
      <c r="D16" s="11" t="inlineStr">
        <is>
          <t>Standard-Anforderungen</t>
        </is>
      </c>
      <c r="E16" s="12" t="inlineStr">
        <is>
          <t>Monitoring-Evaluation SOLLTE für jedes durchzuführende Audit einen Auditplan festlegen.</t>
        </is>
      </c>
      <c r="F16" s="14" t="n"/>
      <c r="G16" s="14" t="n"/>
      <c r="H16" s="14" t="inlineStr">
        <is>
          <t>unbearbeitet</t>
        </is>
      </c>
      <c r="I16" s="14" t="n"/>
      <c r="J16" s="14" t="n"/>
      <c r="K16" s="14" t="n"/>
      <c r="L16" s="15" t="n"/>
      <c r="M16" s="11" t="inlineStr"/>
      <c r="N16" s="12" t="inlineStr"/>
      <c r="O16" s="11" t="inlineStr"/>
      <c r="P16" s="12" t="inlineStr">
        <is>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is>
      </c>
      <c r="Q16" s="11" t="inlineStr"/>
      <c r="R16" s="11" t="inlineStr"/>
      <c r="S16" s="12" t="inlineStr">
        <is>
          <t>für jedes durchzuführende Audit einen Auditplan</t>
        </is>
      </c>
      <c r="T16" s="12" t="inlineStr"/>
      <c r="U16" s="11" t="n">
        <v>3</v>
      </c>
      <c r="V16" s="11" t="n"/>
      <c r="W16" s="11" t="n"/>
      <c r="X16" s="11" t="n"/>
      <c r="Y16" s="11" t="n"/>
    </row>
    <row r="17">
      <c r="A17" s="11" t="inlineStr">
        <is>
          <t>PERF.3.1</t>
        </is>
      </c>
      <c r="B17" s="12" t="inlineStr">
        <is>
          <t>Aufbau und Pflege eines Auditprogramms</t>
        </is>
      </c>
      <c r="C17" s="11" t="inlineStr">
        <is>
          <t>PERF.3.1.2</t>
        </is>
      </c>
      <c r="D17" s="11" t="inlineStr">
        <is>
          <t>Basis-Anforderungen</t>
        </is>
      </c>
      <c r="E17" s="12" t="inlineStr">
        <is>
          <t>Monitoring-Evaluation MUSS die Planung der internen Audits im Auditprogramm risikoorientiert ausführen.</t>
        </is>
      </c>
      <c r="F17" s="14" t="n"/>
      <c r="G17" s="14" t="n"/>
      <c r="H17" s="14" t="inlineStr">
        <is>
          <t>unbearbeitet</t>
        </is>
      </c>
      <c r="I17" s="14" t="n"/>
      <c r="J17" s="14" t="n"/>
      <c r="K17" s="14" t="n"/>
      <c r="L17" s="15" t="n"/>
      <c r="M17" s="11" t="inlineStr"/>
      <c r="N17" s="12" t="inlineStr"/>
      <c r="O17" s="11" t="inlineStr"/>
      <c r="P17" s="12" t="inlineStr">
        <is>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is>
      </c>
      <c r="Q17" s="11" t="inlineStr"/>
      <c r="R17" s="11" t="inlineStr"/>
      <c r="S17" s="12" t="inlineStr">
        <is>
          <t>die Planung der internen Audits im Auditprogramm</t>
        </is>
      </c>
      <c r="T17" s="12" t="inlineStr"/>
      <c r="U17" s="11" t="n">
        <v>0</v>
      </c>
      <c r="V17" s="11" t="n"/>
      <c r="W17" s="11" t="n"/>
      <c r="X17" s="11" t="n"/>
      <c r="Y17" s="11" t="n"/>
    </row>
    <row r="18">
      <c r="A18" s="11" t="inlineStr">
        <is>
          <t>PERF.3.1</t>
        </is>
      </c>
      <c r="B18" s="12" t="inlineStr">
        <is>
          <t>Aufbau und Pflege eines Auditprogramms</t>
        </is>
      </c>
      <c r="C18" s="11" t="inlineStr">
        <is>
          <t>PERF.3.1.3</t>
        </is>
      </c>
      <c r="D18" s="11" t="inlineStr">
        <is>
          <t>Basis-Anforderungen</t>
        </is>
      </c>
      <c r="E18" s="12" t="inlineStr">
        <is>
          <t>Monitoring-Evaluation MUSS fachlich geeignete und unabhängige Auditoren zur Gewährleistung der Objektivität und Qualität der Audits anweisen.</t>
        </is>
      </c>
      <c r="F18" s="14" t="n"/>
      <c r="G18" s="14" t="n"/>
      <c r="H18" s="14" t="inlineStr">
        <is>
          <t>unbearbeitet</t>
        </is>
      </c>
      <c r="I18" s="14" t="n"/>
      <c r="J18" s="14" t="n"/>
      <c r="K18" s="14" t="n"/>
      <c r="L18" s="15" t="n"/>
      <c r="M18" s="11" t="inlineStr"/>
      <c r="N18" s="12" t="inlineStr"/>
      <c r="O18" s="11" t="inlineStr"/>
      <c r="P18" s="12" t="inlineStr">
        <is>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is>
      </c>
      <c r="Q18" s="11" t="inlineStr"/>
      <c r="R18" s="11" t="inlineStr"/>
      <c r="S18" s="12" t="inlineStr">
        <is>
          <t>fachlich geeignete und unabhängige Auditoren</t>
        </is>
      </c>
      <c r="T18" s="12" t="inlineStr"/>
      <c r="U18" s="11" t="n">
        <v>0</v>
      </c>
      <c r="V18" s="11" t="n"/>
      <c r="W18" s="11" t="n"/>
      <c r="X18" s="11" t="n"/>
      <c r="Y18" s="11" t="n"/>
    </row>
    <row r="19">
      <c r="A19" s="11" t="inlineStr">
        <is>
          <t>PERF.3.1</t>
        </is>
      </c>
      <c r="B19" s="12" t="inlineStr">
        <is>
          <t>Aufbau und Pflege eines Auditprogramms</t>
        </is>
      </c>
      <c r="C19" s="11" t="inlineStr">
        <is>
          <t>PERF.3.1.4</t>
        </is>
      </c>
      <c r="D19" s="11" t="inlineStr">
        <is>
          <t>Basis-Anforderungen</t>
        </is>
      </c>
      <c r="E19" s="12" t="inlineStr">
        <is>
          <t>Monitoring-Evaluation MUSS in angemessenem Umfang Audits ausführen.</t>
        </is>
      </c>
      <c r="F19" s="14" t="n"/>
      <c r="G19" s="14" t="n"/>
      <c r="H19" s="14" t="inlineStr">
        <is>
          <t>unbearbeitet</t>
        </is>
      </c>
      <c r="I19" s="14" t="n"/>
      <c r="J19" s="14" t="n"/>
      <c r="K19" s="14" t="n"/>
      <c r="L19" s="15" t="n"/>
      <c r="M19" s="11" t="inlineStr"/>
      <c r="N19" s="12" t="inlineStr"/>
      <c r="O19" s="11" t="inlineStr"/>
      <c r="P19" s="12" t="inlineStr">
        <is>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is>
      </c>
      <c r="Q19" s="11" t="inlineStr"/>
      <c r="R19" s="11" t="inlineStr"/>
      <c r="S19" s="12" t="inlineStr">
        <is>
          <t>in angemessenem Umfang Audits</t>
        </is>
      </c>
      <c r="T19" s="12" t="inlineStr"/>
      <c r="U19" s="11" t="n">
        <v>0</v>
      </c>
      <c r="V19" s="11" t="n"/>
      <c r="W19" s="11" t="n"/>
      <c r="X19" s="11" t="n"/>
      <c r="Y19" s="11" t="n"/>
    </row>
    <row r="20">
      <c r="A20" s="9" t="inlineStr">
        <is>
          <t>PERF.3.2</t>
        </is>
      </c>
      <c r="B20" s="10" t="inlineStr">
        <is>
          <t>Dokumentation von Auditergebnissen</t>
        </is>
      </c>
      <c r="C20" s="11" t="n"/>
      <c r="D20" s="11" t="inlineStr">
        <is>
          <t>Basis-Anforderungen</t>
        </is>
      </c>
      <c r="E20" s="12" t="inlineStr">
        <is>
          <t>Gesamt:</t>
        </is>
      </c>
      <c r="F20" s="11" t="n"/>
      <c r="G20" s="11" t="n"/>
      <c r="H20" s="13">
        <f>IF(OR(COUNTBLANK($H$21:$H$22)&gt;0,COUNTIF($H$21:$H$22,"unbearbeitet")=COUNTA($H$21:$H$22)),"Bitte Teilanforderungen ausfüllen",IF(COUNTIF($H$21:$H$22,"zu klären")&gt;0,"zu klären",IF(COUNTIF($H$21:$H$22,"entbehrlich")=COUNTA($H$21:$H$22),"entbehrlich",IF(COUNTIF($H$21:$H$22,"verwiesen")=COUNTA($H$21:$H$22),"verwiesen",IF(COUNTIF($H$21:$H$22,"nein")+COUNTIF($H$21:$H$22,"entbehrlich")=COUNTA($H$21:$H$22),"nein",IF(COUNTIF($H$21:$H$22,"ja")+COUNTIF($H$21:$H$22,"entbehrlich")+COUNTIF($H$21:$H$22,"verwiesen")=COUNTA($H$21:$H$22),"ja","teilweise"))))))</f>
        <v/>
      </c>
      <c r="I20" s="11" t="n"/>
      <c r="J20" s="11" t="n"/>
      <c r="K20" s="11" t="n"/>
      <c r="L20" s="11" t="n"/>
      <c r="M20" s="11" t="inlineStr"/>
      <c r="N20" s="12" t="inlineStr"/>
      <c r="O20" s="11" t="inlineStr"/>
      <c r="P20" s="12" t="inlineStr">
        <is>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is>
      </c>
      <c r="Q20" s="11" t="inlineStr"/>
      <c r="R20" s="11" t="inlineStr">
        <is>
          <t>Auditbericht</t>
        </is>
      </c>
      <c r="S20" s="12" t="inlineStr">
        <is>
          <t>ein Verfahren zur Erstellung aussagekräftiger Auditberichte</t>
        </is>
      </c>
      <c r="T20" s="12" t="inlineStr"/>
      <c r="U20" s="11" t="n">
        <v>0</v>
      </c>
      <c r="V20" s="11" t="n"/>
      <c r="W20" s="11" t="n"/>
      <c r="X20" s="11" t="n"/>
      <c r="Y20" s="11" t="n"/>
    </row>
    <row r="21">
      <c r="A21" s="11" t="inlineStr">
        <is>
          <t>PERF.3.2</t>
        </is>
      </c>
      <c r="B21" s="12" t="inlineStr">
        <is>
          <t>Dokumentation von Auditergebnissen</t>
        </is>
      </c>
      <c r="C21" s="11" t="inlineStr">
        <is>
          <t>PERF.3.2.1</t>
        </is>
      </c>
      <c r="D21" s="11" t="inlineStr">
        <is>
          <t>Standard-Anforderungen</t>
        </is>
      </c>
      <c r="E21" s="12" t="inlineStr">
        <is>
          <t>Monitoring-Evaluation SOLLTE für Feststellungen in Audits ein einheitliches Bewertungsschema festlegen.</t>
        </is>
      </c>
      <c r="F21" s="14" t="n"/>
      <c r="G21" s="14" t="n"/>
      <c r="H21" s="14" t="inlineStr">
        <is>
          <t>unbearbeitet</t>
        </is>
      </c>
      <c r="I21" s="14" t="n"/>
      <c r="J21" s="14" t="n"/>
      <c r="K21" s="14" t="n"/>
      <c r="L21" s="15" t="n"/>
      <c r="M21" s="11" t="inlineStr"/>
      <c r="N21" s="12" t="inlineStr"/>
      <c r="O21" s="11" t="inlineStr"/>
      <c r="P21" s="12" t="inlineStr">
        <is>
          <t>Das Bewertungsschema soll die einheitliche Bewertung, die Wirksamkeit der Auditprozesse und die Vergleichbarkeit von Auditergebnissen sicherstellen.</t>
        </is>
      </c>
      <c r="Q21" s="11" t="inlineStr"/>
      <c r="R21" s="11" t="inlineStr">
        <is>
          <t>Auditbericht</t>
        </is>
      </c>
      <c r="S21" s="12" t="inlineStr">
        <is>
          <t>für Feststellungen in Audits ein einheitliches Bewertungsschema</t>
        </is>
      </c>
      <c r="T21" s="12" t="inlineStr"/>
      <c r="U21" s="11" t="n">
        <v>3</v>
      </c>
      <c r="V21" s="11" t="n"/>
      <c r="W21" s="11" t="n"/>
      <c r="X21" s="11" t="n"/>
      <c r="Y21" s="11" t="n"/>
    </row>
    <row r="22">
      <c r="A22" s="11" t="inlineStr">
        <is>
          <t>PERF.3.2</t>
        </is>
      </c>
      <c r="B22" s="12" t="inlineStr">
        <is>
          <t>Dokumentation von Auditergebnissen</t>
        </is>
      </c>
      <c r="C22" s="11" t="inlineStr">
        <is>
          <t>PERF.3.2.2</t>
        </is>
      </c>
      <c r="D22" s="11" t="inlineStr">
        <is>
          <t>Basis-Anforderungen</t>
        </is>
      </c>
      <c r="E22" s="12" t="inlineStr">
        <is>
          <t>Monitoring-Evaluation MUSS alle relevanten Stakeholder über die Auditergebnisse informieren.</t>
        </is>
      </c>
      <c r="F22" s="14" t="n"/>
      <c r="G22" s="14" t="n"/>
      <c r="H22" s="14" t="inlineStr">
        <is>
          <t>unbearbeitet</t>
        </is>
      </c>
      <c r="I22" s="14" t="n"/>
      <c r="J22" s="14" t="n"/>
      <c r="K22" s="14" t="n"/>
      <c r="L22" s="15" t="n"/>
      <c r="M22" s="11" t="inlineStr"/>
      <c r="N22" s="12" t="inlineStr"/>
      <c r="O22" s="11" t="inlineStr"/>
      <c r="P22" s="12" t="inlineStr">
        <is>
          <t>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is>
      </c>
      <c r="Q22" s="11" t="inlineStr"/>
      <c r="R22" s="11" t="inlineStr">
        <is>
          <t>Auditbericht</t>
        </is>
      </c>
      <c r="S22" s="12" t="inlineStr">
        <is>
          <t>alle relevanten Stakeholder über die Auditergebnisse</t>
        </is>
      </c>
      <c r="T22" s="12" t="inlineStr"/>
      <c r="U22" s="11" t="n">
        <v>0</v>
      </c>
      <c r="V22" s="11" t="n"/>
      <c r="W22" s="11" t="n"/>
      <c r="X22" s="11" t="n"/>
      <c r="Y22" s="11" t="n"/>
    </row>
    <row r="23">
      <c r="A23" s="9" t="inlineStr">
        <is>
          <t>PERF.4.1</t>
        </is>
      </c>
      <c r="B23" s="10" t="inlineStr">
        <is>
          <t>Eignungsprüfung</t>
        </is>
      </c>
      <c r="C23" s="11" t="n"/>
      <c r="D23" s="11" t="inlineStr">
        <is>
          <t>Basis-Anforderungen</t>
        </is>
      </c>
      <c r="E23" s="12" t="inlineStr">
        <is>
          <t>Gesamt:</t>
        </is>
      </c>
      <c r="F23" s="11" t="n"/>
      <c r="G23" s="11" t="n"/>
      <c r="H23" s="13">
        <f>IF(OR(COUNTBLANK($H$24:$H$32)&gt;0,COUNTIF($H$24:$H$32,"unbearbeitet")=COUNTA($H$24:$H$32)),"Bitte Teilanforderungen ausfüllen",IF(COUNTIF($H$24:$H$32,"zu klären")&gt;0,"zu klären",IF(COUNTIF($H$24:$H$32,"entbehrlich")=COUNTA($H$24:$H$32),"entbehrlich",IF(COUNTIF($H$24:$H$32,"verwiesen")=COUNTA($H$24:$H$32),"verwiesen",IF(COUNTIF($H$24:$H$32,"nein")+COUNTIF($H$24:$H$32,"entbehrlich")=COUNTA($H$24:$H$32),"nein",IF(COUNTIF($H$24:$H$32,"ja")+COUNTIF($H$24:$H$32,"entbehrlich")+COUNTIF($H$24:$H$32,"verwiesen")=COUNTA($H$24:$H$32),"ja","teilweise"))))))</f>
        <v/>
      </c>
      <c r="I23" s="11" t="n"/>
      <c r="J23" s="11" t="n"/>
      <c r="K23" s="11" t="n"/>
      <c r="L23" s="11" t="n"/>
      <c r="M23" s="11" t="inlineStr"/>
      <c r="N23" s="12" t="inlineStr"/>
      <c r="O23" s="11" t="inlineStr"/>
      <c r="P23" s="12" t="inlineStr">
        <is>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is>
      </c>
      <c r="Q23" s="11" t="inlineStr"/>
      <c r="R23" s="11" t="inlineStr">
        <is>
          <t>Managementbericht</t>
        </is>
      </c>
      <c r="S23" s="12" t="inlineStr">
        <is>
          <t>Ergebnisse der Überprüfungen der Eignung, Angemessenheit und Wirksamkeit des ISMS der Institution</t>
        </is>
      </c>
      <c r="T23" s="12" t="inlineStr"/>
      <c r="U23" s="11" t="n">
        <v>0</v>
      </c>
      <c r="V23" s="11" t="n"/>
      <c r="W23" s="11" t="n"/>
      <c r="X23" s="11" t="n"/>
      <c r="Y23" s="11" t="n"/>
    </row>
    <row r="24">
      <c r="A24" s="11" t="inlineStr">
        <is>
          <t>PERF.4.1</t>
        </is>
      </c>
      <c r="B24" s="12" t="inlineStr">
        <is>
          <t>Eignungsprüfung</t>
        </is>
      </c>
      <c r="C24" s="11" t="inlineStr">
        <is>
          <t>PERF.4.1.1</t>
        </is>
      </c>
      <c r="D24" s="11" t="inlineStr">
        <is>
          <t>Standard-Anforderungen</t>
        </is>
      </c>
      <c r="E24" s="12" t="inlineStr">
        <is>
          <t>Monitoring-Evaluation SOLLTE den Status von Folgemaßnahmen vorangegangener Managementbewertungen als Ergebnis der Überprüfung in einem Managementbericht dokumentieren.</t>
        </is>
      </c>
      <c r="F24" s="14" t="n"/>
      <c r="G24" s="14" t="n"/>
      <c r="H24" s="14" t="inlineStr">
        <is>
          <t>unbearbeitet</t>
        </is>
      </c>
      <c r="I24" s="14" t="n"/>
      <c r="J24" s="14" t="n"/>
      <c r="K24" s="14" t="n"/>
      <c r="L24" s="15" t="n"/>
      <c r="M24" s="11" t="inlineStr"/>
      <c r="N24" s="12" t="inlineStr"/>
      <c r="O24" s="11" t="inlineStr"/>
      <c r="P24" s="12" t="inlineStr">
        <is>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is>
      </c>
      <c r="Q24" s="11" t="inlineStr"/>
      <c r="R24" s="11" t="inlineStr">
        <is>
          <t>Managementbericht</t>
        </is>
      </c>
      <c r="S24" s="12" t="inlineStr">
        <is>
          <t>den Status von Folgemaßnahmen vorangegangener Managementbewertungen</t>
        </is>
      </c>
      <c r="T24" s="12" t="inlineStr"/>
      <c r="U24" s="11" t="n">
        <v>1</v>
      </c>
      <c r="V24" s="11" t="n"/>
      <c r="W24" s="11" t="n"/>
      <c r="X24" s="11" t="n"/>
      <c r="Y24" s="11" t="n"/>
    </row>
    <row r="25">
      <c r="A25" s="11" t="inlineStr">
        <is>
          <t>PERF.4.1</t>
        </is>
      </c>
      <c r="B25" s="12" t="inlineStr">
        <is>
          <t>Eignungsprüfung</t>
        </is>
      </c>
      <c r="C25" s="11" t="inlineStr">
        <is>
          <t>PERF.4.1.2</t>
        </is>
      </c>
      <c r="D25" s="11" t="inlineStr">
        <is>
          <t>Standard-Anforderungen</t>
        </is>
      </c>
      <c r="E25" s="12" t="inlineStr">
        <is>
          <t>Monitoring-Evaluation SOLLTE veränderte Rahmenbedingungen mit Auswirkungen auf das Informationssicherheitsmanagement als Ergebnis der Überprüfung in einem Managementbericht dokumentieren.</t>
        </is>
      </c>
      <c r="F25" s="14" t="n"/>
      <c r="G25" s="14" t="n"/>
      <c r="H25" s="14" t="inlineStr">
        <is>
          <t>unbearbeitet</t>
        </is>
      </c>
      <c r="I25" s="14" t="n"/>
      <c r="J25" s="14" t="n"/>
      <c r="K25" s="14" t="n"/>
      <c r="L25" s="15" t="n"/>
      <c r="M25" s="11" t="inlineStr"/>
      <c r="N25" s="12" t="inlineStr"/>
      <c r="O25" s="11" t="inlineStr"/>
      <c r="P25" s="12" t="inlineStr">
        <is>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is>
      </c>
      <c r="Q25" s="11" t="inlineStr"/>
      <c r="R25" s="11" t="inlineStr">
        <is>
          <t>Managementbericht</t>
        </is>
      </c>
      <c r="S25" s="12" t="inlineStr">
        <is>
          <t>veränderte Rahmenbedingungen mit Auswirkungen auf das Informationssicherheitsmanagement</t>
        </is>
      </c>
      <c r="T25" s="12" t="inlineStr"/>
      <c r="U25" s="11" t="n">
        <v>1</v>
      </c>
      <c r="V25" s="11" t="n"/>
      <c r="W25" s="11" t="n"/>
      <c r="X25" s="11" t="n"/>
      <c r="Y25" s="11" t="n"/>
    </row>
    <row r="26">
      <c r="A26" s="11" t="inlineStr">
        <is>
          <t>PERF.4.1</t>
        </is>
      </c>
      <c r="B26" s="12" t="inlineStr">
        <is>
          <t>Eignungsprüfung</t>
        </is>
      </c>
      <c r="C26" s="11" t="inlineStr">
        <is>
          <t>PERF.4.1.3</t>
        </is>
      </c>
      <c r="D26" s="11" t="inlineStr">
        <is>
          <t>Standard-Anforderungen</t>
        </is>
      </c>
      <c r="E26" s="12" t="inlineStr">
        <is>
          <t>Monitoring-Evaluation SOLLTE bisherige Erfolge und Probleme (z. B. Sicherheitsvorfälle) beim Informationssicherheitsprozess als Ergebnis der Überprüfung in einem Managementbericht dokumentieren.</t>
        </is>
      </c>
      <c r="F26" s="14" t="n"/>
      <c r="G26" s="14" t="n"/>
      <c r="H26" s="14" t="inlineStr">
        <is>
          <t>unbearbeitet</t>
        </is>
      </c>
      <c r="I26" s="14" t="n"/>
      <c r="J26" s="14" t="n"/>
      <c r="K26" s="14" t="n"/>
      <c r="L26" s="15" t="n"/>
      <c r="M26" s="11" t="inlineStr"/>
      <c r="N26" s="12" t="inlineStr"/>
      <c r="O26" s="11" t="inlineStr"/>
      <c r="P26" s="12" t="inlineStr">
        <is>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is>
      </c>
      <c r="Q26" s="11" t="inlineStr"/>
      <c r="R26" s="11" t="inlineStr">
        <is>
          <t>Managementbericht</t>
        </is>
      </c>
      <c r="S26" s="12" t="inlineStr">
        <is>
          <t>bisherige Erfolge und Probleme (z. B. Sicherheitsvorfälle) beim Informationssicherheitsprozess</t>
        </is>
      </c>
      <c r="T26" s="12" t="inlineStr"/>
      <c r="U26" s="11" t="n">
        <v>1</v>
      </c>
      <c r="V26" s="11" t="n"/>
      <c r="W26" s="11" t="n"/>
      <c r="X26" s="11" t="n"/>
      <c r="Y26" s="11" t="n"/>
    </row>
    <row r="27">
      <c r="A27" s="11" t="inlineStr">
        <is>
          <t>PERF.4.1</t>
        </is>
      </c>
      <c r="B27" s="12" t="inlineStr">
        <is>
          <t>Eignungsprüfung</t>
        </is>
      </c>
      <c r="C27" s="11" t="inlineStr">
        <is>
          <t>PERF.4.1.4</t>
        </is>
      </c>
      <c r="D27" s="11" t="inlineStr">
        <is>
          <t>Standard-Anforderungen</t>
        </is>
      </c>
      <c r="E27" s="12" t="inlineStr">
        <is>
          <t>Monitoring-Evaluation SOLLTE Auditberichte als Ergebnis der Überprüfung in einem Managementbericht dokumentieren.</t>
        </is>
      </c>
      <c r="F27" s="14" t="n"/>
      <c r="G27" s="14" t="n"/>
      <c r="H27" s="14" t="inlineStr">
        <is>
          <t>unbearbeitet</t>
        </is>
      </c>
      <c r="I27" s="14" t="n"/>
      <c r="J27" s="14" t="n"/>
      <c r="K27" s="14" t="n"/>
      <c r="L27" s="15" t="n"/>
      <c r="M27" s="11" t="inlineStr"/>
      <c r="N27" s="12" t="inlineStr"/>
      <c r="O27" s="11" t="inlineStr"/>
      <c r="P27" s="12" t="inlineStr">
        <is>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is>
      </c>
      <c r="Q27" s="11" t="inlineStr"/>
      <c r="R27" s="11" t="inlineStr">
        <is>
          <t>Managementbericht</t>
        </is>
      </c>
      <c r="S27" s="12" t="inlineStr">
        <is>
          <t>Auditberichte</t>
        </is>
      </c>
      <c r="T27" s="12" t="inlineStr"/>
      <c r="U27" s="11" t="n">
        <v>1</v>
      </c>
      <c r="V27" s="11" t="n"/>
      <c r="W27" s="11" t="n"/>
      <c r="X27" s="11" t="n"/>
      <c r="Y27" s="11" t="n"/>
    </row>
    <row r="28">
      <c r="A28" s="11" t="inlineStr">
        <is>
          <t>PERF.4.1</t>
        </is>
      </c>
      <c r="B28" s="12" t="inlineStr">
        <is>
          <t>Eignungsprüfung</t>
        </is>
      </c>
      <c r="C28" s="11" t="inlineStr">
        <is>
          <t>PERF.4.1.5</t>
        </is>
      </c>
      <c r="D28" s="11" t="inlineStr">
        <is>
          <t>Standard-Anforderungen</t>
        </is>
      </c>
      <c r="E28" s="12" t="inlineStr">
        <is>
          <t>Monitoring-Evaluation SOLLTE eine Evaluation der Eignung umgesetzter Sicherheitsmaßnahmen zur Erreichung der Sicherheitsziele oder ob Maßnahmen geändert oder ergänzt werden müssen als Ergebnis der Überprüfung in einem Managementbericht dokumentieren.</t>
        </is>
      </c>
      <c r="F28" s="14" t="n"/>
      <c r="G28" s="14" t="n"/>
      <c r="H28" s="14" t="inlineStr">
        <is>
          <t>unbearbeitet</t>
        </is>
      </c>
      <c r="I28" s="14" t="n"/>
      <c r="J28" s="14" t="n"/>
      <c r="K28" s="14" t="n"/>
      <c r="L28" s="15" t="n"/>
      <c r="M28" s="11" t="inlineStr"/>
      <c r="N28" s="12" t="inlineStr"/>
      <c r="O28" s="11" t="inlineStr"/>
      <c r="P28" s="12" t="inlineStr">
        <is>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is>
      </c>
      <c r="Q28" s="11" t="inlineStr"/>
      <c r="R28" s="11" t="inlineStr">
        <is>
          <t>Managementbericht</t>
        </is>
      </c>
      <c r="S28" s="12" t="inlineStr">
        <is>
          <t>eine Evaluation der Eignung umgesetzter Sicherheitsmaßnahmen zur Erreichung der Sicherheitsziele oder ob Maßnahmen geändert oder ergänzt werden müssen</t>
        </is>
      </c>
      <c r="T28" s="12" t="inlineStr"/>
      <c r="U28" s="11" t="n">
        <v>1</v>
      </c>
      <c r="V28" s="11" t="n"/>
      <c r="W28" s="11" t="n"/>
      <c r="X28" s="11" t="n"/>
      <c r="Y28" s="11" t="n"/>
    </row>
    <row r="29">
      <c r="A29" s="11" t="inlineStr">
        <is>
          <t>PERF.4.1</t>
        </is>
      </c>
      <c r="B29" s="12" t="inlineStr">
        <is>
          <t>Eignungsprüfung</t>
        </is>
      </c>
      <c r="C29" s="11" t="inlineStr">
        <is>
          <t>PERF.4.1.6</t>
        </is>
      </c>
      <c r="D29" s="11" t="inlineStr">
        <is>
          <t>Standard-Anforderungen</t>
        </is>
      </c>
      <c r="E29" s="12" t="inlineStr">
        <is>
          <t>Monitoring-Evaluation SOLLTE die Bewertung von Rückmeldungen von Kunden, Geschäftspartnern, Mitarbeitern oder der Öffentlichkeit zu Sicherheitsaspekten als Ergebnis der Überprüfung in einem Managementbericht dokumentieren.</t>
        </is>
      </c>
      <c r="F29" s="14" t="n"/>
      <c r="G29" s="14" t="n"/>
      <c r="H29" s="14" t="inlineStr">
        <is>
          <t>unbearbeitet</t>
        </is>
      </c>
      <c r="I29" s="14" t="n"/>
      <c r="J29" s="14" t="n"/>
      <c r="K29" s="14" t="n"/>
      <c r="L29" s="15" t="n"/>
      <c r="M29" s="11" t="inlineStr"/>
      <c r="N29" s="12" t="inlineStr"/>
      <c r="O29" s="11" t="inlineStr"/>
      <c r="P29" s="12" t="inlineStr">
        <is>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is>
      </c>
      <c r="Q29" s="11" t="inlineStr"/>
      <c r="R29" s="11" t="inlineStr">
        <is>
          <t>Managementbericht</t>
        </is>
      </c>
      <c r="S29" s="12" t="inlineStr">
        <is>
          <t>die Bewertung von Rückmeldungen von Kunden, Geschäftspartnern, Mitarbeitern oder der Öffentlichkeit zu Sicherheitsaspekten</t>
        </is>
      </c>
      <c r="T29" s="12" t="inlineStr"/>
      <c r="U29" s="11" t="n">
        <v>1</v>
      </c>
      <c r="V29" s="11" t="n"/>
      <c r="W29" s="11" t="n"/>
      <c r="X29" s="11" t="n"/>
      <c r="Y29" s="11" t="n"/>
    </row>
    <row r="30">
      <c r="A30" s="11" t="inlineStr">
        <is>
          <t>PERF.4.1</t>
        </is>
      </c>
      <c r="B30" s="12" t="inlineStr">
        <is>
          <t>Eignungsprüfung</t>
        </is>
      </c>
      <c r="C30" s="11" t="inlineStr">
        <is>
          <t>PERF.4.1.7</t>
        </is>
      </c>
      <c r="D30" s="11" t="inlineStr">
        <is>
          <t>Standard-Anforderungen</t>
        </is>
      </c>
      <c r="E30" s="12" t="inlineStr">
        <is>
          <t>Monitoring-Evaluation SOLLTE die erfolgreiche Umsetzung von Maßnahmen und des damit verringerten Risikos (Status des Umsetzungsplans) als Ergebnis der Überprüfung in einem Managementbericht dokumentieren.</t>
        </is>
      </c>
      <c r="F30" s="14" t="n"/>
      <c r="G30" s="14" t="n"/>
      <c r="H30" s="14" t="inlineStr">
        <is>
          <t>unbearbeitet</t>
        </is>
      </c>
      <c r="I30" s="14" t="n"/>
      <c r="J30" s="14" t="n"/>
      <c r="K30" s="14" t="n"/>
      <c r="L30" s="15" t="n"/>
      <c r="M30" s="11" t="inlineStr"/>
      <c r="N30" s="12" t="inlineStr"/>
      <c r="O30" s="11" t="inlineStr"/>
      <c r="P30" s="12" t="inlineStr">
        <is>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is>
      </c>
      <c r="Q30" s="11" t="inlineStr"/>
      <c r="R30" s="11" t="inlineStr">
        <is>
          <t>Managementbericht</t>
        </is>
      </c>
      <c r="S30" s="12" t="inlineStr">
        <is>
          <t>die erfolgreiche Umsetzung von Maßnahmen und des damit verringerten Risikos (Status des Umsetzungsplans)</t>
        </is>
      </c>
      <c r="T30" s="12" t="inlineStr"/>
      <c r="U30" s="11" t="n">
        <v>1</v>
      </c>
      <c r="V30" s="11" t="n"/>
      <c r="W30" s="11" t="n"/>
      <c r="X30" s="11" t="n"/>
      <c r="Y30" s="11" t="n"/>
    </row>
    <row r="31">
      <c r="A31" s="11" t="inlineStr">
        <is>
          <t>PERF.4.1</t>
        </is>
      </c>
      <c r="B31" s="12" t="inlineStr">
        <is>
          <t>Eignungsprüfung</t>
        </is>
      </c>
      <c r="C31" s="11" t="inlineStr">
        <is>
          <t>PERF.4.1.8</t>
        </is>
      </c>
      <c r="D31" s="11" t="inlineStr">
        <is>
          <t>Standard-Anforderungen</t>
        </is>
      </c>
      <c r="E31" s="12" t="inlineStr">
        <is>
          <t>Monitoring-Evaluation SOLLTE die aufgrund der Überprüfung abgeleitete Verbesserungen des ISMS als Ergebnis der Überprüfung in einem Managementbericht dokumentieren.</t>
        </is>
      </c>
      <c r="F31" s="14" t="n"/>
      <c r="G31" s="14" t="n"/>
      <c r="H31" s="14" t="inlineStr">
        <is>
          <t>unbearbeitet</t>
        </is>
      </c>
      <c r="I31" s="14" t="n"/>
      <c r="J31" s="14" t="n"/>
      <c r="K31" s="14" t="n"/>
      <c r="L31" s="15" t="n"/>
      <c r="M31" s="11" t="inlineStr"/>
      <c r="N31" s="12" t="inlineStr"/>
      <c r="O31" s="11" t="inlineStr"/>
      <c r="P31" s="12" t="inlineStr">
        <is>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is>
      </c>
      <c r="Q31" s="11" t="inlineStr"/>
      <c r="R31" s="11" t="inlineStr">
        <is>
          <t>Managementbericht</t>
        </is>
      </c>
      <c r="S31" s="12" t="inlineStr">
        <is>
          <t>die aufgrund der Überprüfung abgeleitete Verbesserungen des ISMS</t>
        </is>
      </c>
      <c r="T31" s="12" t="inlineStr"/>
      <c r="U31" s="11" t="n">
        <v>1</v>
      </c>
      <c r="V31" s="11" t="n"/>
      <c r="W31" s="11" t="n"/>
      <c r="X31" s="11" t="n"/>
      <c r="Y31" s="11" t="n"/>
    </row>
    <row r="32">
      <c r="A32" s="11" t="inlineStr">
        <is>
          <t>PERF.4.1</t>
        </is>
      </c>
      <c r="B32" s="12" t="inlineStr">
        <is>
          <t>Eignungsprüfung</t>
        </is>
      </c>
      <c r="C32" s="11" t="inlineStr">
        <is>
          <t>PERF.4.1.9</t>
        </is>
      </c>
      <c r="D32" s="11" t="inlineStr">
        <is>
          <t>Basis-Anforderungen</t>
        </is>
      </c>
      <c r="E32" s="12" t="inlineStr">
        <is>
          <t>Monitoring-Evaluation MUSS priorisierte Maßnahmenvorschläge mit realistischen Abschätzungen zum erwarteten Umsetzungsaufwand als Ergebnis der Überprüfung in einem Managementbericht dokumentieren.</t>
        </is>
      </c>
      <c r="F32" s="14" t="n"/>
      <c r="G32" s="14" t="n"/>
      <c r="H32" s="14" t="inlineStr">
        <is>
          <t>unbearbeitet</t>
        </is>
      </c>
      <c r="I32" s="14" t="n"/>
      <c r="J32" s="14" t="n"/>
      <c r="K32" s="14" t="n"/>
      <c r="L32" s="15" t="n"/>
      <c r="M32" s="11" t="inlineStr"/>
      <c r="N32" s="12" t="inlineStr"/>
      <c r="O32" s="11" t="inlineStr"/>
      <c r="P32" s="12" t="inlineStr">
        <is>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is>
      </c>
      <c r="Q32" s="11" t="inlineStr"/>
      <c r="R32" s="11" t="inlineStr">
        <is>
          <t>Managementbericht</t>
        </is>
      </c>
      <c r="S32" s="12" t="inlineStr">
        <is>
          <t>priorisierte Maßnahmenvorschläge mit realistischen Abschätzungen zum erwarteten Umsetzungsaufwand</t>
        </is>
      </c>
      <c r="T32" s="12" t="inlineStr"/>
      <c r="U32" s="11" t="n">
        <v>0</v>
      </c>
      <c r="V32" s="11" t="n"/>
      <c r="W32" s="11" t="n"/>
      <c r="X32" s="11" t="n"/>
      <c r="Y32" s="11" t="n"/>
    </row>
    <row r="33">
      <c r="A33" s="9" t="inlineStr">
        <is>
          <t>PERF.4.2</t>
        </is>
      </c>
      <c r="B33" s="10" t="inlineStr">
        <is>
          <t>Bericht an die Institutionsleitung</t>
        </is>
      </c>
      <c r="C33" s="11" t="n"/>
      <c r="D33" s="11" t="inlineStr">
        <is>
          <t>Basis-Anforderungen</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c r="N33" s="12" t="inlineStr"/>
      <c r="O33" s="11" t="inlineStr"/>
      <c r="P33" s="12" t="inlineStr">
        <is>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is>
      </c>
      <c r="Q33" s="11" t="inlineStr"/>
      <c r="R33" s="11" t="inlineStr"/>
      <c r="S33" s="12" t="inlineStr">
        <is>
          <t>die Institutionsleitung über den Stand des Managementsystems</t>
        </is>
      </c>
      <c r="T33" s="12" t="inlineStr"/>
      <c r="U33" s="11" t="n">
        <v>0</v>
      </c>
      <c r="V33" s="11" t="n"/>
      <c r="W33" s="11" t="n"/>
      <c r="X33" s="11" t="n"/>
      <c r="Y33" s="11" t="n"/>
    </row>
    <row r="34">
      <c r="A34" s="11" t="inlineStr">
        <is>
          <t>PERF.4.2</t>
        </is>
      </c>
      <c r="B34" s="12" t="inlineStr">
        <is>
          <t>Bericht an die Institutionsleitung</t>
        </is>
      </c>
      <c r="C34" s="11" t="inlineStr">
        <is>
          <t>PERF.4.2</t>
        </is>
      </c>
      <c r="D34" s="11" t="inlineStr">
        <is>
          <t>Basis-Anforderungen</t>
        </is>
      </c>
      <c r="E34" s="12" t="inlineStr">
        <is>
          <t>Monitoring-Evaluation MUSS die Institutionsleitung über den Stand des Managementsystems regelmäßig anhand des Managementberichtes informieren.</t>
        </is>
      </c>
      <c r="F34" s="14" t="n"/>
      <c r="G34" s="14" t="n"/>
      <c r="H34" s="14" t="inlineStr">
        <is>
          <t>unbearbeitet</t>
        </is>
      </c>
      <c r="I34" s="14" t="n"/>
      <c r="J34" s="14" t="n"/>
      <c r="K34" s="14" t="n"/>
      <c r="L34" s="15" t="n"/>
      <c r="M34" s="11" t="inlineStr"/>
      <c r="N34" s="12" t="inlineStr"/>
      <c r="O34" s="11" t="inlineStr"/>
      <c r="P34" s="12" t="inlineStr">
        <is>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is>
      </c>
      <c r="Q34" s="11" t="inlineStr"/>
      <c r="R34" s="11" t="inlineStr"/>
      <c r="S34" s="12" t="inlineStr">
        <is>
          <t>die Institutionsleitung über den Stand des Managementsystems</t>
        </is>
      </c>
      <c r="T34" s="12" t="inlineStr"/>
      <c r="U34" s="11" t="n">
        <v>0</v>
      </c>
      <c r="V34" s="11" t="n"/>
      <c r="W34" s="11" t="n"/>
      <c r="X34" s="11" t="n"/>
      <c r="Y34" s="11" t="n"/>
    </row>
    <row r="35">
      <c r="A35" s="9" t="inlineStr">
        <is>
          <t>PERF.5.1</t>
        </is>
      </c>
      <c r="B35" s="10" t="inlineStr">
        <is>
          <t>Methoden und Tools</t>
        </is>
      </c>
      <c r="C35" s="11" t="n"/>
      <c r="D35" s="11" t="inlineStr">
        <is>
          <t>Basis-Anforderungen</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c r="N35" s="12" t="inlineStr"/>
      <c r="O35" s="11" t="inlineStr"/>
      <c r="P35" s="12" t="inlineStr">
        <is>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is>
      </c>
      <c r="Q35" s="11" t="inlineStr"/>
      <c r="R35" s="11" t="inlineStr"/>
      <c r="S35" s="12" t="inlineStr">
        <is>
          <t>effektive Monitoring-Methoden und -tools</t>
        </is>
      </c>
      <c r="T35" s="12" t="inlineStr"/>
      <c r="U35" s="11" t="n">
        <v>0</v>
      </c>
      <c r="V35" s="11" t="n"/>
      <c r="W35" s="11" t="n"/>
      <c r="X35" s="11" t="n"/>
      <c r="Y35" s="11" t="n"/>
    </row>
    <row r="36">
      <c r="A36" s="11" t="inlineStr">
        <is>
          <t>PERF.5.1</t>
        </is>
      </c>
      <c r="B36" s="12" t="inlineStr">
        <is>
          <t>Methoden und Tools</t>
        </is>
      </c>
      <c r="C36" s="11" t="inlineStr">
        <is>
          <t>PERF.5.1</t>
        </is>
      </c>
      <c r="D36" s="11" t="inlineStr">
        <is>
          <t>Basis-Anforderungen</t>
        </is>
      </c>
      <c r="E36" s="12" t="inlineStr">
        <is>
          <t>Monitoring-Evaluation MUSS effektive Monitoring-Methoden und -tools zur regelmäßigen Überwachung der Informationssicherheit verankern.</t>
        </is>
      </c>
      <c r="F36" s="14" t="n"/>
      <c r="G36" s="14" t="n"/>
      <c r="H36" s="14" t="inlineStr">
        <is>
          <t>unbearbeitet</t>
        </is>
      </c>
      <c r="I36" s="14" t="n"/>
      <c r="J36" s="14" t="n"/>
      <c r="K36" s="14" t="n"/>
      <c r="L36" s="15" t="n"/>
      <c r="M36" s="11" t="inlineStr"/>
      <c r="N36" s="12" t="inlineStr"/>
      <c r="O36" s="11" t="inlineStr"/>
      <c r="P36" s="12" t="inlineStr">
        <is>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is>
      </c>
      <c r="Q36" s="11" t="inlineStr"/>
      <c r="R36" s="11" t="inlineStr"/>
      <c r="S36" s="12" t="inlineStr">
        <is>
          <t>effektive Monitoring-Methoden und -tools</t>
        </is>
      </c>
      <c r="T36" s="12" t="inlineStr"/>
      <c r="U36" s="11" t="n">
        <v>0</v>
      </c>
      <c r="V36" s="11" t="n"/>
      <c r="W36" s="11" t="n"/>
      <c r="X36" s="11" t="n"/>
      <c r="Y36" s="11" t="n"/>
    </row>
  </sheetData>
  <autoFilter ref="A6:Y6"/>
  <conditionalFormatting sqref="H7:H36">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10 H12 H14 H16 H17 H18 H19 H21 H22 H24 H25 H26 H27 H28 H29 H30 H31 H32 H34 H36"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54"/>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PERS</t>
        </is>
      </c>
      <c r="B3" s="6" t="inlineStr">
        <is>
          <t>Personal</t>
        </is>
      </c>
    </row>
    <row r="4">
      <c r="A4" s="3" t="inlineStr">
        <is>
          <t>Zielobjekte</t>
        </is>
      </c>
      <c r="B4" s="7">
        <f>IF('Praktiken'!D17="","",'Praktiken'!D17)</f>
        <v/>
      </c>
    </row>
    <row r="5">
      <c r="A5" s="3" t="inlineStr">
        <is>
          <t>Zuständig</t>
        </is>
      </c>
      <c r="B5" s="7">
        <f>IF('Praktiken'!S17="","",'Praktiken'!S17)</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PERS.1.1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ORP.2.A1-UA.1</t>
        </is>
      </c>
      <c r="O7" s="11" t="inlineStr">
        <is>
          <t>intersects-with</t>
        </is>
      </c>
      <c r="P7" s="12" t="inlineStr">
        <is>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is>
      </c>
      <c r="Q7" s="11" t="inlineStr"/>
      <c r="R7" s="11" t="inlineStr">
        <is>
          <t>Prozess Personalmanagement</t>
        </is>
      </c>
      <c r="S7" s="12" t="inlineStr">
        <is>
          <t>Verfahren und Regelungen zum Personalmanagement</t>
        </is>
      </c>
      <c r="T7" s="12" t="inlineStr">
        <is>
          <t>G 0.18 – Fehlplanung oder fehlende Anpassung</t>
        </is>
      </c>
      <c r="U7" s="11" t="n">
        <v>0</v>
      </c>
      <c r="V7" s="11" t="n">
        <v>1</v>
      </c>
      <c r="W7" s="11" t="n">
        <v>1</v>
      </c>
      <c r="X7" s="11" t="n">
        <v>1</v>
      </c>
      <c r="Y7" s="11" t="n">
        <v>0</v>
      </c>
    </row>
    <row r="8">
      <c r="A8" s="11" t="inlineStr">
        <is>
          <t>PERS.1.1</t>
        </is>
      </c>
      <c r="B8" s="12" t="inlineStr">
        <is>
          <t>Verfahren und Regelungen</t>
        </is>
      </c>
      <c r="C8" s="11" t="inlineStr">
        <is>
          <t>PERS.1.1.1</t>
        </is>
      </c>
      <c r="D8" s="11" t="inlineStr">
        <is>
          <t>Basis-Anforderungen</t>
        </is>
      </c>
      <c r="E8" s="12" t="inlineStr">
        <is>
          <t>Personal MUSS die Verfahren und Regelungen dokumentieren.</t>
        </is>
      </c>
      <c r="F8" s="14" t="n"/>
      <c r="G8" s="14" t="n"/>
      <c r="H8" s="14" t="inlineStr">
        <is>
          <t>unbearbeitet</t>
        </is>
      </c>
      <c r="I8" s="14" t="n"/>
      <c r="J8" s="14" t="n"/>
      <c r="K8" s="14" t="n"/>
      <c r="L8" s="15" t="n"/>
      <c r="M8" s="11" t="inlineStr"/>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t>
        </is>
      </c>
      <c r="U8" s="11" t="n">
        <v>0</v>
      </c>
      <c r="V8" s="11" t="n">
        <v>1</v>
      </c>
      <c r="W8" s="11" t="n">
        <v>1</v>
      </c>
      <c r="X8" s="11" t="n">
        <v>1</v>
      </c>
      <c r="Y8" s="11" t="n">
        <v>1</v>
      </c>
    </row>
    <row r="9">
      <c r="A9" s="11" t="inlineStr">
        <is>
          <t>PERS.1.1</t>
        </is>
      </c>
      <c r="B9" s="12" t="inlineStr">
        <is>
          <t>Verfahren und Regelungen</t>
        </is>
      </c>
      <c r="C9" s="11" t="inlineStr">
        <is>
          <t>PERS.1.1.2</t>
        </is>
      </c>
      <c r="D9" s="11" t="inlineStr">
        <is>
          <t>Basis-Anforderungen</t>
        </is>
      </c>
      <c r="E9" s="12" t="inlineStr">
        <is>
          <t>Personal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PERS.1.1</t>
        </is>
      </c>
      <c r="B10" s="12" t="inlineStr">
        <is>
          <t>Verfahren und Regelungen</t>
        </is>
      </c>
      <c r="C10" s="11" t="inlineStr">
        <is>
          <t>PERS.1.1.3</t>
        </is>
      </c>
      <c r="D10" s="11" t="inlineStr">
        <is>
          <t>Basis-Anforderungen</t>
        </is>
      </c>
      <c r="E10" s="12" t="inlineStr">
        <is>
          <t>Personal MUSS die zuständigen Personen oder Rollen über die Verfahren und Regelungen informieren.</t>
        </is>
      </c>
      <c r="F10" s="14" t="n"/>
      <c r="G10" s="14" t="n"/>
      <c r="H10" s="14" t="inlineStr">
        <is>
          <t>unbearbeitet</t>
        </is>
      </c>
      <c r="I10" s="14" t="n"/>
      <c r="J10" s="14" t="n"/>
      <c r="K10" s="14" t="n"/>
      <c r="L10" s="15" t="n"/>
      <c r="M10" s="11" t="inlineStr">
        <is>
          <t>Integrität</t>
        </is>
      </c>
      <c r="N10" s="12" t="inlineStr">
        <is>
          <t>ORP.2.A1-UA.2</t>
        </is>
      </c>
      <c r="O10" s="11" t="inlineStr">
        <is>
          <t>intersects-with</t>
        </is>
      </c>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2</v>
      </c>
      <c r="X10" s="11" t="n">
        <v>1</v>
      </c>
      <c r="Y10" s="11" t="n">
        <v>0</v>
      </c>
    </row>
    <row r="11">
      <c r="A11" s="9" t="inlineStr">
        <is>
          <t>PERS.1.2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PERS.1.2</t>
        </is>
      </c>
      <c r="B12" s="12" t="inlineStr">
        <is>
          <t>Regelmäßige Überprüfung</t>
        </is>
      </c>
      <c r="C12" s="11" t="inlineStr">
        <is>
          <t>PERS.1.2</t>
        </is>
      </c>
      <c r="D12" s="11" t="inlineStr">
        <is>
          <t>Basis-Anforderungen</t>
        </is>
      </c>
      <c r="E12" s="12" t="inlineStr">
        <is>
          <t>Personal MUSS die Verfahren und Regelungen regelmäßig und anlassbezogen auf Aktualität überprüfen.</t>
        </is>
      </c>
      <c r="F12" s="14" t="n"/>
      <c r="G12" s="14" t="n"/>
      <c r="H12" s="14" t="inlineStr">
        <is>
          <t>unbearbeitet</t>
        </is>
      </c>
      <c r="I12" s="14" t="n"/>
      <c r="J12" s="14" t="n"/>
      <c r="K12" s="14" t="n"/>
      <c r="L12" s="15" t="n"/>
      <c r="M12" s="11" t="inlineStr"/>
      <c r="N12" s="12" t="inlineStr"/>
      <c r="O12" s="11" t="inlineStr"/>
      <c r="P12"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PERS.2.1</t>
        </is>
      </c>
      <c r="B13" s="10" t="inlineStr">
        <is>
          <t>Aufgaben</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is>
      </c>
      <c r="Q13" s="11" t="inlineStr"/>
      <c r="R13" s="11" t="inlineStr">
        <is>
          <t>Geschäftsverteilungsplan</t>
        </is>
      </c>
      <c r="S13" s="12" t="inlineStr">
        <is>
          <t>für alle Tätigkeiten im Geltungsbereich Aufgaben</t>
        </is>
      </c>
      <c r="T13" s="12" t="inlineStr">
        <is>
          <t>G 0.18 – Fehlplanung oder fehlende Anpassung; G 0.33 – Personalausfall; G 0.31 – Fehlerhafte Nutzung oder Administration von Geräten und Systemen</t>
        </is>
      </c>
      <c r="U13" s="11" t="n">
        <v>2</v>
      </c>
      <c r="V13" s="11" t="n">
        <v>1</v>
      </c>
      <c r="W13" s="11" t="n">
        <v>1</v>
      </c>
      <c r="X13" s="11" t="n">
        <v>1</v>
      </c>
      <c r="Y13" s="11" t="n">
        <v>0</v>
      </c>
    </row>
    <row r="14">
      <c r="A14" s="11" t="inlineStr">
        <is>
          <t>PERS.2.1</t>
        </is>
      </c>
      <c r="B14" s="12" t="inlineStr">
        <is>
          <t>Aufgaben</t>
        </is>
      </c>
      <c r="C14" s="11" t="inlineStr">
        <is>
          <t>PERS.2.1</t>
        </is>
      </c>
      <c r="D14" s="11" t="inlineStr">
        <is>
          <t>Standard-Anforderungen</t>
        </is>
      </c>
      <c r="E14" s="12" t="inlineStr">
        <is>
          <t>Personal SOLLTE für alle Tätigkeiten im Geltungsbereich Aufgaben mit Abgrenzungen und Schnittstellen verankern.</t>
        </is>
      </c>
      <c r="F14" s="14" t="n"/>
      <c r="G14" s="14" t="n"/>
      <c r="H14" s="14" t="inlineStr">
        <is>
          <t>unbearbeitet</t>
        </is>
      </c>
      <c r="I14" s="14" t="n"/>
      <c r="J14" s="14" t="n"/>
      <c r="K14" s="14" t="n"/>
      <c r="L14" s="15" t="n"/>
      <c r="M14" s="11" t="inlineStr"/>
      <c r="N14" s="12" t="inlineStr"/>
      <c r="O14" s="11" t="inlineStr"/>
      <c r="P14" s="12" t="inlineStr">
        <is>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is>
      </c>
      <c r="Q14" s="11" t="inlineStr"/>
      <c r="R14" s="11" t="inlineStr">
        <is>
          <t>Geschäftsverteilungsplan</t>
        </is>
      </c>
      <c r="S14" s="12" t="inlineStr">
        <is>
          <t>für alle Tätigkeiten im Geltungsbereich Aufgaben</t>
        </is>
      </c>
      <c r="T14" s="12" t="inlineStr">
        <is>
          <t>G 0.18 – Fehlplanung oder fehlende Anpassung; G 0.33 – Personalausfall; G 0.31 – Fehlerhafte Nutzung oder Administration von Geräten und Systemen</t>
        </is>
      </c>
      <c r="U14" s="11" t="n">
        <v>2</v>
      </c>
      <c r="V14" s="11" t="n">
        <v>1</v>
      </c>
      <c r="W14" s="11" t="n">
        <v>1</v>
      </c>
      <c r="X14" s="11" t="n">
        <v>1</v>
      </c>
      <c r="Y14" s="11" t="n">
        <v>0</v>
      </c>
    </row>
    <row r="15">
      <c r="A15" s="9" t="inlineStr">
        <is>
          <t>PERS.2.2</t>
        </is>
      </c>
      <c r="B15" s="10" t="inlineStr">
        <is>
          <t>Rollen</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c r="O15" s="11" t="inlineStr"/>
      <c r="P15" s="12" t="inlineStr">
        <is>
          <t>Eine Rolle beschreibt eine Stelle oder Personalposition innerhalb des ISMS. Sie benennt die Aufgaben der Position und die dazu erforderlichen Qualifikationsvoraussetzungen. Beispiele: Teamleiter, Entwickler, Admin, Sicherheitsanalyst, Fachaufgabenverantwortlicher.</t>
        </is>
      </c>
      <c r="Q15" s="11" t="inlineStr"/>
      <c r="R15" s="11" t="inlineStr">
        <is>
          <t>Geschäftsverteilungsplan</t>
        </is>
      </c>
      <c r="S15" s="12" t="inlineStr">
        <is>
          <t>für alle Tätigkeiten im Geltungsbereich Rollen</t>
        </is>
      </c>
      <c r="T15" s="12" t="inlineStr">
        <is>
          <t>G 0.18 – Fehlplanung oder fehlende Anpassung; G 0.33 – Personalausfall; G 0.31 – Fehlerhafte Nutzung oder Administration von Geräten und Systemen</t>
        </is>
      </c>
      <c r="U15" s="11" t="n">
        <v>2</v>
      </c>
      <c r="V15" s="11" t="n">
        <v>1</v>
      </c>
      <c r="W15" s="11" t="n">
        <v>1</v>
      </c>
      <c r="X15" s="11" t="n">
        <v>1</v>
      </c>
      <c r="Y15" s="11" t="n">
        <v>0</v>
      </c>
    </row>
    <row r="16">
      <c r="A16" s="11" t="inlineStr">
        <is>
          <t>PERS.2.2</t>
        </is>
      </c>
      <c r="B16" s="12" t="inlineStr">
        <is>
          <t>Rollen</t>
        </is>
      </c>
      <c r="C16" s="11" t="inlineStr">
        <is>
          <t>PERS.2.2</t>
        </is>
      </c>
      <c r="D16" s="11" t="inlineStr">
        <is>
          <t>Standard-Anforderungen</t>
        </is>
      </c>
      <c r="E16" s="12" t="inlineStr">
        <is>
          <t>Personal SOLLTE für alle Tätigkeiten im Geltungsbereich Rollen mit Zielen, Aufgaben, erforderlichen Kompetenzen und Qualifikationen verankern.</t>
        </is>
      </c>
      <c r="F16" s="14" t="n"/>
      <c r="G16" s="14" t="n"/>
      <c r="H16" s="14" t="inlineStr">
        <is>
          <t>unbearbeitet</t>
        </is>
      </c>
      <c r="I16" s="14" t="n"/>
      <c r="J16" s="14" t="n"/>
      <c r="K16" s="14" t="n"/>
      <c r="L16" s="15" t="n"/>
      <c r="M16" s="11" t="inlineStr"/>
      <c r="N16" s="12" t="inlineStr"/>
      <c r="O16" s="11" t="inlineStr"/>
      <c r="P16" s="12" t="inlineStr">
        <is>
          <t>Eine Rolle beschreibt eine Stelle oder Personalposition innerhalb des ISMS. Sie benennt die Aufgaben der Position und die dazu erforderlichen Qualifikationsvoraussetzungen. Beispiele: Teamleiter, Entwickler, Admin, Sicherheitsanalyst, Fachaufgabenverantwortlicher.</t>
        </is>
      </c>
      <c r="Q16" s="11" t="inlineStr"/>
      <c r="R16" s="11" t="inlineStr">
        <is>
          <t>Geschäftsverteilungsplan</t>
        </is>
      </c>
      <c r="S16" s="12" t="inlineStr">
        <is>
          <t>für alle Tätigkeiten im Geltungsbereich Rollen</t>
        </is>
      </c>
      <c r="T16" s="12" t="inlineStr">
        <is>
          <t>G 0.18 – Fehlplanung oder fehlende Anpassung; G 0.33 – Personalausfall; G 0.31 – Fehlerhafte Nutzung oder Administration von Geräten und Systemen</t>
        </is>
      </c>
      <c r="U16" s="11" t="n">
        <v>2</v>
      </c>
      <c r="V16" s="11" t="n">
        <v>1</v>
      </c>
      <c r="W16" s="11" t="n">
        <v>1</v>
      </c>
      <c r="X16" s="11" t="n">
        <v>1</v>
      </c>
      <c r="Y16" s="11" t="n">
        <v>0</v>
      </c>
    </row>
    <row r="17">
      <c r="A17" s="9" t="inlineStr">
        <is>
          <t>PERS.2.3</t>
        </is>
      </c>
      <c r="B17" s="10" t="inlineStr">
        <is>
          <t>Rollentrennung</t>
        </is>
      </c>
      <c r="C17" s="11" t="n"/>
      <c r="D17" s="11" t="inlineStr">
        <is>
          <t>Standard-Anforderungen</t>
        </is>
      </c>
      <c r="E17" s="12" t="inlineStr">
        <is>
          <t>Gesamt:</t>
        </is>
      </c>
      <c r="F17" s="11" t="n"/>
      <c r="G17" s="11" t="n"/>
      <c r="H17" s="13">
        <f>IF(OR(COUNTBLANK($H$18:$H$22)&gt;0,COUNTIF($H$18:$H$22,"unbearbeitet")=COUNTA($H$18:$H$22)),"Bitte Teilanforderungen ausfüllen",IF(COUNTIF($H$18:$H$22,"zu klären")&gt;0,"zu klären",IF(COUNTIF($H$18:$H$22,"entbehrlich")=COUNTA($H$18:$H$22),"entbehrlich",IF(COUNTIF($H$18:$H$22,"verwiesen")=COUNTA($H$18:$H$22),"verwiesen",IF(COUNTIF($H$18:$H$22,"nein")+COUNTIF($H$18:$H$22,"entbehrlich")=COUNTA($H$18:$H$22),"nein",IF(COUNTIF($H$18:$H$22,"ja")+COUNTIF($H$18:$H$22,"entbehrlich")+COUNTIF($H$18:$H$22,"verwiesen")=COUNTA($H$18:$H$22),"ja","teilweise"))))))</f>
        <v/>
      </c>
      <c r="I17" s="11" t="n"/>
      <c r="J17" s="11" t="n"/>
      <c r="K17" s="11" t="n"/>
      <c r="L17" s="11" t="n"/>
      <c r="M17" s="11" t="inlineStr">
        <is>
          <t>Vertraulichkeit</t>
        </is>
      </c>
      <c r="N17" s="12" t="inlineStr"/>
      <c r="O17" s="11" t="inlineStr"/>
      <c r="P17" s="12" t="inlineStr">
        <is>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is>
      </c>
      <c r="Q17" s="11" t="inlineStr"/>
      <c r="R17" s="11" t="inlineStr">
        <is>
          <t>Geschäftsverteilungsplan</t>
        </is>
      </c>
      <c r="S17" s="12" t="inlineStr">
        <is>
          <t>für unvereinbare Aufgaben eine Rollentrennung</t>
        </is>
      </c>
      <c r="T17" s="12" t="inlineStr">
        <is>
          <t>G 0.18 – Fehlplanung oder fehlende Anpassung; G 0.33 – Personalausfall; G 0.31 – Fehlerhafte Nutzung oder Administration von Geräten und Systemen</t>
        </is>
      </c>
      <c r="U17" s="11" t="n">
        <v>3</v>
      </c>
      <c r="V17" s="11" t="n">
        <v>2</v>
      </c>
      <c r="W17" s="11" t="n">
        <v>1</v>
      </c>
      <c r="X17" s="11" t="n">
        <v>1</v>
      </c>
      <c r="Y17" s="11" t="n">
        <v>0</v>
      </c>
    </row>
    <row r="18">
      <c r="A18" s="11" t="inlineStr">
        <is>
          <t>PERS.2.3</t>
        </is>
      </c>
      <c r="B18" s="12" t="inlineStr">
        <is>
          <t>Rollentrennung</t>
        </is>
      </c>
      <c r="C18" s="11" t="inlineStr">
        <is>
          <t>PERS.2.3</t>
        </is>
      </c>
      <c r="D18" s="11" t="inlineStr">
        <is>
          <t>Standard-Anforderungen</t>
        </is>
      </c>
      <c r="E18" s="12" t="inlineStr">
        <is>
          <t>Personal SOLLTE für unvereinbare Aufgaben eine Rollentrennung verankern.</t>
        </is>
      </c>
      <c r="F18" s="14" t="n"/>
      <c r="G18" s="14" t="n"/>
      <c r="H18" s="14" t="inlineStr">
        <is>
          <t>unbearbeitet</t>
        </is>
      </c>
      <c r="I18" s="14" t="n"/>
      <c r="J18" s="14" t="n"/>
      <c r="K18" s="14" t="n"/>
      <c r="L18" s="15" t="n"/>
      <c r="M18" s="11" t="inlineStr">
        <is>
          <t>Vertraulichkeit</t>
        </is>
      </c>
      <c r="N18" s="12" t="inlineStr"/>
      <c r="O18" s="11" t="inlineStr"/>
      <c r="P18" s="12" t="inlineStr">
        <is>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is>
      </c>
      <c r="Q18" s="11" t="inlineStr"/>
      <c r="R18" s="11" t="inlineStr">
        <is>
          <t>Geschäftsverteilungsplan</t>
        </is>
      </c>
      <c r="S18" s="12" t="inlineStr">
        <is>
          <t>für unvereinbare Aufgaben eine Rollentrennung</t>
        </is>
      </c>
      <c r="T18" s="12" t="inlineStr">
        <is>
          <t>G 0.18 – Fehlplanung oder fehlende Anpassung; G 0.33 – Personalausfall; G 0.31 – Fehlerhafte Nutzung oder Administration von Geräten und Systemen</t>
        </is>
      </c>
      <c r="U18" s="11" t="n">
        <v>3</v>
      </c>
      <c r="V18" s="11" t="n">
        <v>2</v>
      </c>
      <c r="W18" s="11" t="n">
        <v>1</v>
      </c>
      <c r="X18" s="11" t="n">
        <v>1</v>
      </c>
      <c r="Y18" s="11" t="n">
        <v>0</v>
      </c>
    </row>
    <row r="19">
      <c r="A19" s="11" t="inlineStr">
        <is>
          <t>PERS.2.3</t>
        </is>
      </c>
      <c r="B19" s="12" t="inlineStr">
        <is>
          <t>Rollentrennung</t>
        </is>
      </c>
      <c r="C19" s="11" t="inlineStr">
        <is>
          <t>PERS.2.3.1</t>
        </is>
      </c>
      <c r="D19" s="11" t="inlineStr">
        <is>
          <t>Standard-Anforderungen</t>
        </is>
      </c>
      <c r="E19" s="12" t="inlineStr">
        <is>
          <t>Personal SOLLTE zwischen Administration von Verzeichnisdiensten und Pflege der verwalteten Daten eine Rollentrennung verankern.</t>
        </is>
      </c>
      <c r="F19" s="14" t="n"/>
      <c r="G19" s="14" t="n"/>
      <c r="H19" s="14" t="inlineStr">
        <is>
          <t>unbearbeitet</t>
        </is>
      </c>
      <c r="I19" s="14" t="n"/>
      <c r="J19" s="14" t="n"/>
      <c r="K19" s="14" t="n"/>
      <c r="L19" s="15" t="n"/>
      <c r="M19" s="11" t="inlineStr">
        <is>
          <t>Integrität</t>
        </is>
      </c>
      <c r="N19" s="12" t="inlineStr"/>
      <c r="O19" s="11" t="inlineStr"/>
      <c r="P19" s="12" t="inlineStr">
        <is>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is>
      </c>
      <c r="Q19" s="11" t="inlineStr"/>
      <c r="R19" s="11" t="inlineStr">
        <is>
          <t>Geschäftsverteilungsplan</t>
        </is>
      </c>
      <c r="S19" s="12" t="inlineStr">
        <is>
          <t>zwischen Administration von Verzeichnisdiensten und Pflege der verwalteten Daten eine Rollentrennung</t>
        </is>
      </c>
      <c r="T19" s="12" t="inlineStr">
        <is>
          <t>G 0.18 – Fehlplanung oder fehlende Anpassung; G 0.33 – Personalausfall; G 0.31 – Fehlerhafte Nutzung oder Administration von Geräten und Systemen</t>
        </is>
      </c>
      <c r="U19" s="11" t="n">
        <v>4</v>
      </c>
      <c r="V19" s="11" t="n">
        <v>1</v>
      </c>
      <c r="W19" s="11" t="n">
        <v>2</v>
      </c>
      <c r="X19" s="11" t="n">
        <v>1</v>
      </c>
      <c r="Y19" s="11" t="n">
        <v>0</v>
      </c>
    </row>
    <row r="20">
      <c r="A20" s="11" t="inlineStr">
        <is>
          <t>PERS.2.3</t>
        </is>
      </c>
      <c r="B20" s="12" t="inlineStr">
        <is>
          <t>Rollentrennung</t>
        </is>
      </c>
      <c r="C20" s="11" t="inlineStr">
        <is>
          <t>PERS.2.3.2</t>
        </is>
      </c>
      <c r="D20" s="11" t="inlineStr">
        <is>
          <t>Standard-Anforderungen</t>
        </is>
      </c>
      <c r="E20" s="12" t="inlineStr">
        <is>
          <t>Personal SOLLTE zwischen Administration von virtuellen Systemen und Virtualisierungslösungen eine Rollentrennung verankern.</t>
        </is>
      </c>
      <c r="F20" s="14" t="n"/>
      <c r="G20" s="14" t="n"/>
      <c r="H20" s="14" t="inlineStr">
        <is>
          <t>unbearbeitet</t>
        </is>
      </c>
      <c r="I20" s="14" t="n"/>
      <c r="J20" s="14" t="n"/>
      <c r="K20" s="14" t="n"/>
      <c r="L20" s="15" t="n"/>
      <c r="M20" s="11" t="inlineStr">
        <is>
          <t>Integrität</t>
        </is>
      </c>
      <c r="N20" s="12" t="inlineStr"/>
      <c r="O20" s="11" t="inlineStr"/>
      <c r="P20" s="12" t="inlineStr">
        <is>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is>
      </c>
      <c r="Q20" s="11" t="inlineStr"/>
      <c r="R20" s="11" t="inlineStr">
        <is>
          <t>Geschäftsverteilungsplan</t>
        </is>
      </c>
      <c r="S20" s="12" t="inlineStr">
        <is>
          <t>zwischen Administration von virtuellen Systemen und Virtualisierungslösungen eine Rollentrennung</t>
        </is>
      </c>
      <c r="T20" s="12" t="inlineStr">
        <is>
          <t>G 0.18 – Fehlplanung oder fehlende Anpassung; G 0.33 – Personalausfall; G 0.31 – Fehlerhafte Nutzung oder Administration von Geräten und Systemen</t>
        </is>
      </c>
      <c r="U20" s="11" t="n">
        <v>4</v>
      </c>
      <c r="V20" s="11" t="n">
        <v>1</v>
      </c>
      <c r="W20" s="11" t="n">
        <v>2</v>
      </c>
      <c r="X20" s="11" t="n">
        <v>1</v>
      </c>
      <c r="Y20" s="11" t="n">
        <v>0</v>
      </c>
    </row>
    <row r="21">
      <c r="A21" s="11" t="inlineStr">
        <is>
          <t>PERS.2.3</t>
        </is>
      </c>
      <c r="B21" s="12" t="inlineStr">
        <is>
          <t>Rollentrennung</t>
        </is>
      </c>
      <c r="C21" s="11" t="inlineStr">
        <is>
          <t>PERS.2.3.3</t>
        </is>
      </c>
      <c r="D21" s="11" t="inlineStr">
        <is>
          <t>Standard-Anforderungen</t>
        </is>
      </c>
      <c r="E21" s="12" t="inlineStr">
        <is>
          <t>Personal SOLLTE zwischen Implementierung von Sicherheitsanforderungen und deren Überprüfung eine Rollentrennung verankern.</t>
        </is>
      </c>
      <c r="F21" s="14" t="n"/>
      <c r="G21" s="14" t="n"/>
      <c r="H21" s="14" t="inlineStr">
        <is>
          <t>unbearbeitet</t>
        </is>
      </c>
      <c r="I21" s="14" t="n"/>
      <c r="J21" s="14" t="n"/>
      <c r="K21" s="14" t="n"/>
      <c r="L21" s="15" t="n"/>
      <c r="M21" s="11" t="inlineStr"/>
      <c r="N21" s="12" t="inlineStr"/>
      <c r="O21" s="11" t="inlineStr"/>
      <c r="P21" s="12" t="inlineStr">
        <is>
          <t>Fehlt eine Rollentrennung zwischen Umsetzung und Überprüfung von Sicherheitsmaßnahmen, so besteht ein Interessenkonflikt zwischen der Aufgabe korrekter Implementierung und dem Finden von weiterem Verbesserungspotenzial oder Mängeln bei einer Überprüfung.</t>
        </is>
      </c>
      <c r="Q21" s="11" t="inlineStr"/>
      <c r="R21" s="11" t="inlineStr">
        <is>
          <t>Geschäftsverteilungsplan</t>
        </is>
      </c>
      <c r="S21" s="12" t="inlineStr">
        <is>
          <t>zwischen Implementierung von Sicherheitsanforderungen und deren Überprüfung eine Rollentrennung</t>
        </is>
      </c>
      <c r="T21" s="12" t="inlineStr">
        <is>
          <t>G 0.18 – Fehlplanung oder fehlende Anpassung; G 0.33 – Personalausfall; G 0.31 – Fehlerhafte Nutzung oder Administration von Geräten und Systemen</t>
        </is>
      </c>
      <c r="U21" s="11" t="n">
        <v>3</v>
      </c>
      <c r="V21" s="11" t="n">
        <v>1</v>
      </c>
      <c r="W21" s="11" t="n">
        <v>1</v>
      </c>
      <c r="X21" s="11" t="n">
        <v>1</v>
      </c>
      <c r="Y21" s="11" t="n">
        <v>0</v>
      </c>
    </row>
    <row r="22">
      <c r="A22" s="11" t="inlineStr">
        <is>
          <t>PERS.2.3</t>
        </is>
      </c>
      <c r="B22" s="12" t="inlineStr">
        <is>
          <t>Rollentrennung</t>
        </is>
      </c>
      <c r="C22" s="11" t="inlineStr">
        <is>
          <t>PERS.2.3.4</t>
        </is>
      </c>
      <c r="D22" s="11" t="inlineStr">
        <is>
          <t>Standard-Anforderungen</t>
        </is>
      </c>
      <c r="E22" s="12" t="inlineStr">
        <is>
          <t>Personal SOLLTE zwischen Implementierung und Test eine Rollentrennung verankern.</t>
        </is>
      </c>
      <c r="F22" s="14" t="n"/>
      <c r="G22" s="14" t="n"/>
      <c r="H22" s="14" t="inlineStr">
        <is>
          <t>unbearbeitet</t>
        </is>
      </c>
      <c r="I22" s="14" t="n"/>
      <c r="J22" s="14" t="n"/>
      <c r="K22" s="14" t="n"/>
      <c r="L22" s="15" t="n"/>
      <c r="M22" s="11" t="inlineStr">
        <is>
          <t>Integrität</t>
        </is>
      </c>
      <c r="N22" s="12" t="inlineStr"/>
      <c r="O22" s="11" t="inlineStr"/>
      <c r="P22" s="12" t="inlineStr">
        <is>
          <t>Liegen Implementierung von Funktionen und Änderungen, sowie deren Test in derselben Hand, so werden Probleme durch Nachlässigkeit oder Versehen leicht übersehen.</t>
        </is>
      </c>
      <c r="Q22" s="11" t="inlineStr"/>
      <c r="R22" s="11" t="inlineStr">
        <is>
          <t>Geschäftsverteilungsplan</t>
        </is>
      </c>
      <c r="S22" s="12" t="inlineStr">
        <is>
          <t>zwischen Implementierung und Test eine Rollentrennung</t>
        </is>
      </c>
      <c r="T22" s="12" t="inlineStr">
        <is>
          <t>G 0.18 – Fehlplanung oder fehlende Anpassung; G 0.26 – Fehlfunktion von Geräten oder Systemen; G 0.33 – Personalausfall; G 0.28 – Software-Schwachstellen oder -Fehler</t>
        </is>
      </c>
      <c r="U22" s="11" t="n">
        <v>4</v>
      </c>
      <c r="V22" s="11" t="n">
        <v>1</v>
      </c>
      <c r="W22" s="11" t="n">
        <v>2</v>
      </c>
      <c r="X22" s="11" t="n">
        <v>1</v>
      </c>
      <c r="Y22" s="11" t="n">
        <v>0</v>
      </c>
    </row>
    <row r="23">
      <c r="A23" s="9" t="inlineStr">
        <is>
          <t>PERS.2.4</t>
        </is>
      </c>
      <c r="B23" s="10" t="inlineStr">
        <is>
          <t>Zuständigkeiten</t>
        </is>
      </c>
      <c r="C23" s="11" t="n"/>
      <c r="D23" s="11" t="inlineStr">
        <is>
          <t>Standard-Anforderungen</t>
        </is>
      </c>
      <c r="E23" s="12" t="inlineStr">
        <is>
          <t>Gesamt:</t>
        </is>
      </c>
      <c r="F23" s="11" t="n"/>
      <c r="G23" s="11" t="n"/>
      <c r="H23" s="13">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
      </c>
      <c r="I23" s="11" t="n"/>
      <c r="J23" s="11" t="n"/>
      <c r="K23" s="11" t="n"/>
      <c r="L23" s="11" t="n"/>
      <c r="M23" s="11" t="inlineStr"/>
      <c r="N23" s="12" t="inlineStr"/>
      <c r="O23" s="11" t="inlineStr"/>
      <c r="P23" s="12" t="inlineStr">
        <is>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is>
      </c>
      <c r="Q23" s="11" t="inlineStr"/>
      <c r="R23" s="11" t="inlineStr">
        <is>
          <t>Geschäftsverteilungsplan</t>
        </is>
      </c>
      <c r="S23" s="12" t="inlineStr">
        <is>
          <t>Zuständigkeiten für die Rollen</t>
        </is>
      </c>
      <c r="T23" s="12" t="inlineStr">
        <is>
          <t>G 0.18 – Fehlplanung oder fehlende Anpassung; G 0.33 – Personalausfall; G 0.31 – Fehlerhafte Nutzung oder Administration von Geräten und Systemen</t>
        </is>
      </c>
      <c r="U23" s="11" t="n">
        <v>2</v>
      </c>
      <c r="V23" s="11" t="n">
        <v>1</v>
      </c>
      <c r="W23" s="11" t="n">
        <v>1</v>
      </c>
      <c r="X23" s="11" t="n">
        <v>1</v>
      </c>
      <c r="Y23" s="11" t="n">
        <v>0</v>
      </c>
    </row>
    <row r="24">
      <c r="A24" s="11" t="inlineStr">
        <is>
          <t>PERS.2.4</t>
        </is>
      </c>
      <c r="B24" s="12" t="inlineStr">
        <is>
          <t>Zuständigkeiten</t>
        </is>
      </c>
      <c r="C24" s="11" t="inlineStr">
        <is>
          <t>PERS.2.4</t>
        </is>
      </c>
      <c r="D24" s="11" t="inlineStr">
        <is>
          <t>Standard-Anforderungen</t>
        </is>
      </c>
      <c r="E24" s="12" t="inlineStr">
        <is>
          <t>Personal SOLLTE Zuständigkeiten für die Rollen zuweisen.</t>
        </is>
      </c>
      <c r="F24" s="14" t="n"/>
      <c r="G24" s="14" t="n"/>
      <c r="H24" s="14" t="inlineStr">
        <is>
          <t>unbearbeitet</t>
        </is>
      </c>
      <c r="I24" s="14" t="n"/>
      <c r="J24" s="14" t="n"/>
      <c r="K24" s="14" t="n"/>
      <c r="L24" s="15" t="n"/>
      <c r="M24" s="11" t="inlineStr"/>
      <c r="N24" s="12" t="inlineStr"/>
      <c r="O24" s="11" t="inlineStr"/>
      <c r="P24" s="12" t="inlineStr">
        <is>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is>
      </c>
      <c r="Q24" s="11" t="inlineStr"/>
      <c r="R24" s="11" t="inlineStr">
        <is>
          <t>Geschäftsverteilungsplan</t>
        </is>
      </c>
      <c r="S24" s="12" t="inlineStr">
        <is>
          <t>Zuständigkeiten für die Rollen</t>
        </is>
      </c>
      <c r="T24" s="12" t="inlineStr">
        <is>
          <t>G 0.18 – Fehlplanung oder fehlende Anpassung; G 0.33 – Personalausfall; G 0.31 – Fehlerhafte Nutzung oder Administration von Geräten und Systemen</t>
        </is>
      </c>
      <c r="U24" s="11" t="n">
        <v>2</v>
      </c>
      <c r="V24" s="11" t="n">
        <v>1</v>
      </c>
      <c r="W24" s="11" t="n">
        <v>1</v>
      </c>
      <c r="X24" s="11" t="n">
        <v>1</v>
      </c>
      <c r="Y24" s="11" t="n">
        <v>0</v>
      </c>
    </row>
    <row r="25">
      <c r="A25" s="9" t="inlineStr">
        <is>
          <t>PERS.3.1</t>
        </is>
      </c>
      <c r="B25" s="10" t="inlineStr">
        <is>
          <t>Dienst- oder Arbeitsvertrag</t>
        </is>
      </c>
      <c r="C25" s="11" t="n"/>
      <c r="D25" s="11" t="inlineStr">
        <is>
          <t>Standard-Anforderungen</t>
        </is>
      </c>
      <c r="E25" s="12" t="inlineStr">
        <is>
          <t>Gesamt:</t>
        </is>
      </c>
      <c r="F25" s="11" t="n"/>
      <c r="G25" s="11" t="n"/>
      <c r="H25" s="13">
        <f>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
      </c>
      <c r="I25" s="11" t="n"/>
      <c r="J25" s="11" t="n"/>
      <c r="K25" s="11" t="n"/>
      <c r="L25" s="11" t="n"/>
      <c r="M25" s="11" t="inlineStr">
        <is>
          <t>Vertraulichkeit</t>
        </is>
      </c>
      <c r="N25" s="12" t="inlineStr"/>
      <c r="O25" s="11" t="inlineStr"/>
      <c r="P25" s="12" t="inlineStr">
        <is>
          <t>Die vertrauliche Behandlung meint hierbei die arbeits-, dienst- oder statusbezogene Festlegung, dass solche Informationen nur für berechtigte Zwecke, nur gegenüber befugten Personen und nicht privat, öffentlich oder gegenüber Dritten verwendet werden dürfen; bei Beamtinnen und Beamten ist dies nicht primär als privatrechtliche Nebenabrede zu verstehen, sondern regelmäßig als Konkretisierung bestehender beamtenrechtlicher Verschwiegenheits-, Treue- und Wohlverhaltenspflichten, die etwa durch Belehrung, Verpflichtungserklärung, Empfangsbestätigung oder dokumentierte Unterweisung nachvollziehbar gemacht werden kann. Sinn und Zweck der Anforderung ist, Vertraulichkeitserwartungen bereits im Personalverhältnis eindeutig zu machen und spätere Unklarheiten darüber zu verringern, welche internen Informationen geschützt zu behandeln sind. Ohne eine solche Klarstellung könnte eine Person vertrauliche Angebotsdaten an einen Wettbewerber weitergeben, Projektdetails in sozialen Medien veröffentlichen, interne Sicherheitsinformationen im privaten Umfeld besprechen oder Unterlagen nach einem Rollenwechsel unzulässig weiterverwenden; eine nachvollziehbare Vereinbarung oder Belehrung kann demgegenüber die persönliche Verantwortlichkeit stärken, Abschreckungswirkung entfalten und die Durchsetzung von Schutz- und Reaktionsmaßnahmen erleichtern. Genuzt werden können etwa eine Vertraulichkeitsklausel im Arbeitsvertrag, eine gesonderte Geheimhaltungsvereinbarung (Non-Disclosure Agreement, NDA), eine dienstrechtliche Verschwiegenheitsbelehrung für Beamte, oder eine Verpflichtungserklärung bei Tätigkeitsbegin. Zu beachten ist hierbei auch, dass eine erneute Bestätigung bei Rollen mit besonderem Geheimniszugang oder eine dokumentierte Belehrung beim Wechsel in vertraulichkeitskritische Aufgaben erforderlich sein kann.</t>
        </is>
      </c>
      <c r="Q25" s="11" t="inlineStr">
        <is>
          <t>Mitarbeitende</t>
        </is>
      </c>
      <c r="R25" s="11" t="inlineStr">
        <is>
          <t>Arbeitsvertrag</t>
        </is>
      </c>
      <c r="S25" s="12" t="inlineStr">
        <is>
          <t>die vertrauliche Behandlung von Betriebs- und Geschäftsgeheimnissen</t>
        </is>
      </c>
      <c r="T25" s="12" t="inlineStr">
        <is>
          <t>G 0.31 – Fehlerhafte Nutzung oder Administration von Geräten und Systemen; G 0.33 – Personalausfall; G 0.32 – Missbrauch von Berechtigungen; G 0.35 – Nötigung, Erpressung oder Korruption</t>
        </is>
      </c>
      <c r="U25" s="11" t="n">
        <v>2</v>
      </c>
      <c r="V25" s="11" t="n">
        <v>2</v>
      </c>
      <c r="W25" s="11" t="n">
        <v>1</v>
      </c>
      <c r="X25" s="11" t="n">
        <v>1</v>
      </c>
      <c r="Y25" s="11" t="n">
        <v>0</v>
      </c>
    </row>
    <row r="26">
      <c r="A26" s="11" t="inlineStr">
        <is>
          <t>PERS.3.1</t>
        </is>
      </c>
      <c r="B26" s="12" t="inlineStr">
        <is>
          <t>Dienst- oder Arbeitsvertrag</t>
        </is>
      </c>
      <c r="C26" s="11" t="inlineStr">
        <is>
          <t>PERS.3.1</t>
        </is>
      </c>
      <c r="D26" s="11" t="inlineStr">
        <is>
          <t>Standard-Anforderungen</t>
        </is>
      </c>
      <c r="E26" s="12" t="inlineStr">
        <is>
          <t>Personal für Mitarbeitende SOLLTE die vertrauliche Behandlung von Betriebs- und Geschäftsgeheimnissen vereinbaren.</t>
        </is>
      </c>
      <c r="F26" s="14" t="n"/>
      <c r="G26" s="14" t="n"/>
      <c r="H26" s="14" t="inlineStr">
        <is>
          <t>unbearbeitet</t>
        </is>
      </c>
      <c r="I26" s="14" t="n"/>
      <c r="J26" s="14" t="n"/>
      <c r="K26" s="14" t="n"/>
      <c r="L26" s="15" t="n"/>
      <c r="M26" s="11" t="inlineStr">
        <is>
          <t>Vertraulichkeit</t>
        </is>
      </c>
      <c r="N26" s="12" t="inlineStr"/>
      <c r="O26" s="11" t="inlineStr"/>
      <c r="P26" s="12" t="inlineStr">
        <is>
          <t>Die vertrauliche Behandlung meint hierbei die arbeits-, dienst- oder statusbezogene Festlegung, dass solche Informationen nur für berechtigte Zwecke, nur gegenüber befugten Personen und nicht privat, öffentlich oder gegenüber Dritten verwendet werden dürfen; bei Beamtinnen und Beamten ist dies nicht primär als privatrechtliche Nebenabrede zu verstehen, sondern regelmäßig als Konkretisierung bestehender beamtenrechtlicher Verschwiegenheits-, Treue- und Wohlverhaltenspflichten, die etwa durch Belehrung, Verpflichtungserklärung, Empfangsbestätigung oder dokumentierte Unterweisung nachvollziehbar gemacht werden kann. Sinn und Zweck der Anforderung ist, Vertraulichkeitserwartungen bereits im Personalverhältnis eindeutig zu machen und spätere Unklarheiten darüber zu verringern, welche internen Informationen geschützt zu behandeln sind. Ohne eine solche Klarstellung könnte eine Person vertrauliche Angebotsdaten an einen Wettbewerber weitergeben, Projektdetails in sozialen Medien veröffentlichen, interne Sicherheitsinformationen im privaten Umfeld besprechen oder Unterlagen nach einem Rollenwechsel unzulässig weiterverwenden; eine nachvollziehbare Vereinbarung oder Belehrung kann demgegenüber die persönliche Verantwortlichkeit stärken, Abschreckungswirkung entfalten und die Durchsetzung von Schutz- und Reaktionsmaßnahmen erleichtern. Genuzt werden können etwa eine Vertraulichkeitsklausel im Arbeitsvertrag, eine gesonderte Geheimhaltungsvereinbarung (Non-Disclosure Agreement, NDA), eine dienstrechtliche Verschwiegenheitsbelehrung für Beamte, oder eine Verpflichtungserklärung bei Tätigkeitsbegin. Zu beachten ist hierbei auch, dass eine erneute Bestätigung bei Rollen mit besonderem Geheimniszugang oder eine dokumentierte Belehrung beim Wechsel in vertraulichkeitskritische Aufgaben erforderlich sein kann.</t>
        </is>
      </c>
      <c r="Q26" s="11" t="inlineStr">
        <is>
          <t>Mitarbeitende</t>
        </is>
      </c>
      <c r="R26" s="11" t="inlineStr">
        <is>
          <t>Arbeitsvertrag</t>
        </is>
      </c>
      <c r="S26" s="12" t="inlineStr">
        <is>
          <t>die vertrauliche Behandlung von Betriebs- und Geschäftsgeheimnissen</t>
        </is>
      </c>
      <c r="T26" s="12" t="inlineStr">
        <is>
          <t>G 0.31 – Fehlerhafte Nutzung oder Administration von Geräten und Systemen; G 0.33 – Personalausfall; G 0.32 – Missbrauch von Berechtigungen; G 0.35 – Nötigung, Erpressung oder Korruption</t>
        </is>
      </c>
      <c r="U26" s="11" t="n">
        <v>2</v>
      </c>
      <c r="V26" s="11" t="n">
        <v>2</v>
      </c>
      <c r="W26" s="11" t="n">
        <v>1</v>
      </c>
      <c r="X26" s="11" t="n">
        <v>1</v>
      </c>
      <c r="Y26" s="11" t="n">
        <v>0</v>
      </c>
    </row>
    <row r="27">
      <c r="A27" s="9" t="inlineStr">
        <is>
          <t>PERS.3.2</t>
        </is>
      </c>
      <c r="B27" s="10" t="inlineStr">
        <is>
          <t>Verfahrensanweisungen</t>
        </is>
      </c>
      <c r="C27" s="11" t="n"/>
      <c r="D27" s="11" t="inlineStr">
        <is>
          <t>Standard-Anforderungen</t>
        </is>
      </c>
      <c r="E27" s="12" t="inlineStr">
        <is>
          <t>Gesamt:</t>
        </is>
      </c>
      <c r="F27" s="11" t="n"/>
      <c r="G27" s="11" t="n"/>
      <c r="H27" s="13">
        <f>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
      </c>
      <c r="I27" s="11" t="n"/>
      <c r="J27" s="11" t="n"/>
      <c r="K27" s="11" t="n"/>
      <c r="L27" s="11" t="n"/>
      <c r="M27" s="11" t="inlineStr">
        <is>
          <t>Integrität</t>
        </is>
      </c>
      <c r="N27" s="12" t="inlineStr"/>
      <c r="O27" s="11" t="inlineStr"/>
      <c r="P27" s="12" t="inlineStr">
        <is>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is>
      </c>
      <c r="Q27" s="11" t="inlineStr">
        <is>
          <t>Mitarbeitende</t>
        </is>
      </c>
      <c r="R27" s="11" t="inlineStr">
        <is>
          <t>Arbeitsanweisung</t>
        </is>
      </c>
      <c r="S27" s="12" t="inlineStr">
        <is>
          <t>explizit zur Einhaltung von Verfahrensanweisungen</t>
        </is>
      </c>
      <c r="T27" s="12" t="inlineStr">
        <is>
          <t>G 0.31 – Fehlerhafte Nutzung oder Administration von Geräten und Systemen; G 0.33 – Personalausfall; G 0.32 – Missbrauch von Berechtigungen; G 0.35 – Nötigung, Erpressung oder Korruption</t>
        </is>
      </c>
      <c r="U27" s="11" t="n">
        <v>2</v>
      </c>
      <c r="V27" s="11" t="n">
        <v>1</v>
      </c>
      <c r="W27" s="11" t="n">
        <v>2</v>
      </c>
      <c r="X27" s="11" t="n">
        <v>1</v>
      </c>
      <c r="Y27" s="11" t="n">
        <v>0</v>
      </c>
    </row>
    <row r="28">
      <c r="A28" s="11" t="inlineStr">
        <is>
          <t>PERS.3.2</t>
        </is>
      </c>
      <c r="B28" s="12" t="inlineStr">
        <is>
          <t>Verfahrensanweisungen</t>
        </is>
      </c>
      <c r="C28" s="11" t="inlineStr">
        <is>
          <t>PERS.3.2</t>
        </is>
      </c>
      <c r="D28" s="11" t="inlineStr">
        <is>
          <t>Standard-Anforderungen</t>
        </is>
      </c>
      <c r="E28" s="12" t="inlineStr">
        <is>
          <t>Personal für Mitarbeitende SOLLTE explizit zur Einhaltung von Verfahrensanweisungen bei Neuzugang anweisen.</t>
        </is>
      </c>
      <c r="F28" s="14" t="n"/>
      <c r="G28" s="14" t="n"/>
      <c r="H28" s="14" t="inlineStr">
        <is>
          <t>unbearbeitet</t>
        </is>
      </c>
      <c r="I28" s="14" t="n"/>
      <c r="J28" s="14" t="n"/>
      <c r="K28" s="14" t="n"/>
      <c r="L28" s="15" t="n"/>
      <c r="M28" s="11" t="inlineStr">
        <is>
          <t>Integrität</t>
        </is>
      </c>
      <c r="N28" s="12" t="inlineStr"/>
      <c r="O28" s="11" t="inlineStr"/>
      <c r="P28" s="12" t="inlineStr">
        <is>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is>
      </c>
      <c r="Q28" s="11" t="inlineStr">
        <is>
          <t>Mitarbeitende</t>
        </is>
      </c>
      <c r="R28" s="11" t="inlineStr">
        <is>
          <t>Arbeitsanweisung</t>
        </is>
      </c>
      <c r="S28" s="12" t="inlineStr">
        <is>
          <t>explizit zur Einhaltung von Verfahrensanweisungen</t>
        </is>
      </c>
      <c r="T28" s="12" t="inlineStr">
        <is>
          <t>G 0.31 – Fehlerhafte Nutzung oder Administration von Geräten und Systemen; G 0.33 – Personalausfall; G 0.32 – Missbrauch von Berechtigungen; G 0.35 – Nötigung, Erpressung oder Korruption</t>
        </is>
      </c>
      <c r="U28" s="11" t="n">
        <v>2</v>
      </c>
      <c r="V28" s="11" t="n">
        <v>1</v>
      </c>
      <c r="W28" s="11" t="n">
        <v>2</v>
      </c>
      <c r="X28" s="11" t="n">
        <v>1</v>
      </c>
      <c r="Y28" s="11" t="n">
        <v>0</v>
      </c>
    </row>
    <row r="29">
      <c r="A29" s="9" t="inlineStr">
        <is>
          <t>PERS.3.3</t>
        </is>
      </c>
      <c r="B29" s="10" t="inlineStr">
        <is>
          <t>Betriebs- und Geschäftsgeheimnisse</t>
        </is>
      </c>
      <c r="C29" s="11" t="n"/>
      <c r="D29" s="11" t="inlineStr">
        <is>
          <t>Standard-Anforderungen</t>
        </is>
      </c>
      <c r="E29" s="12" t="inlineStr">
        <is>
          <t>Gesamt:</t>
        </is>
      </c>
      <c r="F29" s="11" t="n"/>
      <c r="G29" s="11" t="n"/>
      <c r="H29" s="13">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
      </c>
      <c r="I29" s="11" t="n"/>
      <c r="J29" s="11" t="n"/>
      <c r="K29" s="11" t="n"/>
      <c r="L29" s="11" t="n"/>
      <c r="M29" s="11" t="inlineStr">
        <is>
          <t>Vertraulichkeit</t>
        </is>
      </c>
      <c r="N29" s="12" t="inlineStr"/>
      <c r="O29" s="11" t="inlineStr"/>
      <c r="P29" s="12" t="inlineStr">
        <is>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is>
      </c>
      <c r="Q29" s="11" t="inlineStr">
        <is>
          <t>Mitarbeitende</t>
        </is>
      </c>
      <c r="R29" s="11" t="inlineStr">
        <is>
          <t>Arbeitsanweisung</t>
        </is>
      </c>
      <c r="S29" s="12" t="inlineStr">
        <is>
          <t>zum Umgang mit definierten Betriebs- und Geschäftsgeheimnissen</t>
        </is>
      </c>
      <c r="T29" s="12" t="inlineStr">
        <is>
          <t>G 0.31 – Fehlerhafte Nutzung oder Administration von Geräten und Systemen; G 0.33 – Personalausfall; G 0.32 – Missbrauch von Berechtigungen; G 0.35 – Nötigung, Erpressung oder Korruption</t>
        </is>
      </c>
      <c r="U29" s="11" t="n">
        <v>2</v>
      </c>
      <c r="V29" s="11" t="n">
        <v>2</v>
      </c>
      <c r="W29" s="11" t="n">
        <v>1</v>
      </c>
      <c r="X29" s="11" t="n">
        <v>1</v>
      </c>
      <c r="Y29" s="11" t="n">
        <v>0</v>
      </c>
    </row>
    <row r="30">
      <c r="A30" s="11" t="inlineStr">
        <is>
          <t>PERS.3.3</t>
        </is>
      </c>
      <c r="B30" s="12" t="inlineStr">
        <is>
          <t>Betriebs- und Geschäftsgeheimnisse</t>
        </is>
      </c>
      <c r="C30" s="11" t="inlineStr">
        <is>
          <t>PERS.3.3</t>
        </is>
      </c>
      <c r="D30" s="11" t="inlineStr">
        <is>
          <t>Standard-Anforderungen</t>
        </is>
      </c>
      <c r="E30" s="12" t="inlineStr">
        <is>
          <t>Personal für Mitarbeitende SOLLTE zum Umgang mit definierten Betriebs- und Geschäftsgeheimnissen bei Neuzugang anweisen.</t>
        </is>
      </c>
      <c r="F30" s="14" t="n"/>
      <c r="G30" s="14" t="n"/>
      <c r="H30" s="14" t="inlineStr">
        <is>
          <t>unbearbeitet</t>
        </is>
      </c>
      <c r="I30" s="14" t="n"/>
      <c r="J30" s="14" t="n"/>
      <c r="K30" s="14" t="n"/>
      <c r="L30" s="15" t="n"/>
      <c r="M30" s="11" t="inlineStr">
        <is>
          <t>Vertraulichkeit</t>
        </is>
      </c>
      <c r="N30" s="12" t="inlineStr"/>
      <c r="O30" s="11" t="inlineStr"/>
      <c r="P30" s="12" t="inlineStr">
        <is>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is>
      </c>
      <c r="Q30" s="11" t="inlineStr">
        <is>
          <t>Mitarbeitende</t>
        </is>
      </c>
      <c r="R30" s="11" t="inlineStr">
        <is>
          <t>Arbeitsanweisung</t>
        </is>
      </c>
      <c r="S30" s="12" t="inlineStr">
        <is>
          <t>zum Umgang mit definierten Betriebs- und Geschäftsgeheimnissen</t>
        </is>
      </c>
      <c r="T30" s="12" t="inlineStr">
        <is>
          <t>G 0.31 – Fehlerhafte Nutzung oder Administration von Geräten und Systemen; G 0.33 – Personalausfall; G 0.32 – Missbrauch von Berechtigungen; G 0.35 – Nötigung, Erpressung oder Korruption</t>
        </is>
      </c>
      <c r="U30" s="11" t="n">
        <v>2</v>
      </c>
      <c r="V30" s="11" t="n">
        <v>2</v>
      </c>
      <c r="W30" s="11" t="n">
        <v>1</v>
      </c>
      <c r="X30" s="11" t="n">
        <v>1</v>
      </c>
      <c r="Y30" s="11" t="n">
        <v>0</v>
      </c>
    </row>
    <row r="31">
      <c r="A31" s="9" t="inlineStr">
        <is>
          <t>PERS.3.4</t>
        </is>
      </c>
      <c r="B31" s="10" t="inlineStr">
        <is>
          <t>Stellenbeschreibungen</t>
        </is>
      </c>
      <c r="C31" s="11" t="n"/>
      <c r="D31" s="11" t="inlineStr">
        <is>
          <t>Standard-Anforderungen</t>
        </is>
      </c>
      <c r="E31" s="12" t="inlineStr">
        <is>
          <t>Gesamt:</t>
        </is>
      </c>
      <c r="F31" s="11" t="n"/>
      <c r="G31" s="11" t="n"/>
      <c r="H31" s="13">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
      </c>
      <c r="I31" s="11" t="n"/>
      <c r="J31" s="11" t="n"/>
      <c r="K31" s="11" t="n"/>
      <c r="L31" s="11" t="n"/>
      <c r="M31" s="11" t="inlineStr">
        <is>
          <t>Integrität</t>
        </is>
      </c>
      <c r="N31" s="12" t="inlineStr"/>
      <c r="O31" s="11" t="inlineStr"/>
      <c r="P31" s="12" t="inlineStr">
        <is>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is>
      </c>
      <c r="Q31" s="11" t="inlineStr"/>
      <c r="R31" s="11" t="inlineStr">
        <is>
          <t>Prozess Personalmanagement</t>
        </is>
      </c>
      <c r="S31" s="12" t="inlineStr">
        <is>
          <t>Stellenbeschreibungen</t>
        </is>
      </c>
      <c r="T31" s="12" t="inlineStr">
        <is>
          <t>G 0.31 – Fehlerhafte Nutzung oder Administration von Geräten und Systemen; G 0.33 – Personalausfall; G 0.32 – Missbrauch von Berechtigungen; G 0.35 – Nötigung, Erpressung oder Korruption</t>
        </is>
      </c>
      <c r="U31" s="11" t="n">
        <v>3</v>
      </c>
      <c r="V31" s="11" t="n">
        <v>1</v>
      </c>
      <c r="W31" s="11" t="n">
        <v>2</v>
      </c>
      <c r="X31" s="11" t="n">
        <v>1</v>
      </c>
      <c r="Y31" s="11" t="n">
        <v>0</v>
      </c>
    </row>
    <row r="32">
      <c r="A32" s="11" t="inlineStr">
        <is>
          <t>PERS.3.4</t>
        </is>
      </c>
      <c r="B32" s="12" t="inlineStr">
        <is>
          <t>Stellenbeschreibungen</t>
        </is>
      </c>
      <c r="C32" s="11" t="inlineStr">
        <is>
          <t>PERS.3.4</t>
        </is>
      </c>
      <c r="D32" s="11" t="inlineStr">
        <is>
          <t>Standard-Anforderungen</t>
        </is>
      </c>
      <c r="E32" s="12" t="inlineStr">
        <is>
          <t>Personal SOLLTE Stellenbeschreibungen vor Ausschreibung zu besetzender Stellen dokumentieren.</t>
        </is>
      </c>
      <c r="F32" s="14" t="n"/>
      <c r="G32" s="14" t="n"/>
      <c r="H32" s="14" t="inlineStr">
        <is>
          <t>unbearbeitet</t>
        </is>
      </c>
      <c r="I32" s="14" t="n"/>
      <c r="J32" s="14" t="n"/>
      <c r="K32" s="14" t="n"/>
      <c r="L32" s="15" t="n"/>
      <c r="M32" s="11" t="inlineStr">
        <is>
          <t>Integrität</t>
        </is>
      </c>
      <c r="N32" s="12" t="inlineStr"/>
      <c r="O32" s="11" t="inlineStr"/>
      <c r="P32" s="12" t="inlineStr">
        <is>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is>
      </c>
      <c r="Q32" s="11" t="inlineStr"/>
      <c r="R32" s="11" t="inlineStr">
        <is>
          <t>Prozess Personalmanagement</t>
        </is>
      </c>
      <c r="S32" s="12" t="inlineStr">
        <is>
          <t>Stellenbeschreibungen</t>
        </is>
      </c>
      <c r="T32" s="12" t="inlineStr">
        <is>
          <t>G 0.31 – Fehlerhafte Nutzung oder Administration von Geräten und Systemen; G 0.33 – Personalausfall; G 0.32 – Missbrauch von Berechtigungen; G 0.35 – Nötigung, Erpressung oder Korruption</t>
        </is>
      </c>
      <c r="U32" s="11" t="n">
        <v>3</v>
      </c>
      <c r="V32" s="11" t="n">
        <v>1</v>
      </c>
      <c r="W32" s="11" t="n">
        <v>2</v>
      </c>
      <c r="X32" s="11" t="n">
        <v>1</v>
      </c>
      <c r="Y32" s="11" t="n">
        <v>0</v>
      </c>
    </row>
    <row r="33">
      <c r="A33" s="9" t="inlineStr">
        <is>
          <t>PERS.3.5</t>
        </is>
      </c>
      <c r="B33" s="10" t="inlineStr">
        <is>
          <t>Prüfung der Bewerbungsunterlagen</t>
        </is>
      </c>
      <c r="C33" s="11" t="n"/>
      <c r="D33" s="11" t="inlineStr">
        <is>
          <t>Standard-Anforderungen</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c r="N33" s="12" t="inlineStr"/>
      <c r="O33" s="11" t="inlineStr"/>
      <c r="P33" s="12" t="inlineStr">
        <is>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is>
      </c>
      <c r="Q33" s="11" t="inlineStr"/>
      <c r="R33" s="11" t="inlineStr">
        <is>
          <t>Prozess Personalmanagement</t>
        </is>
      </c>
      <c r="S33" s="12" t="inlineStr">
        <is>
          <t>die Qualifikation von Bewerbenden anhand der Bewerbungsunterlagen</t>
        </is>
      </c>
      <c r="T33" s="12" t="inlineStr">
        <is>
          <t>G 0.31 – Fehlerhafte Nutzung oder Administration von Geräten und Systemen; G 0.33 – Personalausfall; G 0.32 – Missbrauch von Berechtigungen; G 0.35 – Nötigung, Erpressung oder Korruption</t>
        </is>
      </c>
      <c r="U33" s="11" t="n">
        <v>2</v>
      </c>
      <c r="V33" s="11" t="n">
        <v>1</v>
      </c>
      <c r="W33" s="11" t="n">
        <v>1</v>
      </c>
      <c r="X33" s="11" t="n">
        <v>1</v>
      </c>
      <c r="Y33" s="11" t="n">
        <v>0</v>
      </c>
    </row>
    <row r="34">
      <c r="A34" s="11" t="inlineStr">
        <is>
          <t>PERS.3.5</t>
        </is>
      </c>
      <c r="B34" s="12" t="inlineStr">
        <is>
          <t>Prüfung der Bewerbungsunterlagen</t>
        </is>
      </c>
      <c r="C34" s="11" t="inlineStr">
        <is>
          <t>PERS.3.5</t>
        </is>
      </c>
      <c r="D34" s="11" t="inlineStr">
        <is>
          <t>Standard-Anforderungen</t>
        </is>
      </c>
      <c r="E34" s="12" t="inlineStr">
        <is>
          <t>Personal SOLLTE die Qualifikation von Bewerbenden anhand der Bewerbungsunterlagen vor der Besetzung von Stellen testen.</t>
        </is>
      </c>
      <c r="F34" s="14" t="n"/>
      <c r="G34" s="14" t="n"/>
      <c r="H34" s="14" t="inlineStr">
        <is>
          <t>unbearbeitet</t>
        </is>
      </c>
      <c r="I34" s="14" t="n"/>
      <c r="J34" s="14" t="n"/>
      <c r="K34" s="14" t="n"/>
      <c r="L34" s="15" t="n"/>
      <c r="M34" s="11" t="inlineStr"/>
      <c r="N34" s="12" t="inlineStr"/>
      <c r="O34" s="11" t="inlineStr"/>
      <c r="P34" s="12" t="inlineStr">
        <is>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is>
      </c>
      <c r="Q34" s="11" t="inlineStr"/>
      <c r="R34" s="11" t="inlineStr">
        <is>
          <t>Prozess Personalmanagement</t>
        </is>
      </c>
      <c r="S34" s="12" t="inlineStr">
        <is>
          <t>die Qualifikation von Bewerbenden anhand der Bewerbungsunterlagen</t>
        </is>
      </c>
      <c r="T34" s="12" t="inlineStr">
        <is>
          <t>G 0.31 – Fehlerhafte Nutzung oder Administration von Geräten und Systemen; G 0.33 – Personalausfall; G 0.32 – Missbrauch von Berechtigungen; G 0.35 – Nötigung, Erpressung oder Korruption</t>
        </is>
      </c>
      <c r="U34" s="11" t="n">
        <v>2</v>
      </c>
      <c r="V34" s="11" t="n">
        <v>1</v>
      </c>
      <c r="W34" s="11" t="n">
        <v>1</v>
      </c>
      <c r="X34" s="11" t="n">
        <v>1</v>
      </c>
      <c r="Y34" s="11" t="n">
        <v>0</v>
      </c>
    </row>
    <row r="35">
      <c r="A35" s="9" t="inlineStr">
        <is>
          <t>PERS.3.6</t>
        </is>
      </c>
      <c r="B35" s="10" t="inlineStr">
        <is>
          <t>Vertrauenswürdigkeit von Bewerbenden</t>
        </is>
      </c>
      <c r="C35" s="11" t="n"/>
      <c r="D35" s="11" t="inlineStr">
        <is>
          <t>Standard-Anforderungen</t>
        </is>
      </c>
      <c r="E35" s="12" t="inlineStr">
        <is>
          <t>Gesamt:</t>
        </is>
      </c>
      <c r="F35" s="11" t="n"/>
      <c r="G35" s="11" t="n"/>
      <c r="H35" s="13">
        <f>IF(OR(COUNTBLANK($H$36:$H$37)&gt;0,COUNTIF($H$36:$H$37,"unbearbeitet")=COUNTA($H$36:$H$37)),"Bitte Teilanforderungen ausfüllen",IF(COUNTIF($H$36:$H$37,"zu klären")&gt;0,"zu klären",IF(COUNTIF($H$36:$H$37,"entbehrlich")=COUNTA($H$36:$H$37),"entbehrlich",IF(COUNTIF($H$36:$H$37,"verwiesen")=COUNTA($H$36:$H$37),"verwiesen",IF(COUNTIF($H$36:$H$37,"nein")+COUNTIF($H$36:$H$37,"entbehrlich")=COUNTA($H$36:$H$37),"nein",IF(COUNTIF($H$36:$H$37,"ja")+COUNTIF($H$36:$H$37,"entbehrlich")+COUNTIF($H$36:$H$37,"verwiesen")=COUNTA($H$36:$H$37),"ja","teilweise"))))))</f>
        <v/>
      </c>
      <c r="I35" s="11" t="n"/>
      <c r="J35" s="11" t="n"/>
      <c r="K35" s="11" t="n"/>
      <c r="L35" s="11" t="n"/>
      <c r="M35" s="11" t="inlineStr"/>
      <c r="N35" s="12" t="inlineStr"/>
      <c r="O35" s="11" t="inlineStr"/>
      <c r="P35" s="12" t="inlineStr">
        <is>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is>
      </c>
      <c r="Q35" s="11" t="inlineStr"/>
      <c r="R35" s="11" t="inlineStr">
        <is>
          <t>Prozess Personalmanagement</t>
        </is>
      </c>
      <c r="S35" s="12" t="inlineStr">
        <is>
          <t>die Vertrauenswürdigkeit von Bewerbenden</t>
        </is>
      </c>
      <c r="T35" s="12" t="inlineStr">
        <is>
          <t>G 0.31 – Fehlerhafte Nutzung oder Administration von Geräten und Systemen; G 0.33 – Personalausfall; G 0.32 – Missbrauch von Berechtigungen; G 0.35 – Nötigung, Erpressung oder Korruption</t>
        </is>
      </c>
      <c r="U35" s="11" t="n">
        <v>2</v>
      </c>
      <c r="V35" s="11" t="n">
        <v>1</v>
      </c>
      <c r="W35" s="11" t="n">
        <v>1</v>
      </c>
      <c r="X35" s="11" t="n">
        <v>1</v>
      </c>
      <c r="Y35" s="11" t="n">
        <v>0</v>
      </c>
    </row>
    <row r="36">
      <c r="A36" s="11" t="inlineStr">
        <is>
          <t>PERS.3.6</t>
        </is>
      </c>
      <c r="B36" s="12" t="inlineStr">
        <is>
          <t>Vertrauenswürdigkeit von Bewerbenden</t>
        </is>
      </c>
      <c r="C36" s="11" t="inlineStr">
        <is>
          <t>PERS.3.6</t>
        </is>
      </c>
      <c r="D36" s="11" t="inlineStr">
        <is>
          <t>Standard-Anforderungen</t>
        </is>
      </c>
      <c r="E36" s="12" t="inlineStr">
        <is>
          <t>Personal SOLLTE die Vertrauenswürdigkeit von Bewerbenden vor der Besetzung von Stellen testen.</t>
        </is>
      </c>
      <c r="F36" s="14" t="n"/>
      <c r="G36" s="14" t="n"/>
      <c r="H36" s="14" t="inlineStr">
        <is>
          <t>unbearbeitet</t>
        </is>
      </c>
      <c r="I36" s="14" t="n"/>
      <c r="J36" s="14" t="n"/>
      <c r="K36" s="14" t="n"/>
      <c r="L36" s="15" t="n"/>
      <c r="M36" s="11" t="inlineStr"/>
      <c r="N36" s="12" t="inlineStr"/>
      <c r="O36" s="11" t="inlineStr"/>
      <c r="P36" s="12" t="inlineStr">
        <is>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is>
      </c>
      <c r="Q36" s="11" t="inlineStr"/>
      <c r="R36" s="11" t="inlineStr">
        <is>
          <t>Prozess Personalmanagement</t>
        </is>
      </c>
      <c r="S36" s="12" t="inlineStr">
        <is>
          <t>die Vertrauenswürdigkeit von Bewerbenden</t>
        </is>
      </c>
      <c r="T36" s="12" t="inlineStr">
        <is>
          <t>G 0.31 – Fehlerhafte Nutzung oder Administration von Geräten und Systemen; G 0.33 – Personalausfall; G 0.32 – Missbrauch von Berechtigungen; G 0.35 – Nötigung, Erpressung oder Korruption</t>
        </is>
      </c>
      <c r="U36" s="11" t="n">
        <v>2</v>
      </c>
      <c r="V36" s="11" t="n">
        <v>1</v>
      </c>
      <c r="W36" s="11" t="n">
        <v>1</v>
      </c>
      <c r="X36" s="11" t="n">
        <v>1</v>
      </c>
      <c r="Y36" s="11" t="n">
        <v>0</v>
      </c>
    </row>
    <row r="37">
      <c r="A37" s="11" t="inlineStr">
        <is>
          <t>PERS.3.6</t>
        </is>
      </c>
      <c r="B37" s="12" t="inlineStr">
        <is>
          <t>Vertrauenswürdigkeit von Bewerbenden</t>
        </is>
      </c>
      <c r="C37" s="11" t="inlineStr">
        <is>
          <t>PERS.3.6.1</t>
        </is>
      </c>
      <c r="D37" s="11" t="inlineStr">
        <is>
          <t>Anforderungen bei erhöhtem Schutzbedarf</t>
        </is>
      </c>
      <c r="E37" s="12" t="inlineStr">
        <is>
          <t>Personal KANN eine Sicherheitsüberprüfung vor der Besetzung von sicherheitsrelevanten Stellen ausführen.</t>
        </is>
      </c>
      <c r="F37" s="14" t="n"/>
      <c r="G37" s="14" t="n"/>
      <c r="H37" s="14" t="inlineStr">
        <is>
          <t>unbearbeitet</t>
        </is>
      </c>
      <c r="I37" s="14" t="n"/>
      <c r="J37" s="14" t="n"/>
      <c r="K37" s="14" t="n"/>
      <c r="L37" s="15" t="n"/>
      <c r="M37" s="11" t="inlineStr"/>
      <c r="N37" s="12" t="inlineStr">
        <is>
          <t>ORP.2.A13-UA.2</t>
        </is>
      </c>
      <c r="O37" s="11" t="inlineStr">
        <is>
          <t>intersects-with</t>
        </is>
      </c>
      <c r="P37" s="12" t="inlineStr">
        <is>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is>
      </c>
      <c r="Q37" s="11" t="inlineStr"/>
      <c r="R37" s="11" t="inlineStr">
        <is>
          <t>Prozess Personalmanagement</t>
        </is>
      </c>
      <c r="S37" s="12" t="inlineStr">
        <is>
          <t>eine Sicherheitsüberprüfung</t>
        </is>
      </c>
      <c r="T37" s="12" t="inlineStr">
        <is>
          <t>G 0.31 – Fehlerhafte Nutzung oder Administration von Geräten und Systemen; G 0.33 – Personalausfall; G 0.32 – Missbrauch von Berechtigungen; G 0.35 – Nötigung, Erpressung oder Korruption</t>
        </is>
      </c>
      <c r="U37" s="11" t="n">
        <v>5</v>
      </c>
      <c r="V37" s="11" t="n">
        <v>1</v>
      </c>
      <c r="W37" s="11" t="n">
        <v>1</v>
      </c>
      <c r="X37" s="11" t="n">
        <v>1</v>
      </c>
      <c r="Y37" s="11" t="n">
        <v>0</v>
      </c>
    </row>
    <row r="38">
      <c r="A38" s="9" t="inlineStr">
        <is>
          <t>PERS.3.7</t>
        </is>
      </c>
      <c r="B38" s="10" t="inlineStr">
        <is>
          <t>Einarbeitung</t>
        </is>
      </c>
      <c r="C38" s="11" t="n"/>
      <c r="D38" s="11" t="inlineStr">
        <is>
          <t>Standard-Anforderungen</t>
        </is>
      </c>
      <c r="E38" s="12" t="inlineStr">
        <is>
          <t>Gesamt:</t>
        </is>
      </c>
      <c r="F38" s="11" t="n"/>
      <c r="G38" s="11" t="n"/>
      <c r="H38" s="13">
        <f>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
      </c>
      <c r="I38" s="11" t="n"/>
      <c r="J38" s="11" t="n"/>
      <c r="K38" s="11" t="n"/>
      <c r="L38" s="11" t="n"/>
      <c r="M38" s="11" t="inlineStr"/>
      <c r="N38" s="12" t="inlineStr">
        <is>
          <t>ORP.2.A1-UA.1; ORP.2.A1-UA.3</t>
        </is>
      </c>
      <c r="O38" s="11" t="inlineStr">
        <is>
          <t>intersects-with; intersects-with</t>
        </is>
      </c>
      <c r="P38" s="12" t="inlineStr">
        <is>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is>
      </c>
      <c r="Q38" s="11" t="inlineStr">
        <is>
          <t>Mitarbeitende</t>
        </is>
      </c>
      <c r="R38" s="11" t="inlineStr">
        <is>
          <t>Prozess Personalmanagement</t>
        </is>
      </c>
      <c r="S38" s="12" t="inlineStr">
        <is>
          <t>eine Einarbeitung</t>
        </is>
      </c>
      <c r="T38" s="12" t="inlineStr">
        <is>
          <t>G 0.31 – Fehlerhafte Nutzung oder Administration von Geräten und Systemen; G 0.33 – Personalausfall; G 0.32 – Missbrauch von Berechtigungen; G 0.35 – Nötigung, Erpressung oder Korruption</t>
        </is>
      </c>
      <c r="U38" s="11" t="n">
        <v>2</v>
      </c>
      <c r="V38" s="11" t="n">
        <v>1</v>
      </c>
      <c r="W38" s="11" t="n">
        <v>1</v>
      </c>
      <c r="X38" s="11" t="n">
        <v>1</v>
      </c>
      <c r="Y38" s="11" t="n">
        <v>0</v>
      </c>
    </row>
    <row r="39">
      <c r="A39" s="11" t="inlineStr">
        <is>
          <t>PERS.3.7</t>
        </is>
      </c>
      <c r="B39" s="12" t="inlineStr">
        <is>
          <t>Einarbeitung</t>
        </is>
      </c>
      <c r="C39" s="11" t="inlineStr">
        <is>
          <t>PERS.3.7</t>
        </is>
      </c>
      <c r="D39" s="11" t="inlineStr">
        <is>
          <t>Standard-Anforderungen</t>
        </is>
      </c>
      <c r="E39" s="12" t="inlineStr">
        <is>
          <t>Personal für Mitarbeitende SOLLTE eine Einarbeitung bei Neuzugang ausführen.</t>
        </is>
      </c>
      <c r="F39" s="14" t="n"/>
      <c r="G39" s="14" t="n"/>
      <c r="H39" s="14" t="inlineStr">
        <is>
          <t>unbearbeitet</t>
        </is>
      </c>
      <c r="I39" s="14" t="n"/>
      <c r="J39" s="14" t="n"/>
      <c r="K39" s="14" t="n"/>
      <c r="L39" s="15" t="n"/>
      <c r="M39" s="11" t="inlineStr"/>
      <c r="N39" s="12" t="inlineStr">
        <is>
          <t>ORP.2.A1-UA.1; ORP.2.A1-UA.3</t>
        </is>
      </c>
      <c r="O39" s="11" t="inlineStr">
        <is>
          <t>intersects-with; intersects-with</t>
        </is>
      </c>
      <c r="P39" s="12" t="inlineStr">
        <is>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is>
      </c>
      <c r="Q39" s="11" t="inlineStr">
        <is>
          <t>Mitarbeitende</t>
        </is>
      </c>
      <c r="R39" s="11" t="inlineStr">
        <is>
          <t>Prozess Personalmanagement</t>
        </is>
      </c>
      <c r="S39" s="12" t="inlineStr">
        <is>
          <t>eine Einarbeitung</t>
        </is>
      </c>
      <c r="T39" s="12" t="inlineStr">
        <is>
          <t>G 0.31 – Fehlerhafte Nutzung oder Administration von Geräten und Systemen; G 0.33 – Personalausfall; G 0.32 – Missbrauch von Berechtigungen; G 0.35 – Nötigung, Erpressung oder Korruption</t>
        </is>
      </c>
      <c r="U39" s="11" t="n">
        <v>2</v>
      </c>
      <c r="V39" s="11" t="n">
        <v>1</v>
      </c>
      <c r="W39" s="11" t="n">
        <v>1</v>
      </c>
      <c r="X39" s="11" t="n">
        <v>1</v>
      </c>
      <c r="Y39" s="11" t="n">
        <v>0</v>
      </c>
    </row>
    <row r="40">
      <c r="A40" s="9" t="inlineStr">
        <is>
          <t>PERS.4.1</t>
        </is>
      </c>
      <c r="B40" s="10" t="inlineStr">
        <is>
          <t>Qualifikationsbedarf</t>
        </is>
      </c>
      <c r="C40" s="11" t="n"/>
      <c r="D40" s="11" t="inlineStr">
        <is>
          <t>Standard-Anforderungen</t>
        </is>
      </c>
      <c r="E40" s="12" t="inlineStr">
        <is>
          <t>Gesamt:</t>
        </is>
      </c>
      <c r="F40" s="11" t="n"/>
      <c r="G40" s="11" t="n"/>
      <c r="H40" s="13">
        <f>IF(OR(COUNTBLANK($H$41:$H$41)&gt;0,COUNTIF($H$41:$H$41,"unbearbeitet")=COUNTA($H$41:$H$41)),"Bitte Teilanforderungen ausfüllen",IF(COUNTIF($H$41:$H$41,"zu klären")&gt;0,"zu klären",IF(COUNTIF($H$41:$H$41,"entbehrlich")=COUNTA($H$41:$H$41),"entbehrlich",IF(COUNTIF($H$41:$H$41,"verwiesen")=COUNTA($H$41:$H$41),"verwiesen",IF(COUNTIF($H$41:$H$41,"nein")+COUNTIF($H$41:$H$41,"entbehrlich")=COUNTA($H$41:$H$41),"nein",IF(COUNTIF($H$41:$H$41,"ja")+COUNTIF($H$41:$H$41,"entbehrlich")+COUNTIF($H$41:$H$41,"verwiesen")=COUNTA($H$41:$H$41),"ja","teilweise"))))))</f>
        <v/>
      </c>
      <c r="I40" s="11" t="n"/>
      <c r="J40" s="11" t="n"/>
      <c r="K40" s="11" t="n"/>
      <c r="L40" s="11" t="n"/>
      <c r="M40" s="11" t="inlineStr"/>
      <c r="N40" s="12" t="inlineStr"/>
      <c r="O40" s="11" t="inlineStr"/>
      <c r="P40" s="12" t="inlineStr">
        <is>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is>
      </c>
      <c r="Q40" s="11" t="inlineStr">
        <is>
          <t>Mitarbeitende</t>
        </is>
      </c>
      <c r="R40" s="11" t="inlineStr">
        <is>
          <t>Schulungsplan</t>
        </is>
      </c>
      <c r="S40" s="12" t="inlineStr">
        <is>
          <t>den Bedarf an Qualifikationsmaßnahmen anhand der Aufgaben</t>
        </is>
      </c>
      <c r="T40" s="12" t="inlineStr">
        <is>
          <t>G 0.18 – Fehlplanung oder fehlende Anpassung</t>
        </is>
      </c>
      <c r="U40" s="11" t="n">
        <v>2</v>
      </c>
      <c r="V40" s="11" t="n">
        <v>1</v>
      </c>
      <c r="W40" s="11" t="n">
        <v>1</v>
      </c>
      <c r="X40" s="11" t="n">
        <v>1</v>
      </c>
      <c r="Y40" s="11" t="n">
        <v>0</v>
      </c>
    </row>
    <row r="41">
      <c r="A41" s="11" t="inlineStr">
        <is>
          <t>PERS.4.1</t>
        </is>
      </c>
      <c r="B41" s="12" t="inlineStr">
        <is>
          <t>Qualifikationsbedarf</t>
        </is>
      </c>
      <c r="C41" s="11" t="inlineStr">
        <is>
          <t>PERS.4.1</t>
        </is>
      </c>
      <c r="D41" s="11" t="inlineStr">
        <is>
          <t>Standard-Anforderungen</t>
        </is>
      </c>
      <c r="E41" s="12" t="inlineStr">
        <is>
          <t>Personal für Mitarbeitende SOLLTE den Bedarf an Qualifikationsmaßnahmen anhand der Aufgaben regelmäßig überprüfen.</t>
        </is>
      </c>
      <c r="F41" s="14" t="n"/>
      <c r="G41" s="14" t="n"/>
      <c r="H41" s="14" t="inlineStr">
        <is>
          <t>unbearbeitet</t>
        </is>
      </c>
      <c r="I41" s="14" t="n"/>
      <c r="J41" s="14" t="n"/>
      <c r="K41" s="14" t="n"/>
      <c r="L41" s="15" t="n"/>
      <c r="M41" s="11" t="inlineStr"/>
      <c r="N41" s="12" t="inlineStr"/>
      <c r="O41" s="11" t="inlineStr"/>
      <c r="P41" s="12" t="inlineStr">
        <is>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is>
      </c>
      <c r="Q41" s="11" t="inlineStr">
        <is>
          <t>Mitarbeitende</t>
        </is>
      </c>
      <c r="R41" s="11" t="inlineStr">
        <is>
          <t>Schulungsplan</t>
        </is>
      </c>
      <c r="S41" s="12" t="inlineStr">
        <is>
          <t>den Bedarf an Qualifikationsmaßnahmen anhand der Aufgaben</t>
        </is>
      </c>
      <c r="T41" s="12" t="inlineStr">
        <is>
          <t>G 0.18 – Fehlplanung oder fehlende Anpassung</t>
        </is>
      </c>
      <c r="U41" s="11" t="n">
        <v>2</v>
      </c>
      <c r="V41" s="11" t="n">
        <v>1</v>
      </c>
      <c r="W41" s="11" t="n">
        <v>1</v>
      </c>
      <c r="X41" s="11" t="n">
        <v>1</v>
      </c>
      <c r="Y41" s="11" t="n">
        <v>0</v>
      </c>
    </row>
    <row r="42">
      <c r="A42" s="9" t="inlineStr">
        <is>
          <t>PERS.4.2</t>
        </is>
      </c>
      <c r="B42" s="10" t="inlineStr">
        <is>
          <t>Rollenspezifische Schulungen und Sensibilisierungen</t>
        </is>
      </c>
      <c r="C42" s="11" t="n"/>
      <c r="D42" s="11" t="inlineStr">
        <is>
          <t>Standard-Anforderungen</t>
        </is>
      </c>
      <c r="E42" s="12" t="inlineStr">
        <is>
          <t>Gesamt:</t>
        </is>
      </c>
      <c r="F42" s="11" t="n"/>
      <c r="G42" s="11" t="n"/>
      <c r="H42" s="13">
        <f>IF(OR(COUNTBLANK($H$43:$H$44)&gt;0,COUNTIF($H$43:$H$44,"unbearbeitet")=COUNTA($H$43:$H$44)),"Bitte Teilanforderungen ausfüllen",IF(COUNTIF($H$43:$H$44,"zu klären")&gt;0,"zu klären",IF(COUNTIF($H$43:$H$44,"entbehrlich")=COUNTA($H$43:$H$44),"entbehrlich",IF(COUNTIF($H$43:$H$44,"verwiesen")=COUNTA($H$43:$H$44),"verwiesen",IF(COUNTIF($H$43:$H$44,"nein")+COUNTIF($H$43:$H$44,"entbehrlich")=COUNTA($H$43:$H$44),"nein",IF(COUNTIF($H$43:$H$44,"ja")+COUNTIF($H$43:$H$44,"entbehrlich")+COUNTIF($H$43:$H$44,"verwiesen")=COUNTA($H$43:$H$44),"ja","teilweise"))))))</f>
        <v/>
      </c>
      <c r="I42" s="11" t="n"/>
      <c r="J42" s="11" t="n"/>
      <c r="K42" s="11" t="n"/>
      <c r="L42" s="11" t="n"/>
      <c r="M42" s="11" t="inlineStr"/>
      <c r="N42" s="12" t="inlineStr"/>
      <c r="O42" s="11" t="inlineStr"/>
      <c r="P42" s="12" t="inlineStr">
        <is>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is>
      </c>
      <c r="Q42" s="11" t="inlineStr">
        <is>
          <t>Nutzende</t>
        </is>
      </c>
      <c r="R42" s="11" t="inlineStr">
        <is>
          <t>Schulungsplan</t>
        </is>
      </c>
      <c r="S42" s="12" t="inlineStr">
        <is>
          <t>rollenspezifische Schulungen und Sensibilisierungen</t>
        </is>
      </c>
      <c r="T42" s="12" t="inlineStr">
        <is>
          <t>G 0.42 – Social Engineering</t>
        </is>
      </c>
      <c r="U42" s="11" t="n">
        <v>2</v>
      </c>
      <c r="V42" s="11" t="n">
        <v>1</v>
      </c>
      <c r="W42" s="11" t="n">
        <v>1</v>
      </c>
      <c r="X42" s="11" t="n">
        <v>1</v>
      </c>
      <c r="Y42" s="11" t="n">
        <v>0</v>
      </c>
    </row>
    <row r="43">
      <c r="A43" s="11" t="inlineStr">
        <is>
          <t>PERS.4.2</t>
        </is>
      </c>
      <c r="B43" s="12" t="inlineStr">
        <is>
          <t>Rollenspezifische Schulungen und Sensibilisierungen</t>
        </is>
      </c>
      <c r="C43" s="11" t="inlineStr">
        <is>
          <t>PERS.4.2</t>
        </is>
      </c>
      <c r="D43" s="11" t="inlineStr">
        <is>
          <t>Standard-Anforderungen</t>
        </is>
      </c>
      <c r="E43" s="12" t="inlineStr">
        <is>
          <t>Personal für Nutzende SOLLTE rollenspezifische Schulungen und Sensibilisierungen im Einklang mit den Anforderungen der Praktik Sensibilisierung bei Neuzugang und regelmäßig ausführen.</t>
        </is>
      </c>
      <c r="F43" s="14" t="n"/>
      <c r="G43" s="14" t="n"/>
      <c r="H43" s="14" t="inlineStr">
        <is>
          <t>unbearbeitet</t>
        </is>
      </c>
      <c r="I43" s="14" t="n"/>
      <c r="J43" s="14" t="n"/>
      <c r="K43" s="14" t="n"/>
      <c r="L43" s="15" t="n"/>
      <c r="M43" s="11" t="inlineStr"/>
      <c r="N43" s="12" t="inlineStr"/>
      <c r="O43" s="11" t="inlineStr"/>
      <c r="P43" s="12" t="inlineStr">
        <is>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is>
      </c>
      <c r="Q43" s="11" t="inlineStr">
        <is>
          <t>Nutzende</t>
        </is>
      </c>
      <c r="R43" s="11" t="inlineStr">
        <is>
          <t>Schulungsplan</t>
        </is>
      </c>
      <c r="S43" s="12" t="inlineStr">
        <is>
          <t>rollenspezifische Schulungen und Sensibilisierungen</t>
        </is>
      </c>
      <c r="T43" s="12" t="inlineStr">
        <is>
          <t>G 0.42 – Social Engineering</t>
        </is>
      </c>
      <c r="U43" s="11" t="n">
        <v>2</v>
      </c>
      <c r="V43" s="11" t="n">
        <v>1</v>
      </c>
      <c r="W43" s="11" t="n">
        <v>1</v>
      </c>
      <c r="X43" s="11" t="n">
        <v>1</v>
      </c>
      <c r="Y43" s="11" t="n">
        <v>0</v>
      </c>
    </row>
    <row r="44">
      <c r="A44" s="11" t="inlineStr">
        <is>
          <t>PERS.4.2</t>
        </is>
      </c>
      <c r="B44" s="12" t="inlineStr">
        <is>
          <t>Rollenspezifische Schulungen und Sensibilisierungen</t>
        </is>
      </c>
      <c r="C44" s="11" t="inlineStr">
        <is>
          <t>PERS.4.2.1</t>
        </is>
      </c>
      <c r="D44" s="11" t="inlineStr">
        <is>
          <t>Standard-Anforderungen</t>
        </is>
      </c>
      <c r="E44" s="12" t="inlineStr">
        <is>
          <t>Personal für Administrierende SOLLTE produktspezifische Schulungen zum Umgang mit administrativen Werkzeugen bei Neuzugang und dem Einsatz neuer IT-Produkte ausführen.</t>
        </is>
      </c>
      <c r="F44" s="14" t="n"/>
      <c r="G44" s="14" t="n"/>
      <c r="H44" s="14" t="inlineStr">
        <is>
          <t>unbearbeitet</t>
        </is>
      </c>
      <c r="I44" s="14" t="n"/>
      <c r="J44" s="14" t="n"/>
      <c r="K44" s="14" t="n"/>
      <c r="L44" s="15" t="n"/>
      <c r="M44" s="11" t="inlineStr"/>
      <c r="N44" s="12" t="inlineStr">
        <is>
          <t>APP.3.4.A12-UA.1</t>
        </is>
      </c>
      <c r="O44" s="11" t="inlineStr">
        <is>
          <t>subset-of</t>
        </is>
      </c>
      <c r="P44" s="12" t="inlineStr">
        <is>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is>
      </c>
      <c r="Q44" s="11" t="inlineStr">
        <is>
          <t>Administrierende</t>
        </is>
      </c>
      <c r="R44" s="11" t="inlineStr">
        <is>
          <t>Schulungsplan</t>
        </is>
      </c>
      <c r="S44" s="12" t="inlineStr">
        <is>
          <t>produktspezifische Schulungen zum Umgang mit administrativen Werkzeugen</t>
        </is>
      </c>
      <c r="T44" s="12" t="inlineStr">
        <is>
          <t>G 0.18 – Fehlplanung oder fehlende Anpassung</t>
        </is>
      </c>
      <c r="U44" s="11" t="n">
        <v>2</v>
      </c>
      <c r="V44" s="11" t="n">
        <v>1</v>
      </c>
      <c r="W44" s="11" t="n">
        <v>1</v>
      </c>
      <c r="X44" s="11" t="n">
        <v>1</v>
      </c>
      <c r="Y44" s="11" t="n">
        <v>0</v>
      </c>
    </row>
    <row r="45">
      <c r="A45" s="9" t="inlineStr">
        <is>
          <t>PERS.5.1</t>
        </is>
      </c>
      <c r="B45" s="10" t="inlineStr">
        <is>
          <t>Maßregelung</t>
        </is>
      </c>
      <c r="C45" s="11" t="n"/>
      <c r="D45" s="11" t="inlineStr">
        <is>
          <t>Standard-Anforderungen</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c r="N45" s="12" t="inlineStr"/>
      <c r="O45" s="11" t="inlineStr"/>
      <c r="P45" s="12" t="inlineStr">
        <is>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is>
      </c>
      <c r="Q45" s="11" t="inlineStr"/>
      <c r="R45" s="11" t="inlineStr">
        <is>
          <t>Prozess Personalmanagement</t>
        </is>
      </c>
      <c r="S45" s="12" t="inlineStr">
        <is>
          <t>ein Verfahren zur Maßregelung</t>
        </is>
      </c>
      <c r="T45" s="12" t="inlineStr">
        <is>
          <t>G 0.18 – Fehlplanung oder fehlende Anpassung</t>
        </is>
      </c>
      <c r="U45" s="11" t="n">
        <v>3</v>
      </c>
      <c r="V45" s="11" t="n">
        <v>1</v>
      </c>
      <c r="W45" s="11" t="n">
        <v>1</v>
      </c>
      <c r="X45" s="11" t="n">
        <v>1</v>
      </c>
      <c r="Y45" s="11" t="n">
        <v>0</v>
      </c>
    </row>
    <row r="46">
      <c r="A46" s="11" t="inlineStr">
        <is>
          <t>PERS.5.1</t>
        </is>
      </c>
      <c r="B46" s="12" t="inlineStr">
        <is>
          <t>Maßregelung</t>
        </is>
      </c>
      <c r="C46" s="11" t="inlineStr">
        <is>
          <t>PERS.5.1</t>
        </is>
      </c>
      <c r="D46" s="11" t="inlineStr">
        <is>
          <t>Standard-Anforderungen</t>
        </is>
      </c>
      <c r="E46" s="12" t="inlineStr">
        <is>
          <t>Personal SOLLTE ein Verfahren zur Maßregelung verankern.</t>
        </is>
      </c>
      <c r="F46" s="14" t="n"/>
      <c r="G46" s="14" t="n"/>
      <c r="H46" s="14" t="inlineStr">
        <is>
          <t>unbearbeitet</t>
        </is>
      </c>
      <c r="I46" s="14" t="n"/>
      <c r="J46" s="14" t="n"/>
      <c r="K46" s="14" t="n"/>
      <c r="L46" s="15" t="n"/>
      <c r="M46" s="11" t="inlineStr"/>
      <c r="N46" s="12" t="inlineStr"/>
      <c r="O46" s="11" t="inlineStr"/>
      <c r="P46" s="12" t="inlineStr">
        <is>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is>
      </c>
      <c r="Q46" s="11" t="inlineStr"/>
      <c r="R46" s="11" t="inlineStr">
        <is>
          <t>Prozess Personalmanagement</t>
        </is>
      </c>
      <c r="S46" s="12" t="inlineStr">
        <is>
          <t>ein Verfahren zur Maßregelung</t>
        </is>
      </c>
      <c r="T46" s="12" t="inlineStr">
        <is>
          <t>G 0.18 – Fehlplanung oder fehlende Anpassung</t>
        </is>
      </c>
      <c r="U46" s="11" t="n">
        <v>3</v>
      </c>
      <c r="V46" s="11" t="n">
        <v>1</v>
      </c>
      <c r="W46" s="11" t="n">
        <v>1</v>
      </c>
      <c r="X46" s="11" t="n">
        <v>1</v>
      </c>
      <c r="Y46" s="11" t="n">
        <v>0</v>
      </c>
    </row>
    <row r="47">
      <c r="A47" s="9" t="inlineStr">
        <is>
          <t>PERS.5.2</t>
        </is>
      </c>
      <c r="B47" s="10" t="inlineStr">
        <is>
          <t>Innentäter</t>
        </is>
      </c>
      <c r="C47" s="11" t="n"/>
      <c r="D47" s="11" t="inlineStr">
        <is>
          <t>Standard-Anforderungen</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c r="N47" s="12" t="inlineStr"/>
      <c r="O47" s="11" t="inlineStr"/>
      <c r="P47" s="12" t="inlineStr">
        <is>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is>
      </c>
      <c r="Q47" s="11" t="inlineStr"/>
      <c r="R47" s="11" t="inlineStr">
        <is>
          <t>Prozess Personalmanagement</t>
        </is>
      </c>
      <c r="S47" s="12" t="inlineStr">
        <is>
          <t>ein interdisziplinäres Verfahren zum Umgang mit potenziellen Innentätern</t>
        </is>
      </c>
      <c r="T47" s="12" t="inlineStr">
        <is>
          <t>G 0.18 – Fehlplanung oder fehlende Anpassung</t>
        </is>
      </c>
      <c r="U47" s="11" t="n">
        <v>5</v>
      </c>
      <c r="V47" s="11" t="n">
        <v>1</v>
      </c>
      <c r="W47" s="11" t="n">
        <v>1</v>
      </c>
      <c r="X47" s="11" t="n">
        <v>1</v>
      </c>
      <c r="Y47" s="11" t="n">
        <v>0</v>
      </c>
    </row>
    <row r="48">
      <c r="A48" s="11" t="inlineStr">
        <is>
          <t>PERS.5.2</t>
        </is>
      </c>
      <c r="B48" s="12" t="inlineStr">
        <is>
          <t>Innentäter</t>
        </is>
      </c>
      <c r="C48" s="11" t="inlineStr">
        <is>
          <t>PERS.5.2</t>
        </is>
      </c>
      <c r="D48" s="11" t="inlineStr">
        <is>
          <t>Standard-Anforderungen</t>
        </is>
      </c>
      <c r="E48" s="12" t="inlineStr">
        <is>
          <t>Personal SOLLTE ein interdisziplinäres Verfahren zum Umgang mit potenziellen Innentätern verankern.</t>
        </is>
      </c>
      <c r="F48" s="14" t="n"/>
      <c r="G48" s="14" t="n"/>
      <c r="H48" s="14" t="inlineStr">
        <is>
          <t>unbearbeitet</t>
        </is>
      </c>
      <c r="I48" s="14" t="n"/>
      <c r="J48" s="14" t="n"/>
      <c r="K48" s="14" t="n"/>
      <c r="L48" s="15" t="n"/>
      <c r="M48" s="11" t="inlineStr"/>
      <c r="N48" s="12" t="inlineStr"/>
      <c r="O48" s="11" t="inlineStr"/>
      <c r="P48" s="12" t="inlineStr">
        <is>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is>
      </c>
      <c r="Q48" s="11" t="inlineStr"/>
      <c r="R48" s="11" t="inlineStr">
        <is>
          <t>Prozess Personalmanagement</t>
        </is>
      </c>
      <c r="S48" s="12" t="inlineStr">
        <is>
          <t>ein interdisziplinäres Verfahren zum Umgang mit potenziellen Innentätern</t>
        </is>
      </c>
      <c r="T48" s="12" t="inlineStr">
        <is>
          <t>G 0.18 – Fehlplanung oder fehlende Anpassung</t>
        </is>
      </c>
      <c r="U48" s="11" t="n">
        <v>5</v>
      </c>
      <c r="V48" s="11" t="n">
        <v>1</v>
      </c>
      <c r="W48" s="11" t="n">
        <v>1</v>
      </c>
      <c r="X48" s="11" t="n">
        <v>1</v>
      </c>
      <c r="Y48" s="11" t="n">
        <v>0</v>
      </c>
    </row>
    <row r="49">
      <c r="A49" s="9" t="inlineStr">
        <is>
          <t>PERS.5.3</t>
        </is>
      </c>
      <c r="B49" s="10" t="inlineStr">
        <is>
          <t>Vertrauens-Check sicherheitskritischer Rollen</t>
        </is>
      </c>
      <c r="C49" s="11" t="n"/>
      <c r="D49" s="11" t="inlineStr">
        <is>
          <t>Standard-Anforderungen</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is>
          <t>Vertraulichkeit</t>
        </is>
      </c>
      <c r="N49" s="12" t="inlineStr"/>
      <c r="O49" s="11" t="inlineStr"/>
      <c r="P49" s="12" t="inlineStr">
        <is>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is>
      </c>
      <c r="Q49" s="11" t="inlineStr"/>
      <c r="R49" s="11" t="inlineStr">
        <is>
          <t>Prozess Personalmanagement</t>
        </is>
      </c>
      <c r="S49" s="12" t="inlineStr">
        <is>
          <t>die Vertrauenswürdigkeit für {{definierte sicherheitskritische Rollen}}</t>
        </is>
      </c>
      <c r="T49" s="12" t="inlineStr">
        <is>
          <t>G 0.18 – Fehlplanung oder fehlende Anpassung</t>
        </is>
      </c>
      <c r="U49" s="11" t="n">
        <v>4</v>
      </c>
      <c r="V49" s="11" t="n">
        <v>2</v>
      </c>
      <c r="W49" s="11" t="n">
        <v>1</v>
      </c>
      <c r="X49" s="11" t="n">
        <v>1</v>
      </c>
      <c r="Y49" s="11" t="n">
        <v>0</v>
      </c>
    </row>
    <row r="50">
      <c r="A50" s="11" t="inlineStr">
        <is>
          <t>PERS.5.3</t>
        </is>
      </c>
      <c r="B50" s="12" t="inlineStr">
        <is>
          <t>Vertrauens-Check sicherheitskritischer Rollen</t>
        </is>
      </c>
      <c r="C50" s="11" t="inlineStr">
        <is>
          <t>PERS.5.3</t>
        </is>
      </c>
      <c r="D50" s="11" t="inlineStr">
        <is>
          <t>Standard-Anforderungen</t>
        </is>
      </c>
      <c r="E50" s="12" t="inlineStr">
        <is>
          <t>Personal SOLLTE die Vertrauenswürdigkeit für definierte sicherheitskritische Rollen regelmäßig und anlassbezogen überprüfen.</t>
        </is>
      </c>
      <c r="F50" s="14" t="n"/>
      <c r="G50" s="14" t="n"/>
      <c r="H50" s="14" t="inlineStr">
        <is>
          <t>unbearbeitet</t>
        </is>
      </c>
      <c r="I50" s="14" t="n"/>
      <c r="J50" s="14" t="n"/>
      <c r="K50" s="14" t="n"/>
      <c r="L50" s="15" t="n"/>
      <c r="M50" s="11" t="inlineStr">
        <is>
          <t>Vertraulichkeit</t>
        </is>
      </c>
      <c r="N50" s="12" t="inlineStr"/>
      <c r="O50" s="11" t="inlineStr"/>
      <c r="P50" s="12" t="inlineStr">
        <is>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is>
      </c>
      <c r="Q50" s="11" t="inlineStr"/>
      <c r="R50" s="11" t="inlineStr">
        <is>
          <t>Prozess Personalmanagement</t>
        </is>
      </c>
      <c r="S50" s="12" t="inlineStr">
        <is>
          <t>die Vertrauenswürdigkeit für {{definierte sicherheitskritische Rollen}}</t>
        </is>
      </c>
      <c r="T50" s="12" t="inlineStr">
        <is>
          <t>G 0.18 – Fehlplanung oder fehlende Anpassung</t>
        </is>
      </c>
      <c r="U50" s="11" t="n">
        <v>4</v>
      </c>
      <c r="V50" s="11" t="n">
        <v>2</v>
      </c>
      <c r="W50" s="11" t="n">
        <v>1</v>
      </c>
      <c r="X50" s="11" t="n">
        <v>1</v>
      </c>
      <c r="Y50" s="11" t="n">
        <v>0</v>
      </c>
    </row>
    <row r="51">
      <c r="A51" s="9" t="inlineStr">
        <is>
          <t>PERS.6.1</t>
        </is>
      </c>
      <c r="B51" s="10" t="inlineStr">
        <is>
          <t>Vorgehensweise für den Weggang</t>
        </is>
      </c>
      <c r="C51" s="11" t="n"/>
      <c r="D51" s="11" t="inlineStr">
        <is>
          <t>Standard-Anforderungen</t>
        </is>
      </c>
      <c r="E51" s="12" t="inlineStr">
        <is>
          <t>Gesamt:</t>
        </is>
      </c>
      <c r="F51" s="11" t="n"/>
      <c r="G51" s="11" t="n"/>
      <c r="H51" s="13">
        <f>IF(OR(COUNTBLANK($H$52:$H$54)&gt;0,COUNTIF($H$52:$H$54,"unbearbeitet")=COUNTA($H$52:$H$54)),"Bitte Teilanforderungen ausfüllen",IF(COUNTIF($H$52:$H$54,"zu klären")&gt;0,"zu klären",IF(COUNTIF($H$52:$H$54,"entbehrlich")=COUNTA($H$52:$H$54),"entbehrlich",IF(COUNTIF($H$52:$H$54,"verwiesen")=COUNTA($H$52:$H$54),"verwiesen",IF(COUNTIF($H$52:$H$54,"nein")+COUNTIF($H$52:$H$54,"entbehrlich")=COUNTA($H$52:$H$54),"nein",IF(COUNTIF($H$52:$H$54,"ja")+COUNTIF($H$52:$H$54,"entbehrlich")+COUNTIF($H$52:$H$54,"verwiesen")=COUNTA($H$52:$H$54),"ja","teilweise"))))))</f>
        <v/>
      </c>
      <c r="I51" s="11" t="n"/>
      <c r="J51" s="11" t="n"/>
      <c r="K51" s="11" t="n"/>
      <c r="L51" s="11" t="n"/>
      <c r="M51" s="11" t="inlineStr">
        <is>
          <t>Vertraulichkeit</t>
        </is>
      </c>
      <c r="N51" s="12" t="inlineStr">
        <is>
          <t>ORP.2.A2-UA.10</t>
        </is>
      </c>
      <c r="O51" s="11" t="inlineStr">
        <is>
          <t>intersects-with</t>
        </is>
      </c>
      <c r="P51" s="12" t="inlineStr">
        <is>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is>
      </c>
      <c r="Q51" s="11" t="inlineStr">
        <is>
          <t>Nutzende</t>
        </is>
      </c>
      <c r="R51" s="11" t="inlineStr">
        <is>
          <t>Prozess Personalmanagement</t>
        </is>
      </c>
      <c r="S51" s="12" t="inlineStr">
        <is>
          <t>eine Vorgehensweise für den Weggang</t>
        </is>
      </c>
      <c r="T51" s="12" t="inlineStr">
        <is>
          <t>G 0.18 – Fehlplanung oder fehlende Anpassung</t>
        </is>
      </c>
      <c r="U51" s="11" t="n">
        <v>2</v>
      </c>
      <c r="V51" s="11" t="n">
        <v>2</v>
      </c>
      <c r="W51" s="11" t="n">
        <v>1</v>
      </c>
      <c r="X51" s="11" t="n">
        <v>1</v>
      </c>
      <c r="Y51" s="11" t="n">
        <v>0</v>
      </c>
    </row>
    <row r="52">
      <c r="A52" s="11" t="inlineStr">
        <is>
          <t>PERS.6.1</t>
        </is>
      </c>
      <c r="B52" s="12" t="inlineStr">
        <is>
          <t>Vorgehensweise für den Weggang</t>
        </is>
      </c>
      <c r="C52" s="11" t="inlineStr">
        <is>
          <t>PERS.6.1</t>
        </is>
      </c>
      <c r="D52" s="11" t="inlineStr">
        <is>
          <t>Standard-Anforderungen</t>
        </is>
      </c>
      <c r="E52" s="12" t="inlineStr">
        <is>
          <t>Personal für Nutzende SOLLTE eine Vorgehensweise für den Weggang verankern.</t>
        </is>
      </c>
      <c r="F52" s="14" t="n"/>
      <c r="G52" s="14" t="n"/>
      <c r="H52" s="14" t="inlineStr">
        <is>
          <t>unbearbeitet</t>
        </is>
      </c>
      <c r="I52" s="14" t="n"/>
      <c r="J52" s="14" t="n"/>
      <c r="K52" s="14" t="n"/>
      <c r="L52" s="15" t="n"/>
      <c r="M52" s="11" t="inlineStr">
        <is>
          <t>Vertraulichkeit</t>
        </is>
      </c>
      <c r="N52" s="12" t="inlineStr">
        <is>
          <t>ORP.2.A2-UA.10</t>
        </is>
      </c>
      <c r="O52" s="11" t="inlineStr">
        <is>
          <t>intersects-with</t>
        </is>
      </c>
      <c r="P52" s="12" t="inlineStr">
        <is>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is>
      </c>
      <c r="Q52" s="11" t="inlineStr">
        <is>
          <t>Nutzende</t>
        </is>
      </c>
      <c r="R52" s="11" t="inlineStr">
        <is>
          <t>Prozess Personalmanagement</t>
        </is>
      </c>
      <c r="S52" s="12" t="inlineStr">
        <is>
          <t>eine Vorgehensweise für den Weggang</t>
        </is>
      </c>
      <c r="T52" s="12" t="inlineStr">
        <is>
          <t>G 0.18 – Fehlplanung oder fehlende Anpassung</t>
        </is>
      </c>
      <c r="U52" s="11" t="n">
        <v>2</v>
      </c>
      <c r="V52" s="11" t="n">
        <v>2</v>
      </c>
      <c r="W52" s="11" t="n">
        <v>1</v>
      </c>
      <c r="X52" s="11" t="n">
        <v>1</v>
      </c>
      <c r="Y52" s="11" t="n">
        <v>0</v>
      </c>
    </row>
    <row r="53">
      <c r="A53" s="11" t="inlineStr">
        <is>
          <t>PERS.6.1</t>
        </is>
      </c>
      <c r="B53" s="12" t="inlineStr">
        <is>
          <t>Vorgehensweise für den Weggang</t>
        </is>
      </c>
      <c r="C53" s="11" t="inlineStr">
        <is>
          <t>PERS.6.1.1</t>
        </is>
      </c>
      <c r="D53" s="11" t="inlineStr">
        <is>
          <t>Standard-Anforderungen</t>
        </is>
      </c>
      <c r="E53" s="12" t="inlineStr">
        <is>
          <t>Personal für Nutzende SOLLTE bei Weggang den unverzüglichen Entzug aller Zugriffsrechte im Einklang mit den Regelungen und Verfahren zum Berechtigungs- und Identitätsmanagement verankern.</t>
        </is>
      </c>
      <c r="F53" s="14" t="n"/>
      <c r="G53" s="14" t="n"/>
      <c r="H53" s="14" t="inlineStr">
        <is>
          <t>unbearbeitet</t>
        </is>
      </c>
      <c r="I53" s="14" t="n"/>
      <c r="J53" s="14" t="n"/>
      <c r="K53" s="14" t="n"/>
      <c r="L53" s="15" t="n"/>
      <c r="M53" s="11" t="inlineStr">
        <is>
          <t>Integrität</t>
        </is>
      </c>
      <c r="N53" s="12" t="inlineStr">
        <is>
          <t>ORP.2.A2-UA.4</t>
        </is>
      </c>
      <c r="O53" s="11" t="inlineStr">
        <is>
          <t>intersects-with</t>
        </is>
      </c>
      <c r="P53" s="12" t="inlineStr">
        <is>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is>
      </c>
      <c r="Q53" s="11" t="inlineStr">
        <is>
          <t>Nutzende</t>
        </is>
      </c>
      <c r="R53" s="11" t="inlineStr">
        <is>
          <t>Prozess Personalmanagement</t>
        </is>
      </c>
      <c r="S53" s="12" t="inlineStr">
        <is>
          <t>bei Weggang den unverzüglichen Entzug aller Zugriffsrechte</t>
        </is>
      </c>
      <c r="T53" s="12" t="inlineStr">
        <is>
          <t>G 0.18 – Fehlplanung oder fehlende Anpassung</t>
        </is>
      </c>
      <c r="U53" s="11" t="n">
        <v>2</v>
      </c>
      <c r="V53" s="11" t="n">
        <v>1</v>
      </c>
      <c r="W53" s="11" t="n">
        <v>2</v>
      </c>
      <c r="X53" s="11" t="n">
        <v>1</v>
      </c>
      <c r="Y53" s="11" t="n">
        <v>0</v>
      </c>
    </row>
    <row r="54">
      <c r="A54" s="11" t="inlineStr">
        <is>
          <t>PERS.6.1</t>
        </is>
      </c>
      <c r="B54" s="12" t="inlineStr">
        <is>
          <t>Vorgehensweise für den Weggang</t>
        </is>
      </c>
      <c r="C54" s="11" t="inlineStr">
        <is>
          <t>PERS.6.1.2</t>
        </is>
      </c>
      <c r="D54" s="11" t="inlineStr">
        <is>
          <t>Standard-Anforderungen</t>
        </is>
      </c>
      <c r="E54" s="12" t="inlineStr">
        <is>
          <t>Personal für Mitarbeitende SOLLTE bei Weggang frei gewordene Zuständigkeiten zuweisen.</t>
        </is>
      </c>
      <c r="F54" s="14" t="n"/>
      <c r="G54" s="14" t="n"/>
      <c r="H54" s="14" t="inlineStr">
        <is>
          <t>unbearbeitet</t>
        </is>
      </c>
      <c r="I54" s="14" t="n"/>
      <c r="J54" s="14" t="n"/>
      <c r="K54" s="14" t="n"/>
      <c r="L54" s="15" t="n"/>
      <c r="M54" s="11" t="inlineStr"/>
      <c r="N54" s="12" t="inlineStr">
        <is>
          <t>ORP.2.A2-UA.1</t>
        </is>
      </c>
      <c r="O54" s="11" t="inlineStr">
        <is>
          <t>intersects-with</t>
        </is>
      </c>
      <c r="P54" s="12" t="inlineStr">
        <is>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is>
      </c>
      <c r="Q54" s="11" t="inlineStr">
        <is>
          <t>Mitarbeitende</t>
        </is>
      </c>
      <c r="R54" s="11" t="inlineStr">
        <is>
          <t>Prozess Personalmanagement</t>
        </is>
      </c>
      <c r="S54" s="12" t="inlineStr">
        <is>
          <t>bei Weggang frei gewordene Zuständigkeiten</t>
        </is>
      </c>
      <c r="T54" s="12" t="inlineStr">
        <is>
          <t>G 0.18 – Fehlplanung oder fehlende Anpassung</t>
        </is>
      </c>
      <c r="U54" s="11" t="n">
        <v>2</v>
      </c>
      <c r="V54" s="11" t="n">
        <v>1</v>
      </c>
      <c r="W54" s="11" t="n">
        <v>1</v>
      </c>
      <c r="X54" s="11" t="n">
        <v>1</v>
      </c>
      <c r="Y54" s="11" t="n">
        <v>0</v>
      </c>
    </row>
  </sheetData>
  <autoFilter ref="A6:Y6"/>
  <conditionalFormatting sqref="H7:H54">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19 H20 H21 H22 H24 H26 H28 H30 H32 H34 H36 H37 H39 H41 H43 H44 H46 H48 H50 H52 H53 H54"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38"/>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REA</t>
        </is>
      </c>
      <c r="B3" s="6" t="inlineStr">
        <is>
          <t>Sicherheitsvorfallsbehandlung</t>
        </is>
      </c>
    </row>
    <row r="4">
      <c r="A4" s="3" t="inlineStr">
        <is>
          <t>Zielobjekte</t>
        </is>
      </c>
      <c r="B4" s="7">
        <f>IF('Praktiken'!D18="","",'Praktiken'!D18)</f>
        <v/>
      </c>
    </row>
    <row r="5">
      <c r="A5" s="3" t="inlineStr">
        <is>
          <t>Zuständig</t>
        </is>
      </c>
      <c r="B5" s="7">
        <f>IF('Praktiken'!S18="","",'Praktiken'!S18)</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REA.1.1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APP.3.2.A20-UA.2; DER.2.1.A1-UA.1; DER.2.1.A2-UA.1; DER.2.1.A7-UA.1</t>
        </is>
      </c>
      <c r="O7" s="11" t="inlineStr">
        <is>
          <t>superset-of; intersects-with; equivalent-to; equivalent-to</t>
        </is>
      </c>
      <c r="P7" s="12" t="inlineStr">
        <is>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is>
      </c>
      <c r="Q7" s="11" t="inlineStr"/>
      <c r="R7" s="11" t="inlineStr">
        <is>
          <t>Prozess Behandlung von Sicherheitsvorfällen</t>
        </is>
      </c>
      <c r="S7" s="12" t="inlineStr">
        <is>
          <t>Verfahren und Regelungen zur Behandlung von Sicherheitsvorfällen</t>
        </is>
      </c>
      <c r="T7" s="12" t="inlineStr">
        <is>
          <t>G 0.18 – Fehlplanung oder fehlende Anpassung</t>
        </is>
      </c>
      <c r="U7" s="11" t="n">
        <v>0</v>
      </c>
      <c r="V7" s="11" t="n">
        <v>1</v>
      </c>
      <c r="W7" s="11" t="n">
        <v>1</v>
      </c>
      <c r="X7" s="11" t="n">
        <v>1</v>
      </c>
      <c r="Y7" s="11" t="n">
        <v>0</v>
      </c>
    </row>
    <row r="8">
      <c r="A8" s="11" t="inlineStr">
        <is>
          <t>REA.1.1</t>
        </is>
      </c>
      <c r="B8" s="12" t="inlineStr">
        <is>
          <t>Verfahren und Regelungen</t>
        </is>
      </c>
      <c r="C8" s="11" t="inlineStr">
        <is>
          <t>REA.1.1.1</t>
        </is>
      </c>
      <c r="D8" s="11" t="inlineStr">
        <is>
          <t>Basis-Anforderungen</t>
        </is>
      </c>
      <c r="E8" s="12" t="inlineStr">
        <is>
          <t>Sicherheitsvorfallsbehandlung MUSS die Verfahren und Regelungen dokumentieren.</t>
        </is>
      </c>
      <c r="F8" s="14" t="n"/>
      <c r="G8" s="14" t="n"/>
      <c r="H8" s="14" t="inlineStr">
        <is>
          <t>unbearbeitet</t>
        </is>
      </c>
      <c r="I8" s="14" t="n"/>
      <c r="J8" s="14" t="n"/>
      <c r="K8" s="14" t="n"/>
      <c r="L8" s="15" t="n"/>
      <c r="M8" s="11" t="inlineStr">
        <is>
          <t>Verfügbarkeit</t>
        </is>
      </c>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t>
        </is>
      </c>
      <c r="U8" s="11" t="n">
        <v>0</v>
      </c>
      <c r="V8" s="11" t="n">
        <v>1</v>
      </c>
      <c r="W8" s="11" t="n">
        <v>1</v>
      </c>
      <c r="X8" s="11" t="n">
        <v>2</v>
      </c>
      <c r="Y8" s="11" t="n">
        <v>1</v>
      </c>
    </row>
    <row r="9">
      <c r="A9" s="11" t="inlineStr">
        <is>
          <t>REA.1.1</t>
        </is>
      </c>
      <c r="B9" s="12" t="inlineStr">
        <is>
          <t>Verfahren und Regelungen</t>
        </is>
      </c>
      <c r="C9" s="11" t="inlineStr">
        <is>
          <t>REA.1.1.2</t>
        </is>
      </c>
      <c r="D9" s="11" t="inlineStr">
        <is>
          <t>Basis-Anforderungen</t>
        </is>
      </c>
      <c r="E9" s="12" t="inlineStr">
        <is>
          <t>Sicherheitsvorfallsbehandlung MUSS die mit den Verfahren und Regelungen verbundenen Aufgaben zuständigen Personen oder Rollen zuweisen.</t>
        </is>
      </c>
      <c r="F9" s="14" t="n"/>
      <c r="G9" s="14" t="n"/>
      <c r="H9" s="14" t="inlineStr">
        <is>
          <t>unbearbeitet</t>
        </is>
      </c>
      <c r="I9" s="14" t="n"/>
      <c r="J9" s="14" t="n"/>
      <c r="K9" s="14" t="n"/>
      <c r="L9" s="15" t="n"/>
      <c r="M9" s="11" t="inlineStr"/>
      <c r="N9" s="12" t="inlineStr">
        <is>
          <t>APP.3.2.A20-UA.2</t>
        </is>
      </c>
      <c r="O9" s="11" t="inlineStr">
        <is>
          <t>superset-of</t>
        </is>
      </c>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REA.1.1</t>
        </is>
      </c>
      <c r="B10" s="12" t="inlineStr">
        <is>
          <t>Verfahren und Regelungen</t>
        </is>
      </c>
      <c r="C10" s="11" t="inlineStr">
        <is>
          <t>REA.1.1.3</t>
        </is>
      </c>
      <c r="D10" s="11" t="inlineStr">
        <is>
          <t>Basis-Anforderungen</t>
        </is>
      </c>
      <c r="E10" s="12" t="inlineStr">
        <is>
          <t>Sicherheitsvorfallsbehandlung MUSS die zuständigen Personen oder Rollen über die Verfahren und Regelungen informieren.</t>
        </is>
      </c>
      <c r="F10" s="14" t="n"/>
      <c r="G10" s="14" t="n"/>
      <c r="H10" s="14" t="inlineStr">
        <is>
          <t>unbearbeitet</t>
        </is>
      </c>
      <c r="I10" s="14" t="n"/>
      <c r="J10" s="14" t="n"/>
      <c r="K10" s="14" t="n"/>
      <c r="L10" s="15" t="n"/>
      <c r="M10" s="11" t="inlineStr">
        <is>
          <t>Integrität</t>
        </is>
      </c>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2</v>
      </c>
      <c r="X10" s="11" t="n">
        <v>1</v>
      </c>
      <c r="Y10" s="11" t="n">
        <v>0</v>
      </c>
    </row>
    <row r="11">
      <c r="A11" s="9" t="inlineStr">
        <is>
          <t>REA.1.2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is>
          <t>DER.2.1.A2-UA.8; DER.2.1.A7-UA.4</t>
        </is>
      </c>
      <c r="O11" s="11" t="inlineStr">
        <is>
          <t>equivalent-to; equivalent-to</t>
        </is>
      </c>
      <c r="P11"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REA.1.2</t>
        </is>
      </c>
      <c r="B12" s="12" t="inlineStr">
        <is>
          <t>Regelmäßige Überprüfung</t>
        </is>
      </c>
      <c r="C12" s="11" t="inlineStr">
        <is>
          <t>REA.1.2</t>
        </is>
      </c>
      <c r="D12" s="11" t="inlineStr">
        <is>
          <t>Basis-Anforderungen</t>
        </is>
      </c>
      <c r="E12" s="12" t="inlineStr">
        <is>
          <t>Sicherheitsvorfallsbehandlung MUSS die Verfahren und Regelungen regelmäßig und anlassbezogen auf Aktualität überprüfen.</t>
        </is>
      </c>
      <c r="F12" s="14" t="n"/>
      <c r="G12" s="14" t="n"/>
      <c r="H12" s="14" t="inlineStr">
        <is>
          <t>unbearbeitet</t>
        </is>
      </c>
      <c r="I12" s="14" t="n"/>
      <c r="J12" s="14" t="n"/>
      <c r="K12" s="14" t="n"/>
      <c r="L12" s="15" t="n"/>
      <c r="M12" s="11" t="inlineStr"/>
      <c r="N12" s="12" t="inlineStr">
        <is>
          <t>DER.2.1.A2-UA.8; DER.2.1.A7-UA.4</t>
        </is>
      </c>
      <c r="O12" s="11" t="inlineStr">
        <is>
          <t>equivalent-to; equivalent-to</t>
        </is>
      </c>
      <c r="P12"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REA.1.3</t>
        </is>
      </c>
      <c r="B13" s="10" t="inlineStr">
        <is>
          <t>Übungen zur Vorfallsbehandlung</t>
        </is>
      </c>
      <c r="C13" s="11" t="n"/>
      <c r="D13" s="11" t="inlineStr">
        <is>
          <t>Anforderungen bei erhöhtem Schutzbedarf</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is>
      </c>
      <c r="Q13" s="11" t="inlineStr"/>
      <c r="R13" s="11" t="inlineStr">
        <is>
          <t>Übungsplan</t>
        </is>
      </c>
      <c r="S13" s="12" t="inlineStr">
        <is>
          <t>die Abwehrfähigkeit durch Übungen</t>
        </is>
      </c>
      <c r="T13" s="12" t="inlineStr">
        <is>
          <t>G 0.18 – Fehlplanung oder fehlende Anpassung</t>
        </is>
      </c>
      <c r="U13" s="11" t="n">
        <v>5</v>
      </c>
      <c r="V13" s="11" t="n">
        <v>1</v>
      </c>
      <c r="W13" s="11" t="n">
        <v>1</v>
      </c>
      <c r="X13" s="11" t="n">
        <v>1</v>
      </c>
      <c r="Y13" s="11" t="n">
        <v>0</v>
      </c>
    </row>
    <row r="14">
      <c r="A14" s="11" t="inlineStr">
        <is>
          <t>REA.1.3</t>
        </is>
      </c>
      <c r="B14" s="12" t="inlineStr">
        <is>
          <t>Übungen zur Vorfallsbehandlung</t>
        </is>
      </c>
      <c r="C14" s="11" t="inlineStr">
        <is>
          <t>REA.1.3</t>
        </is>
      </c>
      <c r="D14" s="11" t="inlineStr">
        <is>
          <t>Anforderungen bei erhöhtem Schutzbedarf</t>
        </is>
      </c>
      <c r="E14" s="12" t="inlineStr">
        <is>
          <t>Sicherheitsvorfallsbehandlung KANN die Abwehrfähigkeit durch Übungen regelmäßig überprüfen.</t>
        </is>
      </c>
      <c r="F14" s="14" t="n"/>
      <c r="G14" s="14" t="n"/>
      <c r="H14" s="14" t="inlineStr">
        <is>
          <t>unbearbeitet</t>
        </is>
      </c>
      <c r="I14" s="14" t="n"/>
      <c r="J14" s="14" t="n"/>
      <c r="K14" s="14" t="n"/>
      <c r="L14" s="15" t="n"/>
      <c r="M14" s="11" t="inlineStr"/>
      <c r="N14" s="12" t="inlineStr"/>
      <c r="O14" s="11" t="inlineStr"/>
      <c r="P14" s="12" t="inlineStr">
        <is>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is>
      </c>
      <c r="Q14" s="11" t="inlineStr"/>
      <c r="R14" s="11" t="inlineStr">
        <is>
          <t>Übungsplan</t>
        </is>
      </c>
      <c r="S14" s="12" t="inlineStr">
        <is>
          <t>die Abwehrfähigkeit durch Übungen</t>
        </is>
      </c>
      <c r="T14" s="12" t="inlineStr">
        <is>
          <t>G 0.18 – Fehlplanung oder fehlende Anpassung</t>
        </is>
      </c>
      <c r="U14" s="11" t="n">
        <v>5</v>
      </c>
      <c r="V14" s="11" t="n">
        <v>1</v>
      </c>
      <c r="W14" s="11" t="n">
        <v>1</v>
      </c>
      <c r="X14" s="11" t="n">
        <v>1</v>
      </c>
      <c r="Y14" s="11" t="n">
        <v>0</v>
      </c>
    </row>
    <row r="15">
      <c r="A15" s="9" t="inlineStr">
        <is>
          <t>REA.2.1</t>
        </is>
      </c>
      <c r="B15" s="10" t="inlineStr">
        <is>
          <t>Triage und Erstreaktion</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c r="O15" s="11" t="inlineStr"/>
      <c r="P15" s="12" t="inlineStr">
        <is>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is>
      </c>
      <c r="Q15" s="11" t="inlineStr"/>
      <c r="R15" s="11" t="inlineStr">
        <is>
          <t>Behandlung von Sicherheitsvorfällen</t>
        </is>
      </c>
      <c r="S15" s="12" t="inlineStr">
        <is>
          <t>Meldungen einer Priorität</t>
        </is>
      </c>
      <c r="T15" s="12" t="inlineStr">
        <is>
          <t>G 0.39 – Schadprogramme; G 0.47 – Schädliche Seiteneffekte IT-gestützter Angriffe; G 0.23 – Unbefugtes Eindringen in IT-Systeme; G 0.40 – Verhinderung von Diensten (Denial of Service)</t>
        </is>
      </c>
      <c r="U15" s="11" t="n">
        <v>2</v>
      </c>
      <c r="V15" s="11" t="n">
        <v>1</v>
      </c>
      <c r="W15" s="11" t="n">
        <v>1</v>
      </c>
      <c r="X15" s="11" t="n">
        <v>1</v>
      </c>
      <c r="Y15" s="11" t="n">
        <v>0</v>
      </c>
    </row>
    <row r="16">
      <c r="A16" s="11" t="inlineStr">
        <is>
          <t>REA.2.1</t>
        </is>
      </c>
      <c r="B16" s="12" t="inlineStr">
        <is>
          <t>Triage und Erstreaktion</t>
        </is>
      </c>
      <c r="C16" s="11" t="inlineStr">
        <is>
          <t>REA.2.1</t>
        </is>
      </c>
      <c r="D16" s="11" t="inlineStr">
        <is>
          <t>Standard-Anforderungen</t>
        </is>
      </c>
      <c r="E16" s="12" t="inlineStr">
        <is>
          <t>Sicherheitsvorfallsbehandlung SOLLTE Meldungen einer Priorität zuweisen.</t>
        </is>
      </c>
      <c r="F16" s="14" t="n"/>
      <c r="G16" s="14" t="n"/>
      <c r="H16" s="14" t="inlineStr">
        <is>
          <t>unbearbeitet</t>
        </is>
      </c>
      <c r="I16" s="14" t="n"/>
      <c r="J16" s="14" t="n"/>
      <c r="K16" s="14" t="n"/>
      <c r="L16" s="15" t="n"/>
      <c r="M16" s="11" t="inlineStr"/>
      <c r="N16" s="12" t="inlineStr"/>
      <c r="O16" s="11" t="inlineStr"/>
      <c r="P16" s="12" t="inlineStr">
        <is>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is>
      </c>
      <c r="Q16" s="11" t="inlineStr"/>
      <c r="R16" s="11" t="inlineStr">
        <is>
          <t>Behandlung von Sicherheitsvorfällen</t>
        </is>
      </c>
      <c r="S16" s="12" t="inlineStr">
        <is>
          <t>Meldungen einer Priorität</t>
        </is>
      </c>
      <c r="T16" s="12" t="inlineStr">
        <is>
          <t>G 0.39 – Schadprogramme; G 0.47 – Schädliche Seiteneffekte IT-gestützter Angriffe; G 0.23 – Unbefugtes Eindringen in IT-Systeme; G 0.40 – Verhinderung von Diensten (Denial of Service)</t>
        </is>
      </c>
      <c r="U16" s="11" t="n">
        <v>2</v>
      </c>
      <c r="V16" s="11" t="n">
        <v>1</v>
      </c>
      <c r="W16" s="11" t="n">
        <v>1</v>
      </c>
      <c r="X16" s="11" t="n">
        <v>1</v>
      </c>
      <c r="Y16" s="11" t="n">
        <v>0</v>
      </c>
    </row>
    <row r="17">
      <c r="A17" s="9" t="inlineStr">
        <is>
          <t>REA.2.2</t>
        </is>
      </c>
      <c r="B17" s="10" t="inlineStr">
        <is>
          <t>Automatische Erstreaktion</t>
        </is>
      </c>
      <c r="C17" s="11" t="n"/>
      <c r="D17" s="11" t="inlineStr">
        <is>
          <t>Anforderungen bei erhöhtem Schutzbedarf</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is>
          <t>Integrität</t>
        </is>
      </c>
      <c r="N17" s="12" t="inlineStr"/>
      <c r="O17" s="11" t="inlineStr"/>
      <c r="P17" s="12" t="inlineStr">
        <is>
          <t>Die automatische Erstreaktion kann je nach Risikoprofil durch institutionseigene Host- oder Network Intrusion Prevention Systeme (HIPS / NIPS) oder eine vergleichbare Cloud-Lösung umgesetzt werden.</t>
        </is>
      </c>
      <c r="Q17" s="11" t="inlineStr"/>
      <c r="R17" s="11" t="inlineStr">
        <is>
          <t>Konfigurationshistorie</t>
        </is>
      </c>
      <c r="S17" s="12" t="inlineStr">
        <is>
          <t>eine automatische Erstreaktion</t>
        </is>
      </c>
      <c r="T17" s="12" t="inlineStr">
        <is>
          <t>G 0.39 – Schadprogramme; G 0.47 – Schädliche Seiteneffekte IT-gestützter Angriffe; G 0.23 – Unbefugtes Eindringen in IT-Systeme; G 0.40 – Verhinderung von Diensten (Denial of Service)</t>
        </is>
      </c>
      <c r="U17" s="11" t="n">
        <v>4</v>
      </c>
      <c r="V17" s="11" t="n">
        <v>1</v>
      </c>
      <c r="W17" s="11" t="n">
        <v>2</v>
      </c>
      <c r="X17" s="11" t="n">
        <v>1</v>
      </c>
      <c r="Y17" s="11" t="n">
        <v>0</v>
      </c>
    </row>
    <row r="18">
      <c r="A18" s="11" t="inlineStr">
        <is>
          <t>REA.2.2</t>
        </is>
      </c>
      <c r="B18" s="12" t="inlineStr">
        <is>
          <t>Automatische Erstreaktion</t>
        </is>
      </c>
      <c r="C18" s="11" t="inlineStr">
        <is>
          <t>REA.2.2</t>
        </is>
      </c>
      <c r="D18" s="11" t="inlineStr">
        <is>
          <t>Anforderungen bei erhöhtem Schutzbedarf</t>
        </is>
      </c>
      <c r="E18" s="12" t="inlineStr">
        <is>
          <t>Sicherheitsvorfallsbehandlung KANN eine automatische Erstreaktion aktivieren.</t>
        </is>
      </c>
      <c r="F18" s="14" t="n"/>
      <c r="G18" s="14" t="n"/>
      <c r="H18" s="14" t="inlineStr">
        <is>
          <t>unbearbeitet</t>
        </is>
      </c>
      <c r="I18" s="14" t="n"/>
      <c r="J18" s="14" t="n"/>
      <c r="K18" s="14" t="n"/>
      <c r="L18" s="15" t="n"/>
      <c r="M18" s="11" t="inlineStr">
        <is>
          <t>Integrität</t>
        </is>
      </c>
      <c r="N18" s="12" t="inlineStr"/>
      <c r="O18" s="11" t="inlineStr"/>
      <c r="P18" s="12" t="inlineStr">
        <is>
          <t>Die automatische Erstreaktion kann je nach Risikoprofil durch institutionseigene Host- oder Network Intrusion Prevention Systeme (HIPS / NIPS) oder eine vergleichbare Cloud-Lösung umgesetzt werden.</t>
        </is>
      </c>
      <c r="Q18" s="11" t="inlineStr"/>
      <c r="R18" s="11" t="inlineStr">
        <is>
          <t>Konfigurationshistorie</t>
        </is>
      </c>
      <c r="S18" s="12" t="inlineStr">
        <is>
          <t>eine automatische Erstreaktion</t>
        </is>
      </c>
      <c r="T18" s="12" t="inlineStr">
        <is>
          <t>G 0.39 – Schadprogramme; G 0.47 – Schädliche Seiteneffekte IT-gestützter Angriffe; G 0.23 – Unbefugtes Eindringen in IT-Systeme; G 0.40 – Verhinderung von Diensten (Denial of Service)</t>
        </is>
      </c>
      <c r="U18" s="11" t="n">
        <v>4</v>
      </c>
      <c r="V18" s="11" t="n">
        <v>1</v>
      </c>
      <c r="W18" s="11" t="n">
        <v>2</v>
      </c>
      <c r="X18" s="11" t="n">
        <v>1</v>
      </c>
      <c r="Y18" s="11" t="n">
        <v>0</v>
      </c>
    </row>
    <row r="19">
      <c r="A19" s="9" t="inlineStr">
        <is>
          <t>REA.2.3</t>
        </is>
      </c>
      <c r="B19" s="10" t="inlineStr">
        <is>
          <t>Dokumentation von Vorfällen</t>
        </is>
      </c>
      <c r="C19" s="11" t="n"/>
      <c r="D19" s="11" t="inlineStr">
        <is>
          <t>Standard-Anforderungen</t>
        </is>
      </c>
      <c r="E19" s="12" t="inlineStr">
        <is>
          <t>Gesamt:</t>
        </is>
      </c>
      <c r="F19" s="11" t="n"/>
      <c r="G19" s="11" t="n"/>
      <c r="H19" s="13">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
      </c>
      <c r="I19" s="11" t="n"/>
      <c r="J19" s="11" t="n"/>
      <c r="K19" s="11" t="n"/>
      <c r="L19" s="11" t="n"/>
      <c r="M19" s="11" t="inlineStr"/>
      <c r="N19" s="12" t="inlineStr">
        <is>
          <t>DER.2.1.A16-UA.1</t>
        </is>
      </c>
      <c r="O19" s="11" t="inlineStr">
        <is>
          <t>subset-of</t>
        </is>
      </c>
      <c r="P19" s="12" t="inlineStr">
        <is>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is>
      </c>
      <c r="Q19" s="11" t="inlineStr"/>
      <c r="R19" s="11" t="inlineStr">
        <is>
          <t>Behandlung von Sicherheitsvorfällen</t>
        </is>
      </c>
      <c r="S19" s="12" t="inlineStr">
        <is>
          <t>den Vorfall</t>
        </is>
      </c>
      <c r="T19" s="12" t="inlineStr">
        <is>
          <t>G 0.39 – Schadprogramme; G 0.47 – Schädliche Seiteneffekte IT-gestützter Angriffe; G 0.37 – Abstreiten von Handlungen; G 0.23 – Unbefugtes Eindringen in IT-Systeme</t>
        </is>
      </c>
      <c r="U19" s="11" t="n">
        <v>3</v>
      </c>
      <c r="V19" s="11" t="n">
        <v>1</v>
      </c>
      <c r="W19" s="11" t="n">
        <v>1</v>
      </c>
      <c r="X19" s="11" t="n">
        <v>1</v>
      </c>
      <c r="Y19" s="11" t="n">
        <v>1</v>
      </c>
    </row>
    <row r="20">
      <c r="A20" s="11" t="inlineStr">
        <is>
          <t>REA.2.3</t>
        </is>
      </c>
      <c r="B20" s="12" t="inlineStr">
        <is>
          <t>Dokumentation von Vorfällen</t>
        </is>
      </c>
      <c r="C20" s="11" t="inlineStr">
        <is>
          <t>REA.2.3</t>
        </is>
      </c>
      <c r="D20" s="11" t="inlineStr">
        <is>
          <t>Standard-Anforderungen</t>
        </is>
      </c>
      <c r="E20" s="12" t="inlineStr">
        <is>
          <t>Sicherheitsvorfallsbehandlung SOLLTE den Vorfall dokumentieren.</t>
        </is>
      </c>
      <c r="F20" s="14" t="n"/>
      <c r="G20" s="14" t="n"/>
      <c r="H20" s="14" t="inlineStr">
        <is>
          <t>unbearbeitet</t>
        </is>
      </c>
      <c r="I20" s="14" t="n"/>
      <c r="J20" s="14" t="n"/>
      <c r="K20" s="14" t="n"/>
      <c r="L20" s="15" t="n"/>
      <c r="M20" s="11" t="inlineStr"/>
      <c r="N20" s="12" t="inlineStr">
        <is>
          <t>DER.2.1.A16-UA.1</t>
        </is>
      </c>
      <c r="O20" s="11" t="inlineStr">
        <is>
          <t>subset-of</t>
        </is>
      </c>
      <c r="P20" s="12" t="inlineStr">
        <is>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is>
      </c>
      <c r="Q20" s="11" t="inlineStr"/>
      <c r="R20" s="11" t="inlineStr">
        <is>
          <t>Behandlung von Sicherheitsvorfällen</t>
        </is>
      </c>
      <c r="S20" s="12" t="inlineStr">
        <is>
          <t>den Vorfall</t>
        </is>
      </c>
      <c r="T20" s="12" t="inlineStr">
        <is>
          <t>G 0.39 – Schadprogramme; G 0.47 – Schädliche Seiteneffekte IT-gestützter Angriffe; G 0.37 – Abstreiten von Handlungen; G 0.23 – Unbefugtes Eindringen in IT-Systeme</t>
        </is>
      </c>
      <c r="U20" s="11" t="n">
        <v>3</v>
      </c>
      <c r="V20" s="11" t="n">
        <v>1</v>
      </c>
      <c r="W20" s="11" t="n">
        <v>1</v>
      </c>
      <c r="X20" s="11" t="n">
        <v>1</v>
      </c>
      <c r="Y20" s="11" t="n">
        <v>1</v>
      </c>
    </row>
    <row r="21">
      <c r="A21" s="9" t="inlineStr">
        <is>
          <t>REA.2.4</t>
        </is>
      </c>
      <c r="B21" s="10" t="inlineStr">
        <is>
          <t>Diagnosedaten</t>
        </is>
      </c>
      <c r="C21" s="11" t="n"/>
      <c r="D21" s="11" t="inlineStr">
        <is>
          <t>Standard-Anforderungen</t>
        </is>
      </c>
      <c r="E21" s="12" t="inlineStr">
        <is>
          <t>Gesamt:</t>
        </is>
      </c>
      <c r="F21" s="11" t="n"/>
      <c r="G21" s="11" t="n"/>
      <c r="H21" s="13">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
      </c>
      <c r="I21" s="11" t="n"/>
      <c r="J21" s="11" t="n"/>
      <c r="K21" s="11" t="n"/>
      <c r="L21" s="11" t="n"/>
      <c r="M21" s="11" t="inlineStr"/>
      <c r="N21" s="12" t="inlineStr"/>
      <c r="O21" s="11" t="inlineStr"/>
      <c r="P21" s="12" t="inlineStr">
        <is>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is>
      </c>
      <c r="Q21" s="11" t="inlineStr"/>
      <c r="R21" s="11" t="inlineStr">
        <is>
          <t>Behandlung von Sicherheitsvorfällen</t>
        </is>
      </c>
      <c r="S21" s="12" t="inlineStr">
        <is>
          <t>Diagnosemethoden</t>
        </is>
      </c>
      <c r="T21" s="12" t="inlineStr">
        <is>
          <t>G 0.39 – Schadprogramme; G 0.47 – Schädliche Seiteneffekte IT-gestützter Angriffe; G 0.23 – Unbefugtes Eindringen in IT-Systeme; G 0.40 – Verhinderung von Diensten (Denial of Service)</t>
        </is>
      </c>
      <c r="U21" s="11" t="n">
        <v>3</v>
      </c>
      <c r="V21" s="11" t="n">
        <v>1</v>
      </c>
      <c r="W21" s="11" t="n">
        <v>1</v>
      </c>
      <c r="X21" s="11" t="n">
        <v>1</v>
      </c>
      <c r="Y21" s="11" t="n">
        <v>0</v>
      </c>
    </row>
    <row r="22">
      <c r="A22" s="11" t="inlineStr">
        <is>
          <t>REA.2.4</t>
        </is>
      </c>
      <c r="B22" s="12" t="inlineStr">
        <is>
          <t>Diagnosedaten</t>
        </is>
      </c>
      <c r="C22" s="11" t="inlineStr">
        <is>
          <t>REA.2.4</t>
        </is>
      </c>
      <c r="D22" s="11" t="inlineStr">
        <is>
          <t>Standard-Anforderungen</t>
        </is>
      </c>
      <c r="E22" s="12" t="inlineStr">
        <is>
          <t>Sicherheitsvorfallsbehandlung SOLLTE Diagnosemethoden für den Fall, dass der Vorfall sich mit den standardisiert erfassten Informationen nicht ausreichend analysieren lässt, verankern.</t>
        </is>
      </c>
      <c r="F22" s="14" t="n"/>
      <c r="G22" s="14" t="n"/>
      <c r="H22" s="14" t="inlineStr">
        <is>
          <t>unbearbeitet</t>
        </is>
      </c>
      <c r="I22" s="14" t="n"/>
      <c r="J22" s="14" t="n"/>
      <c r="K22" s="14" t="n"/>
      <c r="L22" s="15" t="n"/>
      <c r="M22" s="11" t="inlineStr"/>
      <c r="N22" s="12" t="inlineStr"/>
      <c r="O22" s="11" t="inlineStr"/>
      <c r="P22" s="12" t="inlineStr">
        <is>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is>
      </c>
      <c r="Q22" s="11" t="inlineStr"/>
      <c r="R22" s="11" t="inlineStr">
        <is>
          <t>Behandlung von Sicherheitsvorfällen</t>
        </is>
      </c>
      <c r="S22" s="12" t="inlineStr">
        <is>
          <t>Diagnosemethoden</t>
        </is>
      </c>
      <c r="T22" s="12" t="inlineStr">
        <is>
          <t>G 0.39 – Schadprogramme; G 0.47 – Schädliche Seiteneffekte IT-gestützter Angriffe; G 0.23 – Unbefugtes Eindringen in IT-Systeme; G 0.40 – Verhinderung von Diensten (Denial of Service)</t>
        </is>
      </c>
      <c r="U22" s="11" t="n">
        <v>3</v>
      </c>
      <c r="V22" s="11" t="n">
        <v>1</v>
      </c>
      <c r="W22" s="11" t="n">
        <v>1</v>
      </c>
      <c r="X22" s="11" t="n">
        <v>1</v>
      </c>
      <c r="Y22" s="11" t="n">
        <v>0</v>
      </c>
    </row>
    <row r="23">
      <c r="A23" s="9" t="inlineStr">
        <is>
          <t>REA.2.5</t>
        </is>
      </c>
      <c r="B23" s="10" t="inlineStr">
        <is>
          <t>IT-Forensik</t>
        </is>
      </c>
      <c r="C23" s="11" t="n"/>
      <c r="D23" s="11" t="inlineStr">
        <is>
          <t>Anforderungen bei erhöhtem Schutzbedarf</t>
        </is>
      </c>
      <c r="E23" s="12" t="inlineStr">
        <is>
          <t>Gesamt:</t>
        </is>
      </c>
      <c r="F23" s="11" t="n"/>
      <c r="G23" s="11" t="n"/>
      <c r="H23" s="13">
        <f>IF(OR(COUNTBLANK($H$24:$H$27)&gt;0,COUNTIF($H$24:$H$27,"unbearbeitet")=COUNTA($H$24:$H$27)),"Bitte Teilanforderungen ausfüllen",IF(COUNTIF($H$24:$H$27,"zu klären")&gt;0,"zu klären",IF(COUNTIF($H$24:$H$27,"entbehrlich")=COUNTA($H$24:$H$27),"entbehrlich",IF(COUNTIF($H$24:$H$27,"verwiesen")=COUNTA($H$24:$H$27),"verwiesen",IF(COUNTIF($H$24:$H$27,"nein")+COUNTIF($H$24:$H$27,"entbehrlich")=COUNTA($H$24:$H$27),"nein",IF(COUNTIF($H$24:$H$27,"ja")+COUNTIF($H$24:$H$27,"entbehrlich")+COUNTIF($H$24:$H$27,"verwiesen")=COUNTA($H$24:$H$27),"ja","teilweise"))))))</f>
        <v/>
      </c>
      <c r="I23" s="11" t="n"/>
      <c r="J23" s="11" t="n"/>
      <c r="K23" s="11" t="n"/>
      <c r="L23" s="11" t="n"/>
      <c r="M23" s="11" t="inlineStr"/>
      <c r="N23" s="12" t="inlineStr"/>
      <c r="O23" s="11" t="inlineStr"/>
      <c r="P23" s="12" t="inlineStr">
        <is>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is>
      </c>
      <c r="Q23" s="11" t="inlineStr"/>
      <c r="R23" s="11" t="inlineStr">
        <is>
          <t>Behandlung von Sicherheitsvorfällen</t>
        </is>
      </c>
      <c r="S23" s="12" t="inlineStr">
        <is>
          <t>eine forensische Analyse</t>
        </is>
      </c>
      <c r="T23" s="12" t="inlineStr">
        <is>
          <t>G 0.39 – Schadprogramme; G 0.47 – Schädliche Seiteneffekte IT-gestützter Angriffe; G 0.18 – Fehlplanung oder fehlende Anpassung</t>
        </is>
      </c>
      <c r="U23" s="11" t="n">
        <v>3</v>
      </c>
      <c r="V23" s="11" t="n">
        <v>1</v>
      </c>
      <c r="W23" s="11" t="n">
        <v>1</v>
      </c>
      <c r="X23" s="11" t="n">
        <v>1</v>
      </c>
      <c r="Y23" s="11" t="n">
        <v>0</v>
      </c>
    </row>
    <row r="24">
      <c r="A24" s="11" t="inlineStr">
        <is>
          <t>REA.2.5</t>
        </is>
      </c>
      <c r="B24" s="12" t="inlineStr">
        <is>
          <t>IT-Forensik</t>
        </is>
      </c>
      <c r="C24" s="11" t="inlineStr">
        <is>
          <t>REA.2.5</t>
        </is>
      </c>
      <c r="D24" s="11" t="inlineStr">
        <is>
          <t>Anforderungen bei erhöhtem Schutzbedarf</t>
        </is>
      </c>
      <c r="E24" s="12" t="inlineStr">
        <is>
          <t>Sicherheitsvorfallsbehandlung SOLLTE eine forensische Analyse bei Vorfällen, die bestimmte Kriterien erfüllen, ausführen.</t>
        </is>
      </c>
      <c r="F24" s="14" t="n"/>
      <c r="G24" s="14" t="n"/>
      <c r="H24" s="14" t="inlineStr">
        <is>
          <t>unbearbeitet</t>
        </is>
      </c>
      <c r="I24" s="14" t="n"/>
      <c r="J24" s="14" t="n"/>
      <c r="K24" s="14" t="n"/>
      <c r="L24" s="15" t="n"/>
      <c r="M24" s="11" t="inlineStr"/>
      <c r="N24" s="12" t="inlineStr"/>
      <c r="O24" s="11" t="inlineStr"/>
      <c r="P24" s="12" t="inlineStr">
        <is>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is>
      </c>
      <c r="Q24" s="11" t="inlineStr"/>
      <c r="R24" s="11" t="inlineStr">
        <is>
          <t>Behandlung von Sicherheitsvorfällen</t>
        </is>
      </c>
      <c r="S24" s="12" t="inlineStr">
        <is>
          <t>eine forensische Analyse</t>
        </is>
      </c>
      <c r="T24" s="12" t="inlineStr">
        <is>
          <t>G 0.39 – Schadprogramme; G 0.47 – Schädliche Seiteneffekte IT-gestützter Angriffe; G 0.18 – Fehlplanung oder fehlende Anpassung</t>
        </is>
      </c>
      <c r="U24" s="11" t="n">
        <v>3</v>
      </c>
      <c r="V24" s="11" t="n">
        <v>1</v>
      </c>
      <c r="W24" s="11" t="n">
        <v>1</v>
      </c>
      <c r="X24" s="11" t="n">
        <v>1</v>
      </c>
      <c r="Y24" s="11" t="n">
        <v>0</v>
      </c>
    </row>
    <row r="25">
      <c r="A25" s="11" t="inlineStr">
        <is>
          <t>REA.2.5</t>
        </is>
      </c>
      <c r="B25" s="12" t="inlineStr">
        <is>
          <t>IT-Forensik</t>
        </is>
      </c>
      <c r="C25" s="11" t="inlineStr">
        <is>
          <t>REA.2.5.1</t>
        </is>
      </c>
      <c r="D25" s="11" t="inlineStr">
        <is>
          <t>Standard-Anforderungen</t>
        </is>
      </c>
      <c r="E25" s="12" t="inlineStr">
        <is>
          <t>Sicherheitsvorfallsbehandlung SOLLTE rechtlich relevante Beweise rechtssicher dokumentieren.</t>
        </is>
      </c>
      <c r="F25" s="14" t="n"/>
      <c r="G25" s="14" t="n"/>
      <c r="H25" s="14" t="inlineStr">
        <is>
          <t>unbearbeitet</t>
        </is>
      </c>
      <c r="I25" s="14" t="n"/>
      <c r="J25" s="14" t="n"/>
      <c r="K25" s="14" t="n"/>
      <c r="L25" s="15" t="n"/>
      <c r="M25" s="11" t="inlineStr">
        <is>
          <t>Integrität</t>
        </is>
      </c>
      <c r="N25" s="12" t="inlineStr">
        <is>
          <t>DER.2.2.A11-UA.1</t>
        </is>
      </c>
      <c r="O25" s="11" t="inlineStr">
        <is>
          <t>equivalent-to</t>
        </is>
      </c>
      <c r="P25" s="12" t="inlineStr">
        <is>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is>
      </c>
      <c r="Q25" s="11" t="inlineStr"/>
      <c r="R25" s="11" t="inlineStr">
        <is>
          <t>Behandlung von Sicherheitsvorfällen</t>
        </is>
      </c>
      <c r="S25" s="12" t="inlineStr">
        <is>
          <t>rechtlich relevante Beweise</t>
        </is>
      </c>
      <c r="T25" s="12" t="inlineStr">
        <is>
          <t>G 0.39 – Schadprogramme; G 0.47 – Schädliche Seiteneffekte IT-gestützter Angriffe</t>
        </is>
      </c>
      <c r="U25" s="11" t="n">
        <v>3</v>
      </c>
      <c r="V25" s="11" t="n">
        <v>1</v>
      </c>
      <c r="W25" s="11" t="n">
        <v>2</v>
      </c>
      <c r="X25" s="11" t="n">
        <v>1</v>
      </c>
      <c r="Y25" s="11" t="n">
        <v>0</v>
      </c>
    </row>
    <row r="26">
      <c r="A26" s="11" t="inlineStr">
        <is>
          <t>REA.2.5</t>
        </is>
      </c>
      <c r="B26" s="12" t="inlineStr">
        <is>
          <t>IT-Forensik</t>
        </is>
      </c>
      <c r="C26" s="11" t="inlineStr">
        <is>
          <t>REA.2.5.2</t>
        </is>
      </c>
      <c r="D26" s="11" t="inlineStr">
        <is>
          <t>Anforderungen bei erhöhtem Schutzbedarf</t>
        </is>
      </c>
      <c r="E26" s="12" t="inlineStr">
        <is>
          <t>Sicherheitsvorfallsbehandlung KANN zur Forensik ein Vier-Augen-Prinzip verankern.</t>
        </is>
      </c>
      <c r="F26" s="14" t="n"/>
      <c r="G26" s="14" t="n"/>
      <c r="H26" s="14" t="inlineStr">
        <is>
          <t>unbearbeitet</t>
        </is>
      </c>
      <c r="I26" s="14" t="n"/>
      <c r="J26" s="14" t="n"/>
      <c r="K26" s="14" t="n"/>
      <c r="L26" s="15" t="n"/>
      <c r="M26" s="11" t="inlineStr">
        <is>
          <t>Integrität</t>
        </is>
      </c>
      <c r="N26" s="12" t="inlineStr"/>
      <c r="O26" s="11" t="inlineStr"/>
      <c r="P26" s="12" t="inlineStr">
        <is>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is>
      </c>
      <c r="Q26" s="11" t="inlineStr"/>
      <c r="R26" s="11" t="inlineStr">
        <is>
          <t>Behandlung von Sicherheitsvorfällen</t>
        </is>
      </c>
      <c r="S26" s="12" t="inlineStr">
        <is>
          <t>zur Forensik ein Vier-Augen-Prinzip</t>
        </is>
      </c>
      <c r="T26" s="12" t="inlineStr">
        <is>
          <t>G 0.39 – Schadprogramme; G 0.47 – Schädliche Seiteneffekte IT-gestützter Angriffe</t>
        </is>
      </c>
      <c r="U26" s="11" t="n">
        <v>5</v>
      </c>
      <c r="V26" s="11" t="n">
        <v>1</v>
      </c>
      <c r="W26" s="11" t="n">
        <v>2</v>
      </c>
      <c r="X26" s="11" t="n">
        <v>1</v>
      </c>
      <c r="Y26" s="11" t="n">
        <v>0</v>
      </c>
    </row>
    <row r="27">
      <c r="A27" s="11" t="inlineStr">
        <is>
          <t>REA.2.5</t>
        </is>
      </c>
      <c r="B27" s="12" t="inlineStr">
        <is>
          <t>IT-Forensik</t>
        </is>
      </c>
      <c r="C27" s="11" t="inlineStr">
        <is>
          <t>REA.2.5.3</t>
        </is>
      </c>
      <c r="D27" s="11" t="inlineStr">
        <is>
          <t>Anforderungen bei erhöhtem Schutzbedarf</t>
        </is>
      </c>
      <c r="E27" s="12" t="inlineStr">
        <is>
          <t>Sicherheitsvorfallsbehandlung KANN die Bereitschaft eines Forensik-Dienstleisters binnen einer Frist vereinbaren.</t>
        </is>
      </c>
      <c r="F27" s="14" t="n"/>
      <c r="G27" s="14" t="n"/>
      <c r="H27" s="14" t="inlineStr">
        <is>
          <t>unbearbeitet</t>
        </is>
      </c>
      <c r="I27" s="14" t="n"/>
      <c r="J27" s="14" t="n"/>
      <c r="K27" s="14" t="n"/>
      <c r="L27" s="15" t="n"/>
      <c r="M27" s="11" t="inlineStr"/>
      <c r="N27" s="12" t="inlineStr"/>
      <c r="O27" s="11" t="inlineStr"/>
      <c r="P27" s="12" t="inlineStr">
        <is>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is>
      </c>
      <c r="Q27" s="11" t="inlineStr"/>
      <c r="R27" s="11" t="inlineStr">
        <is>
          <t>Liste der Hersteller und Dienstleister</t>
        </is>
      </c>
      <c r="S27" s="12" t="inlineStr">
        <is>
          <t>die Bereitschaft eines Forensik-Dienstleisters</t>
        </is>
      </c>
      <c r="T27" s="12" t="inlineStr">
        <is>
          <t>G 0.39 – Schadprogramme; G 0.47 – Schädliche Seiteneffekte IT-gestützter Angriffe</t>
        </is>
      </c>
      <c r="U27" s="11" t="n">
        <v>5</v>
      </c>
      <c r="V27" s="11" t="n">
        <v>1</v>
      </c>
      <c r="W27" s="11" t="n">
        <v>1</v>
      </c>
      <c r="X27" s="11" t="n">
        <v>1</v>
      </c>
      <c r="Y27" s="11" t="n">
        <v>0</v>
      </c>
    </row>
    <row r="28">
      <c r="A28" s="9" t="inlineStr">
        <is>
          <t>REA.2.6</t>
        </is>
      </c>
      <c r="B28" s="10" t="inlineStr">
        <is>
          <t>Ursachenanalyse und Behandlung</t>
        </is>
      </c>
      <c r="C28" s="11" t="n"/>
      <c r="D28" s="11" t="inlineStr">
        <is>
          <t>Standard-Anforderungen</t>
        </is>
      </c>
      <c r="E28" s="12" t="inlineStr">
        <is>
          <t>Gesamt:</t>
        </is>
      </c>
      <c r="F28" s="11" t="n"/>
      <c r="G28" s="11" t="n"/>
      <c r="H28" s="13">
        <f>IF(OR(COUNTBLANK($H$29:$H$35)&gt;0,COUNTIF($H$29:$H$35,"unbearbeitet")=COUNTA($H$29:$H$35)),"Bitte Teilanforderungen ausfüllen",IF(COUNTIF($H$29:$H$35,"zu klären")&gt;0,"zu klären",IF(COUNTIF($H$29:$H$35,"entbehrlich")=COUNTA($H$29:$H$35),"entbehrlich",IF(COUNTIF($H$29:$H$35,"verwiesen")=COUNTA($H$29:$H$35),"verwiesen",IF(COUNTIF($H$29:$H$35,"nein")+COUNTIF($H$29:$H$35,"entbehrlich")=COUNTA($H$29:$H$35),"nein",IF(COUNTIF($H$29:$H$35,"ja")+COUNTIF($H$29:$H$35,"entbehrlich")+COUNTIF($H$29:$H$35,"verwiesen")=COUNTA($H$29:$H$35),"ja","teilweise"))))))</f>
        <v/>
      </c>
      <c r="I28" s="11" t="n"/>
      <c r="J28" s="11" t="n"/>
      <c r="K28" s="11" t="n"/>
      <c r="L28" s="11" t="n"/>
      <c r="M28" s="11" t="inlineStr"/>
      <c r="N28" s="12" t="inlineStr">
        <is>
          <t>DER.2.1.A5-UA.4</t>
        </is>
      </c>
      <c r="O28" s="11" t="inlineStr">
        <is>
          <t>equivalent-to</t>
        </is>
      </c>
      <c r="P28" s="12" t="inlineStr">
        <is>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is>
      </c>
      <c r="Q28" s="11" t="inlineStr"/>
      <c r="R28" s="11" t="inlineStr">
        <is>
          <t>Arbeitsanweisung</t>
        </is>
      </c>
      <c r="S28" s="12" t="inlineStr">
        <is>
          <t>eine Vorgehensweise zur Ursachenanalyse und Behandlung</t>
        </is>
      </c>
      <c r="T28" s="12" t="inlineStr">
        <is>
          <t>G 0.39 – Schadprogramme; G 0.47 – Schädliche Seiteneffekte IT-gestützter Angriffe; G 0.23 – Unbefugtes Eindringen in IT-Systeme; G 0.40 – Verhinderung von Diensten (Denial of Service)</t>
        </is>
      </c>
      <c r="U28" s="11" t="n">
        <v>2</v>
      </c>
      <c r="V28" s="11" t="n">
        <v>1</v>
      </c>
      <c r="W28" s="11" t="n">
        <v>1</v>
      </c>
      <c r="X28" s="11" t="n">
        <v>1</v>
      </c>
      <c r="Y28" s="11" t="n">
        <v>0</v>
      </c>
    </row>
    <row r="29">
      <c r="A29" s="11" t="inlineStr">
        <is>
          <t>REA.2.6</t>
        </is>
      </c>
      <c r="B29" s="12" t="inlineStr">
        <is>
          <t>Ursachenanalyse und Behandlung</t>
        </is>
      </c>
      <c r="C29" s="11" t="inlineStr">
        <is>
          <t>REA.2.6</t>
        </is>
      </c>
      <c r="D29" s="11" t="inlineStr">
        <is>
          <t>Standard-Anforderungen</t>
        </is>
      </c>
      <c r="E29" s="12" t="inlineStr">
        <is>
          <t>Sicherheitsvorfallsbehandlung SOLLTE eine Vorgehensweise zur Ursachenanalyse und Behandlung verankern.</t>
        </is>
      </c>
      <c r="F29" s="14" t="n"/>
      <c r="G29" s="14" t="n"/>
      <c r="H29" s="14" t="inlineStr">
        <is>
          <t>unbearbeitet</t>
        </is>
      </c>
      <c r="I29" s="14" t="n"/>
      <c r="J29" s="14" t="n"/>
      <c r="K29" s="14" t="n"/>
      <c r="L29" s="15" t="n"/>
      <c r="M29" s="11" t="inlineStr"/>
      <c r="N29" s="12" t="inlineStr">
        <is>
          <t>DER.2.1.A5-UA.4</t>
        </is>
      </c>
      <c r="O29" s="11" t="inlineStr">
        <is>
          <t>equivalent-to</t>
        </is>
      </c>
      <c r="P29" s="12" t="inlineStr">
        <is>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is>
      </c>
      <c r="Q29" s="11" t="inlineStr"/>
      <c r="R29" s="11" t="inlineStr">
        <is>
          <t>Arbeitsanweisung</t>
        </is>
      </c>
      <c r="S29" s="12" t="inlineStr">
        <is>
          <t>eine Vorgehensweise zur Ursachenanalyse und Behandlung</t>
        </is>
      </c>
      <c r="T29" s="12" t="inlineStr">
        <is>
          <t>G 0.39 – Schadprogramme; G 0.47 – Schädliche Seiteneffekte IT-gestützter Angriffe; G 0.23 – Unbefugtes Eindringen in IT-Systeme; G 0.40 – Verhinderung von Diensten (Denial of Service)</t>
        </is>
      </c>
      <c r="U29" s="11" t="n">
        <v>2</v>
      </c>
      <c r="V29" s="11" t="n">
        <v>1</v>
      </c>
      <c r="W29" s="11" t="n">
        <v>1</v>
      </c>
      <c r="X29" s="11" t="n">
        <v>1</v>
      </c>
      <c r="Y29" s="11" t="n">
        <v>0</v>
      </c>
    </row>
    <row r="30">
      <c r="A30" s="11" t="inlineStr">
        <is>
          <t>REA.2.6</t>
        </is>
      </c>
      <c r="B30" s="12" t="inlineStr">
        <is>
          <t>Ursachenanalyse und Behandlung</t>
        </is>
      </c>
      <c r="C30" s="11" t="inlineStr">
        <is>
          <t>REA.2.6.1</t>
        </is>
      </c>
      <c r="D30" s="11" t="inlineStr">
        <is>
          <t>Standard-Anforderungen</t>
        </is>
      </c>
      <c r="E30" s="12" t="inlineStr">
        <is>
          <t>Sicherheitsvorfallsbehandlung SOLLTE die zur Behandlung durchgeführten Tätigkeiten dokumentieren.</t>
        </is>
      </c>
      <c r="F30" s="14" t="n"/>
      <c r="G30" s="14" t="n"/>
      <c r="H30" s="14" t="inlineStr">
        <is>
          <t>unbearbeitet</t>
        </is>
      </c>
      <c r="I30" s="14" t="n"/>
      <c r="J30" s="14" t="n"/>
      <c r="K30" s="14" t="n"/>
      <c r="L30" s="15" t="n"/>
      <c r="M30" s="11" t="inlineStr"/>
      <c r="N30" s="12" t="inlineStr"/>
      <c r="O30" s="11" t="inlineStr"/>
      <c r="P30" s="12" t="inlineStr"/>
      <c r="Q30" s="11" t="inlineStr"/>
      <c r="R30" s="11" t="inlineStr">
        <is>
          <t>Behandlung von Sicherheitsvorfällen</t>
        </is>
      </c>
      <c r="S30" s="12" t="inlineStr">
        <is>
          <t>die zur Behandlung durchgeführten Tätigkeiten</t>
        </is>
      </c>
      <c r="T30" s="12" t="inlineStr">
        <is>
          <t>G 0.39 – Schadprogramme; G 0.47 – Schädliche Seiteneffekte IT-gestützter Angriffe; G 0.18 – Fehlplanung oder fehlende Anpassung; G 0.37 – Abstreiten von Handlungen</t>
        </is>
      </c>
      <c r="U30" s="11" t="n">
        <v>3</v>
      </c>
      <c r="V30" s="11" t="n">
        <v>1</v>
      </c>
      <c r="W30" s="11" t="n">
        <v>1</v>
      </c>
      <c r="X30" s="11" t="n">
        <v>1</v>
      </c>
      <c r="Y30" s="11" t="n">
        <v>0</v>
      </c>
    </row>
    <row r="31">
      <c r="A31" s="11" t="inlineStr">
        <is>
          <t>REA.2.6</t>
        </is>
      </c>
      <c r="B31" s="12" t="inlineStr">
        <is>
          <t>Ursachenanalyse und Behandlung</t>
        </is>
      </c>
      <c r="C31" s="11" t="inlineStr">
        <is>
          <t>REA.2.6.2</t>
        </is>
      </c>
      <c r="D31" s="11" t="inlineStr">
        <is>
          <t>Standard-Anforderungen</t>
        </is>
      </c>
      <c r="E31" s="12" t="inlineStr">
        <is>
          <t>Sicherheitsvorfallsbehandlung SOLLTE eine Vorgehensweise zur Kommunikation bei Vorfällen unter Berücksichtigung von Compliance-Verpflichtungen, Bedürfnissen der interessierten Parteien und der Geschäftsziele verankern.</t>
        </is>
      </c>
      <c r="F31" s="14" t="n"/>
      <c r="G31" s="14" t="n"/>
      <c r="H31" s="14" t="inlineStr">
        <is>
          <t>unbearbeitet</t>
        </is>
      </c>
      <c r="I31" s="14" t="n"/>
      <c r="J31" s="14" t="n"/>
      <c r="K31" s="14" t="n"/>
      <c r="L31" s="15" t="n"/>
      <c r="M31" s="11" t="inlineStr"/>
      <c r="N31" s="12" t="inlineStr">
        <is>
          <t>DER.2.1.A9-UA.4</t>
        </is>
      </c>
      <c r="O31" s="11" t="inlineStr">
        <is>
          <t>equivalent-to</t>
        </is>
      </c>
      <c r="P31" s="12" t="inlineStr">
        <is>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is>
      </c>
      <c r="Q31" s="11" t="inlineStr"/>
      <c r="R31" s="11" t="inlineStr">
        <is>
          <t>Behandlung von Sicherheitsvorfällen</t>
        </is>
      </c>
      <c r="S31" s="12" t="inlineStr">
        <is>
          <t>eine Vorgehensweise zur Kommunikation bei Vorfällen</t>
        </is>
      </c>
      <c r="T31" s="12" t="inlineStr">
        <is>
          <t>G 0.39 – Schadprogramme; G 0.47 – Schädliche Seiteneffekte IT-gestützter Angriffe</t>
        </is>
      </c>
      <c r="U31" s="11" t="n">
        <v>3</v>
      </c>
      <c r="V31" s="11" t="n">
        <v>1</v>
      </c>
      <c r="W31" s="11" t="n">
        <v>1</v>
      </c>
      <c r="X31" s="11" t="n">
        <v>1</v>
      </c>
      <c r="Y31" s="11" t="n">
        <v>0</v>
      </c>
    </row>
    <row r="32">
      <c r="A32" s="11" t="inlineStr">
        <is>
          <t>REA.2.6</t>
        </is>
      </c>
      <c r="B32" s="12" t="inlineStr">
        <is>
          <t>Ursachenanalyse und Behandlung</t>
        </is>
      </c>
      <c r="C32" s="11" t="inlineStr">
        <is>
          <t>REA.2.6.2.1</t>
        </is>
      </c>
      <c r="D32" s="11" t="inlineStr">
        <is>
          <t>Standard-Anforderungen</t>
        </is>
      </c>
      <c r="E32" s="12" t="inlineStr">
        <is>
          <t>Sicherheitsvorfallsbehandlung SOLLTE bei Vorfällen die zuständigen Behörden im Einklang mit den Compliance-Verpflichtungen informieren.</t>
        </is>
      </c>
      <c r="F32" s="14" t="n"/>
      <c r="G32" s="14" t="n"/>
      <c r="H32" s="14" t="inlineStr">
        <is>
          <t>unbearbeitet</t>
        </is>
      </c>
      <c r="I32" s="14" t="n"/>
      <c r="J32" s="14" t="n"/>
      <c r="K32" s="14" t="n"/>
      <c r="L32" s="15" t="n"/>
      <c r="M32" s="11" t="inlineStr"/>
      <c r="N32" s="12" t="inlineStr"/>
      <c r="O32" s="11" t="inlineStr"/>
      <c r="P32" s="12" t="inlineStr"/>
      <c r="Q32" s="11" t="inlineStr"/>
      <c r="R32" s="11" t="inlineStr">
        <is>
          <t>Behandlung von Sicherheitsvorfällen</t>
        </is>
      </c>
      <c r="S32" s="12" t="inlineStr">
        <is>
          <t>bei Vorfällen die zuständigen Behörden</t>
        </is>
      </c>
      <c r="T32" s="12" t="inlineStr">
        <is>
          <t>G 0.39 – Schadprogramme; G 0.47 – Schädliche Seiteneffekte IT-gestützter Angriffe</t>
        </is>
      </c>
      <c r="U32" s="11" t="n">
        <v>3</v>
      </c>
      <c r="V32" s="11" t="n">
        <v>1</v>
      </c>
      <c r="W32" s="11" t="n">
        <v>1</v>
      </c>
      <c r="X32" s="11" t="n">
        <v>1</v>
      </c>
      <c r="Y32" s="11" t="n">
        <v>0</v>
      </c>
    </row>
    <row r="33">
      <c r="A33" s="11" t="inlineStr">
        <is>
          <t>REA.2.6</t>
        </is>
      </c>
      <c r="B33" s="12" t="inlineStr">
        <is>
          <t>Ursachenanalyse und Behandlung</t>
        </is>
      </c>
      <c r="C33" s="11" t="inlineStr">
        <is>
          <t>REA.2.6.3</t>
        </is>
      </c>
      <c r="D33" s="11" t="inlineStr">
        <is>
          <t>Standard-Anforderungen</t>
        </is>
      </c>
      <c r="E33" s="12" t="inlineStr">
        <is>
          <t>Sicherheitsvorfallsbehandlung SOLLTE die Koordinierung bei Vorfällen verankern.</t>
        </is>
      </c>
      <c r="F33" s="14" t="n"/>
      <c r="G33" s="14" t="n"/>
      <c r="H33" s="14" t="inlineStr">
        <is>
          <t>unbearbeitet</t>
        </is>
      </c>
      <c r="I33" s="14" t="n"/>
      <c r="J33" s="14" t="n"/>
      <c r="K33" s="14" t="n"/>
      <c r="L33" s="15" t="n"/>
      <c r="M33" s="11" t="inlineStr"/>
      <c r="N33" s="12" t="inlineStr">
        <is>
          <t>APP.3.2.A20-UA.2</t>
        </is>
      </c>
      <c r="O33" s="11" t="inlineStr">
        <is>
          <t>intersects-with</t>
        </is>
      </c>
      <c r="P33" s="12" t="inlineStr">
        <is>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is>
      </c>
      <c r="Q33" s="11" t="inlineStr"/>
      <c r="R33" s="11" t="inlineStr">
        <is>
          <t>Behandlung von Sicherheitsvorfällen</t>
        </is>
      </c>
      <c r="S33" s="12" t="inlineStr">
        <is>
          <t>die Koordinierung bei Vorfällen</t>
        </is>
      </c>
      <c r="T33" s="12" t="inlineStr">
        <is>
          <t>G 0.39 – Schadprogramme; G 0.47 – Schädliche Seiteneffekte IT-gestützter Angriffe; G 0.23 – Unbefugtes Eindringen in IT-Systeme; G 0.40 – Verhinderung von Diensten (Denial of Service)</t>
        </is>
      </c>
      <c r="U33" s="11" t="n">
        <v>3</v>
      </c>
      <c r="V33" s="11" t="n">
        <v>1</v>
      </c>
      <c r="W33" s="11" t="n">
        <v>1</v>
      </c>
      <c r="X33" s="11" t="n">
        <v>1</v>
      </c>
      <c r="Y33" s="11" t="n">
        <v>0</v>
      </c>
    </row>
    <row r="34">
      <c r="A34" s="11" t="inlineStr">
        <is>
          <t>REA.2.6</t>
        </is>
      </c>
      <c r="B34" s="12" t="inlineStr">
        <is>
          <t>Ursachenanalyse und Behandlung</t>
        </is>
      </c>
      <c r="C34" s="11" t="inlineStr">
        <is>
          <t>REA.2.6.4</t>
        </is>
      </c>
      <c r="D34" s="11" t="inlineStr">
        <is>
          <t>Anforderungen bei erhöhtem Schutzbedarf</t>
        </is>
      </c>
      <c r="E34" s="12" t="inlineStr">
        <is>
          <t>Sicherheitsvorfallsbehandlung KANN Service Level verankern.</t>
        </is>
      </c>
      <c r="F34" s="14" t="n"/>
      <c r="G34" s="14" t="n"/>
      <c r="H34" s="14" t="inlineStr">
        <is>
          <t>unbearbeitet</t>
        </is>
      </c>
      <c r="I34" s="14" t="n"/>
      <c r="J34" s="14" t="n"/>
      <c r="K34" s="14" t="n"/>
      <c r="L34" s="15" t="n"/>
      <c r="M34" s="11" t="inlineStr"/>
      <c r="N34" s="12" t="inlineStr"/>
      <c r="O34" s="11" t="inlineStr"/>
      <c r="P34" s="12" t="inlineStr">
        <is>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is>
      </c>
      <c r="Q34" s="11" t="inlineStr"/>
      <c r="R34" s="11" t="inlineStr">
        <is>
          <t>Behandlung von Sicherheitsvorfällen</t>
        </is>
      </c>
      <c r="S34" s="12" t="inlineStr">
        <is>
          <t>Service Level</t>
        </is>
      </c>
      <c r="T34" s="12" t="inlineStr">
        <is>
          <t>G 0.39 – Schadprogramme; G 0.47 – Schädliche Seiteneffekte IT-gestützter Angriffe</t>
        </is>
      </c>
      <c r="U34" s="11" t="n">
        <v>5</v>
      </c>
      <c r="V34" s="11" t="n">
        <v>1</v>
      </c>
      <c r="W34" s="11" t="n">
        <v>1</v>
      </c>
      <c r="X34" s="11" t="n">
        <v>1</v>
      </c>
      <c r="Y34" s="11" t="n">
        <v>0</v>
      </c>
    </row>
    <row r="35">
      <c r="A35" s="11" t="inlineStr">
        <is>
          <t>REA.2.6</t>
        </is>
      </c>
      <c r="B35" s="12" t="inlineStr">
        <is>
          <t>Ursachenanalyse und Behandlung</t>
        </is>
      </c>
      <c r="C35" s="11" t="inlineStr">
        <is>
          <t>REA.2.6.5</t>
        </is>
      </c>
      <c r="D35" s="11" t="inlineStr">
        <is>
          <t>Standard-Anforderungen</t>
        </is>
      </c>
      <c r="E35" s="12" t="inlineStr">
        <is>
          <t>Sicherheitsvorfallsbehandlung SOLLTE eine Eskalationsleiter verankern.</t>
        </is>
      </c>
      <c r="F35" s="14" t="n"/>
      <c r="G35" s="14" t="n"/>
      <c r="H35" s="14" t="inlineStr">
        <is>
          <t>unbearbeitet</t>
        </is>
      </c>
      <c r="I35" s="14" t="n"/>
      <c r="J35" s="14" t="n"/>
      <c r="K35" s="14" t="n"/>
      <c r="L35" s="15" t="n"/>
      <c r="M35" s="11" t="inlineStr"/>
      <c r="N35" s="12" t="inlineStr"/>
      <c r="O35" s="11" t="inlineStr"/>
      <c r="P35" s="12" t="inlineStr">
        <is>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is>
      </c>
      <c r="Q35" s="11" t="inlineStr"/>
      <c r="R35" s="11" t="inlineStr">
        <is>
          <t>Behandlung von Sicherheitsvorfällen</t>
        </is>
      </c>
      <c r="S35" s="12" t="inlineStr">
        <is>
          <t>eine Eskalationsleiter</t>
        </is>
      </c>
      <c r="T35" s="12" t="inlineStr">
        <is>
          <t>G 0.39 – Schadprogramme; G 0.47 – Schädliche Seiteneffekte IT-gestützter Angriffe; G 0.23 – Unbefugtes Eindringen in IT-Systeme; G 0.40 – Verhinderung von Diensten (Denial of Service)</t>
        </is>
      </c>
      <c r="U35" s="11" t="n">
        <v>4</v>
      </c>
      <c r="V35" s="11" t="n">
        <v>1</v>
      </c>
      <c r="W35" s="11" t="n">
        <v>1</v>
      </c>
      <c r="X35" s="11" t="n">
        <v>1</v>
      </c>
      <c r="Y35" s="11" t="n">
        <v>0</v>
      </c>
    </row>
    <row r="36">
      <c r="A36" s="9" t="inlineStr">
        <is>
          <t>REA.3.1</t>
        </is>
      </c>
      <c r="B36" s="10" t="inlineStr">
        <is>
          <t>Verbesserung durch Erkenntnisse</t>
        </is>
      </c>
      <c r="C36" s="11" t="n"/>
      <c r="D36" s="11" t="inlineStr">
        <is>
          <t>Standard-Anforderungen</t>
        </is>
      </c>
      <c r="E36" s="12" t="inlineStr">
        <is>
          <t>Gesamt:</t>
        </is>
      </c>
      <c r="F36" s="11" t="n"/>
      <c r="G36" s="11" t="n"/>
      <c r="H36" s="13">
        <f>IF(OR(COUNTBLANK($H$37:$H$38)&gt;0,COUNTIF($H$37:$H$38,"unbearbeitet")=COUNTA($H$37:$H$38)),"Bitte Teilanforderungen ausfüllen",IF(COUNTIF($H$37:$H$38,"zu klären")&gt;0,"zu klären",IF(COUNTIF($H$37:$H$38,"entbehrlich")=COUNTA($H$37:$H$38),"entbehrlich",IF(COUNTIF($H$37:$H$38,"verwiesen")=COUNTA($H$37:$H$38),"verwiesen",IF(COUNTIF($H$37:$H$38,"nein")+COUNTIF($H$37:$H$38,"entbehrlich")=COUNTA($H$37:$H$38),"nein",IF(COUNTIF($H$37:$H$38,"ja")+COUNTIF($H$37:$H$38,"entbehrlich")+COUNTIF($H$37:$H$38,"verwiesen")=COUNTA($H$37:$H$38),"ja","teilweise"))))))</f>
        <v/>
      </c>
      <c r="I36" s="11" t="n"/>
      <c r="J36" s="11" t="n"/>
      <c r="K36" s="11" t="n"/>
      <c r="L36" s="11" t="n"/>
      <c r="M36" s="11" t="inlineStr"/>
      <c r="N36" s="12" t="inlineStr"/>
      <c r="O36" s="11" t="inlineStr"/>
      <c r="P36" s="12" t="inlineStr">
        <is>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is>
      </c>
      <c r="Q36" s="11" t="inlineStr"/>
      <c r="R36" s="11" t="inlineStr">
        <is>
          <t>Behandlung von Sicherheitsvorfällen</t>
        </is>
      </c>
      <c r="S36" s="12" t="inlineStr">
        <is>
          <t>bisherige Maßnahmen anhand von Erkenntnissen aus Informationssicherheitsvorfällen</t>
        </is>
      </c>
      <c r="T36" s="12" t="inlineStr">
        <is>
          <t>G 0.18 – Fehlplanung oder fehlende Anpassung</t>
        </is>
      </c>
      <c r="U36" s="11" t="n">
        <v>3</v>
      </c>
      <c r="V36" s="11" t="n">
        <v>1</v>
      </c>
      <c r="W36" s="11" t="n">
        <v>1</v>
      </c>
      <c r="X36" s="11" t="n">
        <v>1</v>
      </c>
      <c r="Y36" s="11" t="n">
        <v>0</v>
      </c>
    </row>
    <row r="37">
      <c r="A37" s="11" t="inlineStr">
        <is>
          <t>REA.3.1</t>
        </is>
      </c>
      <c r="B37" s="12" t="inlineStr">
        <is>
          <t>Verbesserung durch Erkenntnisse</t>
        </is>
      </c>
      <c r="C37" s="11" t="inlineStr">
        <is>
          <t>REA.3.1</t>
        </is>
      </c>
      <c r="D37" s="11" t="inlineStr">
        <is>
          <t>Standard-Anforderungen</t>
        </is>
      </c>
      <c r="E37" s="12" t="inlineStr">
        <is>
          <t>Sicherheitsvorfallsbehandlung SOLLTE bisherige Maßnahmen anhand von Erkenntnissen aus Informationssicherheitsvorfällen regelmäßig überprüfen.</t>
        </is>
      </c>
      <c r="F37" s="14" t="n"/>
      <c r="G37" s="14" t="n"/>
      <c r="H37" s="14" t="inlineStr">
        <is>
          <t>unbearbeitet</t>
        </is>
      </c>
      <c r="I37" s="14" t="n"/>
      <c r="J37" s="14" t="n"/>
      <c r="K37" s="14" t="n"/>
      <c r="L37" s="15" t="n"/>
      <c r="M37" s="11" t="inlineStr"/>
      <c r="N37" s="12" t="inlineStr"/>
      <c r="O37" s="11" t="inlineStr"/>
      <c r="P37" s="12" t="inlineStr">
        <is>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is>
      </c>
      <c r="Q37" s="11" t="inlineStr"/>
      <c r="R37" s="11" t="inlineStr">
        <is>
          <t>Behandlung von Sicherheitsvorfällen</t>
        </is>
      </c>
      <c r="S37" s="12" t="inlineStr">
        <is>
          <t>bisherige Maßnahmen anhand von Erkenntnissen aus Informationssicherheitsvorfällen</t>
        </is>
      </c>
      <c r="T37" s="12" t="inlineStr">
        <is>
          <t>G 0.18 – Fehlplanung oder fehlende Anpassung</t>
        </is>
      </c>
      <c r="U37" s="11" t="n">
        <v>3</v>
      </c>
      <c r="V37" s="11" t="n">
        <v>1</v>
      </c>
      <c r="W37" s="11" t="n">
        <v>1</v>
      </c>
      <c r="X37" s="11" t="n">
        <v>1</v>
      </c>
      <c r="Y37" s="11" t="n">
        <v>0</v>
      </c>
    </row>
    <row r="38">
      <c r="A38" s="11" t="inlineStr">
        <is>
          <t>REA.3.1</t>
        </is>
      </c>
      <c r="B38" s="12" t="inlineStr">
        <is>
          <t>Verbesserung durch Erkenntnisse</t>
        </is>
      </c>
      <c r="C38" s="11" t="inlineStr">
        <is>
          <t>REA.3.1.1</t>
        </is>
      </c>
      <c r="D38" s="11" t="inlineStr">
        <is>
          <t>Standard-Anforderungen</t>
        </is>
      </c>
      <c r="E38" s="12" t="inlineStr">
        <is>
          <t>Sicherheitsvorfallsbehandlung SOLLTE Erkenntnisse einschließlich Art, Umfang und Schäden des Vorfalls dokumentieren.</t>
        </is>
      </c>
      <c r="F38" s="14" t="n"/>
      <c r="G38" s="14" t="n"/>
      <c r="H38" s="14" t="inlineStr">
        <is>
          <t>unbearbeitet</t>
        </is>
      </c>
      <c r="I38" s="14" t="n"/>
      <c r="J38" s="14" t="n"/>
      <c r="K38" s="14" t="n"/>
      <c r="L38" s="15" t="n"/>
      <c r="M38" s="11" t="inlineStr"/>
      <c r="N38" s="12" t="inlineStr"/>
      <c r="O38" s="11" t="inlineStr"/>
      <c r="P38" s="12" t="inlineStr">
        <is>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is>
      </c>
      <c r="Q38" s="11" t="inlineStr"/>
      <c r="R38" s="11" t="inlineStr">
        <is>
          <t>Behandlung von Sicherheitsvorfällen</t>
        </is>
      </c>
      <c r="S38" s="12" t="inlineStr">
        <is>
          <t>Erkenntnisse</t>
        </is>
      </c>
      <c r="T38" s="12" t="inlineStr">
        <is>
          <t>G 0.18 – Fehlplanung oder fehlende Anpassung</t>
        </is>
      </c>
      <c r="U38" s="11" t="n">
        <v>4</v>
      </c>
      <c r="V38" s="11" t="n">
        <v>1</v>
      </c>
      <c r="W38" s="11" t="n">
        <v>1</v>
      </c>
      <c r="X38" s="11" t="n">
        <v>1</v>
      </c>
      <c r="Y38" s="11" t="n">
        <v>0</v>
      </c>
    </row>
  </sheetData>
  <autoFilter ref="A6:Y6"/>
  <conditionalFormatting sqref="H7:H38">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20 H22 H24 H25 H26 H27 H29 H30 H31 H32 H33 H34 H35 H37 H38"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14"/>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RISK</t>
        </is>
      </c>
      <c r="B3" s="6" t="inlineStr">
        <is>
          <t>Risikomanagement</t>
        </is>
      </c>
    </row>
    <row r="4">
      <c r="A4" s="3" t="inlineStr">
        <is>
          <t>Zielobjekte</t>
        </is>
      </c>
      <c r="B4" s="7">
        <f>IF('Praktiken'!D19="","",'Praktiken'!D19)</f>
        <v/>
      </c>
    </row>
    <row r="5">
      <c r="A5" s="3" t="inlineStr">
        <is>
          <t>Zuständig</t>
        </is>
      </c>
      <c r="B5" s="7">
        <f>IF('Praktiken'!S19="","",'Praktiken'!S19)</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RISK.1.1</t>
        </is>
      </c>
      <c r="B7" s="10" t="inlineStr">
        <is>
          <t>Methodik für das Risikomanagement</t>
        </is>
      </c>
      <c r="C7" s="11" t="n"/>
      <c r="D7" s="11" t="inlineStr">
        <is>
          <t>Basis-Anforderungen</t>
        </is>
      </c>
      <c r="E7" s="12" t="inlineStr">
        <is>
          <t>Gesamt:</t>
        </is>
      </c>
      <c r="F7" s="11" t="n"/>
      <c r="G7" s="11" t="n"/>
      <c r="H7" s="13">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
      </c>
      <c r="I7" s="11" t="n"/>
      <c r="J7" s="11" t="n"/>
      <c r="K7" s="11" t="n"/>
      <c r="L7" s="11" t="n"/>
      <c r="M7" s="11" t="inlineStr"/>
      <c r="N7" s="12" t="inlineStr"/>
      <c r="O7" s="11" t="inlineStr"/>
      <c r="P7" s="12" t="inlineStr">
        <is>
          <t>Diese Methoden müssen den Kontext der Institution und die Anforderungen interessierter Parteien sowie die hieraus abgeleiteten Ziele berücksichtigen. Die Methoden können frei gewählt werden.</t>
        </is>
      </c>
      <c r="Q7" s="11" t="inlineStr"/>
      <c r="R7" s="11" t="inlineStr">
        <is>
          <t>Richtlinie zur Risikoanalyse</t>
        </is>
      </c>
      <c r="S7" s="12" t="inlineStr">
        <is>
          <t>einheitliche Methoden</t>
        </is>
      </c>
      <c r="T7" s="12" t="inlineStr"/>
      <c r="U7" s="11" t="n">
        <v>0</v>
      </c>
      <c r="V7" s="11" t="n"/>
      <c r="W7" s="11" t="n"/>
      <c r="X7" s="11" t="n"/>
      <c r="Y7" s="11" t="n"/>
    </row>
    <row r="8">
      <c r="A8" s="11" t="inlineStr">
        <is>
          <t>RISK.1.1</t>
        </is>
      </c>
      <c r="B8" s="12" t="inlineStr">
        <is>
          <t>Methodik für das Risikomanagement</t>
        </is>
      </c>
      <c r="C8" s="11" t="inlineStr">
        <is>
          <t>RISK.1.1</t>
        </is>
      </c>
      <c r="D8" s="11" t="inlineStr">
        <is>
          <t>Basis-Anforderungen</t>
        </is>
      </c>
      <c r="E8" s="12" t="inlineStr">
        <is>
          <t>Risikomanagement MUSS einheitliche Methoden nach einem anerkannten Standard verankern.</t>
        </is>
      </c>
      <c r="F8" s="14" t="n"/>
      <c r="G8" s="14" t="n"/>
      <c r="H8" s="14" t="inlineStr">
        <is>
          <t>unbearbeitet</t>
        </is>
      </c>
      <c r="I8" s="14" t="n"/>
      <c r="J8" s="14" t="n"/>
      <c r="K8" s="14" t="n"/>
      <c r="L8" s="15" t="n"/>
      <c r="M8" s="11" t="inlineStr"/>
      <c r="N8" s="12" t="inlineStr"/>
      <c r="O8" s="11" t="inlineStr"/>
      <c r="P8" s="12" t="inlineStr">
        <is>
          <t>Diese Methoden müssen den Kontext der Institution und die Anforderungen interessierter Parteien sowie die hieraus abgeleiteten Ziele berücksichtigen. Die Methoden können frei gewählt werden.</t>
        </is>
      </c>
      <c r="Q8" s="11" t="inlineStr"/>
      <c r="R8" s="11" t="inlineStr">
        <is>
          <t>Richtlinie zur Risikoanalyse</t>
        </is>
      </c>
      <c r="S8" s="12" t="inlineStr">
        <is>
          <t>einheitliche Methoden</t>
        </is>
      </c>
      <c r="T8" s="12" t="inlineStr"/>
      <c r="U8" s="11" t="n">
        <v>0</v>
      </c>
      <c r="V8" s="11" t="n"/>
      <c r="W8" s="11" t="n"/>
      <c r="X8" s="11" t="n"/>
      <c r="Y8" s="11" t="n"/>
    </row>
    <row r="9">
      <c r="A9" s="9" t="inlineStr">
        <is>
          <t>RISK.1.3</t>
        </is>
      </c>
      <c r="B9" s="10" t="inlineStr">
        <is>
          <t>Risikoeigentümer</t>
        </is>
      </c>
      <c r="C9" s="11" t="n"/>
      <c r="D9" s="11" t="inlineStr">
        <is>
          <t>Basis-Anforderungen</t>
        </is>
      </c>
      <c r="E9" s="12" t="inlineStr">
        <is>
          <t>Gesamt:</t>
        </is>
      </c>
      <c r="F9" s="11" t="n"/>
      <c r="G9" s="11" t="n"/>
      <c r="H9" s="13">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
      </c>
      <c r="I9" s="11" t="n"/>
      <c r="J9" s="11" t="n"/>
      <c r="K9" s="11" t="n"/>
      <c r="L9" s="11" t="n"/>
      <c r="M9" s="11" t="inlineStr"/>
      <c r="N9" s="12" t="inlineStr"/>
      <c r="O9" s="11" t="inlineStr"/>
      <c r="P9" s="12" t="inlineStr">
        <is>
          <t>Der Risikoeigentümer trägt die Verantwortung für die Behandlung von Risiken. Er verfügt über die Befugnis, Entscheidungen über eine geeignete Risikobehandlung zu treffen.</t>
        </is>
      </c>
      <c r="Q9" s="11" t="inlineStr"/>
      <c r="R9" s="11" t="inlineStr">
        <is>
          <t>Richtlinie zur Risikoanalyse</t>
        </is>
      </c>
      <c r="S9" s="12" t="inlineStr">
        <is>
          <t>die Rolle des Risikoeigentümers</t>
        </is>
      </c>
      <c r="T9" s="12" t="inlineStr"/>
      <c r="U9" s="11" t="n">
        <v>0</v>
      </c>
      <c r="V9" s="11" t="n"/>
      <c r="W9" s="11" t="n"/>
      <c r="X9" s="11" t="n"/>
      <c r="Y9" s="11" t="n"/>
    </row>
    <row r="10">
      <c r="A10" s="11" t="inlineStr">
        <is>
          <t>RISK.1.3</t>
        </is>
      </c>
      <c r="B10" s="12" t="inlineStr">
        <is>
          <t>Risikoeigentümer</t>
        </is>
      </c>
      <c r="C10" s="11" t="inlineStr">
        <is>
          <t>RISK.1.3</t>
        </is>
      </c>
      <c r="D10" s="11" t="inlineStr">
        <is>
          <t>Basis-Anforderungen</t>
        </is>
      </c>
      <c r="E10" s="12" t="inlineStr">
        <is>
          <t>Risikomanagement MUSS die Rolle des Risikoeigentümers mit den notwendigen Aufgaben und Befugnissen verankern.</t>
        </is>
      </c>
      <c r="F10" s="14" t="n"/>
      <c r="G10" s="14" t="n"/>
      <c r="H10" s="14" t="inlineStr">
        <is>
          <t>unbearbeitet</t>
        </is>
      </c>
      <c r="I10" s="14" t="n"/>
      <c r="J10" s="14" t="n"/>
      <c r="K10" s="14" t="n"/>
      <c r="L10" s="15" t="n"/>
      <c r="M10" s="11" t="inlineStr"/>
      <c r="N10" s="12" t="inlineStr"/>
      <c r="O10" s="11" t="inlineStr"/>
      <c r="P10" s="12" t="inlineStr">
        <is>
          <t>Der Risikoeigentümer trägt die Verantwortung für die Behandlung von Risiken. Er verfügt über die Befugnis, Entscheidungen über eine geeignete Risikobehandlung zu treffen.</t>
        </is>
      </c>
      <c r="Q10" s="11" t="inlineStr"/>
      <c r="R10" s="11" t="inlineStr">
        <is>
          <t>Richtlinie zur Risikoanalyse</t>
        </is>
      </c>
      <c r="S10" s="12" t="inlineStr">
        <is>
          <t>die Rolle des Risikoeigentümers</t>
        </is>
      </c>
      <c r="T10" s="12" t="inlineStr"/>
      <c r="U10" s="11" t="n">
        <v>0</v>
      </c>
      <c r="V10" s="11" t="n"/>
      <c r="W10" s="11" t="n"/>
      <c r="X10" s="11" t="n"/>
      <c r="Y10" s="11" t="n"/>
    </row>
    <row r="11">
      <c r="A11" s="9" t="inlineStr">
        <is>
          <t>RISK.1.5</t>
        </is>
      </c>
      <c r="B11" s="10" t="inlineStr">
        <is>
          <t>Freigabe des Risikomanagements</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Diese Dokumentation der Autorisierung dient der Nachvollziehbarkeit und Verbindlichkeit.</t>
        </is>
      </c>
      <c r="Q11" s="11" t="inlineStr"/>
      <c r="R11" s="11" t="inlineStr">
        <is>
          <t>Richtlinie zur Risikoanalyse</t>
        </is>
      </c>
      <c r="S11" s="12" t="inlineStr">
        <is>
          <t>Verfahren, Rollendefinitionen und Kriterien</t>
        </is>
      </c>
      <c r="T11" s="12" t="inlineStr"/>
      <c r="U11" s="11" t="n">
        <v>0</v>
      </c>
      <c r="V11" s="11" t="n"/>
      <c r="W11" s="11" t="n"/>
      <c r="X11" s="11" t="n"/>
      <c r="Y11" s="11" t="n"/>
    </row>
    <row r="12">
      <c r="A12" s="11" t="inlineStr">
        <is>
          <t>RISK.1.5</t>
        </is>
      </c>
      <c r="B12" s="12" t="inlineStr">
        <is>
          <t>Freigabe des Risikomanagements</t>
        </is>
      </c>
      <c r="C12" s="11" t="inlineStr">
        <is>
          <t>RISK.1.5</t>
        </is>
      </c>
      <c r="D12" s="11" t="inlineStr">
        <is>
          <t>Basis-Anforderungen</t>
        </is>
      </c>
      <c r="E12" s="12" t="inlineStr">
        <is>
          <t>Risikomanagement MUSS Verfahren, Rollendefinitionen und Kriterien durch die Institutionsleitung autorisieren.</t>
        </is>
      </c>
      <c r="F12" s="14" t="n"/>
      <c r="G12" s="14" t="n"/>
      <c r="H12" s="14" t="inlineStr">
        <is>
          <t>unbearbeitet</t>
        </is>
      </c>
      <c r="I12" s="14" t="n"/>
      <c r="J12" s="14" t="n"/>
      <c r="K12" s="14" t="n"/>
      <c r="L12" s="15" t="n"/>
      <c r="M12" s="11" t="inlineStr"/>
      <c r="N12" s="12" t="inlineStr"/>
      <c r="O12" s="11" t="inlineStr"/>
      <c r="P12" s="12" t="inlineStr">
        <is>
          <t>Diese Dokumentation der Autorisierung dient der Nachvollziehbarkeit und Verbindlichkeit.</t>
        </is>
      </c>
      <c r="Q12" s="11" t="inlineStr"/>
      <c r="R12" s="11" t="inlineStr">
        <is>
          <t>Richtlinie zur Risikoanalyse</t>
        </is>
      </c>
      <c r="S12" s="12" t="inlineStr">
        <is>
          <t>Verfahren, Rollendefinitionen und Kriterien</t>
        </is>
      </c>
      <c r="T12" s="12" t="inlineStr"/>
      <c r="U12" s="11" t="n">
        <v>0</v>
      </c>
      <c r="V12" s="11" t="n"/>
      <c r="W12" s="11" t="n"/>
      <c r="X12" s="11" t="n"/>
      <c r="Y12" s="11" t="n"/>
    </row>
    <row r="13">
      <c r="A13" s="9" t="inlineStr">
        <is>
          <t>RISK.1.10</t>
        </is>
      </c>
      <c r="B13" s="10" t="inlineStr">
        <is>
          <t>Freigabe der Umsetzungsplanung</t>
        </is>
      </c>
      <c r="C13" s="11" t="n"/>
      <c r="D13" s="11" t="inlineStr">
        <is>
          <t>Basis-Anforderungen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is>
      </c>
      <c r="Q13" s="11" t="inlineStr"/>
      <c r="R13" s="11" t="inlineStr">
        <is>
          <t>Umsetzungsplan</t>
        </is>
      </c>
      <c r="S13" s="12" t="inlineStr">
        <is>
          <t>die Umsetzungsplanung</t>
        </is>
      </c>
      <c r="T13" s="12" t="inlineStr"/>
      <c r="U13" s="11" t="n">
        <v>0</v>
      </c>
      <c r="V13" s="11" t="n"/>
      <c r="W13" s="11" t="n"/>
      <c r="X13" s="11" t="n"/>
      <c r="Y13" s="11" t="n"/>
    </row>
    <row r="14">
      <c r="A14" s="11" t="inlineStr">
        <is>
          <t>RISK.1.10</t>
        </is>
      </c>
      <c r="B14" s="12" t="inlineStr">
        <is>
          <t>Freigabe der Umsetzungsplanung</t>
        </is>
      </c>
      <c r="C14" s="11" t="inlineStr">
        <is>
          <t>RISK.1.10</t>
        </is>
      </c>
      <c r="D14" s="11" t="inlineStr">
        <is>
          <t>Basis-Anforderungen</t>
        </is>
      </c>
      <c r="E14" s="12" t="inlineStr">
        <is>
          <t>Risikomanagement MUSS die Umsetzungsplanung durch die Risikoeigentümer autorisieren.</t>
        </is>
      </c>
      <c r="F14" s="14" t="n"/>
      <c r="G14" s="14" t="n"/>
      <c r="H14" s="14" t="inlineStr">
        <is>
          <t>unbearbeitet</t>
        </is>
      </c>
      <c r="I14" s="14" t="n"/>
      <c r="J14" s="14" t="n"/>
      <c r="K14" s="14" t="n"/>
      <c r="L14" s="15" t="n"/>
      <c r="M14" s="11" t="inlineStr"/>
      <c r="N14" s="12" t="inlineStr"/>
      <c r="O14" s="11" t="inlineStr"/>
      <c r="P14" s="12" t="inlineStr">
        <is>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is>
      </c>
      <c r="Q14" s="11" t="inlineStr"/>
      <c r="R14" s="11" t="inlineStr">
        <is>
          <t>Umsetzungsplan</t>
        </is>
      </c>
      <c r="S14" s="12" t="inlineStr">
        <is>
          <t>die Umsetzungsplanung</t>
        </is>
      </c>
      <c r="T14" s="12" t="inlineStr"/>
      <c r="U14" s="11" t="n">
        <v>0</v>
      </c>
      <c r="V14" s="11" t="n"/>
      <c r="W14" s="11" t="n"/>
      <c r="X14" s="11" t="n"/>
      <c r="Y14" s="11" t="n"/>
    </row>
  </sheetData>
  <autoFilter ref="A6:Y6"/>
  <conditionalFormatting sqref="H7:H14">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10 H12 H14"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168"/>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SENS</t>
        </is>
      </c>
      <c r="B3" s="6" t="inlineStr">
        <is>
          <t>Sensibilisierung</t>
        </is>
      </c>
    </row>
    <row r="4">
      <c r="A4" s="3" t="inlineStr">
        <is>
          <t>Zielobjekte</t>
        </is>
      </c>
      <c r="B4" s="7">
        <f>IF('Praktiken'!D20="","",'Praktiken'!D20)</f>
        <v/>
      </c>
    </row>
    <row r="5">
      <c r="A5" s="3" t="inlineStr">
        <is>
          <t>Zuständig</t>
        </is>
      </c>
      <c r="B5" s="7">
        <f>IF('Praktiken'!S20="","",'Praktiken'!S20)</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SENS.1.1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is>
          <t>Vertraulichkeit</t>
        </is>
      </c>
      <c r="N7" s="12" t="inlineStr">
        <is>
          <t>ORP.3.A9-UA.1</t>
        </is>
      </c>
      <c r="O7" s="11" t="inlineStr">
        <is>
          <t>intersects-with</t>
        </is>
      </c>
      <c r="P7" s="12" t="inlineStr">
        <is>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is>
      </c>
      <c r="Q7" s="11" t="inlineStr"/>
      <c r="R7" s="11" t="inlineStr"/>
      <c r="S7" s="12" t="inlineStr">
        <is>
          <t>Verfahren und Regelungen zur rollenspezifischen Schulung und Sensibilisierung</t>
        </is>
      </c>
      <c r="T7" s="12" t="inlineStr">
        <is>
          <t>G 0.18 – Fehlplanung oder fehlende Anpassung</t>
        </is>
      </c>
      <c r="U7" s="11" t="n">
        <v>0</v>
      </c>
      <c r="V7" s="11" t="n">
        <v>2</v>
      </c>
      <c r="W7" s="11" t="n">
        <v>1</v>
      </c>
      <c r="X7" s="11" t="n">
        <v>1</v>
      </c>
      <c r="Y7" s="11" t="n">
        <v>0</v>
      </c>
    </row>
    <row r="8">
      <c r="A8" s="11" t="inlineStr">
        <is>
          <t>SENS.1.1</t>
        </is>
      </c>
      <c r="B8" s="12" t="inlineStr">
        <is>
          <t>Verfahren und Regelungen</t>
        </is>
      </c>
      <c r="C8" s="11" t="inlineStr">
        <is>
          <t>SENS.1.1.1</t>
        </is>
      </c>
      <c r="D8" s="11" t="inlineStr">
        <is>
          <t>Basis-Anforderungen</t>
        </is>
      </c>
      <c r="E8" s="12" t="inlineStr">
        <is>
          <t>Sensibilisierung MUSS die Verfahren und Regelungen dokumentieren.</t>
        </is>
      </c>
      <c r="F8" s="14" t="n"/>
      <c r="G8" s="14" t="n"/>
      <c r="H8" s="14" t="inlineStr">
        <is>
          <t>unbearbeitet</t>
        </is>
      </c>
      <c r="I8" s="14" t="n"/>
      <c r="J8" s="14" t="n"/>
      <c r="K8" s="14" t="n"/>
      <c r="L8" s="15" t="n"/>
      <c r="M8" s="11" t="inlineStr">
        <is>
          <t>Verfügbarkeit</t>
        </is>
      </c>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t>
        </is>
      </c>
      <c r="U8" s="11" t="n">
        <v>0</v>
      </c>
      <c r="V8" s="11" t="n">
        <v>1</v>
      </c>
      <c r="W8" s="11" t="n">
        <v>1</v>
      </c>
      <c r="X8" s="11" t="n">
        <v>2</v>
      </c>
      <c r="Y8" s="11" t="n">
        <v>1</v>
      </c>
    </row>
    <row r="9">
      <c r="A9" s="11" t="inlineStr">
        <is>
          <t>SENS.1.1</t>
        </is>
      </c>
      <c r="B9" s="12" t="inlineStr">
        <is>
          <t>Verfahren und Regelungen</t>
        </is>
      </c>
      <c r="C9" s="11" t="inlineStr">
        <is>
          <t>SENS.1.1.2</t>
        </is>
      </c>
      <c r="D9" s="11" t="inlineStr">
        <is>
          <t>Basis-Anforderungen</t>
        </is>
      </c>
      <c r="E9" s="12" t="inlineStr">
        <is>
          <t>Sensibilisierung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SENS.1.1</t>
        </is>
      </c>
      <c r="B10" s="12" t="inlineStr">
        <is>
          <t>Verfahren und Regelungen</t>
        </is>
      </c>
      <c r="C10" s="11" t="inlineStr">
        <is>
          <t>SENS.1.1.3</t>
        </is>
      </c>
      <c r="D10" s="11" t="inlineStr">
        <is>
          <t>Basis-Anforderungen</t>
        </is>
      </c>
      <c r="E10" s="12" t="inlineStr">
        <is>
          <t>Sensibilisierung MUSS die zuständigen Personen oder Rollen über die Verfahren und Regelungen informieren.</t>
        </is>
      </c>
      <c r="F10" s="14" t="n"/>
      <c r="G10" s="14" t="n"/>
      <c r="H10" s="14" t="inlineStr">
        <is>
          <t>unbearbeitet</t>
        </is>
      </c>
      <c r="I10" s="14" t="n"/>
      <c r="J10" s="14" t="n"/>
      <c r="K10" s="14" t="n"/>
      <c r="L10" s="15" t="n"/>
      <c r="M10" s="11" t="inlineStr">
        <is>
          <t>Vertraulichkeit</t>
        </is>
      </c>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2</v>
      </c>
      <c r="W10" s="11" t="n">
        <v>1</v>
      </c>
      <c r="X10" s="11" t="n">
        <v>1</v>
      </c>
      <c r="Y10" s="11" t="n">
        <v>0</v>
      </c>
    </row>
    <row r="11">
      <c r="A11" s="9" t="inlineStr">
        <is>
          <t>SENS.1.2</t>
        </is>
      </c>
      <c r="B11" s="10" t="inlineStr">
        <is>
          <t>Erfolgsmessung</t>
        </is>
      </c>
      <c r="C11" s="11" t="n"/>
      <c r="D11" s="11" t="inlineStr">
        <is>
          <t>Standard-Anforderungen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is>
      </c>
      <c r="Q11" s="11" t="inlineStr"/>
      <c r="R11" s="11" t="inlineStr">
        <is>
          <t>Übungsplan</t>
        </is>
      </c>
      <c r="S11" s="12" t="inlineStr">
        <is>
          <t>den Erfolg der Sensibilisierung anhand {{objektivierter Kriterien}}</t>
        </is>
      </c>
      <c r="T11" s="12" t="inlineStr">
        <is>
          <t>G 0.18 – Fehlplanung oder fehlende Anpassung</t>
        </is>
      </c>
      <c r="U11" s="11" t="n">
        <v>3</v>
      </c>
      <c r="V11" s="11" t="n">
        <v>1</v>
      </c>
      <c r="W11" s="11" t="n">
        <v>1</v>
      </c>
      <c r="X11" s="11" t="n">
        <v>1</v>
      </c>
      <c r="Y11" s="11" t="n">
        <v>0</v>
      </c>
    </row>
    <row r="12">
      <c r="A12" s="11" t="inlineStr">
        <is>
          <t>SENS.1.2</t>
        </is>
      </c>
      <c r="B12" s="12" t="inlineStr">
        <is>
          <t>Erfolgsmessung</t>
        </is>
      </c>
      <c r="C12" s="11" t="inlineStr">
        <is>
          <t>SENS.1.2</t>
        </is>
      </c>
      <c r="D12" s="11" t="inlineStr">
        <is>
          <t>Standard-Anforderungen</t>
        </is>
      </c>
      <c r="E12" s="12" t="inlineStr">
        <is>
          <t>Sensibilisierung SOLLTE den Erfolg der Sensibilisierung anhand objektivierter Kriterien regelmäßig überprüfen.</t>
        </is>
      </c>
      <c r="F12" s="14" t="n"/>
      <c r="G12" s="14" t="n"/>
      <c r="H12" s="14" t="inlineStr">
        <is>
          <t>unbearbeitet</t>
        </is>
      </c>
      <c r="I12" s="14" t="n"/>
      <c r="J12" s="14" t="n"/>
      <c r="K12" s="14" t="n"/>
      <c r="L12" s="15" t="n"/>
      <c r="M12" s="11" t="inlineStr"/>
      <c r="N12" s="12" t="inlineStr"/>
      <c r="O12" s="11" t="inlineStr"/>
      <c r="P12" s="12" t="inlineStr">
        <is>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is>
      </c>
      <c r="Q12" s="11" t="inlineStr"/>
      <c r="R12" s="11" t="inlineStr">
        <is>
          <t>Übungsplan</t>
        </is>
      </c>
      <c r="S12" s="12" t="inlineStr">
        <is>
          <t>den Erfolg der Sensibilisierung anhand {{objektivierter Kriterien}}</t>
        </is>
      </c>
      <c r="T12" s="12" t="inlineStr">
        <is>
          <t>G 0.18 – Fehlplanung oder fehlende Anpassung</t>
        </is>
      </c>
      <c r="U12" s="11" t="n">
        <v>3</v>
      </c>
      <c r="V12" s="11" t="n">
        <v>1</v>
      </c>
      <c r="W12" s="11" t="n">
        <v>1</v>
      </c>
      <c r="X12" s="11" t="n">
        <v>1</v>
      </c>
      <c r="Y12" s="11" t="n">
        <v>0</v>
      </c>
    </row>
    <row r="13">
      <c r="A13" s="9" t="inlineStr">
        <is>
          <t>SENS.2.1</t>
        </is>
      </c>
      <c r="B13" s="10" t="inlineStr">
        <is>
          <t>Schutzziele</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Für die grundlegende Schulung kann z.B. auf den Online-Kurs des BSI zum IT-Grundschutz zurückgegriffen werden.</t>
        </is>
      </c>
      <c r="Q13" s="11" t="inlineStr">
        <is>
          <t>Nutzende</t>
        </is>
      </c>
      <c r="R13" s="11" t="inlineStr">
        <is>
          <t>Schulungsplan</t>
        </is>
      </c>
      <c r="S13" s="12" t="inlineStr">
        <is>
          <t>zu den Schutzzielen Verfügbarkeit, Vertraulichkeit und Integrität</t>
        </is>
      </c>
      <c r="T13" s="12" t="inlineStr">
        <is>
          <t>G 0.31 – Fehlerhafte Nutzung oder Administration von Geräten und Systemen; G 0.42 – Social Engineering</t>
        </is>
      </c>
      <c r="U13" s="11" t="n">
        <v>1</v>
      </c>
      <c r="V13" s="11" t="n">
        <v>1</v>
      </c>
      <c r="W13" s="11" t="n">
        <v>1</v>
      </c>
      <c r="X13" s="11" t="n">
        <v>1</v>
      </c>
      <c r="Y13" s="11" t="n">
        <v>0</v>
      </c>
    </row>
    <row r="14">
      <c r="A14" s="11" t="inlineStr">
        <is>
          <t>SENS.2.1</t>
        </is>
      </c>
      <c r="B14" s="12" t="inlineStr">
        <is>
          <t>Schutzziele</t>
        </is>
      </c>
      <c r="C14" s="11" t="inlineStr">
        <is>
          <t>SENS.2.1</t>
        </is>
      </c>
      <c r="D14" s="11" t="inlineStr">
        <is>
          <t>Standard-Anforderungen</t>
        </is>
      </c>
      <c r="E14" s="12" t="inlineStr">
        <is>
          <t>Sensibilisierung für Nutzende SOLLTE zu den Schutzzielen Verfügbarkeit, Vertraulichkeit und Integrität sensibilisieren.</t>
        </is>
      </c>
      <c r="F14" s="14" t="n"/>
      <c r="G14" s="14" t="n"/>
      <c r="H14" s="14" t="inlineStr">
        <is>
          <t>unbearbeitet</t>
        </is>
      </c>
      <c r="I14" s="14" t="n"/>
      <c r="J14" s="14" t="n"/>
      <c r="K14" s="14" t="n"/>
      <c r="L14" s="15" t="n"/>
      <c r="M14" s="11" t="inlineStr"/>
      <c r="N14" s="12" t="inlineStr"/>
      <c r="O14" s="11" t="inlineStr"/>
      <c r="P14" s="12" t="inlineStr">
        <is>
          <t>Für die grundlegende Schulung kann z.B. auf den Online-Kurs des BSI zum IT-Grundschutz zurückgegriffen werden.</t>
        </is>
      </c>
      <c r="Q14" s="11" t="inlineStr">
        <is>
          <t>Nutzende</t>
        </is>
      </c>
      <c r="R14" s="11" t="inlineStr">
        <is>
          <t>Schulungsplan</t>
        </is>
      </c>
      <c r="S14" s="12" t="inlineStr">
        <is>
          <t>zu den Schutzzielen Verfügbarkeit, Vertraulichkeit und Integrität</t>
        </is>
      </c>
      <c r="T14" s="12" t="inlineStr">
        <is>
          <t>G 0.31 – Fehlerhafte Nutzung oder Administration von Geräten und Systemen; G 0.42 – Social Engineering</t>
        </is>
      </c>
      <c r="U14" s="11" t="n">
        <v>1</v>
      </c>
      <c r="V14" s="11" t="n">
        <v>1</v>
      </c>
      <c r="W14" s="11" t="n">
        <v>1</v>
      </c>
      <c r="X14" s="11" t="n">
        <v>1</v>
      </c>
      <c r="Y14" s="11" t="n">
        <v>0</v>
      </c>
    </row>
    <row r="15">
      <c r="A15" s="9" t="inlineStr">
        <is>
          <t>SENS.2.2</t>
        </is>
      </c>
      <c r="B15" s="10" t="inlineStr">
        <is>
          <t>Meldewege</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c r="O15" s="11" t="inlineStr"/>
      <c r="P15" s="12" t="inlineStr">
        <is>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is>
      </c>
      <c r="Q15" s="11" t="inlineStr">
        <is>
          <t>Nutzende</t>
        </is>
      </c>
      <c r="R15" s="11" t="inlineStr">
        <is>
          <t>Arbeitsanweisung</t>
        </is>
      </c>
      <c r="S15" s="12" t="inlineStr">
        <is>
          <t>zu den Meldewegen und Informationsquellen bei Fragen</t>
        </is>
      </c>
      <c r="T15" s="12" t="inlineStr">
        <is>
          <t>G 0.31 – Fehlerhafte Nutzung oder Administration von Geräten und Systemen; G 0.42 – Social Engineering</t>
        </is>
      </c>
      <c r="U15" s="11" t="n">
        <v>2</v>
      </c>
      <c r="V15" s="11" t="n">
        <v>1</v>
      </c>
      <c r="W15" s="11" t="n">
        <v>1</v>
      </c>
      <c r="X15" s="11" t="n">
        <v>1</v>
      </c>
      <c r="Y15" s="11" t="n">
        <v>0</v>
      </c>
    </row>
    <row r="16">
      <c r="A16" s="11" t="inlineStr">
        <is>
          <t>SENS.2.2</t>
        </is>
      </c>
      <c r="B16" s="12" t="inlineStr">
        <is>
          <t>Meldewege</t>
        </is>
      </c>
      <c r="C16" s="11" t="inlineStr">
        <is>
          <t>SENS.2.2</t>
        </is>
      </c>
      <c r="D16" s="11" t="inlineStr">
        <is>
          <t>Standard-Anforderungen</t>
        </is>
      </c>
      <c r="E16" s="12" t="inlineStr">
        <is>
          <t>Sensibilisierung für Nutzende SOLLTE zu den Meldewegen und Informationsquellen bei Fragen informieren.</t>
        </is>
      </c>
      <c r="F16" s="14" t="n"/>
      <c r="G16" s="14" t="n"/>
      <c r="H16" s="14" t="inlineStr">
        <is>
          <t>unbearbeitet</t>
        </is>
      </c>
      <c r="I16" s="14" t="n"/>
      <c r="J16" s="14" t="n"/>
      <c r="K16" s="14" t="n"/>
      <c r="L16" s="15" t="n"/>
      <c r="M16" s="11" t="inlineStr"/>
      <c r="N16" s="12" t="inlineStr"/>
      <c r="O16" s="11" t="inlineStr"/>
      <c r="P16" s="12" t="inlineStr">
        <is>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is>
      </c>
      <c r="Q16" s="11" t="inlineStr">
        <is>
          <t>Nutzende</t>
        </is>
      </c>
      <c r="R16" s="11" t="inlineStr">
        <is>
          <t>Arbeitsanweisung</t>
        </is>
      </c>
      <c r="S16" s="12" t="inlineStr">
        <is>
          <t>zu den Meldewegen und Informationsquellen bei Fragen</t>
        </is>
      </c>
      <c r="T16" s="12" t="inlineStr">
        <is>
          <t>G 0.31 – Fehlerhafte Nutzung oder Administration von Geräten und Systemen; G 0.42 – Social Engineering</t>
        </is>
      </c>
      <c r="U16" s="11" t="n">
        <v>2</v>
      </c>
      <c r="V16" s="11" t="n">
        <v>1</v>
      </c>
      <c r="W16" s="11" t="n">
        <v>1</v>
      </c>
      <c r="X16" s="11" t="n">
        <v>1</v>
      </c>
      <c r="Y16" s="11" t="n">
        <v>0</v>
      </c>
    </row>
    <row r="17">
      <c r="A17" s="9" t="inlineStr">
        <is>
          <t>SENS.2.3</t>
        </is>
      </c>
      <c r="B17" s="10" t="inlineStr">
        <is>
          <t>Verschlüsselung und Signatur</t>
        </is>
      </c>
      <c r="C17" s="11" t="n"/>
      <c r="D17" s="11" t="inlineStr">
        <is>
          <t>Standard-Anforderungen</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is>
          <t>Vertraulichkeit</t>
        </is>
      </c>
      <c r="N17" s="12" t="inlineStr">
        <is>
          <t>APP.1.1.A17-UA.5</t>
        </is>
      </c>
      <c r="O17" s="11" t="inlineStr">
        <is>
          <t>intersects-with</t>
        </is>
      </c>
      <c r="P17" s="12" t="inlineStr">
        <is>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is>
      </c>
      <c r="Q17" s="11" t="inlineStr">
        <is>
          <t>Nutzende, Anwendungen</t>
        </is>
      </c>
      <c r="R17" s="11" t="inlineStr">
        <is>
          <t>Schulungsplan</t>
        </is>
      </c>
      <c r="S17" s="12" t="inlineStr">
        <is>
          <t>zur Bedienung von Verschlüsselungs- und Signaturfunktionen</t>
        </is>
      </c>
      <c r="T17" s="12" t="inlineStr">
        <is>
          <t>G 0.31 – Fehlerhafte Nutzung oder Administration von Geräten und Systemen; G 0.42 – Social Engineering</t>
        </is>
      </c>
      <c r="U17" s="11" t="n">
        <v>3</v>
      </c>
      <c r="V17" s="11" t="n">
        <v>2</v>
      </c>
      <c r="W17" s="11" t="n">
        <v>1</v>
      </c>
      <c r="X17" s="11" t="n">
        <v>1</v>
      </c>
      <c r="Y17" s="11" t="n">
        <v>0</v>
      </c>
    </row>
    <row r="18">
      <c r="A18" s="11" t="inlineStr">
        <is>
          <t>SENS.2.3</t>
        </is>
      </c>
      <c r="B18" s="12" t="inlineStr">
        <is>
          <t>Verschlüsselung und Signatur</t>
        </is>
      </c>
      <c r="C18" s="11" t="inlineStr">
        <is>
          <t>SENS.2.3</t>
        </is>
      </c>
      <c r="D18" s="11" t="inlineStr">
        <is>
          <t>Standard-Anforderungen</t>
        </is>
      </c>
      <c r="E18" s="12" t="inlineStr">
        <is>
          <t>Sensibilisierung für Nutzende von Anwendungen SOLLTE zur Bedienung von Verschlüsselungs- und Signaturfunktionen sensibilisieren.</t>
        </is>
      </c>
      <c r="F18" s="14" t="n"/>
      <c r="G18" s="14" t="n"/>
      <c r="H18" s="14" t="inlineStr">
        <is>
          <t>unbearbeitet</t>
        </is>
      </c>
      <c r="I18" s="14" t="n"/>
      <c r="J18" s="14" t="n"/>
      <c r="K18" s="14" t="n"/>
      <c r="L18" s="15" t="n"/>
      <c r="M18" s="11" t="inlineStr">
        <is>
          <t>Vertraulichkeit</t>
        </is>
      </c>
      <c r="N18" s="12" t="inlineStr">
        <is>
          <t>APP.1.1.A17-UA.5</t>
        </is>
      </c>
      <c r="O18" s="11" t="inlineStr">
        <is>
          <t>intersects-with</t>
        </is>
      </c>
      <c r="P18" s="12" t="inlineStr">
        <is>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is>
      </c>
      <c r="Q18" s="11" t="inlineStr">
        <is>
          <t>Nutzende, Anwendungen</t>
        </is>
      </c>
      <c r="R18" s="11" t="inlineStr">
        <is>
          <t>Schulungsplan</t>
        </is>
      </c>
      <c r="S18" s="12" t="inlineStr">
        <is>
          <t>zur Bedienung von Verschlüsselungs- und Signaturfunktionen</t>
        </is>
      </c>
      <c r="T18" s="12" t="inlineStr">
        <is>
          <t>G 0.31 – Fehlerhafte Nutzung oder Administration von Geräten und Systemen; G 0.42 – Social Engineering</t>
        </is>
      </c>
      <c r="U18" s="11" t="n">
        <v>3</v>
      </c>
      <c r="V18" s="11" t="n">
        <v>2</v>
      </c>
      <c r="W18" s="11" t="n">
        <v>1</v>
      </c>
      <c r="X18" s="11" t="n">
        <v>1</v>
      </c>
      <c r="Y18" s="11" t="n">
        <v>0</v>
      </c>
    </row>
    <row r="19">
      <c r="A19" s="9" t="inlineStr">
        <is>
          <t>SENS.2.4</t>
        </is>
      </c>
      <c r="B19" s="10" t="inlineStr">
        <is>
          <t>Nutzung unautorisierter Assets</t>
        </is>
      </c>
      <c r="C19" s="11" t="n"/>
      <c r="D19" s="11" t="inlineStr">
        <is>
          <t>Standard-Anforderungen</t>
        </is>
      </c>
      <c r="E19" s="12" t="inlineStr">
        <is>
          <t>Gesamt:</t>
        </is>
      </c>
      <c r="F19" s="11" t="n"/>
      <c r="G19" s="11" t="n"/>
      <c r="H19" s="13">
        <f>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
      </c>
      <c r="I19" s="11" t="n"/>
      <c r="J19" s="11" t="n"/>
      <c r="K19" s="11" t="n"/>
      <c r="L19" s="11" t="n"/>
      <c r="M19" s="11" t="inlineStr">
        <is>
          <t>Vertraulichkeit</t>
        </is>
      </c>
      <c r="N19" s="12" t="inlineStr"/>
      <c r="O19" s="11" t="inlineStr"/>
      <c r="P19" s="12" t="inlineStr">
        <is>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is>
      </c>
      <c r="Q19" s="11" t="inlineStr">
        <is>
          <t>Nutzende</t>
        </is>
      </c>
      <c r="R19" s="11" t="inlineStr">
        <is>
          <t>Arbeitsanweisung</t>
        </is>
      </c>
      <c r="S19" s="12" t="inlineStr">
        <is>
          <t>die Nutzung unautorisierter Assets</t>
        </is>
      </c>
      <c r="T19" s="12" t="inlineStr">
        <is>
          <t>G 0.31 – Fehlerhafte Nutzung oder Administration von Geräten und Systemen; G 0.42 – Social Engineering</t>
        </is>
      </c>
      <c r="U19" s="11" t="n">
        <v>3</v>
      </c>
      <c r="V19" s="11" t="n">
        <v>2</v>
      </c>
      <c r="W19" s="11" t="n">
        <v>1</v>
      </c>
      <c r="X19" s="11" t="n">
        <v>1</v>
      </c>
      <c r="Y19" s="11" t="n">
        <v>0</v>
      </c>
    </row>
    <row r="20">
      <c r="A20" s="11" t="inlineStr">
        <is>
          <t>SENS.2.4</t>
        </is>
      </c>
      <c r="B20" s="12" t="inlineStr">
        <is>
          <t>Nutzung unautorisierter Assets</t>
        </is>
      </c>
      <c r="C20" s="11" t="inlineStr">
        <is>
          <t>SENS.2.4</t>
        </is>
      </c>
      <c r="D20" s="11" t="inlineStr">
        <is>
          <t>Standard-Anforderungen</t>
        </is>
      </c>
      <c r="E20" s="12" t="inlineStr">
        <is>
          <t>Sensibilisierung für Nutzende SOLLTE die Nutzung unautorisierter Assets untersagen.</t>
        </is>
      </c>
      <c r="F20" s="14" t="n"/>
      <c r="G20" s="14" t="n"/>
      <c r="H20" s="14" t="inlineStr">
        <is>
          <t>unbearbeitet</t>
        </is>
      </c>
      <c r="I20" s="14" t="n"/>
      <c r="J20" s="14" t="n"/>
      <c r="K20" s="14" t="n"/>
      <c r="L20" s="15" t="n"/>
      <c r="M20" s="11" t="inlineStr">
        <is>
          <t>Vertraulichkeit</t>
        </is>
      </c>
      <c r="N20" s="12" t="inlineStr"/>
      <c r="O20" s="11" t="inlineStr"/>
      <c r="P20" s="12" t="inlineStr">
        <is>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is>
      </c>
      <c r="Q20" s="11" t="inlineStr">
        <is>
          <t>Nutzende</t>
        </is>
      </c>
      <c r="R20" s="11" t="inlineStr">
        <is>
          <t>Arbeitsanweisung</t>
        </is>
      </c>
      <c r="S20" s="12" t="inlineStr">
        <is>
          <t>die Nutzung unautorisierter Assets</t>
        </is>
      </c>
      <c r="T20" s="12" t="inlineStr">
        <is>
          <t>G 0.31 – Fehlerhafte Nutzung oder Administration von Geräten und Systemen; G 0.42 – Social Engineering</t>
        </is>
      </c>
      <c r="U20" s="11" t="n">
        <v>3</v>
      </c>
      <c r="V20" s="11" t="n">
        <v>2</v>
      </c>
      <c r="W20" s="11" t="n">
        <v>1</v>
      </c>
      <c r="X20" s="11" t="n">
        <v>1</v>
      </c>
      <c r="Y20" s="11" t="n">
        <v>0</v>
      </c>
    </row>
    <row r="21">
      <c r="A21" s="11" t="inlineStr">
        <is>
          <t>SENS.2.4</t>
        </is>
      </c>
      <c r="B21" s="12" t="inlineStr">
        <is>
          <t>Nutzung unautorisierter Assets</t>
        </is>
      </c>
      <c r="C21" s="11" t="inlineStr">
        <is>
          <t>SENS.2.4.1</t>
        </is>
      </c>
      <c r="D21" s="11" t="inlineStr">
        <is>
          <t>Standard-Anforderungen</t>
        </is>
      </c>
      <c r="E21" s="12" t="inlineStr">
        <is>
          <t>Sensibilisierung für Nutzende SOLLTE die Verbindung unautorisierter IT-Systeme mit internen Netzen oder Schnittstellen untersagen.</t>
        </is>
      </c>
      <c r="F21" s="14" t="n"/>
      <c r="G21" s="14" t="n"/>
      <c r="H21" s="14" t="inlineStr">
        <is>
          <t>unbearbeitet</t>
        </is>
      </c>
      <c r="I21" s="14" t="n"/>
      <c r="J21" s="14" t="n"/>
      <c r="K21" s="14" t="n"/>
      <c r="L21" s="15" t="n"/>
      <c r="M21" s="11" t="inlineStr">
        <is>
          <t>Vertraulichkeit</t>
        </is>
      </c>
      <c r="N21" s="12" t="inlineStr"/>
      <c r="O21" s="11" t="inlineStr"/>
      <c r="P21" s="12" t="inlineStr">
        <is>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is>
      </c>
      <c r="Q21" s="11" t="inlineStr">
        <is>
          <t>Nutzende</t>
        </is>
      </c>
      <c r="R21" s="11" t="inlineStr">
        <is>
          <t>Arbeitsanweisung</t>
        </is>
      </c>
      <c r="S21" s="12" t="inlineStr">
        <is>
          <t>die Verbindung unautorisierter IT-Systeme mit internen Netzen oder Schnittstellen</t>
        </is>
      </c>
      <c r="T21" s="12" t="inlineStr">
        <is>
          <t>G 0.31 – Fehlerhafte Nutzung oder Administration von Geräten und Systemen; G 0.42 – Social Engineering</t>
        </is>
      </c>
      <c r="U21" s="11" t="n">
        <v>3</v>
      </c>
      <c r="V21" s="11" t="n">
        <v>2</v>
      </c>
      <c r="W21" s="11" t="n">
        <v>1</v>
      </c>
      <c r="X21" s="11" t="n">
        <v>1</v>
      </c>
      <c r="Y21" s="11" t="n">
        <v>0</v>
      </c>
    </row>
    <row r="22">
      <c r="A22" s="9" t="inlineStr">
        <is>
          <t>SENS.2.5</t>
        </is>
      </c>
      <c r="B22" s="10" t="inlineStr">
        <is>
          <t>Zuständigkeitsbereiche</t>
        </is>
      </c>
      <c r="C22" s="11" t="n"/>
      <c r="D22" s="11" t="inlineStr">
        <is>
          <t>Standard-Anforderungen</t>
        </is>
      </c>
      <c r="E22" s="12" t="inlineStr">
        <is>
          <t>Gesamt:</t>
        </is>
      </c>
      <c r="F22" s="11" t="n"/>
      <c r="G22" s="11" t="n"/>
      <c r="H22" s="13">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
      </c>
      <c r="I22" s="11" t="n"/>
      <c r="J22" s="11" t="n"/>
      <c r="K22" s="11" t="n"/>
      <c r="L22" s="11" t="n"/>
      <c r="M22" s="11" t="inlineStr"/>
      <c r="N22" s="12" t="inlineStr"/>
      <c r="O22" s="11" t="inlineStr"/>
      <c r="P22" s="12" t="inlineStr">
        <is>
          <t>Hiermit ist der Schutzbedarf des Zuständigkeitsbereichs des jeweiligen Nutzenden gemeint. Die Schnittstellen zu anderen Zuständigkeitsbereichen und deren entsprechender Schutzbedarf ist ebenfalls zu betrachten.</t>
        </is>
      </c>
      <c r="Q22" s="11" t="inlineStr">
        <is>
          <t>Nutzende</t>
        </is>
      </c>
      <c r="R22" s="11" t="inlineStr">
        <is>
          <t>Schulungsplan</t>
        </is>
      </c>
      <c r="S22" s="12" t="inlineStr">
        <is>
          <t>zu Schutzbedarf und Schnittstellen</t>
        </is>
      </c>
      <c r="T22" s="12" t="inlineStr">
        <is>
          <t>G 0.31 – Fehlerhafte Nutzung oder Administration von Geräten und Systemen; G 0.42 – Social Engineering</t>
        </is>
      </c>
      <c r="U22" s="11" t="n">
        <v>2</v>
      </c>
      <c r="V22" s="11" t="n">
        <v>1</v>
      </c>
      <c r="W22" s="11" t="n">
        <v>1</v>
      </c>
      <c r="X22" s="11" t="n">
        <v>1</v>
      </c>
      <c r="Y22" s="11" t="n">
        <v>0</v>
      </c>
    </row>
    <row r="23">
      <c r="A23" s="11" t="inlineStr">
        <is>
          <t>SENS.2.5</t>
        </is>
      </c>
      <c r="B23" s="12" t="inlineStr">
        <is>
          <t>Zuständigkeitsbereiche</t>
        </is>
      </c>
      <c r="C23" s="11" t="inlineStr">
        <is>
          <t>SENS.2.5</t>
        </is>
      </c>
      <c r="D23" s="11" t="inlineStr">
        <is>
          <t>Standard-Anforderungen</t>
        </is>
      </c>
      <c r="E23" s="12" t="inlineStr">
        <is>
          <t>Sensibilisierung für Nutzende SOLLTE zu Schutzbedarf und Schnittstellen in ihrem Zuständigkeitssbereich sensibilisieren.</t>
        </is>
      </c>
      <c r="F23" s="14" t="n"/>
      <c r="G23" s="14" t="n"/>
      <c r="H23" s="14" t="inlineStr">
        <is>
          <t>unbearbeitet</t>
        </is>
      </c>
      <c r="I23" s="14" t="n"/>
      <c r="J23" s="14" t="n"/>
      <c r="K23" s="14" t="n"/>
      <c r="L23" s="15" t="n"/>
      <c r="M23" s="11" t="inlineStr"/>
      <c r="N23" s="12" t="inlineStr"/>
      <c r="O23" s="11" t="inlineStr"/>
      <c r="P23" s="12" t="inlineStr">
        <is>
          <t>Hiermit ist der Schutzbedarf des Zuständigkeitsbereichs des jeweiligen Nutzenden gemeint. Die Schnittstellen zu anderen Zuständigkeitsbereichen und deren entsprechender Schutzbedarf ist ebenfalls zu betrachten.</t>
        </is>
      </c>
      <c r="Q23" s="11" t="inlineStr">
        <is>
          <t>Nutzende</t>
        </is>
      </c>
      <c r="R23" s="11" t="inlineStr">
        <is>
          <t>Schulungsplan</t>
        </is>
      </c>
      <c r="S23" s="12" t="inlineStr">
        <is>
          <t>zu Schutzbedarf und Schnittstellen</t>
        </is>
      </c>
      <c r="T23" s="12" t="inlineStr">
        <is>
          <t>G 0.31 – Fehlerhafte Nutzung oder Administration von Geräten und Systemen; G 0.42 – Social Engineering</t>
        </is>
      </c>
      <c r="U23" s="11" t="n">
        <v>2</v>
      </c>
      <c r="V23" s="11" t="n">
        <v>1</v>
      </c>
      <c r="W23" s="11" t="n">
        <v>1</v>
      </c>
      <c r="X23" s="11" t="n">
        <v>1</v>
      </c>
      <c r="Y23" s="11" t="n">
        <v>0</v>
      </c>
    </row>
    <row r="24">
      <c r="A24" s="9" t="inlineStr">
        <is>
          <t>SENS.2.6</t>
        </is>
      </c>
      <c r="B24" s="10" t="inlineStr">
        <is>
          <t>Umgehung von Sicherheitsfunktionen</t>
        </is>
      </c>
      <c r="C24" s="11" t="n"/>
      <c r="D24" s="11" t="inlineStr">
        <is>
          <t>Standard-Anforderungen</t>
        </is>
      </c>
      <c r="E24" s="12" t="inlineStr">
        <is>
          <t>Gesamt:</t>
        </is>
      </c>
      <c r="F24" s="11" t="n"/>
      <c r="G24" s="11" t="n"/>
      <c r="H24" s="13">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
      </c>
      <c r="I24" s="11" t="n"/>
      <c r="J24" s="11" t="n"/>
      <c r="K24" s="11" t="n"/>
      <c r="L24" s="11" t="n"/>
      <c r="M24" s="11" t="inlineStr"/>
      <c r="N24" s="12" t="inlineStr">
        <is>
          <t>APP.1.1.A17-UA.3</t>
        </is>
      </c>
      <c r="O24" s="11" t="inlineStr">
        <is>
          <t>intersects-with</t>
        </is>
      </c>
      <c r="P24" s="12" t="inlineStr">
        <is>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is>
      </c>
      <c r="Q24" s="11" t="inlineStr">
        <is>
          <t>Nutzende</t>
        </is>
      </c>
      <c r="R24" s="11" t="inlineStr">
        <is>
          <t>Schulungsplan</t>
        </is>
      </c>
      <c r="S24" s="12" t="inlineStr">
        <is>
          <t>gegen die Umgehung von Sicherheitsfunktionen</t>
        </is>
      </c>
      <c r="T24" s="12" t="inlineStr">
        <is>
          <t>G 0.31 – Fehlerhafte Nutzung oder Administration von Geräten und Systemen; G 0.42 – Social Engineering</t>
        </is>
      </c>
      <c r="U24" s="11" t="n">
        <v>2</v>
      </c>
      <c r="V24" s="11" t="n">
        <v>1</v>
      </c>
      <c r="W24" s="11" t="n">
        <v>1</v>
      </c>
      <c r="X24" s="11" t="n">
        <v>1</v>
      </c>
      <c r="Y24" s="11" t="n">
        <v>0</v>
      </c>
    </row>
    <row r="25">
      <c r="A25" s="11" t="inlineStr">
        <is>
          <t>SENS.2.6</t>
        </is>
      </c>
      <c r="B25" s="12" t="inlineStr">
        <is>
          <t>Umgehung von Sicherheitsfunktionen</t>
        </is>
      </c>
      <c r="C25" s="11" t="inlineStr">
        <is>
          <t>SENS.2.6</t>
        </is>
      </c>
      <c r="D25" s="11" t="inlineStr">
        <is>
          <t>Standard-Anforderungen</t>
        </is>
      </c>
      <c r="E25" s="12" t="inlineStr">
        <is>
          <t>Sensibilisierung für Nutzende SOLLTE gegen die Umgehung von Sicherheitsfunktionen sensibilisieren.</t>
        </is>
      </c>
      <c r="F25" s="14" t="n"/>
      <c r="G25" s="14" t="n"/>
      <c r="H25" s="14" t="inlineStr">
        <is>
          <t>unbearbeitet</t>
        </is>
      </c>
      <c r="I25" s="14" t="n"/>
      <c r="J25" s="14" t="n"/>
      <c r="K25" s="14" t="n"/>
      <c r="L25" s="15" t="n"/>
      <c r="M25" s="11" t="inlineStr"/>
      <c r="N25" s="12" t="inlineStr">
        <is>
          <t>APP.1.1.A17-UA.3</t>
        </is>
      </c>
      <c r="O25" s="11" t="inlineStr">
        <is>
          <t>intersects-with</t>
        </is>
      </c>
      <c r="P25" s="12" t="inlineStr">
        <is>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is>
      </c>
      <c r="Q25" s="11" t="inlineStr">
        <is>
          <t>Nutzende</t>
        </is>
      </c>
      <c r="R25" s="11" t="inlineStr">
        <is>
          <t>Schulungsplan</t>
        </is>
      </c>
      <c r="S25" s="12" t="inlineStr">
        <is>
          <t>gegen die Umgehung von Sicherheitsfunktionen</t>
        </is>
      </c>
      <c r="T25" s="12" t="inlineStr">
        <is>
          <t>G 0.31 – Fehlerhafte Nutzung oder Administration von Geräten und Systemen; G 0.42 – Social Engineering</t>
        </is>
      </c>
      <c r="U25" s="11" t="n">
        <v>2</v>
      </c>
      <c r="V25" s="11" t="n">
        <v>1</v>
      </c>
      <c r="W25" s="11" t="n">
        <v>1</v>
      </c>
      <c r="X25" s="11" t="n">
        <v>1</v>
      </c>
      <c r="Y25" s="11" t="n">
        <v>0</v>
      </c>
    </row>
    <row r="26">
      <c r="A26" s="9" t="inlineStr">
        <is>
          <t>SENS.2.7</t>
        </is>
      </c>
      <c r="B26" s="10" t="inlineStr">
        <is>
          <t>Änderung von Konfigurationen</t>
        </is>
      </c>
      <c r="C26" s="11" t="n"/>
      <c r="D26" s="11" t="inlineStr">
        <is>
          <t>Standard-Anforderungen</t>
        </is>
      </c>
      <c r="E26" s="12" t="inlineStr">
        <is>
          <t>Gesamt:</t>
        </is>
      </c>
      <c r="F26" s="11" t="n"/>
      <c r="G26" s="11" t="n"/>
      <c r="H26" s="13">
        <f>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
      </c>
      <c r="I26" s="11" t="n"/>
      <c r="J26" s="11" t="n"/>
      <c r="K26" s="11" t="n"/>
      <c r="L26" s="11" t="n"/>
      <c r="M26" s="11" t="inlineStr">
        <is>
          <t>Integrität</t>
        </is>
      </c>
      <c r="N26" s="12" t="inlineStr"/>
      <c r="O26" s="11" t="inlineStr"/>
      <c r="P26" s="12" t="inlineStr">
        <is>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is>
      </c>
      <c r="Q26" s="11" t="inlineStr">
        <is>
          <t>Nutzende</t>
        </is>
      </c>
      <c r="R26" s="11" t="inlineStr">
        <is>
          <t>Schulungsplan</t>
        </is>
      </c>
      <c r="S26" s="12" t="inlineStr">
        <is>
          <t>gegen die unautorisierte Änderung sicherheitsrelevanter Konfigurationen</t>
        </is>
      </c>
      <c r="T26" s="12" t="inlineStr">
        <is>
          <t>G 0.31 – Fehlerhafte Nutzung oder Administration von Geräten und Systemen; G 0.42 – Social Engineering</t>
        </is>
      </c>
      <c r="U26" s="11" t="n">
        <v>1</v>
      </c>
      <c r="V26" s="11" t="n">
        <v>1</v>
      </c>
      <c r="W26" s="11" t="n">
        <v>2</v>
      </c>
      <c r="X26" s="11" t="n">
        <v>1</v>
      </c>
      <c r="Y26" s="11" t="n">
        <v>0</v>
      </c>
    </row>
    <row r="27">
      <c r="A27" s="11" t="inlineStr">
        <is>
          <t>SENS.2.7</t>
        </is>
      </c>
      <c r="B27" s="12" t="inlineStr">
        <is>
          <t>Änderung von Konfigurationen</t>
        </is>
      </c>
      <c r="C27" s="11" t="inlineStr">
        <is>
          <t>SENS.2.7</t>
        </is>
      </c>
      <c r="D27" s="11" t="inlineStr">
        <is>
          <t>Standard-Anforderungen</t>
        </is>
      </c>
      <c r="E27" s="12" t="inlineStr">
        <is>
          <t>Sensibilisierung für Nutzende SOLLTE gegen die unautorisierte Änderung sicherheitsrelevanter Konfigurationen sensibilisieren.</t>
        </is>
      </c>
      <c r="F27" s="14" t="n"/>
      <c r="G27" s="14" t="n"/>
      <c r="H27" s="14" t="inlineStr">
        <is>
          <t>unbearbeitet</t>
        </is>
      </c>
      <c r="I27" s="14" t="n"/>
      <c r="J27" s="14" t="n"/>
      <c r="K27" s="14" t="n"/>
      <c r="L27" s="15" t="n"/>
      <c r="M27" s="11" t="inlineStr">
        <is>
          <t>Integrität</t>
        </is>
      </c>
      <c r="N27" s="12" t="inlineStr"/>
      <c r="O27" s="11" t="inlineStr"/>
      <c r="P27" s="12" t="inlineStr">
        <is>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is>
      </c>
      <c r="Q27" s="11" t="inlineStr">
        <is>
          <t>Nutzende</t>
        </is>
      </c>
      <c r="R27" s="11" t="inlineStr">
        <is>
          <t>Schulungsplan</t>
        </is>
      </c>
      <c r="S27" s="12" t="inlineStr">
        <is>
          <t>gegen die unautorisierte Änderung sicherheitsrelevanter Konfigurationen</t>
        </is>
      </c>
      <c r="T27" s="12" t="inlineStr">
        <is>
          <t>G 0.31 – Fehlerhafte Nutzung oder Administration von Geräten und Systemen; G 0.42 – Social Engineering</t>
        </is>
      </c>
      <c r="U27" s="11" t="n">
        <v>1</v>
      </c>
      <c r="V27" s="11" t="n">
        <v>1</v>
      </c>
      <c r="W27" s="11" t="n">
        <v>2</v>
      </c>
      <c r="X27" s="11" t="n">
        <v>1</v>
      </c>
      <c r="Y27" s="11" t="n">
        <v>0</v>
      </c>
    </row>
    <row r="28">
      <c r="A28" s="9" t="inlineStr">
        <is>
          <t>SENS.2.8</t>
        </is>
      </c>
      <c r="B28" s="10" t="inlineStr">
        <is>
          <t>Melden von Ereignissen</t>
        </is>
      </c>
      <c r="C28" s="11" t="n"/>
      <c r="D28" s="11" t="inlineStr">
        <is>
          <t>Standard-Anforderungen</t>
        </is>
      </c>
      <c r="E28" s="12" t="inlineStr">
        <is>
          <t>Gesamt:</t>
        </is>
      </c>
      <c r="F28" s="11" t="n"/>
      <c r="G28" s="11" t="n"/>
      <c r="H28" s="13">
        <f>IF(OR(COUNTBLANK($H$29:$H$30)&gt;0,COUNTIF($H$29:$H$30,"unbearbeitet")=COUNTA($H$29:$H$30)),"Bitte Teilanforderungen ausfüllen",IF(COUNTIF($H$29:$H$30,"zu klären")&gt;0,"zu klären",IF(COUNTIF($H$29:$H$30,"entbehrlich")=COUNTA($H$29:$H$30),"entbehrlich",IF(COUNTIF($H$29:$H$30,"verwiesen")=COUNTA($H$29:$H$30),"verwiesen",IF(COUNTIF($H$29:$H$30,"nein")+COUNTIF($H$29:$H$30,"entbehrlich")=COUNTA($H$29:$H$30),"nein",IF(COUNTIF($H$29:$H$30,"ja")+COUNTIF($H$29:$H$30,"entbehrlich")+COUNTIF($H$29:$H$30,"verwiesen")=COUNTA($H$29:$H$30),"ja","teilweise"))))))</f>
        <v/>
      </c>
      <c r="I28" s="11" t="n"/>
      <c r="J28" s="11" t="n"/>
      <c r="K28" s="11" t="n"/>
      <c r="L28" s="11" t="n"/>
      <c r="M28" s="11" t="inlineStr"/>
      <c r="N28" s="12" t="inlineStr"/>
      <c r="O28" s="11" t="inlineStr"/>
      <c r="P28" s="12" t="inlineStr">
        <is>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is>
      </c>
      <c r="Q28" s="11" t="inlineStr">
        <is>
          <t>Nutzende</t>
        </is>
      </c>
      <c r="R28" s="11" t="inlineStr">
        <is>
          <t>Arbeitsanweisung</t>
        </is>
      </c>
      <c r="S28" s="12" t="inlineStr">
        <is>
          <t>zum Melden von sicherheitsrelevanten Ereignissen</t>
        </is>
      </c>
      <c r="T28" s="12" t="inlineStr">
        <is>
          <t>G 0.31 – Fehlerhafte Nutzung oder Administration von Geräten und Systemen; G 0.42 – Social Engineering</t>
        </is>
      </c>
      <c r="U28" s="11" t="n">
        <v>2</v>
      </c>
      <c r="V28" s="11" t="n">
        <v>1</v>
      </c>
      <c r="W28" s="11" t="n">
        <v>1</v>
      </c>
      <c r="X28" s="11" t="n">
        <v>1</v>
      </c>
      <c r="Y28" s="11" t="n">
        <v>0</v>
      </c>
    </row>
    <row r="29">
      <c r="A29" s="11" t="inlineStr">
        <is>
          <t>SENS.2.8</t>
        </is>
      </c>
      <c r="B29" s="12" t="inlineStr">
        <is>
          <t>Melden von Ereignissen</t>
        </is>
      </c>
      <c r="C29" s="11" t="inlineStr">
        <is>
          <t>SENS.2.8</t>
        </is>
      </c>
      <c r="D29" s="11" t="inlineStr">
        <is>
          <t>Standard-Anforderungen</t>
        </is>
      </c>
      <c r="E29" s="12" t="inlineStr">
        <is>
          <t>Sensibilisierung für Nutzende SOLLTE zum Melden von sicherheitsrelevanten Ereignissen anweisen.</t>
        </is>
      </c>
      <c r="F29" s="14" t="n"/>
      <c r="G29" s="14" t="n"/>
      <c r="H29" s="14" t="inlineStr">
        <is>
          <t>unbearbeitet</t>
        </is>
      </c>
      <c r="I29" s="14" t="n"/>
      <c r="J29" s="14" t="n"/>
      <c r="K29" s="14" t="n"/>
      <c r="L29" s="15" t="n"/>
      <c r="M29" s="11" t="inlineStr"/>
      <c r="N29" s="12" t="inlineStr"/>
      <c r="O29" s="11" t="inlineStr"/>
      <c r="P29" s="12" t="inlineStr">
        <is>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is>
      </c>
      <c r="Q29" s="11" t="inlineStr">
        <is>
          <t>Nutzende</t>
        </is>
      </c>
      <c r="R29" s="11" t="inlineStr">
        <is>
          <t>Arbeitsanweisung</t>
        </is>
      </c>
      <c r="S29" s="12" t="inlineStr">
        <is>
          <t>zum Melden von sicherheitsrelevanten Ereignissen</t>
        </is>
      </c>
      <c r="T29" s="12" t="inlineStr">
        <is>
          <t>G 0.31 – Fehlerhafte Nutzung oder Administration von Geräten und Systemen; G 0.42 – Social Engineering</t>
        </is>
      </c>
      <c r="U29" s="11" t="n">
        <v>2</v>
      </c>
      <c r="V29" s="11" t="n">
        <v>1</v>
      </c>
      <c r="W29" s="11" t="n">
        <v>1</v>
      </c>
      <c r="X29" s="11" t="n">
        <v>1</v>
      </c>
      <c r="Y29" s="11" t="n">
        <v>0</v>
      </c>
    </row>
    <row r="30">
      <c r="A30" s="11" t="inlineStr">
        <is>
          <t>SENS.2.8</t>
        </is>
      </c>
      <c r="B30" s="12" t="inlineStr">
        <is>
          <t>Melden von Ereignissen</t>
        </is>
      </c>
      <c r="C30" s="11" t="inlineStr">
        <is>
          <t>SENS.2.8.1</t>
        </is>
      </c>
      <c r="D30" s="11" t="inlineStr">
        <is>
          <t>Standard-Anforderungen</t>
        </is>
      </c>
      <c r="E30" s="12" t="inlineStr">
        <is>
          <t>Sensibilisierung für Nutzende SOLLTE zum Melden von Fehler- und Warnmeldungen sensibilisieren.</t>
        </is>
      </c>
      <c r="F30" s="14" t="n"/>
      <c r="G30" s="14" t="n"/>
      <c r="H30" s="14" t="inlineStr">
        <is>
          <t>unbearbeitet</t>
        </is>
      </c>
      <c r="I30" s="14" t="n"/>
      <c r="J30" s="14" t="n"/>
      <c r="K30" s="14" t="n"/>
      <c r="L30" s="15" t="n"/>
      <c r="M30" s="11" t="inlineStr"/>
      <c r="N30" s="12" t="inlineStr"/>
      <c r="O30" s="11" t="inlineStr"/>
      <c r="P30" s="12" t="inlineStr">
        <is>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is>
      </c>
      <c r="Q30" s="11" t="inlineStr">
        <is>
          <t>Nutzende</t>
        </is>
      </c>
      <c r="R30" s="11" t="inlineStr">
        <is>
          <t>Schulungsplan</t>
        </is>
      </c>
      <c r="S30" s="12" t="inlineStr">
        <is>
          <t>zum Melden von Fehler- und Warnmeldungen</t>
        </is>
      </c>
      <c r="T30" s="12" t="inlineStr">
        <is>
          <t>G 0.31 – Fehlerhafte Nutzung oder Administration von Geräten und Systemen; G 0.42 – Social Engineering</t>
        </is>
      </c>
      <c r="U30" s="11" t="n">
        <v>2</v>
      </c>
      <c r="V30" s="11" t="n">
        <v>1</v>
      </c>
      <c r="W30" s="11" t="n">
        <v>1</v>
      </c>
      <c r="X30" s="11" t="n">
        <v>1</v>
      </c>
      <c r="Y30" s="11" t="n">
        <v>0</v>
      </c>
    </row>
    <row r="31">
      <c r="A31" s="9" t="inlineStr">
        <is>
          <t>SENS.3.1</t>
        </is>
      </c>
      <c r="B31" s="10" t="inlineStr">
        <is>
          <t>Schadprogramme</t>
        </is>
      </c>
      <c r="C31" s="11" t="n"/>
      <c r="D31" s="11" t="inlineStr">
        <is>
          <t>Standard-Anforderungen</t>
        </is>
      </c>
      <c r="E31" s="12" t="inlineStr">
        <is>
          <t>Gesamt:</t>
        </is>
      </c>
      <c r="F31" s="11" t="n"/>
      <c r="G31" s="11" t="n"/>
      <c r="H31" s="13">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
      </c>
      <c r="I31" s="11" t="n"/>
      <c r="J31" s="11" t="n"/>
      <c r="K31" s="11" t="n"/>
      <c r="L31" s="11" t="n"/>
      <c r="M31" s="11" t="inlineStr"/>
      <c r="N31" s="12" t="inlineStr"/>
      <c r="O31" s="11" t="inlineStr"/>
      <c r="P31" s="12" t="inlineStr">
        <is>
          <t>Viele Dateitypen, wie z. B. Office-Dateien mit Makros, Adobe PDF, .exe, .ps1, oder .vbs, können Schadcode enthalten, der bei Ausführung die Kontrolle über das System übernimmt und Angreifern zur weiteren Ausbreitung im Informationsverbund dient.</t>
        </is>
      </c>
      <c r="Q31" s="11" t="inlineStr">
        <is>
          <t>Nutzende</t>
        </is>
      </c>
      <c r="R31" s="11" t="inlineStr">
        <is>
          <t>Schulungsplan</t>
        </is>
      </c>
      <c r="S31" s="12" t="inlineStr">
        <is>
          <t>gegen die Risiken von Schadprogrammen</t>
        </is>
      </c>
      <c r="T31" s="12" t="inlineStr">
        <is>
          <t>G 0.18 – Fehlplanung oder fehlende Anpassung</t>
        </is>
      </c>
      <c r="U31" s="11" t="n">
        <v>2</v>
      </c>
      <c r="V31" s="11" t="n">
        <v>1</v>
      </c>
      <c r="W31" s="11" t="n">
        <v>1</v>
      </c>
      <c r="X31" s="11" t="n">
        <v>1</v>
      </c>
      <c r="Y31" s="11" t="n">
        <v>0</v>
      </c>
    </row>
    <row r="32">
      <c r="A32" s="11" t="inlineStr">
        <is>
          <t>SENS.3.1</t>
        </is>
      </c>
      <c r="B32" s="12" t="inlineStr">
        <is>
          <t>Schadprogramme</t>
        </is>
      </c>
      <c r="C32" s="11" t="inlineStr">
        <is>
          <t>SENS.3.1</t>
        </is>
      </c>
      <c r="D32" s="11" t="inlineStr">
        <is>
          <t>Standard-Anforderungen</t>
        </is>
      </c>
      <c r="E32" s="12" t="inlineStr">
        <is>
          <t>Sensibilisierung für Nutzende SOLLTE gegen die Risiken von Schadprogrammen sensibilisieren.</t>
        </is>
      </c>
      <c r="F32" s="14" t="n"/>
      <c r="G32" s="14" t="n"/>
      <c r="H32" s="14" t="inlineStr">
        <is>
          <t>unbearbeitet</t>
        </is>
      </c>
      <c r="I32" s="14" t="n"/>
      <c r="J32" s="14" t="n"/>
      <c r="K32" s="14" t="n"/>
      <c r="L32" s="15" t="n"/>
      <c r="M32" s="11" t="inlineStr"/>
      <c r="N32" s="12" t="inlineStr"/>
      <c r="O32" s="11" t="inlineStr"/>
      <c r="P32" s="12" t="inlineStr">
        <is>
          <t>Viele Dateitypen, wie z. B. Office-Dateien mit Makros, Adobe PDF, .exe, .ps1, oder .vbs, können Schadcode enthalten, der bei Ausführung die Kontrolle über das System übernimmt und Angreifern zur weiteren Ausbreitung im Informationsverbund dient.</t>
        </is>
      </c>
      <c r="Q32" s="11" t="inlineStr">
        <is>
          <t>Nutzende</t>
        </is>
      </c>
      <c r="R32" s="11" t="inlineStr">
        <is>
          <t>Schulungsplan</t>
        </is>
      </c>
      <c r="S32" s="12" t="inlineStr">
        <is>
          <t>gegen die Risiken von Schadprogrammen</t>
        </is>
      </c>
      <c r="T32" s="12" t="inlineStr">
        <is>
          <t>G 0.18 – Fehlplanung oder fehlende Anpassung</t>
        </is>
      </c>
      <c r="U32" s="11" t="n">
        <v>2</v>
      </c>
      <c r="V32" s="11" t="n">
        <v>1</v>
      </c>
      <c r="W32" s="11" t="n">
        <v>1</v>
      </c>
      <c r="X32" s="11" t="n">
        <v>1</v>
      </c>
      <c r="Y32" s="11" t="n">
        <v>0</v>
      </c>
    </row>
    <row r="33">
      <c r="A33" s="9" t="inlineStr">
        <is>
          <t>SENS.3.2</t>
        </is>
      </c>
      <c r="B33" s="10" t="inlineStr">
        <is>
          <t>Öffnen in der Sandbox</t>
        </is>
      </c>
      <c r="C33" s="11" t="n"/>
      <c r="D33" s="11" t="inlineStr">
        <is>
          <t>Anforderungen bei erhöhtem Schutzbedarf</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c r="N33" s="12" t="inlineStr"/>
      <c r="O33" s="11" t="inlineStr"/>
      <c r="P33" s="12" t="inlineStr">
        <is>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is>
      </c>
      <c r="Q33" s="11" t="inlineStr">
        <is>
          <t>Nutzende</t>
        </is>
      </c>
      <c r="R33" s="11" t="inlineStr">
        <is>
          <t>Schulungsplan</t>
        </is>
      </c>
      <c r="S33" s="12" t="inlineStr">
        <is>
          <t>zum Öffnen verdächtiger Dateien ausschließlich auf einem isolierten IT-System (Sandbox)</t>
        </is>
      </c>
      <c r="T33" s="12" t="inlineStr">
        <is>
          <t>G 0.18 – Fehlplanung oder fehlende Anpassung</t>
        </is>
      </c>
      <c r="U33" s="11" t="n">
        <v>5</v>
      </c>
      <c r="V33" s="11" t="n">
        <v>1</v>
      </c>
      <c r="W33" s="11" t="n">
        <v>1</v>
      </c>
      <c r="X33" s="11" t="n">
        <v>1</v>
      </c>
      <c r="Y33" s="11" t="n">
        <v>0</v>
      </c>
    </row>
    <row r="34">
      <c r="A34" s="11" t="inlineStr">
        <is>
          <t>SENS.3.2</t>
        </is>
      </c>
      <c r="B34" s="12" t="inlineStr">
        <is>
          <t>Öffnen in der Sandbox</t>
        </is>
      </c>
      <c r="C34" s="11" t="inlineStr">
        <is>
          <t>SENS.3.2</t>
        </is>
      </c>
      <c r="D34" s="11" t="inlineStr">
        <is>
          <t>Anforderungen bei erhöhtem Schutzbedarf</t>
        </is>
      </c>
      <c r="E34" s="12" t="inlineStr">
        <is>
          <t>Sensibilisierung für Nutzende KANN zum Öffnen verdächtiger Dateien ausschließlich auf einem isolierten IT-System (Sandbox) sensibilisieren.</t>
        </is>
      </c>
      <c r="F34" s="14" t="n"/>
      <c r="G34" s="14" t="n"/>
      <c r="H34" s="14" t="inlineStr">
        <is>
          <t>unbearbeitet</t>
        </is>
      </c>
      <c r="I34" s="14" t="n"/>
      <c r="J34" s="14" t="n"/>
      <c r="K34" s="14" t="n"/>
      <c r="L34" s="15" t="n"/>
      <c r="M34" s="11" t="inlineStr"/>
      <c r="N34" s="12" t="inlineStr"/>
      <c r="O34" s="11" t="inlineStr"/>
      <c r="P34" s="12" t="inlineStr">
        <is>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is>
      </c>
      <c r="Q34" s="11" t="inlineStr">
        <is>
          <t>Nutzende</t>
        </is>
      </c>
      <c r="R34" s="11" t="inlineStr">
        <is>
          <t>Schulungsplan</t>
        </is>
      </c>
      <c r="S34" s="12" t="inlineStr">
        <is>
          <t>zum Öffnen verdächtiger Dateien ausschließlich auf einem isolierten IT-System (Sandbox)</t>
        </is>
      </c>
      <c r="T34" s="12" t="inlineStr">
        <is>
          <t>G 0.18 – Fehlplanung oder fehlende Anpassung</t>
        </is>
      </c>
      <c r="U34" s="11" t="n">
        <v>5</v>
      </c>
      <c r="V34" s="11" t="n">
        <v>1</v>
      </c>
      <c r="W34" s="11" t="n">
        <v>1</v>
      </c>
      <c r="X34" s="11" t="n">
        <v>1</v>
      </c>
      <c r="Y34" s="11" t="n">
        <v>0</v>
      </c>
    </row>
    <row r="35">
      <c r="A35" s="9" t="inlineStr">
        <is>
          <t>SENS.3.3</t>
        </is>
      </c>
      <c r="B35" s="10" t="inlineStr">
        <is>
          <t>Umwandeln verdächtiger Dateien</t>
        </is>
      </c>
      <c r="C35" s="11" t="n"/>
      <c r="D35" s="11" t="inlineStr">
        <is>
          <t>Anforderungen bei erhöhtem Schutzbedarf</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c r="N35" s="12" t="inlineStr"/>
      <c r="O35" s="11" t="inlineStr"/>
      <c r="P35" s="12" t="inlineStr">
        <is>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is>
      </c>
      <c r="Q35" s="11" t="inlineStr">
        <is>
          <t>Nutzende</t>
        </is>
      </c>
      <c r="R35" s="11" t="inlineStr">
        <is>
          <t>Schulungsplan</t>
        </is>
      </c>
      <c r="S35" s="12" t="inlineStr">
        <is>
          <t>zum Umwandeln verdächtiger Dateien in ein nicht-ausführbares Format</t>
        </is>
      </c>
      <c r="T35" s="12" t="inlineStr">
        <is>
          <t>G 0.18 – Fehlplanung oder fehlende Anpassung</t>
        </is>
      </c>
      <c r="U35" s="11" t="n">
        <v>5</v>
      </c>
      <c r="V35" s="11" t="n">
        <v>1</v>
      </c>
      <c r="W35" s="11" t="n">
        <v>1</v>
      </c>
      <c r="X35" s="11" t="n">
        <v>1</v>
      </c>
      <c r="Y35" s="11" t="n">
        <v>0</v>
      </c>
    </row>
    <row r="36">
      <c r="A36" s="11" t="inlineStr">
        <is>
          <t>SENS.3.3</t>
        </is>
      </c>
      <c r="B36" s="12" t="inlineStr">
        <is>
          <t>Umwandeln verdächtiger Dateien</t>
        </is>
      </c>
      <c r="C36" s="11" t="inlineStr">
        <is>
          <t>SENS.3.3</t>
        </is>
      </c>
      <c r="D36" s="11" t="inlineStr">
        <is>
          <t>Anforderungen bei erhöhtem Schutzbedarf</t>
        </is>
      </c>
      <c r="E36" s="12" t="inlineStr">
        <is>
          <t>Sensibilisierung für Nutzende KANN zum Umwandeln verdächtiger Dateien in ein nicht-ausführbares Format vor der weiteren Verwendung sensibilisieren.</t>
        </is>
      </c>
      <c r="F36" s="14" t="n"/>
      <c r="G36" s="14" t="n"/>
      <c r="H36" s="14" t="inlineStr">
        <is>
          <t>unbearbeitet</t>
        </is>
      </c>
      <c r="I36" s="14" t="n"/>
      <c r="J36" s="14" t="n"/>
      <c r="K36" s="14" t="n"/>
      <c r="L36" s="15" t="n"/>
      <c r="M36" s="11" t="inlineStr"/>
      <c r="N36" s="12" t="inlineStr"/>
      <c r="O36" s="11" t="inlineStr"/>
      <c r="P36" s="12" t="inlineStr">
        <is>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is>
      </c>
      <c r="Q36" s="11" t="inlineStr">
        <is>
          <t>Nutzende</t>
        </is>
      </c>
      <c r="R36" s="11" t="inlineStr">
        <is>
          <t>Schulungsplan</t>
        </is>
      </c>
      <c r="S36" s="12" t="inlineStr">
        <is>
          <t>zum Umwandeln verdächtiger Dateien in ein nicht-ausführbares Format</t>
        </is>
      </c>
      <c r="T36" s="12" t="inlineStr">
        <is>
          <t>G 0.18 – Fehlplanung oder fehlende Anpassung</t>
        </is>
      </c>
      <c r="U36" s="11" t="n">
        <v>5</v>
      </c>
      <c r="V36" s="11" t="n">
        <v>1</v>
      </c>
      <c r="W36" s="11" t="n">
        <v>1</v>
      </c>
      <c r="X36" s="11" t="n">
        <v>1</v>
      </c>
      <c r="Y36" s="11" t="n">
        <v>0</v>
      </c>
    </row>
    <row r="37">
      <c r="A37" s="9" t="inlineStr">
        <is>
          <t>SENS.4.1</t>
        </is>
      </c>
      <c r="B37" s="10" t="inlineStr">
        <is>
          <t>Personengebundene Authentisierungsmittel</t>
        </is>
      </c>
      <c r="C37" s="11" t="n"/>
      <c r="D37" s="11" t="inlineStr">
        <is>
          <t>Standard-Anforderungen</t>
        </is>
      </c>
      <c r="E37" s="12" t="inlineStr">
        <is>
          <t>Gesamt:</t>
        </is>
      </c>
      <c r="F37" s="11" t="n"/>
      <c r="G37" s="11" t="n"/>
      <c r="H37" s="13">
        <f>IF(OR(COUNTBLANK($H$38:$H$44)&gt;0,COUNTIF($H$38:$H$44,"unbearbeitet")=COUNTA($H$38:$H$44)),"Bitte Teilanforderungen ausfüllen",IF(COUNTIF($H$38:$H$44,"zu klären")&gt;0,"zu klären",IF(COUNTIF($H$38:$H$44,"entbehrlich")=COUNTA($H$38:$H$44),"entbehrlich",IF(COUNTIF($H$38:$H$44,"verwiesen")=COUNTA($H$38:$H$44),"verwiesen",IF(COUNTIF($H$38:$H$44,"nein")+COUNTIF($H$38:$H$44,"entbehrlich")=COUNTA($H$38:$H$44),"nein",IF(COUNTIF($H$38:$H$44,"ja")+COUNTIF($H$38:$H$44,"entbehrlich")+COUNTIF($H$38:$H$44,"verwiesen")=COUNTA($H$38:$H$44),"ja","teilweise"))))))</f>
        <v/>
      </c>
      <c r="I37" s="11" t="n"/>
      <c r="J37" s="11" t="n"/>
      <c r="K37" s="11" t="n"/>
      <c r="L37" s="11" t="n"/>
      <c r="M37" s="11" t="inlineStr">
        <is>
          <t>Vertraulichkeit</t>
        </is>
      </c>
      <c r="N37" s="12" t="inlineStr"/>
      <c r="O37" s="11" t="inlineStr"/>
      <c r="P37" s="12" t="inlineStr">
        <is>
          <t>Zur Definition von Authentisierungsmitteln siehe Glossar/Namensräume.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is>
      </c>
      <c r="Q37" s="11" t="inlineStr">
        <is>
          <t>Nutzende</t>
        </is>
      </c>
      <c r="R37" s="11" t="inlineStr">
        <is>
          <t>Schulungsplan</t>
        </is>
      </c>
      <c r="S37" s="12" t="inlineStr">
        <is>
          <t>zum Umgang mit Authentisierungsmitteln</t>
        </is>
      </c>
      <c r="T37" s="12" t="inlineStr">
        <is>
          <t>G 0.30 – Unberechtigte Nutzung oder Administration von Geräten und Systemen; G 0.36 – Identitätsdiebstahl; G 0.23 – Unbefugtes Eindringen in IT-Systeme</t>
        </is>
      </c>
      <c r="U37" s="11" t="n">
        <v>3</v>
      </c>
      <c r="V37" s="11" t="n">
        <v>2</v>
      </c>
      <c r="W37" s="11" t="n">
        <v>1</v>
      </c>
      <c r="X37" s="11" t="n">
        <v>1</v>
      </c>
      <c r="Y37" s="11" t="n">
        <v>0</v>
      </c>
    </row>
    <row r="38">
      <c r="A38" s="11" t="inlineStr">
        <is>
          <t>SENS.4.1</t>
        </is>
      </c>
      <c r="B38" s="12" t="inlineStr">
        <is>
          <t>Personengebundene Authentisierungsmittel</t>
        </is>
      </c>
      <c r="C38" s="11" t="inlineStr">
        <is>
          <t>SENS.4.1</t>
        </is>
      </c>
      <c r="D38" s="11" t="inlineStr">
        <is>
          <t>Standard-Anforderungen</t>
        </is>
      </c>
      <c r="E38" s="12" t="inlineStr">
        <is>
          <t>Sensibilisierung für Nutzende SOLLTE zum Umgang mit Authentisierungsmitteln im Einklang mit den zugehörigen Anforderungen des Identitäts- und Berechtigungsmanagements sensibilisieren.</t>
        </is>
      </c>
      <c r="F38" s="14" t="n"/>
      <c r="G38" s="14" t="n"/>
      <c r="H38" s="14" t="inlineStr">
        <is>
          <t>unbearbeitet</t>
        </is>
      </c>
      <c r="I38" s="14" t="n"/>
      <c r="J38" s="14" t="n"/>
      <c r="K38" s="14" t="n"/>
      <c r="L38" s="15" t="n"/>
      <c r="M38" s="11" t="inlineStr">
        <is>
          <t>Vertraulichkeit</t>
        </is>
      </c>
      <c r="N38" s="12" t="inlineStr"/>
      <c r="O38" s="11" t="inlineStr"/>
      <c r="P38" s="12" t="inlineStr">
        <is>
          <t>Zur Definition von Authentisierungsmitteln siehe Glossar/Namensräume.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is>
      </c>
      <c r="Q38" s="11" t="inlineStr">
        <is>
          <t>Nutzende</t>
        </is>
      </c>
      <c r="R38" s="11" t="inlineStr">
        <is>
          <t>Schulungsplan</t>
        </is>
      </c>
      <c r="S38" s="12" t="inlineStr">
        <is>
          <t>zum Umgang mit Authentisierungsmitteln</t>
        </is>
      </c>
      <c r="T38" s="12" t="inlineStr">
        <is>
          <t>G 0.30 – Unberechtigte Nutzung oder Administration von Geräten und Systemen; G 0.36 – Identitätsdiebstahl; G 0.23 – Unbefugtes Eindringen in IT-Systeme</t>
        </is>
      </c>
      <c r="U38" s="11" t="n">
        <v>3</v>
      </c>
      <c r="V38" s="11" t="n">
        <v>2</v>
      </c>
      <c r="W38" s="11" t="n">
        <v>1</v>
      </c>
      <c r="X38" s="11" t="n">
        <v>1</v>
      </c>
      <c r="Y38" s="11" t="n">
        <v>0</v>
      </c>
    </row>
    <row r="39">
      <c r="A39" s="11" t="inlineStr">
        <is>
          <t>SENS.4.1</t>
        </is>
      </c>
      <c r="B39" s="12" t="inlineStr">
        <is>
          <t>Personengebundene Authentisierungsmittel</t>
        </is>
      </c>
      <c r="C39" s="11" t="inlineStr">
        <is>
          <t>SENS.4.1.1</t>
        </is>
      </c>
      <c r="D39" s="11" t="inlineStr">
        <is>
          <t>Standard-Anforderungen</t>
        </is>
      </c>
      <c r="E39" s="12" t="inlineStr">
        <is>
          <t>Sensibilisierung für Nutzende SOLLTE zur verdeckten Eingabe von Zugangsdaten sensibilisieren.</t>
        </is>
      </c>
      <c r="F39" s="14" t="n"/>
      <c r="G39" s="14" t="n"/>
      <c r="H39" s="14" t="inlineStr">
        <is>
          <t>unbearbeitet</t>
        </is>
      </c>
      <c r="I39" s="14" t="n"/>
      <c r="J39" s="14" t="n"/>
      <c r="K39" s="14" t="n"/>
      <c r="L39" s="15" t="n"/>
      <c r="M39" s="11" t="inlineStr">
        <is>
          <t>Vertraulichkeit</t>
        </is>
      </c>
      <c r="N39" s="12" t="inlineStr"/>
      <c r="O39" s="11" t="inlineStr"/>
      <c r="P39" s="12" t="inlineStr">
        <is>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is>
      </c>
      <c r="Q39" s="11" t="inlineStr">
        <is>
          <t>Nutzende</t>
        </is>
      </c>
      <c r="R39" s="11" t="inlineStr">
        <is>
          <t>Schulungsplan</t>
        </is>
      </c>
      <c r="S39" s="12" t="inlineStr">
        <is>
          <t>zur verdeckten Eingabe von Zugangsdaten</t>
        </is>
      </c>
      <c r="T39" s="12" t="inlineStr">
        <is>
          <t>G 0.30 – Unberechtigte Nutzung oder Administration von Geräten und Systemen; G 0.36 – Identitätsdiebstahl; G 0.23 – Unbefugtes Eindringen in IT-Systeme</t>
        </is>
      </c>
      <c r="U39" s="11" t="n">
        <v>3</v>
      </c>
      <c r="V39" s="11" t="n">
        <v>2</v>
      </c>
      <c r="W39" s="11" t="n">
        <v>1</v>
      </c>
      <c r="X39" s="11" t="n">
        <v>1</v>
      </c>
      <c r="Y39" s="11" t="n">
        <v>0</v>
      </c>
    </row>
    <row r="40">
      <c r="A40" s="11" t="inlineStr">
        <is>
          <t>SENS.4.1</t>
        </is>
      </c>
      <c r="B40" s="12" t="inlineStr">
        <is>
          <t>Personengebundene Authentisierungsmittel</t>
        </is>
      </c>
      <c r="C40" s="11" t="inlineStr">
        <is>
          <t>SENS.4.1.2</t>
        </is>
      </c>
      <c r="D40" s="11" t="inlineStr">
        <is>
          <t>Standard-Anforderungen</t>
        </is>
      </c>
      <c r="E40" s="12" t="inlineStr">
        <is>
          <t>Sensibilisierung für Nutzende SOLLTE die Wiederverwendung von Passwörtern untersagen.</t>
        </is>
      </c>
      <c r="F40" s="14" t="n"/>
      <c r="G40" s="14" t="n"/>
      <c r="H40" s="14" t="inlineStr">
        <is>
          <t>unbearbeitet</t>
        </is>
      </c>
      <c r="I40" s="14" t="n"/>
      <c r="J40" s="14" t="n"/>
      <c r="K40" s="14" t="n"/>
      <c r="L40" s="15" t="n"/>
      <c r="M40" s="11" t="inlineStr">
        <is>
          <t>Vertraulichkeit</t>
        </is>
      </c>
      <c r="N40" s="12" t="inlineStr"/>
      <c r="O40" s="11" t="inlineStr"/>
      <c r="P40" s="12" t="inlineStr">
        <is>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is>
      </c>
      <c r="Q40" s="11" t="inlineStr">
        <is>
          <t>Nutzende</t>
        </is>
      </c>
      <c r="R40" s="11" t="inlineStr">
        <is>
          <t>Arbeitsanweisung</t>
        </is>
      </c>
      <c r="S40" s="12" t="inlineStr">
        <is>
          <t>die Wiederverwendung von Passwörtern</t>
        </is>
      </c>
      <c r="T40" s="12" t="inlineStr">
        <is>
          <t>G 0.30 – Unberechtigte Nutzung oder Administration von Geräten und Systemen; G 0.36 – Identitätsdiebstahl; G 0.23 – Unbefugtes Eindringen in IT-Systeme</t>
        </is>
      </c>
      <c r="U40" s="11" t="n">
        <v>3</v>
      </c>
      <c r="V40" s="11" t="n">
        <v>2</v>
      </c>
      <c r="W40" s="11" t="n">
        <v>1</v>
      </c>
      <c r="X40" s="11" t="n">
        <v>1</v>
      </c>
      <c r="Y40" s="11" t="n">
        <v>0</v>
      </c>
    </row>
    <row r="41">
      <c r="A41" s="11" t="inlineStr">
        <is>
          <t>SENS.4.1</t>
        </is>
      </c>
      <c r="B41" s="12" t="inlineStr">
        <is>
          <t>Personengebundene Authentisierungsmittel</t>
        </is>
      </c>
      <c r="C41" s="11" t="inlineStr">
        <is>
          <t>SENS.4.1.3</t>
        </is>
      </c>
      <c r="D41" s="11" t="inlineStr">
        <is>
          <t>Standard-Anforderungen</t>
        </is>
      </c>
      <c r="E41" s="12" t="inlineStr">
        <is>
          <t>Sensibilisierung für Nutzende SOLLTE zur Wahl ausreichend komplexer Passwörter sensibilisieren.</t>
        </is>
      </c>
      <c r="F41" s="14" t="n"/>
      <c r="G41" s="14" t="n"/>
      <c r="H41" s="14" t="inlineStr">
        <is>
          <t>unbearbeitet</t>
        </is>
      </c>
      <c r="I41" s="14" t="n"/>
      <c r="J41" s="14" t="n"/>
      <c r="K41" s="14" t="n"/>
      <c r="L41" s="15" t="n"/>
      <c r="M41" s="11" t="inlineStr">
        <is>
          <t>Vertraulichkeit</t>
        </is>
      </c>
      <c r="N41" s="12" t="inlineStr"/>
      <c r="O41" s="11" t="inlineStr"/>
      <c r="P41" s="12" t="inlineStr">
        <is>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is>
      </c>
      <c r="Q41" s="11" t="inlineStr">
        <is>
          <t>Nutzende</t>
        </is>
      </c>
      <c r="R41" s="11" t="inlineStr">
        <is>
          <t>Schulungsplan</t>
        </is>
      </c>
      <c r="S41" s="12" t="inlineStr">
        <is>
          <t>zur Wahl ausreichend komplexer Passwörter</t>
        </is>
      </c>
      <c r="T41" s="12" t="inlineStr">
        <is>
          <t>G 0.30 – Unberechtigte Nutzung oder Administration von Geräten und Systemen; G 0.36 – Identitätsdiebstahl; G 0.23 – Unbefugtes Eindringen in IT-Systeme</t>
        </is>
      </c>
      <c r="U41" s="11" t="n">
        <v>3</v>
      </c>
      <c r="V41" s="11" t="n">
        <v>2</v>
      </c>
      <c r="W41" s="11" t="n">
        <v>1</v>
      </c>
      <c r="X41" s="11" t="n">
        <v>1</v>
      </c>
      <c r="Y41" s="11" t="n">
        <v>0</v>
      </c>
    </row>
    <row r="42">
      <c r="A42" s="11" t="inlineStr">
        <is>
          <t>SENS.4.1</t>
        </is>
      </c>
      <c r="B42" s="12" t="inlineStr">
        <is>
          <t>Personengebundene Authentisierungsmittel</t>
        </is>
      </c>
      <c r="C42" s="11" t="inlineStr">
        <is>
          <t>SENS.4.1.4</t>
        </is>
      </c>
      <c r="D42" s="11" t="inlineStr">
        <is>
          <t>Standard-Anforderungen</t>
        </is>
      </c>
      <c r="E42" s="12" t="inlineStr">
        <is>
          <t>Sensibilisierung für Nutzende SOLLTE das Speichern oder Aufschreiben von Passwörtern außerhalb von Passwort-Managern untersagen.</t>
        </is>
      </c>
      <c r="F42" s="14" t="n"/>
      <c r="G42" s="14" t="n"/>
      <c r="H42" s="14" t="inlineStr">
        <is>
          <t>unbearbeitet</t>
        </is>
      </c>
      <c r="I42" s="14" t="n"/>
      <c r="J42" s="14" t="n"/>
      <c r="K42" s="14" t="n"/>
      <c r="L42" s="15" t="n"/>
      <c r="M42" s="11" t="inlineStr">
        <is>
          <t>Vertraulichkeit</t>
        </is>
      </c>
      <c r="N42" s="12" t="inlineStr"/>
      <c r="O42" s="11" t="inlineStr"/>
      <c r="P42" s="12" t="inlineStr">
        <is>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is>
      </c>
      <c r="Q42" s="11" t="inlineStr">
        <is>
          <t>Nutzende</t>
        </is>
      </c>
      <c r="R42" s="11" t="inlineStr">
        <is>
          <t>Arbeitsanweisung</t>
        </is>
      </c>
      <c r="S42" s="12" t="inlineStr">
        <is>
          <t>das Speichern oder Aufschreiben von Passwörtern außerhalb von Passwort-Managern</t>
        </is>
      </c>
      <c r="T42" s="12" t="inlineStr">
        <is>
          <t>G 0.30 – Unberechtigte Nutzung oder Administration von Geräten und Systemen; G 0.36 – Identitätsdiebstahl; G 0.23 – Unbefugtes Eindringen in IT-Systeme</t>
        </is>
      </c>
      <c r="U42" s="11" t="n">
        <v>3</v>
      </c>
      <c r="V42" s="11" t="n">
        <v>2</v>
      </c>
      <c r="W42" s="11" t="n">
        <v>1</v>
      </c>
      <c r="X42" s="11" t="n">
        <v>1</v>
      </c>
      <c r="Y42" s="11" t="n">
        <v>0</v>
      </c>
    </row>
    <row r="43">
      <c r="A43" s="11" t="inlineStr">
        <is>
          <t>SENS.4.1</t>
        </is>
      </c>
      <c r="B43" s="12" t="inlineStr">
        <is>
          <t>Personengebundene Authentisierungsmittel</t>
        </is>
      </c>
      <c r="C43" s="11" t="inlineStr">
        <is>
          <t>SENS.4.1.5</t>
        </is>
      </c>
      <c r="D43" s="11" t="inlineStr">
        <is>
          <t>Standard-Anforderungen</t>
        </is>
      </c>
      <c r="E43" s="12" t="inlineStr">
        <is>
          <t>Sensibilisierung für Nutzende SOLLTE gegen die Fälschbarkeit von biometrischen Authentifizierungsmerkmalen sensibilisieren.</t>
        </is>
      </c>
      <c r="F43" s="14" t="n"/>
      <c r="G43" s="14" t="n"/>
      <c r="H43" s="14" t="inlineStr">
        <is>
          <t>unbearbeitet</t>
        </is>
      </c>
      <c r="I43" s="14" t="n"/>
      <c r="J43" s="14" t="n"/>
      <c r="K43" s="14" t="n"/>
      <c r="L43" s="15" t="n"/>
      <c r="M43" s="11" t="inlineStr">
        <is>
          <t>Vertraulichkeit</t>
        </is>
      </c>
      <c r="N43" s="12" t="inlineStr">
        <is>
          <t>APP.1.4.A14-UA.3</t>
        </is>
      </c>
      <c r="O43" s="11" t="inlineStr">
        <is>
          <t>intersects-with</t>
        </is>
      </c>
      <c r="P43" s="12" t="inlineStr">
        <is>
          <t>Ein Angreifer könnte z.B. einen Fingerabdruck von einer glatten Oberfläche abnehmen und damit ein Gerät missbräuchlich entsperren.</t>
        </is>
      </c>
      <c r="Q43" s="11" t="inlineStr">
        <is>
          <t>Nutzende</t>
        </is>
      </c>
      <c r="R43" s="11" t="inlineStr">
        <is>
          <t>Schulungsplan</t>
        </is>
      </c>
      <c r="S43" s="12" t="inlineStr">
        <is>
          <t>gegen die Fälschbarkeit von biometrischen Authentifizierungsmerkmalen</t>
        </is>
      </c>
      <c r="T43" s="12" t="inlineStr">
        <is>
          <t>G 0.30 – Unberechtigte Nutzung oder Administration von Geräten und Systemen; G 0.36 – Identitätsdiebstahl; G 0.23 – Unbefugtes Eindringen in IT-Systeme</t>
        </is>
      </c>
      <c r="U43" s="11" t="n">
        <v>3</v>
      </c>
      <c r="V43" s="11" t="n">
        <v>2</v>
      </c>
      <c r="W43" s="11" t="n">
        <v>1</v>
      </c>
      <c r="X43" s="11" t="n">
        <v>1</v>
      </c>
      <c r="Y43" s="11" t="n">
        <v>0</v>
      </c>
    </row>
    <row r="44">
      <c r="A44" s="11" t="inlineStr">
        <is>
          <t>SENS.4.1</t>
        </is>
      </c>
      <c r="B44" s="12" t="inlineStr">
        <is>
          <t>Personengebundene Authentisierungsmittel</t>
        </is>
      </c>
      <c r="C44" s="11" t="inlineStr">
        <is>
          <t>SENS.4.1.6</t>
        </is>
      </c>
      <c r="D44" s="11" t="inlineStr">
        <is>
          <t>Standard-Anforderungen</t>
        </is>
      </c>
      <c r="E44" s="12" t="inlineStr">
        <is>
          <t>Sensibilisierung für Nutzende SOLLTE die Weitergabe von personengebundenen Authentisierungsmitteln untersagen.</t>
        </is>
      </c>
      <c r="F44" s="14" t="n"/>
      <c r="G44" s="14" t="n"/>
      <c r="H44" s="14" t="inlineStr">
        <is>
          <t>unbearbeitet</t>
        </is>
      </c>
      <c r="I44" s="14" t="n"/>
      <c r="J44" s="14" t="n"/>
      <c r="K44" s="14" t="n"/>
      <c r="L44" s="15" t="n"/>
      <c r="M44" s="11" t="inlineStr">
        <is>
          <t>Vertraulichkeit</t>
        </is>
      </c>
      <c r="N44" s="12" t="inlineStr"/>
      <c r="O44" s="11" t="inlineStr"/>
      <c r="P44" s="12" t="inlineStr">
        <is>
          <t>Personengebundene Authentisierungsmittel sind z.B. Passwörter, Private PKI-Schlüssel oder Mehr-Faktor-Authentifizierungstoken wie Smartcards. Zur Definition von Authentisierungsmitteln siehe Glossar/Namensräume.</t>
        </is>
      </c>
      <c r="Q44" s="11" t="inlineStr">
        <is>
          <t>Nutzende</t>
        </is>
      </c>
      <c r="R44" s="11" t="inlineStr">
        <is>
          <t>Arbeitsanweisung</t>
        </is>
      </c>
      <c r="S44" s="12" t="inlineStr">
        <is>
          <t>die Weitergabe von personengebundenen Authentisierungsmitteln</t>
        </is>
      </c>
      <c r="T44" s="12" t="inlineStr">
        <is>
          <t>G 0.30 – Unberechtigte Nutzung oder Administration von Geräten und Systemen; G 0.36 – Identitätsdiebstahl; G 0.23 – Unbefugtes Eindringen in IT-Systeme</t>
        </is>
      </c>
      <c r="U44" s="11" t="n">
        <v>3</v>
      </c>
      <c r="V44" s="11" t="n">
        <v>2</v>
      </c>
      <c r="W44" s="11" t="n">
        <v>1</v>
      </c>
      <c r="X44" s="11" t="n">
        <v>1</v>
      </c>
      <c r="Y44" s="11" t="n">
        <v>0</v>
      </c>
    </row>
    <row r="45">
      <c r="A45" s="9" t="inlineStr">
        <is>
          <t>SENS.4.2</t>
        </is>
      </c>
      <c r="B45" s="10" t="inlineStr">
        <is>
          <t>Mehrfachnutzung von Zugängen</t>
        </is>
      </c>
      <c r="C45" s="11" t="n"/>
      <c r="D45" s="11" t="inlineStr">
        <is>
          <t>Standard-Anforderungen</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is>
          <t>Vertraulichkeit</t>
        </is>
      </c>
      <c r="N45" s="12" t="inlineStr"/>
      <c r="O45" s="11" t="inlineStr"/>
      <c r="P45" s="12" t="inlineStr">
        <is>
          <t>Insbesondere ist die Nutzung eines Benutzerkontos auf einem Endgerät durch mehrere natürliche Personen problematisch.</t>
        </is>
      </c>
      <c r="Q45" s="11" t="inlineStr">
        <is>
          <t>Nutzende</t>
        </is>
      </c>
      <c r="R45" s="11" t="inlineStr">
        <is>
          <t>Schulungsplan</t>
        </is>
      </c>
      <c r="S45" s="12" t="inlineStr">
        <is>
          <t>gegen die Nutzung eines Zugangskontos durch mehrere Personen</t>
        </is>
      </c>
      <c r="T45" s="12" t="inlineStr">
        <is>
          <t>G 0.30 – Unberechtigte Nutzung oder Administration von Geräten und Systemen; G 0.36 – Identitätsdiebstahl; G 0.23 – Unbefugtes Eindringen in IT-Systeme</t>
        </is>
      </c>
      <c r="U45" s="11" t="n">
        <v>3</v>
      </c>
      <c r="V45" s="11" t="n">
        <v>2</v>
      </c>
      <c r="W45" s="11" t="n">
        <v>1</v>
      </c>
      <c r="X45" s="11" t="n">
        <v>1</v>
      </c>
      <c r="Y45" s="11" t="n">
        <v>0</v>
      </c>
    </row>
    <row r="46">
      <c r="A46" s="11" t="inlineStr">
        <is>
          <t>SENS.4.2</t>
        </is>
      </c>
      <c r="B46" s="12" t="inlineStr">
        <is>
          <t>Mehrfachnutzung von Zugängen</t>
        </is>
      </c>
      <c r="C46" s="11" t="inlineStr">
        <is>
          <t>SENS.4.2</t>
        </is>
      </c>
      <c r="D46" s="11" t="inlineStr">
        <is>
          <t>Standard-Anforderungen</t>
        </is>
      </c>
      <c r="E46" s="12" t="inlineStr">
        <is>
          <t>Sensibilisierung für Nutzende SOLLTE gegen die Nutzung eines Zugangskontos durch mehrere Personen sensibilisieren.</t>
        </is>
      </c>
      <c r="F46" s="14" t="n"/>
      <c r="G46" s="14" t="n"/>
      <c r="H46" s="14" t="inlineStr">
        <is>
          <t>unbearbeitet</t>
        </is>
      </c>
      <c r="I46" s="14" t="n"/>
      <c r="J46" s="14" t="n"/>
      <c r="K46" s="14" t="n"/>
      <c r="L46" s="15" t="n"/>
      <c r="M46" s="11" t="inlineStr">
        <is>
          <t>Vertraulichkeit</t>
        </is>
      </c>
      <c r="N46" s="12" t="inlineStr"/>
      <c r="O46" s="11" t="inlineStr"/>
      <c r="P46" s="12" t="inlineStr">
        <is>
          <t>Insbesondere ist die Nutzung eines Benutzerkontos auf einem Endgerät durch mehrere natürliche Personen problematisch.</t>
        </is>
      </c>
      <c r="Q46" s="11" t="inlineStr">
        <is>
          <t>Nutzende</t>
        </is>
      </c>
      <c r="R46" s="11" t="inlineStr">
        <is>
          <t>Schulungsplan</t>
        </is>
      </c>
      <c r="S46" s="12" t="inlineStr">
        <is>
          <t>gegen die Nutzung eines Zugangskontos durch mehrere Personen</t>
        </is>
      </c>
      <c r="T46" s="12" t="inlineStr">
        <is>
          <t>G 0.30 – Unberechtigte Nutzung oder Administration von Geräten und Systemen; G 0.36 – Identitätsdiebstahl; G 0.23 – Unbefugtes Eindringen in IT-Systeme</t>
        </is>
      </c>
      <c r="U46" s="11" t="n">
        <v>3</v>
      </c>
      <c r="V46" s="11" t="n">
        <v>2</v>
      </c>
      <c r="W46" s="11" t="n">
        <v>1</v>
      </c>
      <c r="X46" s="11" t="n">
        <v>1</v>
      </c>
      <c r="Y46" s="11" t="n">
        <v>0</v>
      </c>
    </row>
    <row r="47">
      <c r="A47" s="9" t="inlineStr">
        <is>
          <t>SENS.4.3</t>
        </is>
      </c>
      <c r="B47" s="10" t="inlineStr">
        <is>
          <t>Abmelden nach Nutzung</t>
        </is>
      </c>
      <c r="C47" s="11" t="n"/>
      <c r="D47" s="11" t="inlineStr">
        <is>
          <t>Standard-Anforderungen</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is>
          <t>Vertraulichkeit</t>
        </is>
      </c>
      <c r="N47" s="12" t="inlineStr"/>
      <c r="O47" s="11" t="inlineStr"/>
      <c r="P47" s="12" t="inlineStr">
        <is>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is>
      </c>
      <c r="Q47" s="11" t="inlineStr">
        <is>
          <t>Nutzende</t>
        </is>
      </c>
      <c r="R47" s="11" t="inlineStr">
        <is>
          <t>Schulungsplan</t>
        </is>
      </c>
      <c r="S47" s="12" t="inlineStr">
        <is>
          <t>zum Abmelden</t>
        </is>
      </c>
      <c r="T47" s="12" t="inlineStr">
        <is>
          <t>G 0.30 – Unberechtigte Nutzung oder Administration von Geräten und Systemen; G 0.36 – Identitätsdiebstahl; G 0.23 – Unbefugtes Eindringen in IT-Systeme</t>
        </is>
      </c>
      <c r="U47" s="11" t="n">
        <v>2</v>
      </c>
      <c r="V47" s="11" t="n">
        <v>2</v>
      </c>
      <c r="W47" s="11" t="n">
        <v>1</v>
      </c>
      <c r="X47" s="11" t="n">
        <v>1</v>
      </c>
      <c r="Y47" s="11" t="n">
        <v>0</v>
      </c>
    </row>
    <row r="48">
      <c r="A48" s="11" t="inlineStr">
        <is>
          <t>SENS.4.3</t>
        </is>
      </c>
      <c r="B48" s="12" t="inlineStr">
        <is>
          <t>Abmelden nach Nutzung</t>
        </is>
      </c>
      <c r="C48" s="11" t="inlineStr">
        <is>
          <t>SENS.4.3</t>
        </is>
      </c>
      <c r="D48" s="11" t="inlineStr">
        <is>
          <t>Standard-Anforderungen</t>
        </is>
      </c>
      <c r="E48" s="12" t="inlineStr">
        <is>
          <t>Sensibilisierung für Nutzende SOLLTE zum Abmelden nach Nutzung sensibilisieren.</t>
        </is>
      </c>
      <c r="F48" s="14" t="n"/>
      <c r="G48" s="14" t="n"/>
      <c r="H48" s="14" t="inlineStr">
        <is>
          <t>unbearbeitet</t>
        </is>
      </c>
      <c r="I48" s="14" t="n"/>
      <c r="J48" s="14" t="n"/>
      <c r="K48" s="14" t="n"/>
      <c r="L48" s="15" t="n"/>
      <c r="M48" s="11" t="inlineStr">
        <is>
          <t>Vertraulichkeit</t>
        </is>
      </c>
      <c r="N48" s="12" t="inlineStr"/>
      <c r="O48" s="11" t="inlineStr"/>
      <c r="P48" s="12" t="inlineStr">
        <is>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is>
      </c>
      <c r="Q48" s="11" t="inlineStr">
        <is>
          <t>Nutzende</t>
        </is>
      </c>
      <c r="R48" s="11" t="inlineStr">
        <is>
          <t>Schulungsplan</t>
        </is>
      </c>
      <c r="S48" s="12" t="inlineStr">
        <is>
          <t>zum Abmelden</t>
        </is>
      </c>
      <c r="T48" s="12" t="inlineStr">
        <is>
          <t>G 0.30 – Unberechtigte Nutzung oder Administration von Geräten und Systemen; G 0.36 – Identitätsdiebstahl; G 0.23 – Unbefugtes Eindringen in IT-Systeme</t>
        </is>
      </c>
      <c r="U48" s="11" t="n">
        <v>2</v>
      </c>
      <c r="V48" s="11" t="n">
        <v>2</v>
      </c>
      <c r="W48" s="11" t="n">
        <v>1</v>
      </c>
      <c r="X48" s="11" t="n">
        <v>1</v>
      </c>
      <c r="Y48" s="11" t="n">
        <v>0</v>
      </c>
    </row>
    <row r="49">
      <c r="A49" s="9" t="inlineStr">
        <is>
          <t>SENS.5.1</t>
        </is>
      </c>
      <c r="B49" s="10" t="inlineStr">
        <is>
          <t>Datenablage</t>
        </is>
      </c>
      <c r="C49" s="11" t="n"/>
      <c r="D49" s="11" t="inlineStr">
        <is>
          <t>Standard-Anforderungen</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is>
          <t>Integrität</t>
        </is>
      </c>
      <c r="N49" s="12" t="inlineStr"/>
      <c r="O49" s="11" t="inlineStr"/>
      <c r="P49" s="12" t="inlineStr">
        <is>
          <t>Eine strukturierte Datenablage ist eine systematische Organisation von Daten in einer definierten Struktur, z.B. Aktenbestandverzeichnis, Content-Management-System. Dies ist wichtig für eine zentrale Zugriffssteuerung, Datensicherung und effiziente Suche.</t>
        </is>
      </c>
      <c r="Q49" s="11" t="inlineStr">
        <is>
          <t>Nutzende</t>
        </is>
      </c>
      <c r="R49" s="11" t="inlineStr">
        <is>
          <t>Schulungsplan</t>
        </is>
      </c>
      <c r="S49" s="12" t="inlineStr">
        <is>
          <t>zum Einhalten einer strukturierten Datenablage</t>
        </is>
      </c>
      <c r="T49" s="12" t="inlineStr">
        <is>
          <t>G 0.19 – Offenlegung schützenswerter Informationen; G 0.38 – Missbrauch personenbezogener Daten; G 0.22 – Manipulation von Informationen; G 0.45 – Datenverlust</t>
        </is>
      </c>
      <c r="U49" s="11" t="n">
        <v>3</v>
      </c>
      <c r="V49" s="11" t="n">
        <v>1</v>
      </c>
      <c r="W49" s="11" t="n">
        <v>2</v>
      </c>
      <c r="X49" s="11" t="n">
        <v>1</v>
      </c>
      <c r="Y49" s="11" t="n">
        <v>1</v>
      </c>
    </row>
    <row r="50">
      <c r="A50" s="11" t="inlineStr">
        <is>
          <t>SENS.5.1</t>
        </is>
      </c>
      <c r="B50" s="12" t="inlineStr">
        <is>
          <t>Datenablage</t>
        </is>
      </c>
      <c r="C50" s="11" t="inlineStr">
        <is>
          <t>SENS.5.1</t>
        </is>
      </c>
      <c r="D50" s="11" t="inlineStr">
        <is>
          <t>Standard-Anforderungen</t>
        </is>
      </c>
      <c r="E50" s="12" t="inlineStr">
        <is>
          <t>Sensibilisierung für Nutzende SOLLTE zum Einhalten einer strukturierten Datenablage sensibilisieren.</t>
        </is>
      </c>
      <c r="F50" s="14" t="n"/>
      <c r="G50" s="14" t="n"/>
      <c r="H50" s="14" t="inlineStr">
        <is>
          <t>unbearbeitet</t>
        </is>
      </c>
      <c r="I50" s="14" t="n"/>
      <c r="J50" s="14" t="n"/>
      <c r="K50" s="14" t="n"/>
      <c r="L50" s="15" t="n"/>
      <c r="M50" s="11" t="inlineStr">
        <is>
          <t>Integrität</t>
        </is>
      </c>
      <c r="N50" s="12" t="inlineStr"/>
      <c r="O50" s="11" t="inlineStr"/>
      <c r="P50" s="12" t="inlineStr">
        <is>
          <t>Eine strukturierte Datenablage ist eine systematische Organisation von Daten in einer definierten Struktur, z.B. Aktenbestandverzeichnis, Content-Management-System. Dies ist wichtig für eine zentrale Zugriffssteuerung, Datensicherung und effiziente Suche.</t>
        </is>
      </c>
      <c r="Q50" s="11" t="inlineStr">
        <is>
          <t>Nutzende</t>
        </is>
      </c>
      <c r="R50" s="11" t="inlineStr">
        <is>
          <t>Schulungsplan</t>
        </is>
      </c>
      <c r="S50" s="12" t="inlineStr">
        <is>
          <t>zum Einhalten einer strukturierten Datenablage</t>
        </is>
      </c>
      <c r="T50" s="12" t="inlineStr">
        <is>
          <t>G 0.19 – Offenlegung schützenswerter Informationen; G 0.38 – Missbrauch personenbezogener Daten; G 0.22 – Manipulation von Informationen; G 0.45 – Datenverlust</t>
        </is>
      </c>
      <c r="U50" s="11" t="n">
        <v>3</v>
      </c>
      <c r="V50" s="11" t="n">
        <v>1</v>
      </c>
      <c r="W50" s="11" t="n">
        <v>2</v>
      </c>
      <c r="X50" s="11" t="n">
        <v>1</v>
      </c>
      <c r="Y50" s="11" t="n">
        <v>1</v>
      </c>
    </row>
    <row r="51">
      <c r="A51" s="9" t="inlineStr">
        <is>
          <t>SENS.5.2</t>
        </is>
      </c>
      <c r="B51" s="10" t="inlineStr">
        <is>
          <t>Weitergabe von Informationen</t>
        </is>
      </c>
      <c r="C51" s="11" t="n"/>
      <c r="D51" s="11" t="inlineStr">
        <is>
          <t>Standard-Anforderungen</t>
        </is>
      </c>
      <c r="E51" s="12" t="inlineStr">
        <is>
          <t>Gesamt:</t>
        </is>
      </c>
      <c r="F51" s="11" t="n"/>
      <c r="G51" s="11" t="n"/>
      <c r="H51" s="13">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
      </c>
      <c r="I51" s="11" t="n"/>
      <c r="J51" s="11" t="n"/>
      <c r="K51" s="11" t="n"/>
      <c r="L51" s="11" t="n"/>
      <c r="M51" s="11" t="inlineStr">
        <is>
          <t>Vertraulichkeit</t>
        </is>
      </c>
      <c r="N51" s="12" t="inlineStr"/>
      <c r="O51" s="11" t="inlineStr"/>
      <c r="P51" s="12" t="inlineStr">
        <is>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is>
      </c>
      <c r="Q51" s="11" t="inlineStr">
        <is>
          <t>Nutzende, Informationen</t>
        </is>
      </c>
      <c r="R51" s="11" t="inlineStr">
        <is>
          <t>Schulungsplan</t>
        </is>
      </c>
      <c r="S51" s="12" t="inlineStr">
        <is>
          <t>zu den Voraussetzungen der Weitergabe von Informationen</t>
        </is>
      </c>
      <c r="T51" s="12" t="inlineStr">
        <is>
          <t>G 0.19 – Offenlegung schützenswerter Informationen; G 0.38 – Missbrauch personenbezogener Daten; G 0.22 – Manipulation von Informationen; G 0.45 – Datenverlust</t>
        </is>
      </c>
      <c r="U51" s="11" t="n">
        <v>2</v>
      </c>
      <c r="V51" s="11" t="n">
        <v>2</v>
      </c>
      <c r="W51" s="11" t="n">
        <v>1</v>
      </c>
      <c r="X51" s="11" t="n">
        <v>1</v>
      </c>
      <c r="Y51" s="11" t="n">
        <v>1</v>
      </c>
    </row>
    <row r="52">
      <c r="A52" s="11" t="inlineStr">
        <is>
          <t>SENS.5.2</t>
        </is>
      </c>
      <c r="B52" s="12" t="inlineStr">
        <is>
          <t>Weitergabe von Informationen</t>
        </is>
      </c>
      <c r="C52" s="11" t="inlineStr">
        <is>
          <t>SENS.5.2</t>
        </is>
      </c>
      <c r="D52" s="11" t="inlineStr">
        <is>
          <t>Standard-Anforderungen</t>
        </is>
      </c>
      <c r="E52" s="12" t="inlineStr">
        <is>
          <t>Sensibilisierung für Nutzende von Informationen SOLLTE zu den Voraussetzungen der Weitergabe von Informationen sensibilisieren.</t>
        </is>
      </c>
      <c r="F52" s="14" t="n"/>
      <c r="G52" s="14" t="n"/>
      <c r="H52" s="14" t="inlineStr">
        <is>
          <t>unbearbeitet</t>
        </is>
      </c>
      <c r="I52" s="14" t="n"/>
      <c r="J52" s="14" t="n"/>
      <c r="K52" s="14" t="n"/>
      <c r="L52" s="15" t="n"/>
      <c r="M52" s="11" t="inlineStr">
        <is>
          <t>Vertraulichkeit</t>
        </is>
      </c>
      <c r="N52" s="12" t="inlineStr"/>
      <c r="O52" s="11" t="inlineStr"/>
      <c r="P52" s="12" t="inlineStr">
        <is>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is>
      </c>
      <c r="Q52" s="11" t="inlineStr">
        <is>
          <t>Nutzende, Informationen</t>
        </is>
      </c>
      <c r="R52" s="11" t="inlineStr">
        <is>
          <t>Schulungsplan</t>
        </is>
      </c>
      <c r="S52" s="12" t="inlineStr">
        <is>
          <t>zu den Voraussetzungen der Weitergabe von Informationen</t>
        </is>
      </c>
      <c r="T52" s="12" t="inlineStr">
        <is>
          <t>G 0.19 – Offenlegung schützenswerter Informationen; G 0.38 – Missbrauch personenbezogener Daten; G 0.22 – Manipulation von Informationen; G 0.45 – Datenverlust</t>
        </is>
      </c>
      <c r="U52" s="11" t="n">
        <v>2</v>
      </c>
      <c r="V52" s="11" t="n">
        <v>2</v>
      </c>
      <c r="W52" s="11" t="n">
        <v>1</v>
      </c>
      <c r="X52" s="11" t="n">
        <v>1</v>
      </c>
      <c r="Y52" s="11" t="n">
        <v>1</v>
      </c>
    </row>
    <row r="53">
      <c r="A53" s="9" t="inlineStr">
        <is>
          <t>SENS.5.3</t>
        </is>
      </c>
      <c r="B53" s="10" t="inlineStr">
        <is>
          <t>Weitergabe von Erreichbarkeiten</t>
        </is>
      </c>
      <c r="C53" s="11" t="n"/>
      <c r="D53" s="11" t="inlineStr">
        <is>
          <t>Anforderungen bei erhöhtem Schutzbedarf</t>
        </is>
      </c>
      <c r="E53" s="12" t="inlineStr">
        <is>
          <t>Gesamt:</t>
        </is>
      </c>
      <c r="F53" s="11" t="n"/>
      <c r="G53" s="11" t="n"/>
      <c r="H53" s="13">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
      </c>
      <c r="I53" s="11" t="n"/>
      <c r="J53" s="11" t="n"/>
      <c r="K53" s="11" t="n"/>
      <c r="L53" s="11" t="n"/>
      <c r="M53" s="11" t="inlineStr">
        <is>
          <t>Vertraulichkeit</t>
        </is>
      </c>
      <c r="N53" s="12" t="inlineStr"/>
      <c r="O53" s="11" t="inlineStr"/>
      <c r="P53" s="12" t="inlineStr">
        <is>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is>
      </c>
      <c r="Q53" s="11" t="inlineStr">
        <is>
          <t>Nutzende</t>
        </is>
      </c>
      <c r="R53" s="11" t="inlineStr">
        <is>
          <t>Arbeitsanweisung</t>
        </is>
      </c>
      <c r="S53" s="12" t="inlineStr">
        <is>
          <t>die Veröffentlichung oder Weitergabe von Erreichbarkeiten an unbefugte Dritte</t>
        </is>
      </c>
      <c r="T53" s="12" t="inlineStr">
        <is>
          <t>G 0.19 – Offenlegung schützenswerter Informationen; G 0.38 – Missbrauch personenbezogener Daten; G 0.22 – Manipulation von Informationen; G 0.42 – Social Engineering</t>
        </is>
      </c>
      <c r="U53" s="11" t="n">
        <v>5</v>
      </c>
      <c r="V53" s="11" t="n">
        <v>2</v>
      </c>
      <c r="W53" s="11" t="n">
        <v>1</v>
      </c>
      <c r="X53" s="11" t="n">
        <v>1</v>
      </c>
      <c r="Y53" s="11" t="n">
        <v>0</v>
      </c>
    </row>
    <row r="54">
      <c r="A54" s="11" t="inlineStr">
        <is>
          <t>SENS.5.3</t>
        </is>
      </c>
      <c r="B54" s="12" t="inlineStr">
        <is>
          <t>Weitergabe von Erreichbarkeiten</t>
        </is>
      </c>
      <c r="C54" s="11" t="inlineStr">
        <is>
          <t>SENS.5.3</t>
        </is>
      </c>
      <c r="D54" s="11" t="inlineStr">
        <is>
          <t>Anforderungen bei erhöhtem Schutzbedarf</t>
        </is>
      </c>
      <c r="E54" s="12" t="inlineStr">
        <is>
          <t>Sensibilisierung für Nutzende KANN die Veröffentlichung oder Weitergabe von Erreichbarkeiten an unbefugte Dritte untersagen.</t>
        </is>
      </c>
      <c r="F54" s="14" t="n"/>
      <c r="G54" s="14" t="n"/>
      <c r="H54" s="14" t="inlineStr">
        <is>
          <t>unbearbeitet</t>
        </is>
      </c>
      <c r="I54" s="14" t="n"/>
      <c r="J54" s="14" t="n"/>
      <c r="K54" s="14" t="n"/>
      <c r="L54" s="15" t="n"/>
      <c r="M54" s="11" t="inlineStr">
        <is>
          <t>Vertraulichkeit</t>
        </is>
      </c>
      <c r="N54" s="12" t="inlineStr"/>
      <c r="O54" s="11" t="inlineStr"/>
      <c r="P54" s="12" t="inlineStr">
        <is>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is>
      </c>
      <c r="Q54" s="11" t="inlineStr">
        <is>
          <t>Nutzende</t>
        </is>
      </c>
      <c r="R54" s="11" t="inlineStr">
        <is>
          <t>Arbeitsanweisung</t>
        </is>
      </c>
      <c r="S54" s="12" t="inlineStr">
        <is>
          <t>die Veröffentlichung oder Weitergabe von Erreichbarkeiten an unbefugte Dritte</t>
        </is>
      </c>
      <c r="T54" s="12" t="inlineStr">
        <is>
          <t>G 0.19 – Offenlegung schützenswerter Informationen; G 0.38 – Missbrauch personenbezogener Daten; G 0.22 – Manipulation von Informationen; G 0.42 – Social Engineering</t>
        </is>
      </c>
      <c r="U54" s="11" t="n">
        <v>5</v>
      </c>
      <c r="V54" s="11" t="n">
        <v>2</v>
      </c>
      <c r="W54" s="11" t="n">
        <v>1</v>
      </c>
      <c r="X54" s="11" t="n">
        <v>1</v>
      </c>
      <c r="Y54" s="11" t="n">
        <v>0</v>
      </c>
    </row>
    <row r="55">
      <c r="A55" s="9" t="inlineStr">
        <is>
          <t>SENS.5.4</t>
        </is>
      </c>
      <c r="B55" s="10" t="inlineStr">
        <is>
          <t>Rest- und Zusatzdaten</t>
        </is>
      </c>
      <c r="C55" s="11" t="n"/>
      <c r="D55" s="11" t="inlineStr">
        <is>
          <t>Standard-Anforderungen</t>
        </is>
      </c>
      <c r="E55" s="12" t="inlineStr">
        <is>
          <t>Gesamt:</t>
        </is>
      </c>
      <c r="F55" s="11" t="n"/>
      <c r="G55" s="11" t="n"/>
      <c r="H55" s="13">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
      </c>
      <c r="I55" s="11" t="n"/>
      <c r="J55" s="11" t="n"/>
      <c r="K55" s="11" t="n"/>
      <c r="L55" s="11" t="n"/>
      <c r="M55" s="11" t="inlineStr">
        <is>
          <t>Vertraulichkeit</t>
        </is>
      </c>
      <c r="N55" s="12" t="inlineStr"/>
      <c r="O55" s="11" t="inlineStr"/>
      <c r="P55" s="12" t="inlineStr">
        <is>
          <t>Rest- und Zusatzinformationen sind z.B. die Metadatenfelder in Office- oder PDF-Dateien, sowie die Änderungshistorie.</t>
        </is>
      </c>
      <c r="Q55" s="11" t="inlineStr">
        <is>
          <t>Nutzende</t>
        </is>
      </c>
      <c r="R55" s="11" t="inlineStr">
        <is>
          <t>Schulungsplan</t>
        </is>
      </c>
      <c r="S55" s="12" t="inlineStr">
        <is>
          <t>zur Vermeidung oder Entfernung von Rest- und Zusatzdaten</t>
        </is>
      </c>
      <c r="T55" s="12" t="inlineStr">
        <is>
          <t>G 0.19 – Offenlegung schützenswerter Informationen; G 0.38 – Missbrauch personenbezogener Daten; G 0.22 – Manipulation von Informationen; G 0.45 – Datenverlust</t>
        </is>
      </c>
      <c r="U55" s="11" t="n">
        <v>2</v>
      </c>
      <c r="V55" s="11" t="n">
        <v>2</v>
      </c>
      <c r="W55" s="11" t="n">
        <v>1</v>
      </c>
      <c r="X55" s="11" t="n">
        <v>1</v>
      </c>
      <c r="Y55" s="11" t="n">
        <v>0</v>
      </c>
    </row>
    <row r="56">
      <c r="A56" s="11" t="inlineStr">
        <is>
          <t>SENS.5.4</t>
        </is>
      </c>
      <c r="B56" s="12" t="inlineStr">
        <is>
          <t>Rest- und Zusatzdaten</t>
        </is>
      </c>
      <c r="C56" s="11" t="inlineStr">
        <is>
          <t>SENS.5.4</t>
        </is>
      </c>
      <c r="D56" s="11" t="inlineStr">
        <is>
          <t>Standard-Anforderungen</t>
        </is>
      </c>
      <c r="E56" s="12" t="inlineStr">
        <is>
          <t>Sensibilisierung für Nutzende SOLLTE zur Vermeidung oder Entfernung von Rest- und Zusatzdaten vor dem Versand sensibilisieren.</t>
        </is>
      </c>
      <c r="F56" s="14" t="n"/>
      <c r="G56" s="14" t="n"/>
      <c r="H56" s="14" t="inlineStr">
        <is>
          <t>unbearbeitet</t>
        </is>
      </c>
      <c r="I56" s="14" t="n"/>
      <c r="J56" s="14" t="n"/>
      <c r="K56" s="14" t="n"/>
      <c r="L56" s="15" t="n"/>
      <c r="M56" s="11" t="inlineStr">
        <is>
          <t>Vertraulichkeit</t>
        </is>
      </c>
      <c r="N56" s="12" t="inlineStr"/>
      <c r="O56" s="11" t="inlineStr"/>
      <c r="P56" s="12" t="inlineStr">
        <is>
          <t>Rest- und Zusatzinformationen sind z.B. die Metadatenfelder in Office- oder PDF-Dateien, sowie die Änderungshistorie.</t>
        </is>
      </c>
      <c r="Q56" s="11" t="inlineStr">
        <is>
          <t>Nutzende</t>
        </is>
      </c>
      <c r="R56" s="11" t="inlineStr">
        <is>
          <t>Schulungsplan</t>
        </is>
      </c>
      <c r="S56" s="12" t="inlineStr">
        <is>
          <t>zur Vermeidung oder Entfernung von Rest- und Zusatzdaten</t>
        </is>
      </c>
      <c r="T56" s="12" t="inlineStr">
        <is>
          <t>G 0.19 – Offenlegung schützenswerter Informationen; G 0.38 – Missbrauch personenbezogener Daten; G 0.22 – Manipulation von Informationen; G 0.45 – Datenverlust</t>
        </is>
      </c>
      <c r="U56" s="11" t="n">
        <v>2</v>
      </c>
      <c r="V56" s="11" t="n">
        <v>2</v>
      </c>
      <c r="W56" s="11" t="n">
        <v>1</v>
      </c>
      <c r="X56" s="11" t="n">
        <v>1</v>
      </c>
      <c r="Y56" s="11" t="n">
        <v>0</v>
      </c>
    </row>
    <row r="57">
      <c r="A57" s="9" t="inlineStr">
        <is>
          <t>SENS.5.5</t>
        </is>
      </c>
      <c r="B57" s="10" t="inlineStr">
        <is>
          <t>Löschfristen</t>
        </is>
      </c>
      <c r="C57" s="11" t="n"/>
      <c r="D57" s="11" t="inlineStr">
        <is>
          <t>Standard-Anforderungen</t>
        </is>
      </c>
      <c r="E57" s="12" t="inlineStr">
        <is>
          <t>Gesamt:</t>
        </is>
      </c>
      <c r="F57" s="11" t="n"/>
      <c r="G57" s="11" t="n"/>
      <c r="H57" s="13">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
      </c>
      <c r="I57" s="11" t="n"/>
      <c r="J57" s="11" t="n"/>
      <c r="K57" s="11" t="n"/>
      <c r="L57" s="11" t="n"/>
      <c r="M57" s="11" t="inlineStr">
        <is>
          <t>Vertraulichkeit</t>
        </is>
      </c>
      <c r="N57" s="12" t="inlineStr"/>
      <c r="O57" s="11" t="inlineStr"/>
      <c r="P57" s="12" t="inlineStr">
        <is>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is>
      </c>
      <c r="Q57" s="11" t="inlineStr">
        <is>
          <t>Nutzende</t>
        </is>
      </c>
      <c r="R57" s="11" t="inlineStr">
        <is>
          <t>Arbeitsanweisung</t>
        </is>
      </c>
      <c r="S57" s="12" t="inlineStr">
        <is>
          <t>zum Löschen oder Vernichten</t>
        </is>
      </c>
      <c r="T57" s="12" t="inlineStr">
        <is>
          <t>G 0.38 – Missbrauch personenbezogener Daten; G 0.45 – Datenverlust; G 0.19 – Offenlegung schützenswerter Informationen; G 0.22 – Manipulation von Informationen</t>
        </is>
      </c>
      <c r="U57" s="11" t="n">
        <v>2</v>
      </c>
      <c r="V57" s="11" t="n">
        <v>2</v>
      </c>
      <c r="W57" s="11" t="n">
        <v>1</v>
      </c>
      <c r="X57" s="11" t="n">
        <v>1</v>
      </c>
      <c r="Y57" s="11" t="n">
        <v>0</v>
      </c>
    </row>
    <row r="58">
      <c r="A58" s="11" t="inlineStr">
        <is>
          <t>SENS.5.5</t>
        </is>
      </c>
      <c r="B58" s="12" t="inlineStr">
        <is>
          <t>Löschfristen</t>
        </is>
      </c>
      <c r="C58" s="11" t="inlineStr">
        <is>
          <t>SENS.5.5</t>
        </is>
      </c>
      <c r="D58" s="11" t="inlineStr">
        <is>
          <t>Standard-Anforderungen</t>
        </is>
      </c>
      <c r="E58" s="12" t="inlineStr">
        <is>
          <t>Sensibilisierung für Nutzende SOLLTE zum Löschen oder Vernichten nach Ablauf der festgelegten Löschfristen anweisen.</t>
        </is>
      </c>
      <c r="F58" s="14" t="n"/>
      <c r="G58" s="14" t="n"/>
      <c r="H58" s="14" t="inlineStr">
        <is>
          <t>unbearbeitet</t>
        </is>
      </c>
      <c r="I58" s="14" t="n"/>
      <c r="J58" s="14" t="n"/>
      <c r="K58" s="14" t="n"/>
      <c r="L58" s="15" t="n"/>
      <c r="M58" s="11" t="inlineStr">
        <is>
          <t>Vertraulichkeit</t>
        </is>
      </c>
      <c r="N58" s="12" t="inlineStr"/>
      <c r="O58" s="11" t="inlineStr"/>
      <c r="P58" s="12" t="inlineStr">
        <is>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is>
      </c>
      <c r="Q58" s="11" t="inlineStr">
        <is>
          <t>Nutzende</t>
        </is>
      </c>
      <c r="R58" s="11" t="inlineStr">
        <is>
          <t>Arbeitsanweisung</t>
        </is>
      </c>
      <c r="S58" s="12" t="inlineStr">
        <is>
          <t>zum Löschen oder Vernichten</t>
        </is>
      </c>
      <c r="T58" s="12" t="inlineStr">
        <is>
          <t>G 0.38 – Missbrauch personenbezogener Daten; G 0.45 – Datenverlust; G 0.19 – Offenlegung schützenswerter Informationen; G 0.22 – Manipulation von Informationen</t>
        </is>
      </c>
      <c r="U58" s="11" t="n">
        <v>2</v>
      </c>
      <c r="V58" s="11" t="n">
        <v>2</v>
      </c>
      <c r="W58" s="11" t="n">
        <v>1</v>
      </c>
      <c r="X58" s="11" t="n">
        <v>1</v>
      </c>
      <c r="Y58" s="11" t="n">
        <v>0</v>
      </c>
    </row>
    <row r="59">
      <c r="A59" s="9" t="inlineStr">
        <is>
          <t>SENS.5.6</t>
        </is>
      </c>
      <c r="B59" s="10" t="inlineStr">
        <is>
          <t>Papiervernichtung</t>
        </is>
      </c>
      <c r="C59" s="11" t="n"/>
      <c r="D59" s="11" t="inlineStr">
        <is>
          <t>Standard-Anforderungen</t>
        </is>
      </c>
      <c r="E59" s="12" t="inlineStr">
        <is>
          <t>Gesamt:</t>
        </is>
      </c>
      <c r="F59" s="11" t="n"/>
      <c r="G59" s="11" t="n"/>
      <c r="H59" s="13">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
      </c>
      <c r="I59" s="11" t="n"/>
      <c r="J59" s="11" t="n"/>
      <c r="K59" s="11" t="n"/>
      <c r="L59" s="11" t="n"/>
      <c r="M59" s="11" t="inlineStr">
        <is>
          <t>Vertraulichkeit</t>
        </is>
      </c>
      <c r="N59" s="12" t="inlineStr"/>
      <c r="O59" s="11" t="inlineStr"/>
      <c r="P59" s="12" t="inlineStr">
        <is>
          <t>Gemäß ISO/IEC 21964-2 existieren unterschiedliche Sicherheitsstufen für Vernichtung. Die Granularität der Vernichtung richtet sich dabei nach dem Schutzbedarf der Daten. Sinnvoll ist es daher, das Vorgehen zur Vernichtung an der Einstufung der Daten auszurichten.</t>
        </is>
      </c>
      <c r="Q59" s="11" t="inlineStr">
        <is>
          <t>Nutzende</t>
        </is>
      </c>
      <c r="R59" s="11" t="inlineStr">
        <is>
          <t>Schulungsplan</t>
        </is>
      </c>
      <c r="S59" s="12" t="inlineStr">
        <is>
          <t>zum Vernichten vertraulicher Dokumente</t>
        </is>
      </c>
      <c r="T59" s="12" t="inlineStr">
        <is>
          <t>G 0.19 – Offenlegung schützenswerter Informationen; G 0.38 – Missbrauch personenbezogener Daten; G 0.22 – Manipulation von Informationen; G 0.45 – Datenverlust</t>
        </is>
      </c>
      <c r="U59" s="11" t="n">
        <v>2</v>
      </c>
      <c r="V59" s="11" t="n">
        <v>2</v>
      </c>
      <c r="W59" s="11" t="n">
        <v>1</v>
      </c>
      <c r="X59" s="11" t="n">
        <v>1</v>
      </c>
      <c r="Y59" s="11" t="n">
        <v>0</v>
      </c>
    </row>
    <row r="60">
      <c r="A60" s="11" t="inlineStr">
        <is>
          <t>SENS.5.6</t>
        </is>
      </c>
      <c r="B60" s="12" t="inlineStr">
        <is>
          <t>Papiervernichtung</t>
        </is>
      </c>
      <c r="C60" s="11" t="inlineStr">
        <is>
          <t>SENS.5.6</t>
        </is>
      </c>
      <c r="D60" s="11" t="inlineStr">
        <is>
          <t>Standard-Anforderungen</t>
        </is>
      </c>
      <c r="E60" s="12" t="inlineStr">
        <is>
          <t>Sensibilisierung für Nutzende SOLLTE zum Vernichten vertraulicher Dokumente nach Ablauf der Löschfrist sensibilisieren.</t>
        </is>
      </c>
      <c r="F60" s="14" t="n"/>
      <c r="G60" s="14" t="n"/>
      <c r="H60" s="14" t="inlineStr">
        <is>
          <t>unbearbeitet</t>
        </is>
      </c>
      <c r="I60" s="14" t="n"/>
      <c r="J60" s="14" t="n"/>
      <c r="K60" s="14" t="n"/>
      <c r="L60" s="15" t="n"/>
      <c r="M60" s="11" t="inlineStr">
        <is>
          <t>Vertraulichkeit</t>
        </is>
      </c>
      <c r="N60" s="12" t="inlineStr"/>
      <c r="O60" s="11" t="inlineStr"/>
      <c r="P60" s="12" t="inlineStr">
        <is>
          <t>Gemäß ISO/IEC 21964-2 existieren unterschiedliche Sicherheitsstufen für Vernichtung. Die Granularität der Vernichtung richtet sich dabei nach dem Schutzbedarf der Daten. Sinnvoll ist es daher, das Vorgehen zur Vernichtung an der Einstufung der Daten auszurichten.</t>
        </is>
      </c>
      <c r="Q60" s="11" t="inlineStr">
        <is>
          <t>Nutzende</t>
        </is>
      </c>
      <c r="R60" s="11" t="inlineStr">
        <is>
          <t>Schulungsplan</t>
        </is>
      </c>
      <c r="S60" s="12" t="inlineStr">
        <is>
          <t>zum Vernichten vertraulicher Dokumente</t>
        </is>
      </c>
      <c r="T60" s="12" t="inlineStr">
        <is>
          <t>G 0.19 – Offenlegung schützenswerter Informationen; G 0.38 – Missbrauch personenbezogener Daten; G 0.22 – Manipulation von Informationen; G 0.45 – Datenverlust</t>
        </is>
      </c>
      <c r="U60" s="11" t="n">
        <v>2</v>
      </c>
      <c r="V60" s="11" t="n">
        <v>2</v>
      </c>
      <c r="W60" s="11" t="n">
        <v>1</v>
      </c>
      <c r="X60" s="11" t="n">
        <v>1</v>
      </c>
      <c r="Y60" s="11" t="n">
        <v>0</v>
      </c>
    </row>
    <row r="61">
      <c r="A61" s="9" t="inlineStr">
        <is>
          <t>SENS.6.1</t>
        </is>
      </c>
      <c r="B61" s="10" t="inlineStr">
        <is>
          <t>Scan angenommener Wechseldatenträger</t>
        </is>
      </c>
      <c r="C61" s="11" t="n"/>
      <c r="D61" s="11" t="inlineStr">
        <is>
          <t>Standard-Anforderungen</t>
        </is>
      </c>
      <c r="E61" s="12" t="inlineStr">
        <is>
          <t>Gesamt:</t>
        </is>
      </c>
      <c r="F61" s="11" t="n"/>
      <c r="G61" s="11" t="n"/>
      <c r="H61" s="13">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
      </c>
      <c r="I61" s="11" t="n"/>
      <c r="J61" s="11" t="n"/>
      <c r="K61" s="11" t="n"/>
      <c r="L61" s="11" t="n"/>
      <c r="M61" s="11" t="inlineStr"/>
      <c r="N61" s="12" t="inlineStr"/>
      <c r="O61" s="11" t="inlineStr"/>
      <c r="P61" s="12" t="inlineStr">
        <is>
          <t>Datenträger, wie USB-Sticks aus unbekannten oder externen Quellen, können Schadprogramme enthalten. Der Virenscan kann durch eine Datenträgerschleuse oder durch eine Virenprüfung im IT-System selbst umgesetzt werden.</t>
        </is>
      </c>
      <c r="Q61" s="11" t="inlineStr">
        <is>
          <t>Nutzende</t>
        </is>
      </c>
      <c r="R61" s="11" t="inlineStr">
        <is>
          <t>Arbeitsanweisung</t>
        </is>
      </c>
      <c r="S61" s="12" t="inlineStr">
        <is>
          <t>zum Virenscan angenommener Wechseldatenträger</t>
        </is>
      </c>
      <c r="T61" s="12" t="inlineStr">
        <is>
          <t>G 0.18 – Fehlplanung oder fehlende Anpassung</t>
        </is>
      </c>
      <c r="U61" s="11" t="n">
        <v>2</v>
      </c>
      <c r="V61" s="11" t="n">
        <v>1</v>
      </c>
      <c r="W61" s="11" t="n">
        <v>1</v>
      </c>
      <c r="X61" s="11" t="n">
        <v>1</v>
      </c>
      <c r="Y61" s="11" t="n">
        <v>0</v>
      </c>
    </row>
    <row r="62">
      <c r="A62" s="11" t="inlineStr">
        <is>
          <t>SENS.6.1</t>
        </is>
      </c>
      <c r="B62" s="12" t="inlineStr">
        <is>
          <t>Scan angenommener Wechseldatenträger</t>
        </is>
      </c>
      <c r="C62" s="11" t="inlineStr">
        <is>
          <t>SENS.6.1</t>
        </is>
      </c>
      <c r="D62" s="11" t="inlineStr">
        <is>
          <t>Standard-Anforderungen</t>
        </is>
      </c>
      <c r="E62" s="12" t="inlineStr">
        <is>
          <t>Sensibilisierung für Nutzende SOLLTE zum Virenscan angenommener Wechseldatenträger anweisen.</t>
        </is>
      </c>
      <c r="F62" s="14" t="n"/>
      <c r="G62" s="14" t="n"/>
      <c r="H62" s="14" t="inlineStr">
        <is>
          <t>unbearbeitet</t>
        </is>
      </c>
      <c r="I62" s="14" t="n"/>
      <c r="J62" s="14" t="n"/>
      <c r="K62" s="14" t="n"/>
      <c r="L62" s="15" t="n"/>
      <c r="M62" s="11" t="inlineStr"/>
      <c r="N62" s="12" t="inlineStr"/>
      <c r="O62" s="11" t="inlineStr"/>
      <c r="P62" s="12" t="inlineStr">
        <is>
          <t>Datenträger, wie USB-Sticks aus unbekannten oder externen Quellen, können Schadprogramme enthalten. Der Virenscan kann durch eine Datenträgerschleuse oder durch eine Virenprüfung im IT-System selbst umgesetzt werden.</t>
        </is>
      </c>
      <c r="Q62" s="11" t="inlineStr">
        <is>
          <t>Nutzende</t>
        </is>
      </c>
      <c r="R62" s="11" t="inlineStr">
        <is>
          <t>Arbeitsanweisung</t>
        </is>
      </c>
      <c r="S62" s="12" t="inlineStr">
        <is>
          <t>zum Virenscan angenommener Wechseldatenträger</t>
        </is>
      </c>
      <c r="T62" s="12" t="inlineStr">
        <is>
          <t>G 0.18 – Fehlplanung oder fehlende Anpassung</t>
        </is>
      </c>
      <c r="U62" s="11" t="n">
        <v>2</v>
      </c>
      <c r="V62" s="11" t="n">
        <v>1</v>
      </c>
      <c r="W62" s="11" t="n">
        <v>1</v>
      </c>
      <c r="X62" s="11" t="n">
        <v>1</v>
      </c>
      <c r="Y62" s="11" t="n">
        <v>0</v>
      </c>
    </row>
    <row r="63">
      <c r="A63" s="9" t="inlineStr">
        <is>
          <t>SENS.6.2</t>
        </is>
      </c>
      <c r="B63" s="10" t="inlineStr">
        <is>
          <t>Verschlüsselung</t>
        </is>
      </c>
      <c r="C63" s="11" t="n"/>
      <c r="D63" s="11" t="inlineStr">
        <is>
          <t>Standard-Anforderungen</t>
        </is>
      </c>
      <c r="E63" s="12" t="inlineStr">
        <is>
          <t>Gesamt:</t>
        </is>
      </c>
      <c r="F63" s="11" t="n"/>
      <c r="G63" s="11" t="n"/>
      <c r="H63" s="13">
        <f>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
      </c>
      <c r="I63" s="11" t="n"/>
      <c r="J63" s="11" t="n"/>
      <c r="K63" s="11" t="n"/>
      <c r="L63" s="11" t="n"/>
      <c r="M63" s="11" t="inlineStr">
        <is>
          <t>Vertraulichkeit</t>
        </is>
      </c>
      <c r="N63" s="12" t="inlineStr"/>
      <c r="O63" s="11" t="inlineStr"/>
      <c r="P63" s="12" t="inlineStr">
        <is>
          <t>Falls Wechseldatenträger zum Austausch vertraulicher Daten verwendet werden, so sind diese vor der ersten Verwendung vollständig zu verschlüsseln. Die Verschlüsselung kann in Hard- oder Software, oder auf Dateiebene erfolgen.</t>
        </is>
      </c>
      <c r="Q63" s="11" t="inlineStr">
        <is>
          <t>Nutzende</t>
        </is>
      </c>
      <c r="R63" s="11" t="inlineStr">
        <is>
          <t>Arbeitsanweisung</t>
        </is>
      </c>
      <c r="S63" s="12" t="inlineStr">
        <is>
          <t>zum Verschlüsseln von Wechseldatenträgern</t>
        </is>
      </c>
      <c r="T63" s="12" t="inlineStr">
        <is>
          <t>G 0.18 – Fehlplanung oder fehlende Anpassung</t>
        </is>
      </c>
      <c r="U63" s="11" t="n">
        <v>2</v>
      </c>
      <c r="V63" s="11" t="n">
        <v>2</v>
      </c>
      <c r="W63" s="11" t="n">
        <v>1</v>
      </c>
      <c r="X63" s="11" t="n">
        <v>1</v>
      </c>
      <c r="Y63" s="11" t="n">
        <v>0</v>
      </c>
    </row>
    <row r="64">
      <c r="A64" s="11" t="inlineStr">
        <is>
          <t>SENS.6.2</t>
        </is>
      </c>
      <c r="B64" s="12" t="inlineStr">
        <is>
          <t>Verschlüsselung</t>
        </is>
      </c>
      <c r="C64" s="11" t="inlineStr">
        <is>
          <t>SENS.6.2</t>
        </is>
      </c>
      <c r="D64" s="11" t="inlineStr">
        <is>
          <t>Standard-Anforderungen</t>
        </is>
      </c>
      <c r="E64" s="12" t="inlineStr">
        <is>
          <t>Sensibilisierung für Nutzende SOLLTE zum Verschlüsseln von Wechseldatenträgern anweisen.</t>
        </is>
      </c>
      <c r="F64" s="14" t="n"/>
      <c r="G64" s="14" t="n"/>
      <c r="H64" s="14" t="inlineStr">
        <is>
          <t>unbearbeitet</t>
        </is>
      </c>
      <c r="I64" s="14" t="n"/>
      <c r="J64" s="14" t="n"/>
      <c r="K64" s="14" t="n"/>
      <c r="L64" s="15" t="n"/>
      <c r="M64" s="11" t="inlineStr">
        <is>
          <t>Vertraulichkeit</t>
        </is>
      </c>
      <c r="N64" s="12" t="inlineStr"/>
      <c r="O64" s="11" t="inlineStr"/>
      <c r="P64" s="12" t="inlineStr">
        <is>
          <t>Falls Wechseldatenträger zum Austausch vertraulicher Daten verwendet werden, so sind diese vor der ersten Verwendung vollständig zu verschlüsseln. Die Verschlüsselung kann in Hard- oder Software, oder auf Dateiebene erfolgen.</t>
        </is>
      </c>
      <c r="Q64" s="11" t="inlineStr">
        <is>
          <t>Nutzende</t>
        </is>
      </c>
      <c r="R64" s="11" t="inlineStr">
        <is>
          <t>Arbeitsanweisung</t>
        </is>
      </c>
      <c r="S64" s="12" t="inlineStr">
        <is>
          <t>zum Verschlüsseln von Wechseldatenträgern</t>
        </is>
      </c>
      <c r="T64" s="12" t="inlineStr">
        <is>
          <t>G 0.18 – Fehlplanung oder fehlende Anpassung</t>
        </is>
      </c>
      <c r="U64" s="11" t="n">
        <v>2</v>
      </c>
      <c r="V64" s="11" t="n">
        <v>2</v>
      </c>
      <c r="W64" s="11" t="n">
        <v>1</v>
      </c>
      <c r="X64" s="11" t="n">
        <v>1</v>
      </c>
      <c r="Y64" s="11" t="n">
        <v>0</v>
      </c>
    </row>
    <row r="65">
      <c r="A65" s="9" t="inlineStr">
        <is>
          <t>SENS.7.1</t>
        </is>
      </c>
      <c r="B65" s="10" t="inlineStr">
        <is>
          <t>Spezifische Sensibilisierung</t>
        </is>
      </c>
      <c r="C65" s="11" t="n"/>
      <c r="D65" s="11" t="inlineStr">
        <is>
          <t>Standard-Anforderungen</t>
        </is>
      </c>
      <c r="E65" s="12" t="inlineStr">
        <is>
          <t>Gesamt:</t>
        </is>
      </c>
      <c r="F65" s="11" t="n"/>
      <c r="G65" s="11" t="n"/>
      <c r="H65" s="13">
        <f>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
      </c>
      <c r="I65" s="11" t="n"/>
      <c r="J65" s="11" t="n"/>
      <c r="K65" s="11" t="n"/>
      <c r="L65" s="11" t="n"/>
      <c r="M65" s="11" t="inlineStr"/>
      <c r="N65" s="12" t="inlineStr">
        <is>
          <t>APP.1.1.A17-UA.4; ORP.3.A9-UA.1</t>
        </is>
      </c>
      <c r="O65" s="11" t="inlineStr">
        <is>
          <t>intersects-with; intersects-with</t>
        </is>
      </c>
      <c r="P65" s="12" t="inlineStr">
        <is>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is>
      </c>
      <c r="Q65" s="11" t="inlineStr">
        <is>
          <t>Nutzende</t>
        </is>
      </c>
      <c r="R65" s="11" t="inlineStr">
        <is>
          <t>Schulungsplan</t>
        </is>
      </c>
      <c r="S65" s="12" t="inlineStr">
        <is>
          <t>zu zielobjektspezifischen Schutzmaßnahmen</t>
        </is>
      </c>
      <c r="T65" s="12" t="inlineStr">
        <is>
          <t>G 0.18 – Fehlplanung oder fehlende Anpassung</t>
        </is>
      </c>
      <c r="U65" s="11" t="n">
        <v>2</v>
      </c>
      <c r="V65" s="11" t="n">
        <v>1</v>
      </c>
      <c r="W65" s="11" t="n">
        <v>1</v>
      </c>
      <c r="X65" s="11" t="n">
        <v>1</v>
      </c>
      <c r="Y65" s="11" t="n">
        <v>0</v>
      </c>
    </row>
    <row r="66">
      <c r="A66" s="11" t="inlineStr">
        <is>
          <t>SENS.7.1</t>
        </is>
      </c>
      <c r="B66" s="12" t="inlineStr">
        <is>
          <t>Spezifische Sensibilisierung</t>
        </is>
      </c>
      <c r="C66" s="11" t="inlineStr">
        <is>
          <t>SENS.7.1</t>
        </is>
      </c>
      <c r="D66" s="11" t="inlineStr">
        <is>
          <t>Standard-Anforderungen</t>
        </is>
      </c>
      <c r="E66" s="12" t="inlineStr">
        <is>
          <t>Sensibilisierung für Nutzende SOLLTE zu zielobjektspezifischen Schutzmaßnahmen zielgruppengerecht sensibilisieren.</t>
        </is>
      </c>
      <c r="F66" s="14" t="n"/>
      <c r="G66" s="14" t="n"/>
      <c r="H66" s="14" t="inlineStr">
        <is>
          <t>unbearbeitet</t>
        </is>
      </c>
      <c r="I66" s="14" t="n"/>
      <c r="J66" s="14" t="n"/>
      <c r="K66" s="14" t="n"/>
      <c r="L66" s="15" t="n"/>
      <c r="M66" s="11" t="inlineStr"/>
      <c r="N66" s="12" t="inlineStr">
        <is>
          <t>APP.1.1.A17-UA.4; ORP.3.A9-UA.1</t>
        </is>
      </c>
      <c r="O66" s="11" t="inlineStr">
        <is>
          <t>intersects-with; intersects-with</t>
        </is>
      </c>
      <c r="P66" s="12" t="inlineStr">
        <is>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is>
      </c>
      <c r="Q66" s="11" t="inlineStr">
        <is>
          <t>Nutzende</t>
        </is>
      </c>
      <c r="R66" s="11" t="inlineStr">
        <is>
          <t>Schulungsplan</t>
        </is>
      </c>
      <c r="S66" s="12" t="inlineStr">
        <is>
          <t>zu zielobjektspezifischen Schutzmaßnahmen</t>
        </is>
      </c>
      <c r="T66" s="12" t="inlineStr">
        <is>
          <t>G 0.18 – Fehlplanung oder fehlende Anpassung</t>
        </is>
      </c>
      <c r="U66" s="11" t="n">
        <v>2</v>
      </c>
      <c r="V66" s="11" t="n">
        <v>1</v>
      </c>
      <c r="W66" s="11" t="n">
        <v>1</v>
      </c>
      <c r="X66" s="11" t="n">
        <v>1</v>
      </c>
      <c r="Y66" s="11" t="n">
        <v>0</v>
      </c>
    </row>
    <row r="67">
      <c r="A67" s="9" t="inlineStr">
        <is>
          <t>SENS.7.2</t>
        </is>
      </c>
      <c r="B67" s="10" t="inlineStr">
        <is>
          <t>Virenscan</t>
        </is>
      </c>
      <c r="C67" s="11" t="n"/>
      <c r="D67" s="11" t="inlineStr">
        <is>
          <t>Standard-Anforderungen</t>
        </is>
      </c>
      <c r="E67" s="12" t="inlineStr">
        <is>
          <t>Gesamt:</t>
        </is>
      </c>
      <c r="F67" s="11" t="n"/>
      <c r="G67" s="11" t="n"/>
      <c r="H67" s="13">
        <f>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
      </c>
      <c r="I67" s="11" t="n"/>
      <c r="J67" s="11" t="n"/>
      <c r="K67" s="11" t="n"/>
      <c r="L67" s="11" t="n"/>
      <c r="M67" s="11" t="inlineStr"/>
      <c r="N67" s="12" t="inlineStr">
        <is>
          <t>APP.1.1.A17-UA.2; APP.1.1.A3-UA.1</t>
        </is>
      </c>
      <c r="O67" s="11" t="inlineStr">
        <is>
          <t>intersects-with; intersects-with</t>
        </is>
      </c>
      <c r="P67" s="12" t="inlineStr">
        <is>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is>
      </c>
      <c r="Q67" s="11" t="inlineStr">
        <is>
          <t>Nutzende, Interpersonelle Kommunikation</t>
        </is>
      </c>
      <c r="R67" s="11" t="inlineStr">
        <is>
          <t>Schulungsplan</t>
        </is>
      </c>
      <c r="S67" s="12" t="inlineStr">
        <is>
          <t>zum Virenscan von Dateien aus externen Quellen</t>
        </is>
      </c>
      <c r="T67" s="12" t="inlineStr">
        <is>
          <t>G 0.18 – Fehlplanung oder fehlende Anpassung</t>
        </is>
      </c>
      <c r="U67" s="11" t="n">
        <v>3</v>
      </c>
      <c r="V67" s="11" t="n">
        <v>1</v>
      </c>
      <c r="W67" s="11" t="n">
        <v>1</v>
      </c>
      <c r="X67" s="11" t="n">
        <v>1</v>
      </c>
      <c r="Y67" s="11" t="n">
        <v>0</v>
      </c>
    </row>
    <row r="68">
      <c r="A68" s="11" t="inlineStr">
        <is>
          <t>SENS.7.2</t>
        </is>
      </c>
      <c r="B68" s="12" t="inlineStr">
        <is>
          <t>Virenscan</t>
        </is>
      </c>
      <c r="C68" s="11" t="inlineStr">
        <is>
          <t>SENS.7.2</t>
        </is>
      </c>
      <c r="D68" s="11" t="inlineStr">
        <is>
          <t>Standard-Anforderungen</t>
        </is>
      </c>
      <c r="E68" s="12" t="inlineStr">
        <is>
          <t>Sensibilisierung für Nutzende von Interpersoneller Kommunikation SOLLTE zum Virenscan von Dateien aus externen Quellen sensibilisieren.</t>
        </is>
      </c>
      <c r="F68" s="14" t="n"/>
      <c r="G68" s="14" t="n"/>
      <c r="H68" s="14" t="inlineStr">
        <is>
          <t>unbearbeitet</t>
        </is>
      </c>
      <c r="I68" s="14" t="n"/>
      <c r="J68" s="14" t="n"/>
      <c r="K68" s="14" t="n"/>
      <c r="L68" s="15" t="n"/>
      <c r="M68" s="11" t="inlineStr"/>
      <c r="N68" s="12" t="inlineStr">
        <is>
          <t>APP.1.1.A17-UA.2; APP.1.1.A3-UA.1</t>
        </is>
      </c>
      <c r="O68" s="11" t="inlineStr">
        <is>
          <t>intersects-with; intersects-with</t>
        </is>
      </c>
      <c r="P68" s="12" t="inlineStr">
        <is>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is>
      </c>
      <c r="Q68" s="11" t="inlineStr">
        <is>
          <t>Nutzende, Interpersonelle Kommunikation</t>
        </is>
      </c>
      <c r="R68" s="11" t="inlineStr">
        <is>
          <t>Schulungsplan</t>
        </is>
      </c>
      <c r="S68" s="12" t="inlineStr">
        <is>
          <t>zum Virenscan von Dateien aus externen Quellen</t>
        </is>
      </c>
      <c r="T68" s="12" t="inlineStr">
        <is>
          <t>G 0.18 – Fehlplanung oder fehlende Anpassung</t>
        </is>
      </c>
      <c r="U68" s="11" t="n">
        <v>3</v>
      </c>
      <c r="V68" s="11" t="n">
        <v>1</v>
      </c>
      <c r="W68" s="11" t="n">
        <v>1</v>
      </c>
      <c r="X68" s="11" t="n">
        <v>1</v>
      </c>
      <c r="Y68" s="11" t="n">
        <v>0</v>
      </c>
    </row>
    <row r="69">
      <c r="A69" s="9" t="inlineStr">
        <is>
          <t>SENS.7.3</t>
        </is>
      </c>
      <c r="B69" s="10" t="inlineStr">
        <is>
          <t>Automatische Antworten</t>
        </is>
      </c>
      <c r="C69" s="11" t="n"/>
      <c r="D69" s="11" t="inlineStr">
        <is>
          <t>Standard-Anforderungen</t>
        </is>
      </c>
      <c r="E69" s="12" t="inlineStr">
        <is>
          <t>Gesamt:</t>
        </is>
      </c>
      <c r="F69" s="11" t="n"/>
      <c r="G69" s="11" t="n"/>
      <c r="H69" s="13">
        <f>IF(OR(COUNTBLANK($H$70:$H$70)&gt;0,COUNTIF($H$70:$H$70,"unbearbeitet")=COUNTA($H$70:$H$70)),"Bitte Teilanforderungen ausfüllen",IF(COUNTIF($H$70:$H$70,"zu klären")&gt;0,"zu klären",IF(COUNTIF($H$70:$H$70,"entbehrlich")=COUNTA($H$70:$H$70),"entbehrlich",IF(COUNTIF($H$70:$H$70,"verwiesen")=COUNTA($H$70:$H$70),"verwiesen",IF(COUNTIF($H$70:$H$70,"nein")+COUNTIF($H$70:$H$70,"entbehrlich")=COUNTA($H$70:$H$70),"nein",IF(COUNTIF($H$70:$H$70,"ja")+COUNTIF($H$70:$H$70,"entbehrlich")+COUNTIF($H$70:$H$70,"verwiesen")=COUNTA($H$70:$H$70),"ja","teilweise"))))))</f>
        <v/>
      </c>
      <c r="I69" s="11" t="n"/>
      <c r="J69" s="11" t="n"/>
      <c r="K69" s="11" t="n"/>
      <c r="L69" s="11" t="n"/>
      <c r="M69" s="11" t="inlineStr">
        <is>
          <t>Vertraulichkeit</t>
        </is>
      </c>
      <c r="N69" s="12" t="inlineStr"/>
      <c r="O69" s="11" t="inlineStr"/>
      <c r="P69" s="12" t="inlineStr">
        <is>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is>
      </c>
      <c r="Q69" s="11" t="inlineStr">
        <is>
          <t>Nutzende, Interpersonelle Kommunikation</t>
        </is>
      </c>
      <c r="R69" s="11" t="inlineStr">
        <is>
          <t>Schulungsplan</t>
        </is>
      </c>
      <c r="S69" s="12" t="inlineStr">
        <is>
          <t>gegen die Ausgabe vertraulicher Daten durch AutoReply-Funktionen</t>
        </is>
      </c>
      <c r="T69" s="12" t="inlineStr">
        <is>
          <t>G 0.18 – Fehlplanung oder fehlende Anpassung</t>
        </is>
      </c>
      <c r="U69" s="11" t="n">
        <v>2</v>
      </c>
      <c r="V69" s="11" t="n">
        <v>2</v>
      </c>
      <c r="W69" s="11" t="n">
        <v>1</v>
      </c>
      <c r="X69" s="11" t="n">
        <v>1</v>
      </c>
      <c r="Y69" s="11" t="n">
        <v>0</v>
      </c>
    </row>
    <row r="70">
      <c r="A70" s="11" t="inlineStr">
        <is>
          <t>SENS.7.3</t>
        </is>
      </c>
      <c r="B70" s="12" t="inlineStr">
        <is>
          <t>Automatische Antworten</t>
        </is>
      </c>
      <c r="C70" s="11" t="inlineStr">
        <is>
          <t>SENS.7.3</t>
        </is>
      </c>
      <c r="D70" s="11" t="inlineStr">
        <is>
          <t>Standard-Anforderungen</t>
        </is>
      </c>
      <c r="E70" s="12" t="inlineStr">
        <is>
          <t>Sensibilisierung für Nutzende von Interpersoneller Kommunikation SOLLTE gegen die Ausgabe vertraulicher Daten durch AutoReply-Funktionen sensibilisieren.</t>
        </is>
      </c>
      <c r="F70" s="14" t="n"/>
      <c r="G70" s="14" t="n"/>
      <c r="H70" s="14" t="inlineStr">
        <is>
          <t>unbearbeitet</t>
        </is>
      </c>
      <c r="I70" s="14" t="n"/>
      <c r="J70" s="14" t="n"/>
      <c r="K70" s="14" t="n"/>
      <c r="L70" s="15" t="n"/>
      <c r="M70" s="11" t="inlineStr">
        <is>
          <t>Vertraulichkeit</t>
        </is>
      </c>
      <c r="N70" s="12" t="inlineStr"/>
      <c r="O70" s="11" t="inlineStr"/>
      <c r="P70" s="12" t="inlineStr">
        <is>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is>
      </c>
      <c r="Q70" s="11" t="inlineStr">
        <is>
          <t>Nutzende, Interpersonelle Kommunikation</t>
        </is>
      </c>
      <c r="R70" s="11" t="inlineStr">
        <is>
          <t>Schulungsplan</t>
        </is>
      </c>
      <c r="S70" s="12" t="inlineStr">
        <is>
          <t>gegen die Ausgabe vertraulicher Daten durch AutoReply-Funktionen</t>
        </is>
      </c>
      <c r="T70" s="12" t="inlineStr">
        <is>
          <t>G 0.18 – Fehlplanung oder fehlende Anpassung</t>
        </is>
      </c>
      <c r="U70" s="11" t="n">
        <v>2</v>
      </c>
      <c r="V70" s="11" t="n">
        <v>2</v>
      </c>
      <c r="W70" s="11" t="n">
        <v>1</v>
      </c>
      <c r="X70" s="11" t="n">
        <v>1</v>
      </c>
      <c r="Y70" s="11" t="n">
        <v>0</v>
      </c>
    </row>
    <row r="71">
      <c r="A71" s="9" t="inlineStr">
        <is>
          <t>SENS.7.4</t>
        </is>
      </c>
      <c r="B71" s="10" t="inlineStr">
        <is>
          <t>SPAM - Löschen oder Melden</t>
        </is>
      </c>
      <c r="C71" s="11" t="n"/>
      <c r="D71" s="11" t="inlineStr">
        <is>
          <t>Standard-Anforderungen</t>
        </is>
      </c>
      <c r="E71" s="12" t="inlineStr">
        <is>
          <t>Gesamt:</t>
        </is>
      </c>
      <c r="F71" s="11" t="n"/>
      <c r="G71" s="11" t="n"/>
      <c r="H71" s="13">
        <f>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
      </c>
      <c r="I71" s="11" t="n"/>
      <c r="J71" s="11" t="n"/>
      <c r="K71" s="11" t="n"/>
      <c r="L71" s="11" t="n"/>
      <c r="M71" s="11" t="inlineStr"/>
      <c r="N71" s="12" t="inlineStr"/>
      <c r="O71" s="11" t="inlineStr"/>
      <c r="P71" s="12" t="inlineStr">
        <is>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is>
      </c>
      <c r="Q71" s="11" t="inlineStr">
        <is>
          <t>Nutzende, Interpersonelle Kommunikation</t>
        </is>
      </c>
      <c r="R71" s="11" t="inlineStr">
        <is>
          <t>Schulungsplan</t>
        </is>
      </c>
      <c r="S71" s="12" t="inlineStr">
        <is>
          <t>zum Löschen oder Melden von SPAM</t>
        </is>
      </c>
      <c r="T71" s="12" t="inlineStr">
        <is>
          <t>G 0.18 – Fehlplanung oder fehlende Anpassung</t>
        </is>
      </c>
      <c r="U71" s="11" t="n">
        <v>2</v>
      </c>
      <c r="V71" s="11" t="n">
        <v>1</v>
      </c>
      <c r="W71" s="11" t="n">
        <v>1</v>
      </c>
      <c r="X71" s="11" t="n">
        <v>1</v>
      </c>
      <c r="Y71" s="11" t="n">
        <v>0</v>
      </c>
    </row>
    <row r="72">
      <c r="A72" s="11" t="inlineStr">
        <is>
          <t>SENS.7.4</t>
        </is>
      </c>
      <c r="B72" s="12" t="inlineStr">
        <is>
          <t>SPAM - Löschen oder Melden</t>
        </is>
      </c>
      <c r="C72" s="11" t="inlineStr">
        <is>
          <t>SENS.7.4</t>
        </is>
      </c>
      <c r="D72" s="11" t="inlineStr">
        <is>
          <t>Standard-Anforderungen</t>
        </is>
      </c>
      <c r="E72" s="12" t="inlineStr">
        <is>
          <t>Sensibilisierung für Nutzende von Interpersoneller Kommunikation SOLLTE zum Löschen oder Melden von SPAM sensibilisieren.</t>
        </is>
      </c>
      <c r="F72" s="14" t="n"/>
      <c r="G72" s="14" t="n"/>
      <c r="H72" s="14" t="inlineStr">
        <is>
          <t>unbearbeitet</t>
        </is>
      </c>
      <c r="I72" s="14" t="n"/>
      <c r="J72" s="14" t="n"/>
      <c r="K72" s="14" t="n"/>
      <c r="L72" s="15" t="n"/>
      <c r="M72" s="11" t="inlineStr"/>
      <c r="N72" s="12" t="inlineStr"/>
      <c r="O72" s="11" t="inlineStr"/>
      <c r="P72" s="12" t="inlineStr">
        <is>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is>
      </c>
      <c r="Q72" s="11" t="inlineStr">
        <is>
          <t>Nutzende, Interpersonelle Kommunikation</t>
        </is>
      </c>
      <c r="R72" s="11" t="inlineStr">
        <is>
          <t>Schulungsplan</t>
        </is>
      </c>
      <c r="S72" s="12" t="inlineStr">
        <is>
          <t>zum Löschen oder Melden von SPAM</t>
        </is>
      </c>
      <c r="T72" s="12" t="inlineStr">
        <is>
          <t>G 0.18 – Fehlplanung oder fehlende Anpassung</t>
        </is>
      </c>
      <c r="U72" s="11" t="n">
        <v>2</v>
      </c>
      <c r="V72" s="11" t="n">
        <v>1</v>
      </c>
      <c r="W72" s="11" t="n">
        <v>1</v>
      </c>
      <c r="X72" s="11" t="n">
        <v>1</v>
      </c>
      <c r="Y72" s="11" t="n">
        <v>0</v>
      </c>
    </row>
    <row r="73">
      <c r="A73" s="9" t="inlineStr">
        <is>
          <t>SENS.7.5</t>
        </is>
      </c>
      <c r="B73" s="10" t="inlineStr">
        <is>
          <t>SPAM - Nichtbeantwortung</t>
        </is>
      </c>
      <c r="C73" s="11" t="n"/>
      <c r="D73" s="11" t="inlineStr">
        <is>
          <t>Standard-Anforderungen</t>
        </is>
      </c>
      <c r="E73" s="12" t="inlineStr">
        <is>
          <t>Gesamt:</t>
        </is>
      </c>
      <c r="F73" s="11" t="n"/>
      <c r="G73" s="11" t="n"/>
      <c r="H73" s="13">
        <f>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
      </c>
      <c r="I73" s="11" t="n"/>
      <c r="J73" s="11" t="n"/>
      <c r="K73" s="11" t="n"/>
      <c r="L73" s="11" t="n"/>
      <c r="M73" s="11" t="inlineStr">
        <is>
          <t>Vertraulichkeit</t>
        </is>
      </c>
      <c r="N73" s="12" t="inlineStr"/>
      <c r="O73" s="11" t="inlineStr"/>
      <c r="P73" s="12" t="inlineStr">
        <is>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is>
      </c>
      <c r="Q73" s="11" t="inlineStr">
        <is>
          <t>Nutzende, Interpersonelle Kommunikation</t>
        </is>
      </c>
      <c r="R73" s="11" t="inlineStr">
        <is>
          <t>Schulungsplan</t>
        </is>
      </c>
      <c r="S73" s="12" t="inlineStr">
        <is>
          <t>zum Nichtbeantworten von SPAM</t>
        </is>
      </c>
      <c r="T73" s="12" t="inlineStr">
        <is>
          <t>G 0.18 – Fehlplanung oder fehlende Anpassung</t>
        </is>
      </c>
      <c r="U73" s="11" t="n">
        <v>1</v>
      </c>
      <c r="V73" s="11" t="n">
        <v>2</v>
      </c>
      <c r="W73" s="11" t="n">
        <v>1</v>
      </c>
      <c r="X73" s="11" t="n">
        <v>1</v>
      </c>
      <c r="Y73" s="11" t="n">
        <v>0</v>
      </c>
    </row>
    <row r="74">
      <c r="A74" s="11" t="inlineStr">
        <is>
          <t>SENS.7.5</t>
        </is>
      </c>
      <c r="B74" s="12" t="inlineStr">
        <is>
          <t>SPAM - Nichtbeantwortung</t>
        </is>
      </c>
      <c r="C74" s="11" t="inlineStr">
        <is>
          <t>SENS.7.5</t>
        </is>
      </c>
      <c r="D74" s="11" t="inlineStr">
        <is>
          <t>Standard-Anforderungen</t>
        </is>
      </c>
      <c r="E74" s="12" t="inlineStr">
        <is>
          <t>Sensibilisierung für Nutzende von Interpersoneller Kommunikation SOLLTE zum Nichtbeantworten von SPAM sensibilisieren.</t>
        </is>
      </c>
      <c r="F74" s="14" t="n"/>
      <c r="G74" s="14" t="n"/>
      <c r="H74" s="14" t="inlineStr">
        <is>
          <t>unbearbeitet</t>
        </is>
      </c>
      <c r="I74" s="14" t="n"/>
      <c r="J74" s="14" t="n"/>
      <c r="K74" s="14" t="n"/>
      <c r="L74" s="15" t="n"/>
      <c r="M74" s="11" t="inlineStr">
        <is>
          <t>Vertraulichkeit</t>
        </is>
      </c>
      <c r="N74" s="12" t="inlineStr"/>
      <c r="O74" s="11" t="inlineStr"/>
      <c r="P74" s="12" t="inlineStr">
        <is>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is>
      </c>
      <c r="Q74" s="11" t="inlineStr">
        <is>
          <t>Nutzende, Interpersonelle Kommunikation</t>
        </is>
      </c>
      <c r="R74" s="11" t="inlineStr">
        <is>
          <t>Schulungsplan</t>
        </is>
      </c>
      <c r="S74" s="12" t="inlineStr">
        <is>
          <t>zum Nichtbeantworten von SPAM</t>
        </is>
      </c>
      <c r="T74" s="12" t="inlineStr">
        <is>
          <t>G 0.18 – Fehlplanung oder fehlende Anpassung</t>
        </is>
      </c>
      <c r="U74" s="11" t="n">
        <v>1</v>
      </c>
      <c r="V74" s="11" t="n">
        <v>2</v>
      </c>
      <c r="W74" s="11" t="n">
        <v>1</v>
      </c>
      <c r="X74" s="11" t="n">
        <v>1</v>
      </c>
      <c r="Y74" s="11" t="n">
        <v>0</v>
      </c>
    </row>
    <row r="75">
      <c r="A75" s="9" t="inlineStr">
        <is>
          <t>SENS.7.6</t>
        </is>
      </c>
      <c r="B75" s="10" t="inlineStr">
        <is>
          <t>SPAM - Links</t>
        </is>
      </c>
      <c r="C75" s="11" t="n"/>
      <c r="D75" s="11" t="inlineStr">
        <is>
          <t>Standard-Anforderungen</t>
        </is>
      </c>
      <c r="E75" s="12" t="inlineStr">
        <is>
          <t>Gesamt:</t>
        </is>
      </c>
      <c r="F75" s="11" t="n"/>
      <c r="G75" s="11" t="n"/>
      <c r="H75" s="13">
        <f>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
      </c>
      <c r="I75" s="11" t="n"/>
      <c r="J75" s="11" t="n"/>
      <c r="K75" s="11" t="n"/>
      <c r="L75" s="11" t="n"/>
      <c r="M75" s="11" t="inlineStr"/>
      <c r="N75" s="12" t="inlineStr"/>
      <c r="O75" s="11" t="inlineStr"/>
      <c r="P75" s="12" t="inlineStr">
        <is>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is>
      </c>
      <c r="Q75" s="11" t="inlineStr">
        <is>
          <t>Nutzende, Interpersonelle Kommunikation</t>
        </is>
      </c>
      <c r="R75" s="11" t="inlineStr">
        <is>
          <t>Schulungsplan</t>
        </is>
      </c>
      <c r="S75" s="12" t="inlineStr">
        <is>
          <t>gegen das Öffnen von Links in SPAM</t>
        </is>
      </c>
      <c r="T75" s="12" t="inlineStr">
        <is>
          <t>G 0.18 – Fehlplanung oder fehlende Anpassung</t>
        </is>
      </c>
      <c r="U75" s="11" t="n">
        <v>1</v>
      </c>
      <c r="V75" s="11" t="n">
        <v>1</v>
      </c>
      <c r="W75" s="11" t="n">
        <v>1</v>
      </c>
      <c r="X75" s="11" t="n">
        <v>1</v>
      </c>
      <c r="Y75" s="11" t="n">
        <v>0</v>
      </c>
    </row>
    <row r="76">
      <c r="A76" s="11" t="inlineStr">
        <is>
          <t>SENS.7.6</t>
        </is>
      </c>
      <c r="B76" s="12" t="inlineStr">
        <is>
          <t>SPAM - Links</t>
        </is>
      </c>
      <c r="C76" s="11" t="inlineStr">
        <is>
          <t>SENS.7.6</t>
        </is>
      </c>
      <c r="D76" s="11" t="inlineStr">
        <is>
          <t>Standard-Anforderungen</t>
        </is>
      </c>
      <c r="E76" s="12" t="inlineStr">
        <is>
          <t>Sensibilisierung für Nutzende von Interpersoneller Kommunikation SOLLTE gegen das Öffnen von Links in SPAM sensibilisieren.</t>
        </is>
      </c>
      <c r="F76" s="14" t="n"/>
      <c r="G76" s="14" t="n"/>
      <c r="H76" s="14" t="inlineStr">
        <is>
          <t>unbearbeitet</t>
        </is>
      </c>
      <c r="I76" s="14" t="n"/>
      <c r="J76" s="14" t="n"/>
      <c r="K76" s="14" t="n"/>
      <c r="L76" s="15" t="n"/>
      <c r="M76" s="11" t="inlineStr"/>
      <c r="N76" s="12" t="inlineStr"/>
      <c r="O76" s="11" t="inlineStr"/>
      <c r="P76" s="12" t="inlineStr">
        <is>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is>
      </c>
      <c r="Q76" s="11" t="inlineStr">
        <is>
          <t>Nutzende, Interpersonelle Kommunikation</t>
        </is>
      </c>
      <c r="R76" s="11" t="inlineStr">
        <is>
          <t>Schulungsplan</t>
        </is>
      </c>
      <c r="S76" s="12" t="inlineStr">
        <is>
          <t>gegen das Öffnen von Links in SPAM</t>
        </is>
      </c>
      <c r="T76" s="12" t="inlineStr">
        <is>
          <t>G 0.18 – Fehlplanung oder fehlende Anpassung</t>
        </is>
      </c>
      <c r="U76" s="11" t="n">
        <v>1</v>
      </c>
      <c r="V76" s="11" t="n">
        <v>1</v>
      </c>
      <c r="W76" s="11" t="n">
        <v>1</v>
      </c>
      <c r="X76" s="11" t="n">
        <v>1</v>
      </c>
      <c r="Y76" s="11" t="n">
        <v>0</v>
      </c>
    </row>
    <row r="77">
      <c r="A77" s="9" t="inlineStr">
        <is>
          <t>SENS.7.7</t>
        </is>
      </c>
      <c r="B77" s="10" t="inlineStr">
        <is>
          <t>SPAM - Anhänge</t>
        </is>
      </c>
      <c r="C77" s="11" t="n"/>
      <c r="D77" s="11" t="inlineStr">
        <is>
          <t>Standard-Anforderungen</t>
        </is>
      </c>
      <c r="E77" s="12" t="inlineStr">
        <is>
          <t>Gesamt:</t>
        </is>
      </c>
      <c r="F77" s="11" t="n"/>
      <c r="G77" s="11" t="n"/>
      <c r="H77" s="13">
        <f>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
      </c>
      <c r="I77" s="11" t="n"/>
      <c r="J77" s="11" t="n"/>
      <c r="K77" s="11" t="n"/>
      <c r="L77" s="11" t="n"/>
      <c r="M77" s="11" t="inlineStr"/>
      <c r="N77" s="12" t="inlineStr"/>
      <c r="O77" s="11" t="inlineStr"/>
      <c r="P77" s="12" t="inlineStr">
        <is>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is>
      </c>
      <c r="Q77" s="11" t="inlineStr">
        <is>
          <t>Nutzende, Interpersonelle Kommunikation</t>
        </is>
      </c>
      <c r="R77" s="11" t="inlineStr">
        <is>
          <t>Schulungsplan</t>
        </is>
      </c>
      <c r="S77" s="12" t="inlineStr">
        <is>
          <t>gegen das Öffnen von Anhängen in SPAM</t>
        </is>
      </c>
      <c r="T77" s="12" t="inlineStr">
        <is>
          <t>G 0.18 – Fehlplanung oder fehlende Anpassung</t>
        </is>
      </c>
      <c r="U77" s="11" t="n">
        <v>1</v>
      </c>
      <c r="V77" s="11" t="n">
        <v>1</v>
      </c>
      <c r="W77" s="11" t="n">
        <v>1</v>
      </c>
      <c r="X77" s="11" t="n">
        <v>1</v>
      </c>
      <c r="Y77" s="11" t="n">
        <v>0</v>
      </c>
    </row>
    <row r="78">
      <c r="A78" s="11" t="inlineStr">
        <is>
          <t>SENS.7.7</t>
        </is>
      </c>
      <c r="B78" s="12" t="inlineStr">
        <is>
          <t>SPAM - Anhänge</t>
        </is>
      </c>
      <c r="C78" s="11" t="inlineStr">
        <is>
          <t>SENS.7.7</t>
        </is>
      </c>
      <c r="D78" s="11" t="inlineStr">
        <is>
          <t>Standard-Anforderungen</t>
        </is>
      </c>
      <c r="E78" s="12" t="inlineStr">
        <is>
          <t>Sensibilisierung für Nutzende von Interpersoneller Kommunikation SOLLTE gegen das Öffnen von Anhängen in SPAM sensibilisieren.</t>
        </is>
      </c>
      <c r="F78" s="14" t="n"/>
      <c r="G78" s="14" t="n"/>
      <c r="H78" s="14" t="inlineStr">
        <is>
          <t>unbearbeitet</t>
        </is>
      </c>
      <c r="I78" s="14" t="n"/>
      <c r="J78" s="14" t="n"/>
      <c r="K78" s="14" t="n"/>
      <c r="L78" s="15" t="n"/>
      <c r="M78" s="11" t="inlineStr"/>
      <c r="N78" s="12" t="inlineStr"/>
      <c r="O78" s="11" t="inlineStr"/>
      <c r="P78" s="12" t="inlineStr">
        <is>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is>
      </c>
      <c r="Q78" s="11" t="inlineStr">
        <is>
          <t>Nutzende, Interpersonelle Kommunikation</t>
        </is>
      </c>
      <c r="R78" s="11" t="inlineStr">
        <is>
          <t>Schulungsplan</t>
        </is>
      </c>
      <c r="S78" s="12" t="inlineStr">
        <is>
          <t>gegen das Öffnen von Anhängen in SPAM</t>
        </is>
      </c>
      <c r="T78" s="12" t="inlineStr">
        <is>
          <t>G 0.18 – Fehlplanung oder fehlende Anpassung</t>
        </is>
      </c>
      <c r="U78" s="11" t="n">
        <v>1</v>
      </c>
      <c r="V78" s="11" t="n">
        <v>1</v>
      </c>
      <c r="W78" s="11" t="n">
        <v>1</v>
      </c>
      <c r="X78" s="11" t="n">
        <v>1</v>
      </c>
      <c r="Y78" s="11" t="n">
        <v>0</v>
      </c>
    </row>
    <row r="79">
      <c r="A79" s="9" t="inlineStr">
        <is>
          <t>SENS.7.8</t>
        </is>
      </c>
      <c r="B79" s="10" t="inlineStr">
        <is>
          <t>Gefälschte E-Mails</t>
        </is>
      </c>
      <c r="C79" s="11" t="n"/>
      <c r="D79" s="11" t="inlineStr">
        <is>
          <t>Standard-Anforderungen</t>
        </is>
      </c>
      <c r="E79" s="12" t="inlineStr">
        <is>
          <t>Gesamt:</t>
        </is>
      </c>
      <c r="F79" s="11" t="n"/>
      <c r="G79" s="11" t="n"/>
      <c r="H79" s="13">
        <f>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
      </c>
      <c r="I79" s="11" t="n"/>
      <c r="J79" s="11" t="n"/>
      <c r="K79" s="11" t="n"/>
      <c r="L79" s="11" t="n"/>
      <c r="M79" s="11" t="inlineStr"/>
      <c r="N79" s="12" t="inlineStr"/>
      <c r="O79" s="11" t="inlineStr"/>
      <c r="P79" s="12" t="inlineStr">
        <is>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is>
      </c>
      <c r="Q79" s="11" t="inlineStr">
        <is>
          <t>Nutzende, E-Mail</t>
        </is>
      </c>
      <c r="R79" s="11" t="inlineStr">
        <is>
          <t>Schulungsplan</t>
        </is>
      </c>
      <c r="S79" s="12" t="inlineStr">
        <is>
          <t>zum Erkennen von gefälschten E-Mails</t>
        </is>
      </c>
      <c r="T79" s="12" t="inlineStr">
        <is>
          <t>G 0.18 – Fehlplanung oder fehlende Anpassung</t>
        </is>
      </c>
      <c r="U79" s="11" t="n">
        <v>1</v>
      </c>
      <c r="V79" s="11" t="n">
        <v>1</v>
      </c>
      <c r="W79" s="11" t="n">
        <v>1</v>
      </c>
      <c r="X79" s="11" t="n">
        <v>1</v>
      </c>
      <c r="Y79" s="11" t="n">
        <v>0</v>
      </c>
    </row>
    <row r="80">
      <c r="A80" s="11" t="inlineStr">
        <is>
          <t>SENS.7.8</t>
        </is>
      </c>
      <c r="B80" s="12" t="inlineStr">
        <is>
          <t>Gefälschte E-Mails</t>
        </is>
      </c>
      <c r="C80" s="11" t="inlineStr">
        <is>
          <t>SENS.7.8</t>
        </is>
      </c>
      <c r="D80" s="11" t="inlineStr">
        <is>
          <t>Standard-Anforderungen</t>
        </is>
      </c>
      <c r="E80" s="12" t="inlineStr">
        <is>
          <t>Sensibilisierung für Nutzende von E-Mailn SOLLTE zum Erkennen von gefälschten E-Mails sensibilisieren.</t>
        </is>
      </c>
      <c r="F80" s="14" t="n"/>
      <c r="G80" s="14" t="n"/>
      <c r="H80" s="14" t="inlineStr">
        <is>
          <t>unbearbeitet</t>
        </is>
      </c>
      <c r="I80" s="14" t="n"/>
      <c r="J80" s="14" t="n"/>
      <c r="K80" s="14" t="n"/>
      <c r="L80" s="15" t="n"/>
      <c r="M80" s="11" t="inlineStr"/>
      <c r="N80" s="12" t="inlineStr"/>
      <c r="O80" s="11" t="inlineStr"/>
      <c r="P80" s="12" t="inlineStr">
        <is>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is>
      </c>
      <c r="Q80" s="11" t="inlineStr">
        <is>
          <t>Nutzende, E-Mail</t>
        </is>
      </c>
      <c r="R80" s="11" t="inlineStr">
        <is>
          <t>Schulungsplan</t>
        </is>
      </c>
      <c r="S80" s="12" t="inlineStr">
        <is>
          <t>zum Erkennen von gefälschten E-Mails</t>
        </is>
      </c>
      <c r="T80" s="12" t="inlineStr">
        <is>
          <t>G 0.18 – Fehlplanung oder fehlende Anpassung</t>
        </is>
      </c>
      <c r="U80" s="11" t="n">
        <v>1</v>
      </c>
      <c r="V80" s="11" t="n">
        <v>1</v>
      </c>
      <c r="W80" s="11" t="n">
        <v>1</v>
      </c>
      <c r="X80" s="11" t="n">
        <v>1</v>
      </c>
      <c r="Y80" s="11" t="n">
        <v>0</v>
      </c>
    </row>
    <row r="81">
      <c r="A81" s="9" t="inlineStr">
        <is>
          <t>SENS.7.9</t>
        </is>
      </c>
      <c r="B81" s="10" t="inlineStr">
        <is>
          <t>Aktive Inhalte</t>
        </is>
      </c>
      <c r="C81" s="11" t="n"/>
      <c r="D81" s="11" t="inlineStr">
        <is>
          <t>Standard-Anforderungen</t>
        </is>
      </c>
      <c r="E81" s="12" t="inlineStr">
        <is>
          <t>Gesamt:</t>
        </is>
      </c>
      <c r="F81" s="11" t="n"/>
      <c r="G81" s="11" t="n"/>
      <c r="H81" s="13">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
      </c>
      <c r="I81" s="11" t="n"/>
      <c r="J81" s="11" t="n"/>
      <c r="K81" s="11" t="n"/>
      <c r="L81" s="11" t="n"/>
      <c r="M81" s="11" t="inlineStr"/>
      <c r="N81" s="12" t="inlineStr">
        <is>
          <t>APP.1.1.A17-UA.1; APP.1.1.A2-UA.2; APP.1.1.A2-UA.3</t>
        </is>
      </c>
      <c r="O81" s="11" t="inlineStr">
        <is>
          <t>intersects-with; intersects-with; intersects-with</t>
        </is>
      </c>
      <c r="P81" s="12" t="inlineStr">
        <is>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is>
      </c>
      <c r="Q81" s="11" t="inlineStr">
        <is>
          <t>Nutzende, Office-Anwendungen</t>
        </is>
      </c>
      <c r="R81" s="11" t="inlineStr">
        <is>
          <t>Schulungsplan</t>
        </is>
      </c>
      <c r="S81" s="12" t="inlineStr">
        <is>
          <t>zur Überprüfung aktiver Inhalte vor der Aktivierung</t>
        </is>
      </c>
      <c r="T81" s="12" t="inlineStr">
        <is>
          <t>G 0.18 – Fehlplanung oder fehlende Anpassung</t>
        </is>
      </c>
      <c r="U81" s="11" t="n">
        <v>2</v>
      </c>
      <c r="V81" s="11" t="n">
        <v>1</v>
      </c>
      <c r="W81" s="11" t="n">
        <v>1</v>
      </c>
      <c r="X81" s="11" t="n">
        <v>1</v>
      </c>
      <c r="Y81" s="11" t="n">
        <v>0</v>
      </c>
    </row>
    <row r="82">
      <c r="A82" s="11" t="inlineStr">
        <is>
          <t>SENS.7.9</t>
        </is>
      </c>
      <c r="B82" s="12" t="inlineStr">
        <is>
          <t>Aktive Inhalte</t>
        </is>
      </c>
      <c r="C82" s="11" t="inlineStr">
        <is>
          <t>SENS.7.9</t>
        </is>
      </c>
      <c r="D82" s="11" t="inlineStr">
        <is>
          <t>Standard-Anforderungen</t>
        </is>
      </c>
      <c r="E82" s="12" t="inlineStr">
        <is>
          <t>Sensibilisierung für Nutzende von Office-Anwendungen SOLLTE zur Überprüfung aktiver Inhalte vor der Aktivierung sensibilisieren.</t>
        </is>
      </c>
      <c r="F82" s="14" t="n"/>
      <c r="G82" s="14" t="n"/>
      <c r="H82" s="14" t="inlineStr">
        <is>
          <t>unbearbeitet</t>
        </is>
      </c>
      <c r="I82" s="14" t="n"/>
      <c r="J82" s="14" t="n"/>
      <c r="K82" s="14" t="n"/>
      <c r="L82" s="15" t="n"/>
      <c r="M82" s="11" t="inlineStr"/>
      <c r="N82" s="12" t="inlineStr">
        <is>
          <t>APP.1.1.A17-UA.1; APP.1.1.A2-UA.2; APP.1.1.A2-UA.3</t>
        </is>
      </c>
      <c r="O82" s="11" t="inlineStr">
        <is>
          <t>intersects-with; intersects-with; intersects-with</t>
        </is>
      </c>
      <c r="P82" s="12" t="inlineStr">
        <is>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is>
      </c>
      <c r="Q82" s="11" t="inlineStr">
        <is>
          <t>Nutzende, Office-Anwendungen</t>
        </is>
      </c>
      <c r="R82" s="11" t="inlineStr">
        <is>
          <t>Schulungsplan</t>
        </is>
      </c>
      <c r="S82" s="12" t="inlineStr">
        <is>
          <t>zur Überprüfung aktiver Inhalte vor der Aktivierung</t>
        </is>
      </c>
      <c r="T82" s="12" t="inlineStr">
        <is>
          <t>G 0.18 – Fehlplanung oder fehlende Anpassung</t>
        </is>
      </c>
      <c r="U82" s="11" t="n">
        <v>2</v>
      </c>
      <c r="V82" s="11" t="n">
        <v>1</v>
      </c>
      <c r="W82" s="11" t="n">
        <v>1</v>
      </c>
      <c r="X82" s="11" t="n">
        <v>1</v>
      </c>
      <c r="Y82" s="11" t="n">
        <v>0</v>
      </c>
    </row>
    <row r="83">
      <c r="A83" s="9" t="inlineStr">
        <is>
          <t>SENS.7.10</t>
        </is>
      </c>
      <c r="B83" s="10" t="inlineStr">
        <is>
          <t>Trennen nicht benötigter Anschlüsse</t>
        </is>
      </c>
      <c r="C83" s="11" t="n"/>
      <c r="D83" s="11" t="inlineStr">
        <is>
          <t>Standard-Anforderungen</t>
        </is>
      </c>
      <c r="E83" s="12" t="inlineStr">
        <is>
          <t>Gesamt:</t>
        </is>
      </c>
      <c r="F83" s="11" t="n"/>
      <c r="G83" s="11" t="n"/>
      <c r="H83" s="13">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
      </c>
      <c r="I83" s="11" t="n"/>
      <c r="J83" s="11" t="n"/>
      <c r="K83" s="11" t="n"/>
      <c r="L83" s="11" t="n"/>
      <c r="M83" s="11" t="inlineStr">
        <is>
          <t>Vertraulichkeit</t>
        </is>
      </c>
      <c r="N83" s="12" t="inlineStr"/>
      <c r="O83" s="11" t="inlineStr"/>
      <c r="P83" s="12" t="inlineStr">
        <is>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is>
      </c>
      <c r="Q83" s="11" t="inlineStr">
        <is>
          <t>Nutzende, Virtualisierungslösungen</t>
        </is>
      </c>
      <c r="R83" s="11" t="inlineStr">
        <is>
          <t>Schulungsplan</t>
        </is>
      </c>
      <c r="S83" s="12" t="inlineStr">
        <is>
          <t>zum Trennen nicht benötigter Verbindungen zwischen Host und virtuellem Gast</t>
        </is>
      </c>
      <c r="T83" s="12" t="inlineStr">
        <is>
          <t>G 0.18 – Fehlplanung oder fehlende Anpassung</t>
        </is>
      </c>
      <c r="U83" s="11" t="n">
        <v>4</v>
      </c>
      <c r="V83" s="11" t="n">
        <v>2</v>
      </c>
      <c r="W83" s="11" t="n">
        <v>1</v>
      </c>
      <c r="X83" s="11" t="n">
        <v>1</v>
      </c>
      <c r="Y83" s="11" t="n">
        <v>0</v>
      </c>
    </row>
    <row r="84">
      <c r="A84" s="11" t="inlineStr">
        <is>
          <t>SENS.7.10</t>
        </is>
      </c>
      <c r="B84" s="12" t="inlineStr">
        <is>
          <t>Trennen nicht benötigter Anschlüsse</t>
        </is>
      </c>
      <c r="C84" s="11" t="inlineStr">
        <is>
          <t>SENS.7.10</t>
        </is>
      </c>
      <c r="D84" s="11" t="inlineStr">
        <is>
          <t>Standard-Anforderungen</t>
        </is>
      </c>
      <c r="E84" s="12" t="inlineStr">
        <is>
          <t>Sensibilisierung für Nutzende von Virtualisierungslösungen SOLLTE zum Trennen nicht benötigter Verbindungen zwischen Host und virtuellem Gast sensibilisieren.</t>
        </is>
      </c>
      <c r="F84" s="14" t="n"/>
      <c r="G84" s="14" t="n"/>
      <c r="H84" s="14" t="inlineStr">
        <is>
          <t>unbearbeitet</t>
        </is>
      </c>
      <c r="I84" s="14" t="n"/>
      <c r="J84" s="14" t="n"/>
      <c r="K84" s="14" t="n"/>
      <c r="L84" s="15" t="n"/>
      <c r="M84" s="11" t="inlineStr">
        <is>
          <t>Vertraulichkeit</t>
        </is>
      </c>
      <c r="N84" s="12" t="inlineStr"/>
      <c r="O84" s="11" t="inlineStr"/>
      <c r="P84" s="12" t="inlineStr">
        <is>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is>
      </c>
      <c r="Q84" s="11" t="inlineStr">
        <is>
          <t>Nutzende, Virtualisierungslösungen</t>
        </is>
      </c>
      <c r="R84" s="11" t="inlineStr">
        <is>
          <t>Schulungsplan</t>
        </is>
      </c>
      <c r="S84" s="12" t="inlineStr">
        <is>
          <t>zum Trennen nicht benötigter Verbindungen zwischen Host und virtuellem Gast</t>
        </is>
      </c>
      <c r="T84" s="12" t="inlineStr">
        <is>
          <t>G 0.18 – Fehlplanung oder fehlende Anpassung</t>
        </is>
      </c>
      <c r="U84" s="11" t="n">
        <v>4</v>
      </c>
      <c r="V84" s="11" t="n">
        <v>2</v>
      </c>
      <c r="W84" s="11" t="n">
        <v>1</v>
      </c>
      <c r="X84" s="11" t="n">
        <v>1</v>
      </c>
      <c r="Y84" s="11" t="n">
        <v>0</v>
      </c>
    </row>
    <row r="85">
      <c r="A85" s="9" t="inlineStr">
        <is>
          <t>SENS.7.11</t>
        </is>
      </c>
      <c r="B85" s="10" t="inlineStr">
        <is>
          <t>Heimliche Aufzeichnung</t>
        </is>
      </c>
      <c r="C85" s="11" t="n"/>
      <c r="D85" s="11" t="inlineStr">
        <is>
          <t>Standard-Anforderungen</t>
        </is>
      </c>
      <c r="E85" s="12" t="inlineStr">
        <is>
          <t>Gesamt:</t>
        </is>
      </c>
      <c r="F85" s="11" t="n"/>
      <c r="G85" s="11" t="n"/>
      <c r="H85" s="13">
        <f>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
      </c>
      <c r="I85" s="11" t="n"/>
      <c r="J85" s="11" t="n"/>
      <c r="K85" s="11" t="n"/>
      <c r="L85" s="11" t="n"/>
      <c r="M85" s="11" t="inlineStr">
        <is>
          <t>Vertraulichkeit</t>
        </is>
      </c>
      <c r="N85" s="12" t="inlineStr"/>
      <c r="O85" s="11" t="inlineStr"/>
      <c r="P85" s="12" t="inlineStr">
        <is>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is>
      </c>
      <c r="Q85" s="11" t="inlineStr">
        <is>
          <t>Nutzende, VK-Anwendungen</t>
        </is>
      </c>
      <c r="R85" s="11" t="inlineStr">
        <is>
          <t>Schulungsplan</t>
        </is>
      </c>
      <c r="S85" s="12" t="inlineStr">
        <is>
          <t>gegen die heimliche Bild- oder Tonaufzeichnung</t>
        </is>
      </c>
      <c r="T85" s="12" t="inlineStr">
        <is>
          <t>G 0.18 – Fehlplanung oder fehlende Anpassung</t>
        </is>
      </c>
      <c r="U85" s="11" t="n">
        <v>2</v>
      </c>
      <c r="V85" s="11" t="n">
        <v>2</v>
      </c>
      <c r="W85" s="11" t="n">
        <v>1</v>
      </c>
      <c r="X85" s="11" t="n">
        <v>1</v>
      </c>
      <c r="Y85" s="11" t="n">
        <v>0</v>
      </c>
    </row>
    <row r="86">
      <c r="A86" s="11" t="inlineStr">
        <is>
          <t>SENS.7.11</t>
        </is>
      </c>
      <c r="B86" s="12" t="inlineStr">
        <is>
          <t>Heimliche Aufzeichnung</t>
        </is>
      </c>
      <c r="C86" s="11" t="inlineStr">
        <is>
          <t>SENS.7.11</t>
        </is>
      </c>
      <c r="D86" s="11" t="inlineStr">
        <is>
          <t>Standard-Anforderungen</t>
        </is>
      </c>
      <c r="E86" s="12" t="inlineStr">
        <is>
          <t>Sensibilisierung für Nutzende von VK-Anwendungen SOLLTE gegen die heimliche Bild- oder Tonaufzeichnung bei einer Videokonferenz sensibilisieren.</t>
        </is>
      </c>
      <c r="F86" s="14" t="n"/>
      <c r="G86" s="14" t="n"/>
      <c r="H86" s="14" t="inlineStr">
        <is>
          <t>unbearbeitet</t>
        </is>
      </c>
      <c r="I86" s="14" t="n"/>
      <c r="J86" s="14" t="n"/>
      <c r="K86" s="14" t="n"/>
      <c r="L86" s="15" t="n"/>
      <c r="M86" s="11" t="inlineStr">
        <is>
          <t>Vertraulichkeit</t>
        </is>
      </c>
      <c r="N86" s="12" t="inlineStr"/>
      <c r="O86" s="11" t="inlineStr"/>
      <c r="P86" s="12" t="inlineStr">
        <is>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is>
      </c>
      <c r="Q86" s="11" t="inlineStr">
        <is>
          <t>Nutzende, VK-Anwendungen</t>
        </is>
      </c>
      <c r="R86" s="11" t="inlineStr">
        <is>
          <t>Schulungsplan</t>
        </is>
      </c>
      <c r="S86" s="12" t="inlineStr">
        <is>
          <t>gegen die heimliche Bild- oder Tonaufzeichnung</t>
        </is>
      </c>
      <c r="T86" s="12" t="inlineStr">
        <is>
          <t>G 0.18 – Fehlplanung oder fehlende Anpassung</t>
        </is>
      </c>
      <c r="U86" s="11" t="n">
        <v>2</v>
      </c>
      <c r="V86" s="11" t="n">
        <v>2</v>
      </c>
      <c r="W86" s="11" t="n">
        <v>1</v>
      </c>
      <c r="X86" s="11" t="n">
        <v>1</v>
      </c>
      <c r="Y86" s="11" t="n">
        <v>0</v>
      </c>
    </row>
    <row r="87">
      <c r="A87" s="9" t="inlineStr">
        <is>
          <t>SENS.7.12</t>
        </is>
      </c>
      <c r="B87" s="10" t="inlineStr">
        <is>
          <t>Öffentliche WLANs</t>
        </is>
      </c>
      <c r="C87" s="11" t="n"/>
      <c r="D87" s="11" t="inlineStr">
        <is>
          <t>Standard-Anforderungen</t>
        </is>
      </c>
      <c r="E87" s="12" t="inlineStr">
        <is>
          <t>Gesamt:</t>
        </is>
      </c>
      <c r="F87" s="11" t="n"/>
      <c r="G87" s="11" t="n"/>
      <c r="H87" s="13">
        <f>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
      </c>
      <c r="I87" s="11" t="n"/>
      <c r="J87" s="11" t="n"/>
      <c r="K87" s="11" t="n"/>
      <c r="L87" s="11" t="n"/>
      <c r="M87" s="11" t="inlineStr">
        <is>
          <t>Vertraulichkeit</t>
        </is>
      </c>
      <c r="N87" s="12" t="inlineStr"/>
      <c r="O87" s="11" t="inlineStr"/>
      <c r="P87" s="12" t="inlineStr">
        <is>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is>
      </c>
      <c r="Q87" s="11" t="inlineStr">
        <is>
          <t>Nutzende, Endgeräte</t>
        </is>
      </c>
      <c r="R87" s="11" t="inlineStr">
        <is>
          <t>Schulungsplan</t>
        </is>
      </c>
      <c r="S87" s="12" t="inlineStr">
        <is>
          <t>gegen die Risiken der Nutzung öffentlicher WLANs</t>
        </is>
      </c>
      <c r="T87" s="12" t="inlineStr">
        <is>
          <t>G 0.18 – Fehlplanung oder fehlende Anpassung</t>
        </is>
      </c>
      <c r="U87" s="11" t="n">
        <v>3</v>
      </c>
      <c r="V87" s="11" t="n">
        <v>2</v>
      </c>
      <c r="W87" s="11" t="n">
        <v>1</v>
      </c>
      <c r="X87" s="11" t="n">
        <v>1</v>
      </c>
      <c r="Y87" s="11" t="n">
        <v>0</v>
      </c>
    </row>
    <row r="88">
      <c r="A88" s="11" t="inlineStr">
        <is>
          <t>SENS.7.12</t>
        </is>
      </c>
      <c r="B88" s="12" t="inlineStr">
        <is>
          <t>Öffentliche WLANs</t>
        </is>
      </c>
      <c r="C88" s="11" t="inlineStr">
        <is>
          <t>SENS.7.12</t>
        </is>
      </c>
      <c r="D88" s="11" t="inlineStr">
        <is>
          <t>Standard-Anforderungen</t>
        </is>
      </c>
      <c r="E88" s="12" t="inlineStr">
        <is>
          <t>Sensibilisierung für Nutzende von Endgeräten SOLLTE gegen die Risiken der Nutzung öffentlicher WLANs sensibilisieren.</t>
        </is>
      </c>
      <c r="F88" s="14" t="n"/>
      <c r="G88" s="14" t="n"/>
      <c r="H88" s="14" t="inlineStr">
        <is>
          <t>unbearbeitet</t>
        </is>
      </c>
      <c r="I88" s="14" t="n"/>
      <c r="J88" s="14" t="n"/>
      <c r="K88" s="14" t="n"/>
      <c r="L88" s="15" t="n"/>
      <c r="M88" s="11" t="inlineStr">
        <is>
          <t>Vertraulichkeit</t>
        </is>
      </c>
      <c r="N88" s="12" t="inlineStr"/>
      <c r="O88" s="11" t="inlineStr"/>
      <c r="P88" s="12" t="inlineStr">
        <is>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is>
      </c>
      <c r="Q88" s="11" t="inlineStr">
        <is>
          <t>Nutzende, Endgeräte</t>
        </is>
      </c>
      <c r="R88" s="11" t="inlineStr">
        <is>
          <t>Schulungsplan</t>
        </is>
      </c>
      <c r="S88" s="12" t="inlineStr">
        <is>
          <t>gegen die Risiken der Nutzung öffentlicher WLANs</t>
        </is>
      </c>
      <c r="T88" s="12" t="inlineStr">
        <is>
          <t>G 0.18 – Fehlplanung oder fehlende Anpassung</t>
        </is>
      </c>
      <c r="U88" s="11" t="n">
        <v>3</v>
      </c>
      <c r="V88" s="11" t="n">
        <v>2</v>
      </c>
      <c r="W88" s="11" t="n">
        <v>1</v>
      </c>
      <c r="X88" s="11" t="n">
        <v>1</v>
      </c>
      <c r="Y88" s="11" t="n">
        <v>0</v>
      </c>
    </row>
    <row r="89">
      <c r="A89" s="9" t="inlineStr">
        <is>
          <t>SENS.7.13</t>
        </is>
      </c>
      <c r="B89" s="10" t="inlineStr">
        <is>
          <t>Unverschlüsselte WLANs</t>
        </is>
      </c>
      <c r="C89" s="11" t="n"/>
      <c r="D89" s="11" t="inlineStr">
        <is>
          <t>Standard-Anforderungen</t>
        </is>
      </c>
      <c r="E89" s="12" t="inlineStr">
        <is>
          <t>Gesamt:</t>
        </is>
      </c>
      <c r="F89" s="11" t="n"/>
      <c r="G89" s="11" t="n"/>
      <c r="H89" s="13">
        <f>IF(OR(COUNTBLANK($H$90:$H$90)&gt;0,COUNTIF($H$90:$H$90,"unbearbeitet")=COUNTA($H$90:$H$90)),"Bitte Teilanforderungen ausfüllen",IF(COUNTIF($H$90:$H$90,"zu klären")&gt;0,"zu klären",IF(COUNTIF($H$90:$H$90,"entbehrlich")=COUNTA($H$90:$H$90),"entbehrlich",IF(COUNTIF($H$90:$H$90,"verwiesen")=COUNTA($H$90:$H$90),"verwiesen",IF(COUNTIF($H$90:$H$90,"nein")+COUNTIF($H$90:$H$90,"entbehrlich")=COUNTA($H$90:$H$90),"nein",IF(COUNTIF($H$90:$H$90,"ja")+COUNTIF($H$90:$H$90,"entbehrlich")+COUNTIF($H$90:$H$90,"verwiesen")=COUNTA($H$90:$H$90),"ja","teilweise"))))))</f>
        <v/>
      </c>
      <c r="I89" s="11" t="n"/>
      <c r="J89" s="11" t="n"/>
      <c r="K89" s="11" t="n"/>
      <c r="L89" s="11" t="n"/>
      <c r="M89" s="11" t="inlineStr">
        <is>
          <t>Vertraulichkeit</t>
        </is>
      </c>
      <c r="N89" s="12" t="inlineStr"/>
      <c r="O89" s="11" t="inlineStr"/>
      <c r="P89" s="12" t="inlineStr">
        <is>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is>
      </c>
      <c r="Q89" s="11" t="inlineStr">
        <is>
          <t>Nutzende, Endgeräte</t>
        </is>
      </c>
      <c r="R89" s="11" t="inlineStr">
        <is>
          <t>Schulungsplan</t>
        </is>
      </c>
      <c r="S89" s="12" t="inlineStr">
        <is>
          <t>gegen die Risiken der Nutzung unverschlüsselter WLANs</t>
        </is>
      </c>
      <c r="T89" s="12" t="inlineStr">
        <is>
          <t>G 0.18 – Fehlplanung oder fehlende Anpassung</t>
        </is>
      </c>
      <c r="U89" s="11" t="n">
        <v>2</v>
      </c>
      <c r="V89" s="11" t="n">
        <v>2</v>
      </c>
      <c r="W89" s="11" t="n">
        <v>1</v>
      </c>
      <c r="X89" s="11" t="n">
        <v>1</v>
      </c>
      <c r="Y89" s="11" t="n">
        <v>0</v>
      </c>
    </row>
    <row r="90">
      <c r="A90" s="11" t="inlineStr">
        <is>
          <t>SENS.7.13</t>
        </is>
      </c>
      <c r="B90" s="12" t="inlineStr">
        <is>
          <t>Unverschlüsselte WLANs</t>
        </is>
      </c>
      <c r="C90" s="11" t="inlineStr">
        <is>
          <t>SENS.7.13</t>
        </is>
      </c>
      <c r="D90" s="11" t="inlineStr">
        <is>
          <t>Standard-Anforderungen</t>
        </is>
      </c>
      <c r="E90" s="12" t="inlineStr">
        <is>
          <t>Sensibilisierung für Nutzende von Endgeräten SOLLTE gegen die Risiken der Nutzung unverschlüsselter WLANs sensibilisieren.</t>
        </is>
      </c>
      <c r="F90" s="14" t="n"/>
      <c r="G90" s="14" t="n"/>
      <c r="H90" s="14" t="inlineStr">
        <is>
          <t>unbearbeitet</t>
        </is>
      </c>
      <c r="I90" s="14" t="n"/>
      <c r="J90" s="14" t="n"/>
      <c r="K90" s="14" t="n"/>
      <c r="L90" s="15" t="n"/>
      <c r="M90" s="11" t="inlineStr">
        <is>
          <t>Vertraulichkeit</t>
        </is>
      </c>
      <c r="N90" s="12" t="inlineStr"/>
      <c r="O90" s="11" t="inlineStr"/>
      <c r="P90" s="12" t="inlineStr">
        <is>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is>
      </c>
      <c r="Q90" s="11" t="inlineStr">
        <is>
          <t>Nutzende, Endgeräte</t>
        </is>
      </c>
      <c r="R90" s="11" t="inlineStr">
        <is>
          <t>Schulungsplan</t>
        </is>
      </c>
      <c r="S90" s="12" t="inlineStr">
        <is>
          <t>gegen die Risiken der Nutzung unverschlüsselter WLANs</t>
        </is>
      </c>
      <c r="T90" s="12" t="inlineStr">
        <is>
          <t>G 0.18 – Fehlplanung oder fehlende Anpassung</t>
        </is>
      </c>
      <c r="U90" s="11" t="n">
        <v>2</v>
      </c>
      <c r="V90" s="11" t="n">
        <v>2</v>
      </c>
      <c r="W90" s="11" t="n">
        <v>1</v>
      </c>
      <c r="X90" s="11" t="n">
        <v>1</v>
      </c>
      <c r="Y90" s="11" t="n">
        <v>0</v>
      </c>
    </row>
    <row r="91">
      <c r="A91" s="9" t="inlineStr">
        <is>
          <t>SENS.7.14</t>
        </is>
      </c>
      <c r="B91" s="10" t="inlineStr">
        <is>
          <t>Unautorisierte WLANs</t>
        </is>
      </c>
      <c r="C91" s="11" t="n"/>
      <c r="D91" s="11" t="inlineStr">
        <is>
          <t>Anforderungen bei erhöhtem Schutzbedarf</t>
        </is>
      </c>
      <c r="E91" s="12" t="inlineStr">
        <is>
          <t>Gesamt:</t>
        </is>
      </c>
      <c r="F91" s="11" t="n"/>
      <c r="G91" s="11" t="n"/>
      <c r="H91" s="13">
        <f>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
      </c>
      <c r="I91" s="11" t="n"/>
      <c r="J91" s="11" t="n"/>
      <c r="K91" s="11" t="n"/>
      <c r="L91" s="11" t="n"/>
      <c r="M91" s="11" t="inlineStr">
        <is>
          <t>Vertraulichkeit</t>
        </is>
      </c>
      <c r="N91" s="12" t="inlineStr"/>
      <c r="O91" s="11" t="inlineStr"/>
      <c r="P91" s="12" t="inlineStr">
        <is>
          <t>Zwar sind immer mehr Verbindungen automatisch verschlüsselt, dennoch bergen WLAN-Verbindungen außerhalb der Institution das Risiko, dass Verbindungsdaten abgefangen oder IT-Systeme angegriffen werden.</t>
        </is>
      </c>
      <c r="Q91" s="11" t="inlineStr">
        <is>
          <t>Nutzende, Endgeräte</t>
        </is>
      </c>
      <c r="R91" s="11" t="inlineStr">
        <is>
          <t>Arbeitsanweisung</t>
        </is>
      </c>
      <c r="S91" s="12" t="inlineStr">
        <is>
          <t>die Nutzung unautorisierter WLANs</t>
        </is>
      </c>
      <c r="T91" s="12" t="inlineStr">
        <is>
          <t>G 0.18 – Fehlplanung oder fehlende Anpassung</t>
        </is>
      </c>
      <c r="U91" s="11" t="n">
        <v>5</v>
      </c>
      <c r="V91" s="11" t="n">
        <v>2</v>
      </c>
      <c r="W91" s="11" t="n">
        <v>1</v>
      </c>
      <c r="X91" s="11" t="n">
        <v>1</v>
      </c>
      <c r="Y91" s="11" t="n">
        <v>0</v>
      </c>
    </row>
    <row r="92">
      <c r="A92" s="11" t="inlineStr">
        <is>
          <t>SENS.7.14</t>
        </is>
      </c>
      <c r="B92" s="12" t="inlineStr">
        <is>
          <t>Unautorisierte WLANs</t>
        </is>
      </c>
      <c r="C92" s="11" t="inlineStr">
        <is>
          <t>SENS.7.14</t>
        </is>
      </c>
      <c r="D92" s="11" t="inlineStr">
        <is>
          <t>Anforderungen bei erhöhtem Schutzbedarf</t>
        </is>
      </c>
      <c r="E92" s="12" t="inlineStr">
        <is>
          <t>Sensibilisierung für Nutzende von Endgeräten KANN die Nutzung unautorisierter WLANs untersagen.</t>
        </is>
      </c>
      <c r="F92" s="14" t="n"/>
      <c r="G92" s="14" t="n"/>
      <c r="H92" s="14" t="inlineStr">
        <is>
          <t>unbearbeitet</t>
        </is>
      </c>
      <c r="I92" s="14" t="n"/>
      <c r="J92" s="14" t="n"/>
      <c r="K92" s="14" t="n"/>
      <c r="L92" s="15" t="n"/>
      <c r="M92" s="11" t="inlineStr">
        <is>
          <t>Vertraulichkeit</t>
        </is>
      </c>
      <c r="N92" s="12" t="inlineStr"/>
      <c r="O92" s="11" t="inlineStr"/>
      <c r="P92" s="12" t="inlineStr">
        <is>
          <t>Zwar sind immer mehr Verbindungen automatisch verschlüsselt, dennoch bergen WLAN-Verbindungen außerhalb der Institution das Risiko, dass Verbindungsdaten abgefangen oder IT-Systeme angegriffen werden.</t>
        </is>
      </c>
      <c r="Q92" s="11" t="inlineStr">
        <is>
          <t>Nutzende, Endgeräte</t>
        </is>
      </c>
      <c r="R92" s="11" t="inlineStr">
        <is>
          <t>Arbeitsanweisung</t>
        </is>
      </c>
      <c r="S92" s="12" t="inlineStr">
        <is>
          <t>die Nutzung unautorisierter WLANs</t>
        </is>
      </c>
      <c r="T92" s="12" t="inlineStr">
        <is>
          <t>G 0.18 – Fehlplanung oder fehlende Anpassung</t>
        </is>
      </c>
      <c r="U92" s="11" t="n">
        <v>5</v>
      </c>
      <c r="V92" s="11" t="n">
        <v>2</v>
      </c>
      <c r="W92" s="11" t="n">
        <v>1</v>
      </c>
      <c r="X92" s="11" t="n">
        <v>1</v>
      </c>
      <c r="Y92" s="11" t="n">
        <v>0</v>
      </c>
    </row>
    <row r="93">
      <c r="A93" s="9" t="inlineStr">
        <is>
          <t>SENS.7.15</t>
        </is>
      </c>
      <c r="B93" s="10" t="inlineStr">
        <is>
          <t>Social Engineering Anrufe</t>
        </is>
      </c>
      <c r="C93" s="11" t="n"/>
      <c r="D93" s="11" t="inlineStr">
        <is>
          <t>Standard-Anforderungen</t>
        </is>
      </c>
      <c r="E93" s="12" t="inlineStr">
        <is>
          <t>Gesamt:</t>
        </is>
      </c>
      <c r="F93" s="11" t="n"/>
      <c r="G93" s="11" t="n"/>
      <c r="H93" s="13">
        <f>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
      </c>
      <c r="I93" s="11" t="n"/>
      <c r="J93" s="11" t="n"/>
      <c r="K93" s="11" t="n"/>
      <c r="L93" s="11" t="n"/>
      <c r="M93" s="11" t="inlineStr">
        <is>
          <t>Vertraulichkeit</t>
        </is>
      </c>
      <c r="N93" s="12" t="inlineStr"/>
      <c r="O93" s="11" t="inlineStr"/>
      <c r="P93" s="12" t="inlineStr">
        <is>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is>
      </c>
      <c r="Q93" s="11" t="inlineStr">
        <is>
          <t>Nutzende, TK-Anwendungen</t>
        </is>
      </c>
      <c r="R93" s="11" t="inlineStr">
        <is>
          <t>Schulungsplan</t>
        </is>
      </c>
      <c r="S93" s="12" t="inlineStr">
        <is>
          <t>gegen Social Engineering Anrufe</t>
        </is>
      </c>
      <c r="T93" s="12" t="inlineStr">
        <is>
          <t>G 0.42 – Social Engineering</t>
        </is>
      </c>
      <c r="U93" s="11" t="n">
        <v>1</v>
      </c>
      <c r="V93" s="11" t="n">
        <v>2</v>
      </c>
      <c r="W93" s="11" t="n">
        <v>1</v>
      </c>
      <c r="X93" s="11" t="n">
        <v>1</v>
      </c>
      <c r="Y93" s="11" t="n">
        <v>0</v>
      </c>
    </row>
    <row r="94">
      <c r="A94" s="11" t="inlineStr">
        <is>
          <t>SENS.7.15</t>
        </is>
      </c>
      <c r="B94" s="12" t="inlineStr">
        <is>
          <t>Social Engineering Anrufe</t>
        </is>
      </c>
      <c r="C94" s="11" t="inlineStr">
        <is>
          <t>SENS.7.15</t>
        </is>
      </c>
      <c r="D94" s="11" t="inlineStr">
        <is>
          <t>Standard-Anforderungen</t>
        </is>
      </c>
      <c r="E94" s="12" t="inlineStr">
        <is>
          <t>Sensibilisierung für Nutzende von TK-Anwendungen SOLLTE gegen Social Engineering Anrufe sensibilisieren.</t>
        </is>
      </c>
      <c r="F94" s="14" t="n"/>
      <c r="G94" s="14" t="n"/>
      <c r="H94" s="14" t="inlineStr">
        <is>
          <t>unbearbeitet</t>
        </is>
      </c>
      <c r="I94" s="14" t="n"/>
      <c r="J94" s="14" t="n"/>
      <c r="K94" s="14" t="n"/>
      <c r="L94" s="15" t="n"/>
      <c r="M94" s="11" t="inlineStr">
        <is>
          <t>Vertraulichkeit</t>
        </is>
      </c>
      <c r="N94" s="12" t="inlineStr"/>
      <c r="O94" s="11" t="inlineStr"/>
      <c r="P94" s="12" t="inlineStr">
        <is>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is>
      </c>
      <c r="Q94" s="11" t="inlineStr">
        <is>
          <t>Nutzende, TK-Anwendungen</t>
        </is>
      </c>
      <c r="R94" s="11" t="inlineStr">
        <is>
          <t>Schulungsplan</t>
        </is>
      </c>
      <c r="S94" s="12" t="inlineStr">
        <is>
          <t>gegen Social Engineering Anrufe</t>
        </is>
      </c>
      <c r="T94" s="12" t="inlineStr">
        <is>
          <t>G 0.42 – Social Engineering</t>
        </is>
      </c>
      <c r="U94" s="11" t="n">
        <v>1</v>
      </c>
      <c r="V94" s="11" t="n">
        <v>2</v>
      </c>
      <c r="W94" s="11" t="n">
        <v>1</v>
      </c>
      <c r="X94" s="11" t="n">
        <v>1</v>
      </c>
      <c r="Y94" s="11" t="n">
        <v>0</v>
      </c>
    </row>
    <row r="95">
      <c r="A95" s="9" t="inlineStr">
        <is>
          <t>SENS.7.16</t>
        </is>
      </c>
      <c r="B95" s="10" t="inlineStr">
        <is>
          <t>Mailbox-PIN und Co.</t>
        </is>
      </c>
      <c r="C95" s="11" t="n"/>
      <c r="D95" s="11" t="inlineStr">
        <is>
          <t>Standard-Anforderungen</t>
        </is>
      </c>
      <c r="E95" s="12" t="inlineStr">
        <is>
          <t>Gesamt:</t>
        </is>
      </c>
      <c r="F95" s="11" t="n"/>
      <c r="G95" s="11" t="n"/>
      <c r="H95" s="13">
        <f>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
      </c>
      <c r="I95" s="11" t="n"/>
      <c r="J95" s="11" t="n"/>
      <c r="K95" s="11" t="n"/>
      <c r="L95" s="11" t="n"/>
      <c r="M95" s="11" t="inlineStr">
        <is>
          <t>Vertraulichkeit</t>
        </is>
      </c>
      <c r="N95" s="12" t="inlineStr"/>
      <c r="O95" s="11" t="inlineStr"/>
      <c r="P95" s="12" t="inlineStr">
        <is>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is>
      </c>
      <c r="Q95" s="11" t="inlineStr">
        <is>
          <t>Nutzende, TK-Anwendungen</t>
        </is>
      </c>
      <c r="R95" s="11" t="inlineStr">
        <is>
          <t>Schulungsplan</t>
        </is>
      </c>
      <c r="S95" s="12" t="inlineStr">
        <is>
          <t>zur Vergabe eigener Zugangsdaten zum Zugriff auf Aufzeichnungen</t>
        </is>
      </c>
      <c r="T95" s="12" t="inlineStr">
        <is>
          <t>G 0.18 – Fehlplanung oder fehlende Anpassung</t>
        </is>
      </c>
      <c r="U95" s="11" t="n">
        <v>2</v>
      </c>
      <c r="V95" s="11" t="n">
        <v>2</v>
      </c>
      <c r="W95" s="11" t="n">
        <v>1</v>
      </c>
      <c r="X95" s="11" t="n">
        <v>1</v>
      </c>
      <c r="Y95" s="11" t="n">
        <v>0</v>
      </c>
    </row>
    <row r="96">
      <c r="A96" s="11" t="inlineStr">
        <is>
          <t>SENS.7.16</t>
        </is>
      </c>
      <c r="B96" s="12" t="inlineStr">
        <is>
          <t>Mailbox-PIN und Co.</t>
        </is>
      </c>
      <c r="C96" s="11" t="inlineStr">
        <is>
          <t>SENS.7.16</t>
        </is>
      </c>
      <c r="D96" s="11" t="inlineStr">
        <is>
          <t>Standard-Anforderungen</t>
        </is>
      </c>
      <c r="E96" s="12" t="inlineStr">
        <is>
          <t>Sensibilisierung für Nutzende von TK-Anwendungen SOLLTE zur Vergabe eigener Zugangsdaten zum Zugriff auf Aufzeichnungen sensibilisieren.</t>
        </is>
      </c>
      <c r="F96" s="14" t="n"/>
      <c r="G96" s="14" t="n"/>
      <c r="H96" s="14" t="inlineStr">
        <is>
          <t>unbearbeitet</t>
        </is>
      </c>
      <c r="I96" s="14" t="n"/>
      <c r="J96" s="14" t="n"/>
      <c r="K96" s="14" t="n"/>
      <c r="L96" s="15" t="n"/>
      <c r="M96" s="11" t="inlineStr">
        <is>
          <t>Vertraulichkeit</t>
        </is>
      </c>
      <c r="N96" s="12" t="inlineStr"/>
      <c r="O96" s="11" t="inlineStr"/>
      <c r="P96" s="12" t="inlineStr">
        <is>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is>
      </c>
      <c r="Q96" s="11" t="inlineStr">
        <is>
          <t>Nutzende, TK-Anwendungen</t>
        </is>
      </c>
      <c r="R96" s="11" t="inlineStr">
        <is>
          <t>Schulungsplan</t>
        </is>
      </c>
      <c r="S96" s="12" t="inlineStr">
        <is>
          <t>zur Vergabe eigener Zugangsdaten zum Zugriff auf Aufzeichnungen</t>
        </is>
      </c>
      <c r="T96" s="12" t="inlineStr">
        <is>
          <t>G 0.18 – Fehlplanung oder fehlende Anpassung</t>
        </is>
      </c>
      <c r="U96" s="11" t="n">
        <v>2</v>
      </c>
      <c r="V96" s="11" t="n">
        <v>2</v>
      </c>
      <c r="W96" s="11" t="n">
        <v>1</v>
      </c>
      <c r="X96" s="11" t="n">
        <v>1</v>
      </c>
      <c r="Y96" s="11" t="n">
        <v>0</v>
      </c>
    </row>
    <row r="97">
      <c r="A97" s="9" t="inlineStr">
        <is>
          <t>SENS.7.17</t>
        </is>
      </c>
      <c r="B97" s="10" t="inlineStr">
        <is>
          <t>Unverschlüsseltes Telefonieren</t>
        </is>
      </c>
      <c r="C97" s="11" t="n"/>
      <c r="D97" s="11" t="inlineStr">
        <is>
          <t>Standard-Anforderungen</t>
        </is>
      </c>
      <c r="E97" s="12" t="inlineStr">
        <is>
          <t>Gesamt:</t>
        </is>
      </c>
      <c r="F97" s="11" t="n"/>
      <c r="G97" s="11" t="n"/>
      <c r="H97" s="13">
        <f>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
      </c>
      <c r="I97" s="11" t="n"/>
      <c r="J97" s="11" t="n"/>
      <c r="K97" s="11" t="n"/>
      <c r="L97" s="11" t="n"/>
      <c r="M97" s="11" t="inlineStr">
        <is>
          <t>Vertraulichkeit</t>
        </is>
      </c>
      <c r="N97" s="12" t="inlineStr"/>
      <c r="O97" s="11" t="inlineStr"/>
      <c r="P97" s="12" t="inlineStr">
        <is>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is>
      </c>
      <c r="Q97" s="11" t="inlineStr">
        <is>
          <t>Nutzende, TK-Anwendungen</t>
        </is>
      </c>
      <c r="R97" s="11" t="inlineStr">
        <is>
          <t>Schulungsplan</t>
        </is>
      </c>
      <c r="S97" s="12" t="inlineStr">
        <is>
          <t>gegen die Kommunikation über unverschlüsselte Telekommunikationsverbindungen</t>
        </is>
      </c>
      <c r="T97" s="12" t="inlineStr">
        <is>
          <t>G 0.18 – Fehlplanung oder fehlende Anpassung</t>
        </is>
      </c>
      <c r="U97" s="11" t="n">
        <v>2</v>
      </c>
      <c r="V97" s="11" t="n">
        <v>2</v>
      </c>
      <c r="W97" s="11" t="n">
        <v>1</v>
      </c>
      <c r="X97" s="11" t="n">
        <v>1</v>
      </c>
      <c r="Y97" s="11" t="n">
        <v>0</v>
      </c>
    </row>
    <row r="98">
      <c r="A98" s="11" t="inlineStr">
        <is>
          <t>SENS.7.17</t>
        </is>
      </c>
      <c r="B98" s="12" t="inlineStr">
        <is>
          <t>Unverschlüsseltes Telefonieren</t>
        </is>
      </c>
      <c r="C98" s="11" t="inlineStr">
        <is>
          <t>SENS.7.17</t>
        </is>
      </c>
      <c r="D98" s="11" t="inlineStr">
        <is>
          <t>Standard-Anforderungen</t>
        </is>
      </c>
      <c r="E98" s="12" t="inlineStr">
        <is>
          <t>Sensibilisierung für Nutzende von TK-Anwendungen SOLLTE gegen die Kommunikation über unverschlüsselte Telekommunikationsverbindungen sensibilisieren.</t>
        </is>
      </c>
      <c r="F98" s="14" t="n"/>
      <c r="G98" s="14" t="n"/>
      <c r="H98" s="14" t="inlineStr">
        <is>
          <t>unbearbeitet</t>
        </is>
      </c>
      <c r="I98" s="14" t="n"/>
      <c r="J98" s="14" t="n"/>
      <c r="K98" s="14" t="n"/>
      <c r="L98" s="15" t="n"/>
      <c r="M98" s="11" t="inlineStr">
        <is>
          <t>Vertraulichkeit</t>
        </is>
      </c>
      <c r="N98" s="12" t="inlineStr"/>
      <c r="O98" s="11" t="inlineStr"/>
      <c r="P98" s="12" t="inlineStr">
        <is>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is>
      </c>
      <c r="Q98" s="11" t="inlineStr">
        <is>
          <t>Nutzende, TK-Anwendungen</t>
        </is>
      </c>
      <c r="R98" s="11" t="inlineStr">
        <is>
          <t>Schulungsplan</t>
        </is>
      </c>
      <c r="S98" s="12" t="inlineStr">
        <is>
          <t>gegen die Kommunikation über unverschlüsselte Telekommunikationsverbindungen</t>
        </is>
      </c>
      <c r="T98" s="12" t="inlineStr">
        <is>
          <t>G 0.18 – Fehlplanung oder fehlende Anpassung</t>
        </is>
      </c>
      <c r="U98" s="11" t="n">
        <v>2</v>
      </c>
      <c r="V98" s="11" t="n">
        <v>2</v>
      </c>
      <c r="W98" s="11" t="n">
        <v>1</v>
      </c>
      <c r="X98" s="11" t="n">
        <v>1</v>
      </c>
      <c r="Y98" s="11" t="n">
        <v>0</v>
      </c>
    </row>
    <row r="99">
      <c r="A99" s="9" t="inlineStr">
        <is>
          <t>SENS.7.18</t>
        </is>
      </c>
      <c r="B99" s="10" t="inlineStr">
        <is>
          <t>Mobile Endgeräte in Sicherheitsbereichen</t>
        </is>
      </c>
      <c r="C99" s="11" t="n"/>
      <c r="D99" s="11" t="inlineStr">
        <is>
          <t>Anforderungen bei erhöhtem Schutzbedarf</t>
        </is>
      </c>
      <c r="E99" s="12" t="inlineStr">
        <is>
          <t>Gesamt:</t>
        </is>
      </c>
      <c r="F99" s="11" t="n"/>
      <c r="G99" s="11" t="n"/>
      <c r="H99" s="13">
        <f>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
      </c>
      <c r="I99" s="11" t="n"/>
      <c r="J99" s="11" t="n"/>
      <c r="K99" s="11" t="n"/>
      <c r="L99" s="11" t="n"/>
      <c r="M99" s="11" t="inlineStr">
        <is>
          <t>Vertraulichkeit</t>
        </is>
      </c>
      <c r="N99" s="12" t="inlineStr"/>
      <c r="O99" s="11" t="inlineStr"/>
      <c r="P99" s="12" t="inlineStr">
        <is>
          <t>Das Mitführen von Endgeräten in besonders geschützten Bereichen kann untersagt werden, um das Risiko unbefugter Informationsabflüsse, unbeabsichtigter Datenaufzeichnungen oder unkontrollierter Funkübertragungen zu reduzieren. Mitführen meint hier, dass dort Endgeräte eingeführt werden, die nicht explizit für diesen Sicherheitsbereich autorisiert wurden, z.B. durch Smartphones in der Tasche, Smartwatches am Handgelenk oder Notebooks in einer Tragetasche. Mobile Endgeräte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is>
      </c>
      <c r="Q99" s="11" t="inlineStr">
        <is>
          <t>Nutzende, Endgeräte</t>
        </is>
      </c>
      <c r="R99" s="11" t="inlineStr">
        <is>
          <t>Arbeitsanweisung</t>
        </is>
      </c>
      <c r="S99" s="12" t="inlineStr">
        <is>
          <t>das Mitführen von Endgeräten in Sicherheitsbereichen</t>
        </is>
      </c>
      <c r="T99" s="12" t="inlineStr">
        <is>
          <t>G 0.18 – Fehlplanung oder fehlende Anpassung</t>
        </is>
      </c>
      <c r="U99" s="11" t="n">
        <v>5</v>
      </c>
      <c r="V99" s="11" t="n">
        <v>2</v>
      </c>
      <c r="W99" s="11" t="n">
        <v>1</v>
      </c>
      <c r="X99" s="11" t="n">
        <v>1</v>
      </c>
      <c r="Y99" s="11" t="n">
        <v>0</v>
      </c>
    </row>
    <row r="100">
      <c r="A100" s="11" t="inlineStr">
        <is>
          <t>SENS.7.18</t>
        </is>
      </c>
      <c r="B100" s="12" t="inlineStr">
        <is>
          <t>Mobile Endgeräte in Sicherheitsbereichen</t>
        </is>
      </c>
      <c r="C100" s="11" t="inlineStr">
        <is>
          <t>SENS.7.18</t>
        </is>
      </c>
      <c r="D100" s="11" t="inlineStr">
        <is>
          <t>Anforderungen bei erhöhtem Schutzbedarf</t>
        </is>
      </c>
      <c r="E100" s="12" t="inlineStr">
        <is>
          <t>Sensibilisierung für Nutzende von Endgeräten KANN das Mitführen von Endgeräten in Sicherheitsbereichen untersagen.</t>
        </is>
      </c>
      <c r="F100" s="14" t="n"/>
      <c r="G100" s="14" t="n"/>
      <c r="H100" s="14" t="inlineStr">
        <is>
          <t>unbearbeitet</t>
        </is>
      </c>
      <c r="I100" s="14" t="n"/>
      <c r="J100" s="14" t="n"/>
      <c r="K100" s="14" t="n"/>
      <c r="L100" s="15" t="n"/>
      <c r="M100" s="11" t="inlineStr">
        <is>
          <t>Vertraulichkeit</t>
        </is>
      </c>
      <c r="N100" s="12" t="inlineStr"/>
      <c r="O100" s="11" t="inlineStr"/>
      <c r="P100" s="12" t="inlineStr">
        <is>
          <t>Das Mitführen von Endgeräten in besonders geschützten Bereichen kann untersagt werden, um das Risiko unbefugter Informationsabflüsse, unbeabsichtigter Datenaufzeichnungen oder unkontrollierter Funkübertragungen zu reduzieren. Mitführen meint hier, dass dort Endgeräte eingeführt werden, die nicht explizit für diesen Sicherheitsbereich autorisiert wurden, z.B. durch Smartphones in der Tasche, Smartwatches am Handgelenk oder Notebooks in einer Tragetasche. Mobile Endgeräte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is>
      </c>
      <c r="Q100" s="11" t="inlineStr">
        <is>
          <t>Nutzende, Endgeräte</t>
        </is>
      </c>
      <c r="R100" s="11" t="inlineStr">
        <is>
          <t>Arbeitsanweisung</t>
        </is>
      </c>
      <c r="S100" s="12" t="inlineStr">
        <is>
          <t>das Mitführen von Endgeräten in Sicherheitsbereichen</t>
        </is>
      </c>
      <c r="T100" s="12" t="inlineStr">
        <is>
          <t>G 0.18 – Fehlplanung oder fehlende Anpassung</t>
        </is>
      </c>
      <c r="U100" s="11" t="n">
        <v>5</v>
      </c>
      <c r="V100" s="11" t="n">
        <v>2</v>
      </c>
      <c r="W100" s="11" t="n">
        <v>1</v>
      </c>
      <c r="X100" s="11" t="n">
        <v>1</v>
      </c>
      <c r="Y100" s="11" t="n">
        <v>0</v>
      </c>
    </row>
    <row r="101">
      <c r="A101" s="9" t="inlineStr">
        <is>
          <t>SENS.7.19</t>
        </is>
      </c>
      <c r="B101" s="10" t="inlineStr">
        <is>
          <t>Unverschlüsselte SMS oder MMS</t>
        </is>
      </c>
      <c r="C101" s="11" t="n"/>
      <c r="D101" s="11" t="inlineStr">
        <is>
          <t>Anforderungen bei erhöhtem Schutzbedarf</t>
        </is>
      </c>
      <c r="E101" s="12" t="inlineStr">
        <is>
          <t>Gesamt:</t>
        </is>
      </c>
      <c r="F101" s="11" t="n"/>
      <c r="G101" s="11" t="n"/>
      <c r="H101" s="13">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
      </c>
      <c r="I101" s="11" t="n"/>
      <c r="J101" s="11" t="n"/>
      <c r="K101" s="11" t="n"/>
      <c r="L101" s="11" t="n"/>
      <c r="M101" s="11" t="inlineStr">
        <is>
          <t>Vertraulichkeit</t>
        </is>
      </c>
      <c r="N101" s="12" t="inlineStr"/>
      <c r="O101" s="11" t="inlineStr"/>
      <c r="P101" s="12" t="inlineStr">
        <is>
          <t>SMS und MMS werden in der Regel unverschlüsselt übertragen und sind daher nicht für sensible Informationen geeignet. Stattdessen kann oft auf verschlüsselte Anwendungen wie Messenger oder VoIP zurückgegriffen werden.</t>
        </is>
      </c>
      <c r="Q101" s="11" t="inlineStr">
        <is>
          <t>Nutzende, Endgeräte</t>
        </is>
      </c>
      <c r="R101" s="11" t="inlineStr">
        <is>
          <t>Arbeitsanweisung</t>
        </is>
      </c>
      <c r="S101" s="12" t="inlineStr">
        <is>
          <t>die Kommunikation über SMS oder MMS</t>
        </is>
      </c>
      <c r="T101" s="12" t="inlineStr">
        <is>
          <t>G 0.18 – Fehlplanung oder fehlende Anpassung</t>
        </is>
      </c>
      <c r="U101" s="11" t="n">
        <v>5</v>
      </c>
      <c r="V101" s="11" t="n">
        <v>2</v>
      </c>
      <c r="W101" s="11" t="n">
        <v>1</v>
      </c>
      <c r="X101" s="11" t="n">
        <v>1</v>
      </c>
      <c r="Y101" s="11" t="n">
        <v>0</v>
      </c>
    </row>
    <row r="102">
      <c r="A102" s="11" t="inlineStr">
        <is>
          <t>SENS.7.19</t>
        </is>
      </c>
      <c r="B102" s="12" t="inlineStr">
        <is>
          <t>Unverschlüsselte SMS oder MMS</t>
        </is>
      </c>
      <c r="C102" s="11" t="inlineStr">
        <is>
          <t>SENS.7.19</t>
        </is>
      </c>
      <c r="D102" s="11" t="inlineStr">
        <is>
          <t>Anforderungen bei erhöhtem Schutzbedarf</t>
        </is>
      </c>
      <c r="E102" s="12" t="inlineStr">
        <is>
          <t>Sensibilisierung für Nutzende von Endgeräten KANN die Kommunikation über SMS oder MMS untersagen.</t>
        </is>
      </c>
      <c r="F102" s="14" t="n"/>
      <c r="G102" s="14" t="n"/>
      <c r="H102" s="14" t="inlineStr">
        <is>
          <t>unbearbeitet</t>
        </is>
      </c>
      <c r="I102" s="14" t="n"/>
      <c r="J102" s="14" t="n"/>
      <c r="K102" s="14" t="n"/>
      <c r="L102" s="15" t="n"/>
      <c r="M102" s="11" t="inlineStr">
        <is>
          <t>Vertraulichkeit</t>
        </is>
      </c>
      <c r="N102" s="12" t="inlineStr"/>
      <c r="O102" s="11" t="inlineStr"/>
      <c r="P102" s="12" t="inlineStr">
        <is>
          <t>SMS und MMS werden in der Regel unverschlüsselt übertragen und sind daher nicht für sensible Informationen geeignet. Stattdessen kann oft auf verschlüsselte Anwendungen wie Messenger oder VoIP zurückgegriffen werden.</t>
        </is>
      </c>
      <c r="Q102" s="11" t="inlineStr">
        <is>
          <t>Nutzende, Endgeräte</t>
        </is>
      </c>
      <c r="R102" s="11" t="inlineStr">
        <is>
          <t>Arbeitsanweisung</t>
        </is>
      </c>
      <c r="S102" s="12" t="inlineStr">
        <is>
          <t>die Kommunikation über SMS oder MMS</t>
        </is>
      </c>
      <c r="T102" s="12" t="inlineStr">
        <is>
          <t>G 0.18 – Fehlplanung oder fehlende Anpassung</t>
        </is>
      </c>
      <c r="U102" s="11" t="n">
        <v>5</v>
      </c>
      <c r="V102" s="11" t="n">
        <v>2</v>
      </c>
      <c r="W102" s="11" t="n">
        <v>1</v>
      </c>
      <c r="X102" s="11" t="n">
        <v>1</v>
      </c>
      <c r="Y102" s="11" t="n">
        <v>0</v>
      </c>
    </row>
    <row r="103">
      <c r="A103" s="9" t="inlineStr">
        <is>
          <t>SENS.7.20</t>
        </is>
      </c>
      <c r="B103" s="10" t="inlineStr">
        <is>
          <t>Authentifzierung von Gesprächspartnern</t>
        </is>
      </c>
      <c r="C103" s="11" t="n"/>
      <c r="D103" s="11" t="inlineStr">
        <is>
          <t>Standard-Anforderungen</t>
        </is>
      </c>
      <c r="E103" s="12" t="inlineStr">
        <is>
          <t>Gesamt:</t>
        </is>
      </c>
      <c r="F103" s="11" t="n"/>
      <c r="G103" s="11" t="n"/>
      <c r="H103" s="13">
        <f>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
      </c>
      <c r="I103" s="11" t="n"/>
      <c r="J103" s="11" t="n"/>
      <c r="K103" s="11" t="n"/>
      <c r="L103" s="11" t="n"/>
      <c r="M103" s="11" t="inlineStr">
        <is>
          <t>Vertraulichkeit</t>
        </is>
      </c>
      <c r="N103" s="12" t="inlineStr"/>
      <c r="O103" s="11" t="inlineStr"/>
      <c r="P103" s="12" t="inlineStr">
        <is>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is>
      </c>
      <c r="Q103" s="11" t="inlineStr">
        <is>
          <t>Nutzende, Informationen</t>
        </is>
      </c>
      <c r="R103" s="11" t="inlineStr">
        <is>
          <t>Arbeitsanweisung</t>
        </is>
      </c>
      <c r="S103" s="12" t="inlineStr">
        <is>
          <t>zur Authentifizierung von Gesprächspartnern vor der Weitergabe von Informationen</t>
        </is>
      </c>
      <c r="T103" s="12" t="inlineStr">
        <is>
          <t>G 0.42 – Social Engineering; G 0.36 – Identitätsdiebstahl</t>
        </is>
      </c>
      <c r="U103" s="11" t="n">
        <v>1</v>
      </c>
      <c r="V103" s="11" t="n">
        <v>2</v>
      </c>
      <c r="W103" s="11" t="n">
        <v>1</v>
      </c>
      <c r="X103" s="11" t="n">
        <v>1</v>
      </c>
      <c r="Y103" s="11" t="n">
        <v>0</v>
      </c>
    </row>
    <row r="104">
      <c r="A104" s="11" t="inlineStr">
        <is>
          <t>SENS.7.20</t>
        </is>
      </c>
      <c r="B104" s="12" t="inlineStr">
        <is>
          <t>Authentifzierung von Gesprächspartnern</t>
        </is>
      </c>
      <c r="C104" s="11" t="inlineStr">
        <is>
          <t>SENS.7.20</t>
        </is>
      </c>
      <c r="D104" s="11" t="inlineStr">
        <is>
          <t>Standard-Anforderungen</t>
        </is>
      </c>
      <c r="E104" s="12" t="inlineStr">
        <is>
          <t>Sensibilisierung für Nutzende von Informationen SOLLTE zur Authentifizierung von Gesprächspartnern vor der Weitergabe von Informationen sensibilisieren.</t>
        </is>
      </c>
      <c r="F104" s="14" t="n"/>
      <c r="G104" s="14" t="n"/>
      <c r="H104" s="14" t="inlineStr">
        <is>
          <t>unbearbeitet</t>
        </is>
      </c>
      <c r="I104" s="14" t="n"/>
      <c r="J104" s="14" t="n"/>
      <c r="K104" s="14" t="n"/>
      <c r="L104" s="15" t="n"/>
      <c r="M104" s="11" t="inlineStr">
        <is>
          <t>Vertraulichkeit</t>
        </is>
      </c>
      <c r="N104" s="12" t="inlineStr"/>
      <c r="O104" s="11" t="inlineStr"/>
      <c r="P104" s="12" t="inlineStr">
        <is>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is>
      </c>
      <c r="Q104" s="11" t="inlineStr">
        <is>
          <t>Nutzende, Informationen</t>
        </is>
      </c>
      <c r="R104" s="11" t="inlineStr">
        <is>
          <t>Arbeitsanweisung</t>
        </is>
      </c>
      <c r="S104" s="12" t="inlineStr">
        <is>
          <t>zur Authentifizierung von Gesprächspartnern vor der Weitergabe von Informationen</t>
        </is>
      </c>
      <c r="T104" s="12" t="inlineStr">
        <is>
          <t>G 0.42 – Social Engineering; G 0.36 – Identitätsdiebstahl</t>
        </is>
      </c>
      <c r="U104" s="11" t="n">
        <v>1</v>
      </c>
      <c r="V104" s="11" t="n">
        <v>2</v>
      </c>
      <c r="W104" s="11" t="n">
        <v>1</v>
      </c>
      <c r="X104" s="11" t="n">
        <v>1</v>
      </c>
      <c r="Y104" s="11" t="n">
        <v>0</v>
      </c>
    </row>
    <row r="105">
      <c r="A105" s="9" t="inlineStr">
        <is>
          <t>SENS.7.21</t>
        </is>
      </c>
      <c r="B105" s="10" t="inlineStr">
        <is>
          <t>Rechtsunsicherheit von Faxen</t>
        </is>
      </c>
      <c r="C105" s="11" t="n"/>
      <c r="D105" s="11" t="inlineStr">
        <is>
          <t>Standard-Anforderungen</t>
        </is>
      </c>
      <c r="E105" s="12" t="inlineStr">
        <is>
          <t>Gesamt:</t>
        </is>
      </c>
      <c r="F105" s="11" t="n"/>
      <c r="G105" s="11" t="n"/>
      <c r="H105" s="13">
        <f>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
      </c>
      <c r="I105" s="11" t="n"/>
      <c r="J105" s="11" t="n"/>
      <c r="K105" s="11" t="n"/>
      <c r="L105" s="11" t="n"/>
      <c r="M105" s="11" t="inlineStr"/>
      <c r="N105" s="12" t="inlineStr"/>
      <c r="O105" s="11" t="inlineStr"/>
      <c r="P105" s="12" t="inlineStr">
        <is>
          <t>Faxe enthalten nicht die originale, eigenhändige Unterschrift und erfüllen daher nicht die gesetzliche Schriftform (§ 126 BGB).</t>
        </is>
      </c>
      <c r="Q105" s="11" t="inlineStr">
        <is>
          <t>Nutzende, Faxe</t>
        </is>
      </c>
      <c r="R105" s="11" t="inlineStr">
        <is>
          <t>Schulungsplan</t>
        </is>
      </c>
      <c r="S105" s="12" t="inlineStr">
        <is>
          <t>gegen die Rechtsunsicherheit bei Empfang oder Versand von Faxen</t>
        </is>
      </c>
      <c r="T105" s="12" t="inlineStr">
        <is>
          <t>G 0.18 – Fehlplanung oder fehlende Anpassung</t>
        </is>
      </c>
      <c r="U105" s="11" t="n">
        <v>2</v>
      </c>
      <c r="V105" s="11" t="n">
        <v>1</v>
      </c>
      <c r="W105" s="11" t="n">
        <v>1</v>
      </c>
      <c r="X105" s="11" t="n">
        <v>1</v>
      </c>
      <c r="Y105" s="11" t="n">
        <v>0</v>
      </c>
    </row>
    <row r="106">
      <c r="A106" s="11" t="inlineStr">
        <is>
          <t>SENS.7.21</t>
        </is>
      </c>
      <c r="B106" s="12" t="inlineStr">
        <is>
          <t>Rechtsunsicherheit von Faxen</t>
        </is>
      </c>
      <c r="C106" s="11" t="inlineStr">
        <is>
          <t>SENS.7.21</t>
        </is>
      </c>
      <c r="D106" s="11" t="inlineStr">
        <is>
          <t>Standard-Anforderungen</t>
        </is>
      </c>
      <c r="E106" s="12" t="inlineStr">
        <is>
          <t>Sensibilisierung für Nutzende von Faxen SOLLTE gegen die Rechtsunsicherheit bei Empfang oder Versand von Faxen sensibilisieren.</t>
        </is>
      </c>
      <c r="F106" s="14" t="n"/>
      <c r="G106" s="14" t="n"/>
      <c r="H106" s="14" t="inlineStr">
        <is>
          <t>unbearbeitet</t>
        </is>
      </c>
      <c r="I106" s="14" t="n"/>
      <c r="J106" s="14" t="n"/>
      <c r="K106" s="14" t="n"/>
      <c r="L106" s="15" t="n"/>
      <c r="M106" s="11" t="inlineStr"/>
      <c r="N106" s="12" t="inlineStr"/>
      <c r="O106" s="11" t="inlineStr"/>
      <c r="P106" s="12" t="inlineStr">
        <is>
          <t>Faxe enthalten nicht die originale, eigenhändige Unterschrift und erfüllen daher nicht die gesetzliche Schriftform (§ 126 BGB).</t>
        </is>
      </c>
      <c r="Q106" s="11" t="inlineStr">
        <is>
          <t>Nutzende, Faxe</t>
        </is>
      </c>
      <c r="R106" s="11" t="inlineStr">
        <is>
          <t>Schulungsplan</t>
        </is>
      </c>
      <c r="S106" s="12" t="inlineStr">
        <is>
          <t>gegen die Rechtsunsicherheit bei Empfang oder Versand von Faxen</t>
        </is>
      </c>
      <c r="T106" s="12" t="inlineStr">
        <is>
          <t>G 0.18 – Fehlplanung oder fehlende Anpassung</t>
        </is>
      </c>
      <c r="U106" s="11" t="n">
        <v>2</v>
      </c>
      <c r="V106" s="11" t="n">
        <v>1</v>
      </c>
      <c r="W106" s="11" t="n">
        <v>1</v>
      </c>
      <c r="X106" s="11" t="n">
        <v>1</v>
      </c>
      <c r="Y106" s="11" t="n">
        <v>0</v>
      </c>
    </row>
    <row r="107">
      <c r="A107" s="9" t="inlineStr">
        <is>
          <t>SENS.7.22</t>
        </is>
      </c>
      <c r="B107" s="10" t="inlineStr">
        <is>
          <t>Unverschlüsselte Faxleitungen</t>
        </is>
      </c>
      <c r="C107" s="11" t="n"/>
      <c r="D107" s="11" t="inlineStr">
        <is>
          <t>Standard-Anforderungen</t>
        </is>
      </c>
      <c r="E107" s="12" t="inlineStr">
        <is>
          <t>Gesamt:</t>
        </is>
      </c>
      <c r="F107" s="11" t="n"/>
      <c r="G107" s="11" t="n"/>
      <c r="H107" s="13">
        <f>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
      </c>
      <c r="I107" s="11" t="n"/>
      <c r="J107" s="11" t="n"/>
      <c r="K107" s="11" t="n"/>
      <c r="L107" s="11" t="n"/>
      <c r="M107" s="11" t="inlineStr">
        <is>
          <t>Vertraulichkeit</t>
        </is>
      </c>
      <c r="N107" s="12" t="inlineStr"/>
      <c r="O107" s="11" t="inlineStr"/>
      <c r="P107" s="12" t="inlineStr">
        <is>
          <t>Da Faxverbindungen in der Regel weder eine Authentifikation des Empfängers noch eine Transportverschlüsselung vornehmen, können diese leicht abgefangen oder manipuliert werden. Dem kann durch eine Ankündigung sowie eine Sende- und Empfangsbestätigung entgegengewirkt werden.</t>
        </is>
      </c>
      <c r="Q107" s="11" t="inlineStr">
        <is>
          <t>Nutzende, Faxe</t>
        </is>
      </c>
      <c r="R107" s="11" t="inlineStr">
        <is>
          <t>Schulungsplan</t>
        </is>
      </c>
      <c r="S107" s="12" t="inlineStr">
        <is>
          <t>gegen die Risiken der unauthentisierten und unverschlüsselten Faxnutzung</t>
        </is>
      </c>
      <c r="T107" s="12" t="inlineStr">
        <is>
          <t>G 0.18 – Fehlplanung oder fehlende Anpassung</t>
        </is>
      </c>
      <c r="U107" s="11" t="n">
        <v>4</v>
      </c>
      <c r="V107" s="11" t="n">
        <v>2</v>
      </c>
      <c r="W107" s="11" t="n">
        <v>1</v>
      </c>
      <c r="X107" s="11" t="n">
        <v>1</v>
      </c>
      <c r="Y107" s="11" t="n">
        <v>0</v>
      </c>
    </row>
    <row r="108">
      <c r="A108" s="11" t="inlineStr">
        <is>
          <t>SENS.7.22</t>
        </is>
      </c>
      <c r="B108" s="12" t="inlineStr">
        <is>
          <t>Unverschlüsselte Faxleitungen</t>
        </is>
      </c>
      <c r="C108" s="11" t="inlineStr">
        <is>
          <t>SENS.7.22</t>
        </is>
      </c>
      <c r="D108" s="11" t="inlineStr">
        <is>
          <t>Standard-Anforderungen</t>
        </is>
      </c>
      <c r="E108" s="12" t="inlineStr">
        <is>
          <t>Sensibilisierung für Nutzende von Faxen SOLLTE gegen die Risiken der unauthentisierten und unverschlüsselten Faxnutzung sensibilisieren.</t>
        </is>
      </c>
      <c r="F108" s="14" t="n"/>
      <c r="G108" s="14" t="n"/>
      <c r="H108" s="14" t="inlineStr">
        <is>
          <t>unbearbeitet</t>
        </is>
      </c>
      <c r="I108" s="14" t="n"/>
      <c r="J108" s="14" t="n"/>
      <c r="K108" s="14" t="n"/>
      <c r="L108" s="15" t="n"/>
      <c r="M108" s="11" t="inlineStr">
        <is>
          <t>Vertraulichkeit</t>
        </is>
      </c>
      <c r="N108" s="12" t="inlineStr"/>
      <c r="O108" s="11" t="inlineStr"/>
      <c r="P108" s="12" t="inlineStr">
        <is>
          <t>Da Faxverbindungen in der Regel weder eine Authentifikation des Empfängers noch eine Transportverschlüsselung vornehmen, können diese leicht abgefangen oder manipuliert werden. Dem kann durch eine Ankündigung sowie eine Sende- und Empfangsbestätigung entgegengewirkt werden.</t>
        </is>
      </c>
      <c r="Q108" s="11" t="inlineStr">
        <is>
          <t>Nutzende, Faxe</t>
        </is>
      </c>
      <c r="R108" s="11" t="inlineStr">
        <is>
          <t>Schulungsplan</t>
        </is>
      </c>
      <c r="S108" s="12" t="inlineStr">
        <is>
          <t>gegen die Risiken der unauthentisierten und unverschlüsselten Faxnutzung</t>
        </is>
      </c>
      <c r="T108" s="12" t="inlineStr">
        <is>
          <t>G 0.18 – Fehlplanung oder fehlende Anpassung</t>
        </is>
      </c>
      <c r="U108" s="11" t="n">
        <v>4</v>
      </c>
      <c r="V108" s="11" t="n">
        <v>2</v>
      </c>
      <c r="W108" s="11" t="n">
        <v>1</v>
      </c>
      <c r="X108" s="11" t="n">
        <v>1</v>
      </c>
      <c r="Y108" s="11" t="n">
        <v>0</v>
      </c>
    </row>
    <row r="109">
      <c r="A109" s="9" t="inlineStr">
        <is>
          <t>SENS.7.23</t>
        </is>
      </c>
      <c r="B109" s="10" t="inlineStr">
        <is>
          <t>Geolokation</t>
        </is>
      </c>
      <c r="C109" s="11" t="n"/>
      <c r="D109" s="11" t="inlineStr">
        <is>
          <t>Standard-Anforderungen</t>
        </is>
      </c>
      <c r="E109" s="12" t="inlineStr">
        <is>
          <t>Gesamt:</t>
        </is>
      </c>
      <c r="F109" s="11" t="n"/>
      <c r="G109" s="11" t="n"/>
      <c r="H109" s="13">
        <f>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
      </c>
      <c r="I109" s="11" t="n"/>
      <c r="J109" s="11" t="n"/>
      <c r="K109" s="11" t="n"/>
      <c r="L109" s="11" t="n"/>
      <c r="M109" s="11" t="inlineStr">
        <is>
          <t>Vertraulichkeit</t>
        </is>
      </c>
      <c r="N109" s="12" t="inlineStr"/>
      <c r="O109" s="11" t="inlineStr"/>
      <c r="P109" s="12" t="inlineStr">
        <is>
          <t>Zum Beispiel könnten Webseiten über Schnittstellen von Webbrowsern auf Standort-Sensoren (GPS, Mobilfunk etc.) zugreifen. Auch Mobilfunkanbieter sind in der Lage, Geostandorte über das Mobilfunksignal zu erfassen.</t>
        </is>
      </c>
      <c r="Q109" s="11" t="inlineStr">
        <is>
          <t>Nutzende, Endgeräte</t>
        </is>
      </c>
      <c r="R109" s="11" t="inlineStr">
        <is>
          <t>Schulungsplan</t>
        </is>
      </c>
      <c r="S109" s="12" t="inlineStr">
        <is>
          <t>über Standortbestimmungsfunktionen von mobilen Endgeräten</t>
        </is>
      </c>
      <c r="T109" s="12" t="inlineStr">
        <is>
          <t>G 0.18 – Fehlplanung oder fehlende Anpassung</t>
        </is>
      </c>
      <c r="U109" s="11" t="n">
        <v>2</v>
      </c>
      <c r="V109" s="11" t="n">
        <v>2</v>
      </c>
      <c r="W109" s="11" t="n">
        <v>1</v>
      </c>
      <c r="X109" s="11" t="n">
        <v>1</v>
      </c>
      <c r="Y109" s="11" t="n">
        <v>0</v>
      </c>
    </row>
    <row r="110">
      <c r="A110" s="11" t="inlineStr">
        <is>
          <t>SENS.7.23</t>
        </is>
      </c>
      <c r="B110" s="12" t="inlineStr">
        <is>
          <t>Geolokation</t>
        </is>
      </c>
      <c r="C110" s="11" t="inlineStr">
        <is>
          <t>SENS.7.23</t>
        </is>
      </c>
      <c r="D110" s="11" t="inlineStr">
        <is>
          <t>Standard-Anforderungen</t>
        </is>
      </c>
      <c r="E110" s="12" t="inlineStr">
        <is>
          <t>Sensibilisierung für Nutzende von Endgeräten SOLLTE über Standortbestimmungsfunktionen von mobilen Endgeräten sensibilisieren.</t>
        </is>
      </c>
      <c r="F110" s="14" t="n"/>
      <c r="G110" s="14" t="n"/>
      <c r="H110" s="14" t="inlineStr">
        <is>
          <t>unbearbeitet</t>
        </is>
      </c>
      <c r="I110" s="14" t="n"/>
      <c r="J110" s="14" t="n"/>
      <c r="K110" s="14" t="n"/>
      <c r="L110" s="15" t="n"/>
      <c r="M110" s="11" t="inlineStr">
        <is>
          <t>Vertraulichkeit</t>
        </is>
      </c>
      <c r="N110" s="12" t="inlineStr"/>
      <c r="O110" s="11" t="inlineStr"/>
      <c r="P110" s="12" t="inlineStr">
        <is>
          <t>Zum Beispiel könnten Webseiten über Schnittstellen von Webbrowsern auf Standort-Sensoren (GPS, Mobilfunk etc.) zugreifen. Auch Mobilfunkanbieter sind in der Lage, Geostandorte über das Mobilfunksignal zu erfassen.</t>
        </is>
      </c>
      <c r="Q110" s="11" t="inlineStr">
        <is>
          <t>Nutzende, Endgeräte</t>
        </is>
      </c>
      <c r="R110" s="11" t="inlineStr">
        <is>
          <t>Schulungsplan</t>
        </is>
      </c>
      <c r="S110" s="12" t="inlineStr">
        <is>
          <t>über Standortbestimmungsfunktionen von mobilen Endgeräten</t>
        </is>
      </c>
      <c r="T110" s="12" t="inlineStr">
        <is>
          <t>G 0.18 – Fehlplanung oder fehlende Anpassung</t>
        </is>
      </c>
      <c r="U110" s="11" t="n">
        <v>2</v>
      </c>
      <c r="V110" s="11" t="n">
        <v>2</v>
      </c>
      <c r="W110" s="11" t="n">
        <v>1</v>
      </c>
      <c r="X110" s="11" t="n">
        <v>1</v>
      </c>
      <c r="Y110" s="11" t="n">
        <v>0</v>
      </c>
    </row>
    <row r="111">
      <c r="A111" s="9" t="inlineStr">
        <is>
          <t>SENS.7.24</t>
        </is>
      </c>
      <c r="B111" s="10" t="inlineStr">
        <is>
          <t>Zertifikatswarnungen</t>
        </is>
      </c>
      <c r="C111" s="11" t="n"/>
      <c r="D111" s="11" t="inlineStr">
        <is>
          <t>Standard-Anforderungen</t>
        </is>
      </c>
      <c r="E111" s="12" t="inlineStr">
        <is>
          <t>Gesamt:</t>
        </is>
      </c>
      <c r="F111" s="11" t="n"/>
      <c r="G111" s="11" t="n"/>
      <c r="H111" s="13">
        <f>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
      </c>
      <c r="I111" s="11" t="n"/>
      <c r="J111" s="11" t="n"/>
      <c r="K111" s="11" t="n"/>
      <c r="L111" s="11" t="n"/>
      <c r="M111" s="11" t="inlineStr"/>
      <c r="N111" s="12" t="inlineStr">
        <is>
          <t>APP.1.2.A11-UA.2</t>
        </is>
      </c>
      <c r="O111" s="11" t="inlineStr">
        <is>
          <t>intersects-with</t>
        </is>
      </c>
      <c r="P111" s="12" t="inlineStr">
        <is>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is>
      </c>
      <c r="Q111" s="11" t="inlineStr">
        <is>
          <t>Nutzende, Webbrowser</t>
        </is>
      </c>
      <c r="R111" s="11" t="inlineStr">
        <is>
          <t>Schulungsplan</t>
        </is>
      </c>
      <c r="S111" s="12" t="inlineStr">
        <is>
          <t>gegen das unautorisierte Übergehen einer Zertifikatswarnung bei der Webnutzung</t>
        </is>
      </c>
      <c r="T111" s="12" t="inlineStr">
        <is>
          <t>G 0.18 – Fehlplanung oder fehlende Anpassung</t>
        </is>
      </c>
      <c r="U111" s="11" t="n">
        <v>2</v>
      </c>
      <c r="V111" s="11" t="n">
        <v>1</v>
      </c>
      <c r="W111" s="11" t="n">
        <v>1</v>
      </c>
      <c r="X111" s="11" t="n">
        <v>1</v>
      </c>
      <c r="Y111" s="11" t="n">
        <v>0</v>
      </c>
    </row>
    <row r="112">
      <c r="A112" s="11" t="inlineStr">
        <is>
          <t>SENS.7.24</t>
        </is>
      </c>
      <c r="B112" s="12" t="inlineStr">
        <is>
          <t>Zertifikatswarnungen</t>
        </is>
      </c>
      <c r="C112" s="11" t="inlineStr">
        <is>
          <t>SENS.7.24</t>
        </is>
      </c>
      <c r="D112" s="11" t="inlineStr">
        <is>
          <t>Standard-Anforderungen</t>
        </is>
      </c>
      <c r="E112" s="12" t="inlineStr">
        <is>
          <t>Sensibilisierung für Nutzende von Webbrowsern SOLLTE gegen das unautorisierte Übergehen einer Zertifikatswarnung bei der Webnutzung sensibilisieren.</t>
        </is>
      </c>
      <c r="F112" s="14" t="n"/>
      <c r="G112" s="14" t="n"/>
      <c r="H112" s="14" t="inlineStr">
        <is>
          <t>unbearbeitet</t>
        </is>
      </c>
      <c r="I112" s="14" t="n"/>
      <c r="J112" s="14" t="n"/>
      <c r="K112" s="14" t="n"/>
      <c r="L112" s="15" t="n"/>
      <c r="M112" s="11" t="inlineStr"/>
      <c r="N112" s="12" t="inlineStr">
        <is>
          <t>APP.1.2.A11-UA.2</t>
        </is>
      </c>
      <c r="O112" s="11" t="inlineStr">
        <is>
          <t>intersects-with</t>
        </is>
      </c>
      <c r="P112" s="12" t="inlineStr">
        <is>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is>
      </c>
      <c r="Q112" s="11" t="inlineStr">
        <is>
          <t>Nutzende, Webbrowser</t>
        </is>
      </c>
      <c r="R112" s="11" t="inlineStr">
        <is>
          <t>Schulungsplan</t>
        </is>
      </c>
      <c r="S112" s="12" t="inlineStr">
        <is>
          <t>gegen das unautorisierte Übergehen einer Zertifikatswarnung bei der Webnutzung</t>
        </is>
      </c>
      <c r="T112" s="12" t="inlineStr">
        <is>
          <t>G 0.18 – Fehlplanung oder fehlende Anpassung</t>
        </is>
      </c>
      <c r="U112" s="11" t="n">
        <v>2</v>
      </c>
      <c r="V112" s="11" t="n">
        <v>1</v>
      </c>
      <c r="W112" s="11" t="n">
        <v>1</v>
      </c>
      <c r="X112" s="11" t="n">
        <v>1</v>
      </c>
      <c r="Y112" s="11" t="n">
        <v>0</v>
      </c>
    </row>
    <row r="113">
      <c r="A113" s="9" t="inlineStr">
        <is>
          <t>SENS.8.1</t>
        </is>
      </c>
      <c r="B113" s="10" t="inlineStr">
        <is>
          <t>Screen Lock</t>
        </is>
      </c>
      <c r="C113" s="11" t="n"/>
      <c r="D113" s="11" t="inlineStr">
        <is>
          <t>Standard-Anforderungen</t>
        </is>
      </c>
      <c r="E113" s="12" t="inlineStr">
        <is>
          <t>Gesamt:</t>
        </is>
      </c>
      <c r="F113" s="11" t="n"/>
      <c r="G113" s="11" t="n"/>
      <c r="H113" s="13">
        <f>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
      </c>
      <c r="I113" s="11" t="n"/>
      <c r="J113" s="11" t="n"/>
      <c r="K113" s="11" t="n"/>
      <c r="L113" s="11" t="n"/>
      <c r="M113" s="11" t="inlineStr">
        <is>
          <t>Vertraulichkeit</t>
        </is>
      </c>
      <c r="N113" s="12" t="inlineStr">
        <is>
          <t>APP.1.4.A1-UA.1; SYS.3.1.A1-UA.1</t>
        </is>
      </c>
      <c r="O113" s="11" t="inlineStr">
        <is>
          <t>intersects-with; intersects-with</t>
        </is>
      </c>
      <c r="P113" s="12" t="inlineStr">
        <is>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is>
      </c>
      <c r="Q113" s="11" t="inlineStr">
        <is>
          <t>Nutzende</t>
        </is>
      </c>
      <c r="R113" s="11" t="inlineStr">
        <is>
          <t>Arbeitsanweisung</t>
        </is>
      </c>
      <c r="S113" s="12" t="inlineStr">
        <is>
          <t>zum Sperren von IT-System</t>
        </is>
      </c>
      <c r="T113" s="12" t="inlineStr">
        <is>
          <t>G 0.18 – Fehlplanung oder fehlende Anpassung</t>
        </is>
      </c>
      <c r="U113" s="11" t="n">
        <v>3</v>
      </c>
      <c r="V113" s="11" t="n">
        <v>2</v>
      </c>
      <c r="W113" s="11" t="n">
        <v>1</v>
      </c>
      <c r="X113" s="11" t="n">
        <v>1</v>
      </c>
      <c r="Y113" s="11" t="n">
        <v>0</v>
      </c>
    </row>
    <row r="114">
      <c r="A114" s="11" t="inlineStr">
        <is>
          <t>SENS.8.1</t>
        </is>
      </c>
      <c r="B114" s="12" t="inlineStr">
        <is>
          <t>Screen Lock</t>
        </is>
      </c>
      <c r="C114" s="11" t="inlineStr">
        <is>
          <t>SENS.8.1</t>
        </is>
      </c>
      <c r="D114" s="11" t="inlineStr">
        <is>
          <t>Standard-Anforderungen</t>
        </is>
      </c>
      <c r="E114" s="12" t="inlineStr">
        <is>
          <t>Sensibilisierung für Nutzende SOLLTE zum Sperren von IT-System vor dem Verlassen des Arbeitsplatzes anweisen.</t>
        </is>
      </c>
      <c r="F114" s="14" t="n"/>
      <c r="G114" s="14" t="n"/>
      <c r="H114" s="14" t="inlineStr">
        <is>
          <t>unbearbeitet</t>
        </is>
      </c>
      <c r="I114" s="14" t="n"/>
      <c r="J114" s="14" t="n"/>
      <c r="K114" s="14" t="n"/>
      <c r="L114" s="15" t="n"/>
      <c r="M114" s="11" t="inlineStr">
        <is>
          <t>Vertraulichkeit</t>
        </is>
      </c>
      <c r="N114" s="12" t="inlineStr">
        <is>
          <t>APP.1.4.A1-UA.1; SYS.3.1.A1-UA.1</t>
        </is>
      </c>
      <c r="O114" s="11" t="inlineStr">
        <is>
          <t>intersects-with; intersects-with</t>
        </is>
      </c>
      <c r="P114" s="12" t="inlineStr">
        <is>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is>
      </c>
      <c r="Q114" s="11" t="inlineStr">
        <is>
          <t>Nutzende</t>
        </is>
      </c>
      <c r="R114" s="11" t="inlineStr">
        <is>
          <t>Arbeitsanweisung</t>
        </is>
      </c>
      <c r="S114" s="12" t="inlineStr">
        <is>
          <t>zum Sperren von IT-System</t>
        </is>
      </c>
      <c r="T114" s="12" t="inlineStr">
        <is>
          <t>G 0.18 – Fehlplanung oder fehlende Anpassung</t>
        </is>
      </c>
      <c r="U114" s="11" t="n">
        <v>3</v>
      </c>
      <c r="V114" s="11" t="n">
        <v>2</v>
      </c>
      <c r="W114" s="11" t="n">
        <v>1</v>
      </c>
      <c r="X114" s="11" t="n">
        <v>1</v>
      </c>
      <c r="Y114" s="11" t="n">
        <v>0</v>
      </c>
    </row>
    <row r="115">
      <c r="A115" s="9" t="inlineStr">
        <is>
          <t>SENS.8.2</t>
        </is>
      </c>
      <c r="B115" s="10" t="inlineStr">
        <is>
          <t>Clean Desk</t>
        </is>
      </c>
      <c r="C115" s="11" t="n"/>
      <c r="D115" s="11" t="inlineStr">
        <is>
          <t>Standard-Anforderungen</t>
        </is>
      </c>
      <c r="E115" s="12" t="inlineStr">
        <is>
          <t>Gesamt:</t>
        </is>
      </c>
      <c r="F115" s="11" t="n"/>
      <c r="G115" s="11" t="n"/>
      <c r="H115" s="13">
        <f>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
      </c>
      <c r="I115" s="11" t="n"/>
      <c r="J115" s="11" t="n"/>
      <c r="K115" s="11" t="n"/>
      <c r="L115" s="11" t="n"/>
      <c r="M115" s="11" t="inlineStr">
        <is>
          <t>Vertraulichkeit</t>
        </is>
      </c>
      <c r="N115" s="12" t="inlineStr"/>
      <c r="O115" s="11" t="inlineStr"/>
      <c r="P115" s="12" t="inlineStr">
        <is>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is>
      </c>
      <c r="Q115" s="11" t="inlineStr">
        <is>
          <t>Nutzende</t>
        </is>
      </c>
      <c r="R115" s="11" t="inlineStr">
        <is>
          <t>Arbeitsanweisung</t>
        </is>
      </c>
      <c r="S115" s="12" t="inlineStr">
        <is>
          <t>zum Aufräumen von vertraulichen Dokumenten und Datenträgern</t>
        </is>
      </c>
      <c r="T115" s="12" t="inlineStr">
        <is>
          <t>G 0.18 – Fehlplanung oder fehlende Anpassung; G 0.29 – Verstoß gegen Gesetze oder Regelungen</t>
        </is>
      </c>
      <c r="U115" s="11" t="n">
        <v>3</v>
      </c>
      <c r="V115" s="11" t="n">
        <v>2</v>
      </c>
      <c r="W115" s="11" t="n">
        <v>1</v>
      </c>
      <c r="X115" s="11" t="n">
        <v>1</v>
      </c>
      <c r="Y115" s="11" t="n">
        <v>0</v>
      </c>
    </row>
    <row r="116">
      <c r="A116" s="11" t="inlineStr">
        <is>
          <t>SENS.8.2</t>
        </is>
      </c>
      <c r="B116" s="12" t="inlineStr">
        <is>
          <t>Clean Desk</t>
        </is>
      </c>
      <c r="C116" s="11" t="inlineStr">
        <is>
          <t>SENS.8.2</t>
        </is>
      </c>
      <c r="D116" s="11" t="inlineStr">
        <is>
          <t>Standard-Anforderungen</t>
        </is>
      </c>
      <c r="E116" s="12" t="inlineStr">
        <is>
          <t>Sensibilisierung für Nutzende SOLLTE zum Aufräumen von vertraulichen Dokumenten und Datenträgern vor dem Verlassen des Arbeitsplatzes anweisen.</t>
        </is>
      </c>
      <c r="F116" s="14" t="n"/>
      <c r="G116" s="14" t="n"/>
      <c r="H116" s="14" t="inlineStr">
        <is>
          <t>unbearbeitet</t>
        </is>
      </c>
      <c r="I116" s="14" t="n"/>
      <c r="J116" s="14" t="n"/>
      <c r="K116" s="14" t="n"/>
      <c r="L116" s="15" t="n"/>
      <c r="M116" s="11" t="inlineStr">
        <is>
          <t>Vertraulichkeit</t>
        </is>
      </c>
      <c r="N116" s="12" t="inlineStr"/>
      <c r="O116" s="11" t="inlineStr"/>
      <c r="P116" s="12" t="inlineStr">
        <is>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is>
      </c>
      <c r="Q116" s="11" t="inlineStr">
        <is>
          <t>Nutzende</t>
        </is>
      </c>
      <c r="R116" s="11" t="inlineStr">
        <is>
          <t>Arbeitsanweisung</t>
        </is>
      </c>
      <c r="S116" s="12" t="inlineStr">
        <is>
          <t>zum Aufräumen von vertraulichen Dokumenten und Datenträgern</t>
        </is>
      </c>
      <c r="T116" s="12" t="inlineStr">
        <is>
          <t>G 0.18 – Fehlplanung oder fehlende Anpassung; G 0.29 – Verstoß gegen Gesetze oder Regelungen</t>
        </is>
      </c>
      <c r="U116" s="11" t="n">
        <v>3</v>
      </c>
      <c r="V116" s="11" t="n">
        <v>2</v>
      </c>
      <c r="W116" s="11" t="n">
        <v>1</v>
      </c>
      <c r="X116" s="11" t="n">
        <v>1</v>
      </c>
      <c r="Y116" s="11" t="n">
        <v>0</v>
      </c>
    </row>
    <row r="117">
      <c r="A117" s="9" t="inlineStr">
        <is>
          <t>SENS.8.3</t>
        </is>
      </c>
      <c r="B117" s="10" t="inlineStr">
        <is>
          <t>Risiken der Nutzung von mobilen Endgeräten</t>
        </is>
      </c>
      <c r="C117" s="11" t="n"/>
      <c r="D117" s="11" t="inlineStr">
        <is>
          <t>Standard-Anforderungen</t>
        </is>
      </c>
      <c r="E117" s="12" t="inlineStr">
        <is>
          <t>Gesamt:</t>
        </is>
      </c>
      <c r="F117" s="11" t="n"/>
      <c r="G117" s="11" t="n"/>
      <c r="H117" s="13">
        <f>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
      </c>
      <c r="I117" s="11" t="n"/>
      <c r="J117" s="11" t="n"/>
      <c r="K117" s="11" t="n"/>
      <c r="L117" s="11" t="n"/>
      <c r="M117" s="11" t="inlineStr"/>
      <c r="N117" s="12" t="inlineStr"/>
      <c r="O117" s="11" t="inlineStr"/>
      <c r="P117" s="12" t="inlineStr">
        <is>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is>
      </c>
      <c r="Q117" s="11" t="inlineStr">
        <is>
          <t>Nutzende, Endgeräte</t>
        </is>
      </c>
      <c r="R117" s="11" t="inlineStr">
        <is>
          <t>Arbeitsanweisung</t>
        </is>
      </c>
      <c r="S117" s="12" t="inlineStr">
        <is>
          <t>gegen Risiken der Nutzung von mobilen Endgeräten</t>
        </is>
      </c>
      <c r="T117" s="12" t="inlineStr">
        <is>
          <t>G 0.18 – Fehlplanung oder fehlende Anpassung</t>
        </is>
      </c>
      <c r="U117" s="11" t="n">
        <v>1</v>
      </c>
      <c r="V117" s="11" t="n">
        <v>1</v>
      </c>
      <c r="W117" s="11" t="n">
        <v>1</v>
      </c>
      <c r="X117" s="11" t="n">
        <v>1</v>
      </c>
      <c r="Y117" s="11" t="n">
        <v>0</v>
      </c>
    </row>
    <row r="118">
      <c r="A118" s="11" t="inlineStr">
        <is>
          <t>SENS.8.3</t>
        </is>
      </c>
      <c r="B118" s="12" t="inlineStr">
        <is>
          <t>Risiken der Nutzung von mobilen Endgeräten</t>
        </is>
      </c>
      <c r="C118" s="11" t="inlineStr">
        <is>
          <t>SENS.8.3</t>
        </is>
      </c>
      <c r="D118" s="11" t="inlineStr">
        <is>
          <t>Standard-Anforderungen</t>
        </is>
      </c>
      <c r="E118" s="12" t="inlineStr">
        <is>
          <t>Sensibilisierung für Nutzende von Endgeräten SOLLTE gegen Risiken der Nutzung von mobilen Endgeräten sensibilisieren.</t>
        </is>
      </c>
      <c r="F118" s="14" t="n"/>
      <c r="G118" s="14" t="n"/>
      <c r="H118" s="14" t="inlineStr">
        <is>
          <t>unbearbeitet</t>
        </is>
      </c>
      <c r="I118" s="14" t="n"/>
      <c r="J118" s="14" t="n"/>
      <c r="K118" s="14" t="n"/>
      <c r="L118" s="15" t="n"/>
      <c r="M118" s="11" t="inlineStr"/>
      <c r="N118" s="12" t="inlineStr"/>
      <c r="O118" s="11" t="inlineStr"/>
      <c r="P118" s="12" t="inlineStr">
        <is>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is>
      </c>
      <c r="Q118" s="11" t="inlineStr">
        <is>
          <t>Nutzende, Endgeräte</t>
        </is>
      </c>
      <c r="R118" s="11" t="inlineStr">
        <is>
          <t>Arbeitsanweisung</t>
        </is>
      </c>
      <c r="S118" s="12" t="inlineStr">
        <is>
          <t>gegen Risiken der Nutzung von mobilen Endgeräten</t>
        </is>
      </c>
      <c r="T118" s="12" t="inlineStr">
        <is>
          <t>G 0.18 – Fehlplanung oder fehlende Anpassung</t>
        </is>
      </c>
      <c r="U118" s="11" t="n">
        <v>1</v>
      </c>
      <c r="V118" s="11" t="n">
        <v>1</v>
      </c>
      <c r="W118" s="11" t="n">
        <v>1</v>
      </c>
      <c r="X118" s="11" t="n">
        <v>1</v>
      </c>
      <c r="Y118" s="11" t="n">
        <v>0</v>
      </c>
    </row>
    <row r="119">
      <c r="A119" s="9" t="inlineStr">
        <is>
          <t>SENS.8.4</t>
        </is>
      </c>
      <c r="B119" s="10" t="inlineStr">
        <is>
          <t>Schließen von Türen und Fenstern</t>
        </is>
      </c>
      <c r="C119" s="11" t="n"/>
      <c r="D119" s="11" t="inlineStr">
        <is>
          <t>Standard-Anforderungen</t>
        </is>
      </c>
      <c r="E119" s="12" t="inlineStr">
        <is>
          <t>Gesamt:</t>
        </is>
      </c>
      <c r="F119" s="11" t="n"/>
      <c r="G119" s="11" t="n"/>
      <c r="H119" s="13">
        <f>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
      </c>
      <c r="I119" s="11" t="n"/>
      <c r="J119" s="11" t="n"/>
      <c r="K119" s="11" t="n"/>
      <c r="L119" s="11" t="n"/>
      <c r="M119" s="11" t="inlineStr">
        <is>
          <t>Vertraulichkeit</t>
        </is>
      </c>
      <c r="N119" s="12" t="inlineStr"/>
      <c r="O119" s="11" t="inlineStr"/>
      <c r="P119" s="12" t="inlineStr">
        <is>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is>
      </c>
      <c r="Q119" s="11" t="inlineStr">
        <is>
          <t>Nutzende, Gebäude</t>
        </is>
      </c>
      <c r="R119" s="11" t="inlineStr">
        <is>
          <t>Arbeitsanweisung</t>
        </is>
      </c>
      <c r="S119" s="12" t="inlineStr">
        <is>
          <t>zum Verschließen von Fenstern und Türen</t>
        </is>
      </c>
      <c r="T119" s="12" t="inlineStr">
        <is>
          <t>G 0.44 – Unbefugtes Eindringen in Räumlichkeiten</t>
        </is>
      </c>
      <c r="U119" s="11" t="n">
        <v>2</v>
      </c>
      <c r="V119" s="11" t="n">
        <v>2</v>
      </c>
      <c r="W119" s="11" t="n">
        <v>1</v>
      </c>
      <c r="X119" s="11" t="n">
        <v>1</v>
      </c>
      <c r="Y119" s="11" t="n">
        <v>0</v>
      </c>
    </row>
    <row r="120">
      <c r="A120" s="11" t="inlineStr">
        <is>
          <t>SENS.8.4</t>
        </is>
      </c>
      <c r="B120" s="12" t="inlineStr">
        <is>
          <t>Schließen von Türen und Fenstern</t>
        </is>
      </c>
      <c r="C120" s="11" t="inlineStr">
        <is>
          <t>SENS.8.4</t>
        </is>
      </c>
      <c r="D120" s="11" t="inlineStr">
        <is>
          <t>Standard-Anforderungen</t>
        </is>
      </c>
      <c r="E120" s="12" t="inlineStr">
        <is>
          <t>Sensibilisierung für Nutzende von Gebäuden SOLLTE zum Verschließen von Fenstern und Türen beim Verlassen von Räumlichkeiten anweisen.</t>
        </is>
      </c>
      <c r="F120" s="14" t="n"/>
      <c r="G120" s="14" t="n"/>
      <c r="H120" s="14" t="inlineStr">
        <is>
          <t>unbearbeitet</t>
        </is>
      </c>
      <c r="I120" s="14" t="n"/>
      <c r="J120" s="14" t="n"/>
      <c r="K120" s="14" t="n"/>
      <c r="L120" s="15" t="n"/>
      <c r="M120" s="11" t="inlineStr">
        <is>
          <t>Vertraulichkeit</t>
        </is>
      </c>
      <c r="N120" s="12" t="inlineStr"/>
      <c r="O120" s="11" t="inlineStr"/>
      <c r="P120" s="12" t="inlineStr">
        <is>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is>
      </c>
      <c r="Q120" s="11" t="inlineStr">
        <is>
          <t>Nutzende, Gebäude</t>
        </is>
      </c>
      <c r="R120" s="11" t="inlineStr">
        <is>
          <t>Arbeitsanweisung</t>
        </is>
      </c>
      <c r="S120" s="12" t="inlineStr">
        <is>
          <t>zum Verschließen von Fenstern und Türen</t>
        </is>
      </c>
      <c r="T120" s="12" t="inlineStr">
        <is>
          <t>G 0.44 – Unbefugtes Eindringen in Räumlichkeiten</t>
        </is>
      </c>
      <c r="U120" s="11" t="n">
        <v>2</v>
      </c>
      <c r="V120" s="11" t="n">
        <v>2</v>
      </c>
      <c r="W120" s="11" t="n">
        <v>1</v>
      </c>
      <c r="X120" s="11" t="n">
        <v>1</v>
      </c>
      <c r="Y120" s="11" t="n">
        <v>0</v>
      </c>
    </row>
    <row r="121">
      <c r="A121" s="9" t="inlineStr">
        <is>
          <t>SENS.8.5</t>
        </is>
      </c>
      <c r="B121" s="10" t="inlineStr">
        <is>
          <t>Mitbringen von IT-Systemen</t>
        </is>
      </c>
      <c r="C121" s="11" t="n"/>
      <c r="D121" s="11" t="inlineStr">
        <is>
          <t>Anforderungen bei erhöhtem Schutzbedarf</t>
        </is>
      </c>
      <c r="E121" s="12" t="inlineStr">
        <is>
          <t>Gesamt:</t>
        </is>
      </c>
      <c r="F121" s="11" t="n"/>
      <c r="G121" s="11" t="n"/>
      <c r="H121" s="13">
        <f>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
      </c>
      <c r="I121" s="11" t="n"/>
      <c r="J121" s="11" t="n"/>
      <c r="K121" s="11" t="n"/>
      <c r="L121" s="11" t="n"/>
      <c r="M121" s="11" t="inlineStr"/>
      <c r="N121" s="12" t="inlineStr"/>
      <c r="O121" s="11" t="inlineStr"/>
      <c r="P121" s="12" t="inlineStr">
        <is>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is>
      </c>
      <c r="Q121" s="11" t="inlineStr">
        <is>
          <t>Nutzende</t>
        </is>
      </c>
      <c r="R121" s="11" t="inlineStr">
        <is>
          <t>Arbeitsanweisung</t>
        </is>
      </c>
      <c r="S121" s="12" t="inlineStr">
        <is>
          <t>das Mitbringen unautorisierter IT-Systeme</t>
        </is>
      </c>
      <c r="T121" s="12" t="inlineStr">
        <is>
          <t>G 0.18 – Fehlplanung oder fehlende Anpassung</t>
        </is>
      </c>
      <c r="U121" s="11" t="n">
        <v>5</v>
      </c>
      <c r="V121" s="11" t="n">
        <v>1</v>
      </c>
      <c r="W121" s="11" t="n">
        <v>1</v>
      </c>
      <c r="X121" s="11" t="n">
        <v>1</v>
      </c>
      <c r="Y121" s="11" t="n">
        <v>0</v>
      </c>
    </row>
    <row r="122">
      <c r="A122" s="11" t="inlineStr">
        <is>
          <t>SENS.8.5</t>
        </is>
      </c>
      <c r="B122" s="12" t="inlineStr">
        <is>
          <t>Mitbringen von IT-Systemen</t>
        </is>
      </c>
      <c r="C122" s="11" t="inlineStr">
        <is>
          <t>SENS.8.5</t>
        </is>
      </c>
      <c r="D122" s="11" t="inlineStr">
        <is>
          <t>Anforderungen bei erhöhtem Schutzbedarf</t>
        </is>
      </c>
      <c r="E122" s="12" t="inlineStr">
        <is>
          <t>Sensibilisierung für Nutzende KANN das Mitbringen unautorisierter IT-Systeme untersagen.</t>
        </is>
      </c>
      <c r="F122" s="14" t="n"/>
      <c r="G122" s="14" t="n"/>
      <c r="H122" s="14" t="inlineStr">
        <is>
          <t>unbearbeitet</t>
        </is>
      </c>
      <c r="I122" s="14" t="n"/>
      <c r="J122" s="14" t="n"/>
      <c r="K122" s="14" t="n"/>
      <c r="L122" s="15" t="n"/>
      <c r="M122" s="11" t="inlineStr"/>
      <c r="N122" s="12" t="inlineStr"/>
      <c r="O122" s="11" t="inlineStr"/>
      <c r="P122" s="12" t="inlineStr">
        <is>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is>
      </c>
      <c r="Q122" s="11" t="inlineStr">
        <is>
          <t>Nutzende</t>
        </is>
      </c>
      <c r="R122" s="11" t="inlineStr">
        <is>
          <t>Arbeitsanweisung</t>
        </is>
      </c>
      <c r="S122" s="12" t="inlineStr">
        <is>
          <t>das Mitbringen unautorisierter IT-Systeme</t>
        </is>
      </c>
      <c r="T122" s="12" t="inlineStr">
        <is>
          <t>G 0.18 – Fehlplanung oder fehlende Anpassung</t>
        </is>
      </c>
      <c r="U122" s="11" t="n">
        <v>5</v>
      </c>
      <c r="V122" s="11" t="n">
        <v>1</v>
      </c>
      <c r="W122" s="11" t="n">
        <v>1</v>
      </c>
      <c r="X122" s="11" t="n">
        <v>1</v>
      </c>
      <c r="Y122" s="11" t="n">
        <v>0</v>
      </c>
    </row>
    <row r="123">
      <c r="A123" s="9" t="inlineStr">
        <is>
          <t>SENS.8.6</t>
        </is>
      </c>
      <c r="B123" s="10" t="inlineStr">
        <is>
          <t>Begleitung Externer</t>
        </is>
      </c>
      <c r="C123" s="11" t="n"/>
      <c r="D123" s="11" t="inlineStr">
        <is>
          <t>Anforderungen bei erhöhtem Schutzbedarf</t>
        </is>
      </c>
      <c r="E123" s="12" t="inlineStr">
        <is>
          <t>Gesamt:</t>
        </is>
      </c>
      <c r="F123" s="11" t="n"/>
      <c r="G123" s="11" t="n"/>
      <c r="H123" s="13">
        <f>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
      </c>
      <c r="I123" s="11" t="n"/>
      <c r="J123" s="11" t="n"/>
      <c r="K123" s="11" t="n"/>
      <c r="L123" s="11" t="n"/>
      <c r="M123" s="11" t="inlineStr">
        <is>
          <t>Vertraulichkeit</t>
        </is>
      </c>
      <c r="N123" s="12" t="inlineStr"/>
      <c r="O123" s="11" t="inlineStr"/>
      <c r="P123" s="12" t="inlineStr">
        <is>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is>
      </c>
      <c r="Q123" s="11" t="inlineStr">
        <is>
          <t>Mitarbeitende, Standorte</t>
        </is>
      </c>
      <c r="R123" s="11" t="inlineStr">
        <is>
          <t>Arbeitsanweisung</t>
        </is>
      </c>
      <c r="S123" s="12" t="inlineStr">
        <is>
          <t>zur Begleitung von Externen</t>
        </is>
      </c>
      <c r="T123" s="12" t="inlineStr">
        <is>
          <t>G 0.18 – Fehlplanung oder fehlende Anpassung</t>
        </is>
      </c>
      <c r="U123" s="11" t="n">
        <v>4</v>
      </c>
      <c r="V123" s="11" t="n">
        <v>2</v>
      </c>
      <c r="W123" s="11" t="n">
        <v>1</v>
      </c>
      <c r="X123" s="11" t="n">
        <v>1</v>
      </c>
      <c r="Y123" s="11" t="n">
        <v>0</v>
      </c>
    </row>
    <row r="124">
      <c r="A124" s="11" t="inlineStr">
        <is>
          <t>SENS.8.6</t>
        </is>
      </c>
      <c r="B124" s="12" t="inlineStr">
        <is>
          <t>Begleitung Externer</t>
        </is>
      </c>
      <c r="C124" s="11" t="inlineStr">
        <is>
          <t>SENS.8.6</t>
        </is>
      </c>
      <c r="D124" s="11" t="inlineStr">
        <is>
          <t>Anforderungen bei erhöhtem Schutzbedarf</t>
        </is>
      </c>
      <c r="E124" s="12" t="inlineStr">
        <is>
          <t>Sensibilisierung für Mitarbeitende von Standorten KANN zur Begleitung von Externen anweisen.</t>
        </is>
      </c>
      <c r="F124" s="14" t="n"/>
      <c r="G124" s="14" t="n"/>
      <c r="H124" s="14" t="inlineStr">
        <is>
          <t>unbearbeitet</t>
        </is>
      </c>
      <c r="I124" s="14" t="n"/>
      <c r="J124" s="14" t="n"/>
      <c r="K124" s="14" t="n"/>
      <c r="L124" s="15" t="n"/>
      <c r="M124" s="11" t="inlineStr">
        <is>
          <t>Vertraulichkeit</t>
        </is>
      </c>
      <c r="N124" s="12" t="inlineStr"/>
      <c r="O124" s="11" t="inlineStr"/>
      <c r="P124" s="12" t="inlineStr">
        <is>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is>
      </c>
      <c r="Q124" s="11" t="inlineStr">
        <is>
          <t>Mitarbeitende, Standorte</t>
        </is>
      </c>
      <c r="R124" s="11" t="inlineStr">
        <is>
          <t>Arbeitsanweisung</t>
        </is>
      </c>
      <c r="S124" s="12" t="inlineStr">
        <is>
          <t>zur Begleitung von Externen</t>
        </is>
      </c>
      <c r="T124" s="12" t="inlineStr">
        <is>
          <t>G 0.18 – Fehlplanung oder fehlende Anpassung</t>
        </is>
      </c>
      <c r="U124" s="11" t="n">
        <v>4</v>
      </c>
      <c r="V124" s="11" t="n">
        <v>2</v>
      </c>
      <c r="W124" s="11" t="n">
        <v>1</v>
      </c>
      <c r="X124" s="11" t="n">
        <v>1</v>
      </c>
      <c r="Y124" s="11" t="n">
        <v>0</v>
      </c>
    </row>
    <row r="125">
      <c r="A125" s="9" t="inlineStr">
        <is>
          <t>SENS.8.7</t>
        </is>
      </c>
      <c r="B125" s="10" t="inlineStr">
        <is>
          <t>Beaufsichtigung Externer</t>
        </is>
      </c>
      <c r="C125" s="11" t="n"/>
      <c r="D125" s="11" t="inlineStr">
        <is>
          <t>Standard-Anforderungen</t>
        </is>
      </c>
      <c r="E125" s="12" t="inlineStr">
        <is>
          <t>Gesamt:</t>
        </is>
      </c>
      <c r="F125" s="11" t="n"/>
      <c r="G125" s="11" t="n"/>
      <c r="H125" s="13">
        <f>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
      </c>
      <c r="I125" s="11" t="n"/>
      <c r="J125" s="11" t="n"/>
      <c r="K125" s="11" t="n"/>
      <c r="L125" s="11" t="n"/>
      <c r="M125" s="11" t="inlineStr">
        <is>
          <t>Vertraulichkeit</t>
        </is>
      </c>
      <c r="N125" s="12" t="inlineStr"/>
      <c r="O125" s="11" t="inlineStr"/>
      <c r="P125" s="12" t="inlineStr">
        <is>
          <t>Erhalten Externe wie z.B. IT-Dienstleister Zugang zu Standorten, an denen sensible Informationen verarbeitet werden, so stellt eine Beaufsichtigung sicher, dass Externe nur soweit Zugriff auf diese Informationen erhalten, wie für die Erledigung der Aufgabe erforderlich.</t>
        </is>
      </c>
      <c r="Q125" s="11" t="inlineStr">
        <is>
          <t>Mitarbeitende, Standorte</t>
        </is>
      </c>
      <c r="R125" s="11" t="inlineStr">
        <is>
          <t>Arbeitsanweisung</t>
        </is>
      </c>
      <c r="S125" s="12" t="inlineStr">
        <is>
          <t>zur Beaufsichtigung von Externen in sensiblen Bereichen</t>
        </is>
      </c>
      <c r="T125" s="12" t="inlineStr">
        <is>
          <t>G 0.18 – Fehlplanung oder fehlende Anpassung</t>
        </is>
      </c>
      <c r="U125" s="11" t="n">
        <v>2</v>
      </c>
      <c r="V125" s="11" t="n">
        <v>2</v>
      </c>
      <c r="W125" s="11" t="n">
        <v>1</v>
      </c>
      <c r="X125" s="11" t="n">
        <v>1</v>
      </c>
      <c r="Y125" s="11" t="n">
        <v>0</v>
      </c>
    </row>
    <row r="126">
      <c r="A126" s="11" t="inlineStr">
        <is>
          <t>SENS.8.7</t>
        </is>
      </c>
      <c r="B126" s="12" t="inlineStr">
        <is>
          <t>Beaufsichtigung Externer</t>
        </is>
      </c>
      <c r="C126" s="11" t="inlineStr">
        <is>
          <t>SENS.8.7</t>
        </is>
      </c>
      <c r="D126" s="11" t="inlineStr">
        <is>
          <t>Standard-Anforderungen</t>
        </is>
      </c>
      <c r="E126" s="12" t="inlineStr">
        <is>
          <t>Sensibilisierung für Mitarbeitende von Standorten SOLLTE zur Beaufsichtigung von Externen in sensiblen Bereichen anweisen.</t>
        </is>
      </c>
      <c r="F126" s="14" t="n"/>
      <c r="G126" s="14" t="n"/>
      <c r="H126" s="14" t="inlineStr">
        <is>
          <t>unbearbeitet</t>
        </is>
      </c>
      <c r="I126" s="14" t="n"/>
      <c r="J126" s="14" t="n"/>
      <c r="K126" s="14" t="n"/>
      <c r="L126" s="15" t="n"/>
      <c r="M126" s="11" t="inlineStr">
        <is>
          <t>Vertraulichkeit</t>
        </is>
      </c>
      <c r="N126" s="12" t="inlineStr"/>
      <c r="O126" s="11" t="inlineStr"/>
      <c r="P126" s="12" t="inlineStr">
        <is>
          <t>Erhalten Externe wie z.B. IT-Dienstleister Zugang zu Standorten, an denen sensible Informationen verarbeitet werden, so stellt eine Beaufsichtigung sicher, dass Externe nur soweit Zugriff auf diese Informationen erhalten, wie für die Erledigung der Aufgabe erforderlich.</t>
        </is>
      </c>
      <c r="Q126" s="11" t="inlineStr">
        <is>
          <t>Mitarbeitende, Standorte</t>
        </is>
      </c>
      <c r="R126" s="11" t="inlineStr">
        <is>
          <t>Arbeitsanweisung</t>
        </is>
      </c>
      <c r="S126" s="12" t="inlineStr">
        <is>
          <t>zur Beaufsichtigung von Externen in sensiblen Bereichen</t>
        </is>
      </c>
      <c r="T126" s="12" t="inlineStr">
        <is>
          <t>G 0.18 – Fehlplanung oder fehlende Anpassung</t>
        </is>
      </c>
      <c r="U126" s="11" t="n">
        <v>2</v>
      </c>
      <c r="V126" s="11" t="n">
        <v>2</v>
      </c>
      <c r="W126" s="11" t="n">
        <v>1</v>
      </c>
      <c r="X126" s="11" t="n">
        <v>1</v>
      </c>
      <c r="Y126" s="11" t="n">
        <v>0</v>
      </c>
    </row>
    <row r="127">
      <c r="A127" s="9" t="inlineStr">
        <is>
          <t>SENS.8.8</t>
        </is>
      </c>
      <c r="B127" s="10" t="inlineStr">
        <is>
          <t>Verwahrung Intern</t>
        </is>
      </c>
      <c r="C127" s="11" t="n"/>
      <c r="D127" s="11" t="inlineStr">
        <is>
          <t>Standard-Anforderungen</t>
        </is>
      </c>
      <c r="E127" s="12" t="inlineStr">
        <is>
          <t>Gesamt:</t>
        </is>
      </c>
      <c r="F127" s="11" t="n"/>
      <c r="G127" s="11" t="n"/>
      <c r="H127" s="13">
        <f>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
      </c>
      <c r="I127" s="11" t="n"/>
      <c r="J127" s="11" t="n"/>
      <c r="K127" s="11" t="n"/>
      <c r="L127" s="11" t="n"/>
      <c r="M127" s="11" t="inlineStr">
        <is>
          <t>Vertraulichkeit</t>
        </is>
      </c>
      <c r="N127" s="12" t="inlineStr"/>
      <c r="O127" s="11" t="inlineStr"/>
      <c r="P127" s="12" t="inlineStr">
        <is>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is>
      </c>
      <c r="Q127" s="11" t="inlineStr">
        <is>
          <t>Nutzende, Räume</t>
        </is>
      </c>
      <c r="R127" s="11" t="inlineStr">
        <is>
          <t>Schulungsplan</t>
        </is>
      </c>
      <c r="S127" s="12" t="inlineStr">
        <is>
          <t>zur sicheren Verwahrung von IT-Systemen und Datenträgern</t>
        </is>
      </c>
      <c r="T127" s="12" t="inlineStr">
        <is>
          <t>G 0.18 – Fehlplanung oder fehlende Anpassung</t>
        </is>
      </c>
      <c r="U127" s="11" t="n">
        <v>2</v>
      </c>
      <c r="V127" s="11" t="n">
        <v>2</v>
      </c>
      <c r="W127" s="11" t="n">
        <v>1</v>
      </c>
      <c r="X127" s="11" t="n">
        <v>1</v>
      </c>
      <c r="Y127" s="11" t="n">
        <v>0</v>
      </c>
    </row>
    <row r="128">
      <c r="A128" s="11" t="inlineStr">
        <is>
          <t>SENS.8.8</t>
        </is>
      </c>
      <c r="B128" s="12" t="inlineStr">
        <is>
          <t>Verwahrung Intern</t>
        </is>
      </c>
      <c r="C128" s="11" t="inlineStr">
        <is>
          <t>SENS.8.8</t>
        </is>
      </c>
      <c r="D128" s="11" t="inlineStr">
        <is>
          <t>Standard-Anforderungen</t>
        </is>
      </c>
      <c r="E128" s="12" t="inlineStr">
        <is>
          <t>Sensibilisierung für Nutzende von Räumen SOLLTE zur sicheren Verwahrung von IT-Systemen und Datenträgern sensibilisieren.</t>
        </is>
      </c>
      <c r="F128" s="14" t="n"/>
      <c r="G128" s="14" t="n"/>
      <c r="H128" s="14" t="inlineStr">
        <is>
          <t>unbearbeitet</t>
        </is>
      </c>
      <c r="I128" s="14" t="n"/>
      <c r="J128" s="14" t="n"/>
      <c r="K128" s="14" t="n"/>
      <c r="L128" s="15" t="n"/>
      <c r="M128" s="11" t="inlineStr">
        <is>
          <t>Vertraulichkeit</t>
        </is>
      </c>
      <c r="N128" s="12" t="inlineStr"/>
      <c r="O128" s="11" t="inlineStr"/>
      <c r="P128" s="12" t="inlineStr">
        <is>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is>
      </c>
      <c r="Q128" s="11" t="inlineStr">
        <is>
          <t>Nutzende, Räume</t>
        </is>
      </c>
      <c r="R128" s="11" t="inlineStr">
        <is>
          <t>Schulungsplan</t>
        </is>
      </c>
      <c r="S128" s="12" t="inlineStr">
        <is>
          <t>zur sicheren Verwahrung von IT-Systemen und Datenträgern</t>
        </is>
      </c>
      <c r="T128" s="12" t="inlineStr">
        <is>
          <t>G 0.18 – Fehlplanung oder fehlende Anpassung</t>
        </is>
      </c>
      <c r="U128" s="11" t="n">
        <v>2</v>
      </c>
      <c r="V128" s="11" t="n">
        <v>2</v>
      </c>
      <c r="W128" s="11" t="n">
        <v>1</v>
      </c>
      <c r="X128" s="11" t="n">
        <v>1</v>
      </c>
      <c r="Y128" s="11" t="n">
        <v>0</v>
      </c>
    </row>
    <row r="129">
      <c r="A129" s="9" t="inlineStr">
        <is>
          <t>SENS.8.9</t>
        </is>
      </c>
      <c r="B129" s="10" t="inlineStr">
        <is>
          <t>Rückgabe nicht mehr benötigter Assets</t>
        </is>
      </c>
      <c r="C129" s="11" t="n"/>
      <c r="D129" s="11" t="inlineStr">
        <is>
          <t>Standard-Anforderungen</t>
        </is>
      </c>
      <c r="E129" s="12" t="inlineStr">
        <is>
          <t>Gesamt:</t>
        </is>
      </c>
      <c r="F129" s="11" t="n"/>
      <c r="G129" s="11" t="n"/>
      <c r="H129" s="13">
        <f>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
      </c>
      <c r="I129" s="11" t="n"/>
      <c r="J129" s="11" t="n"/>
      <c r="K129" s="11" t="n"/>
      <c r="L129" s="11" t="n"/>
      <c r="M129" s="11" t="inlineStr">
        <is>
          <t>Vertraulichkeit</t>
        </is>
      </c>
      <c r="N129" s="12" t="inlineStr"/>
      <c r="O129" s="11" t="inlineStr"/>
      <c r="P129" s="12" t="inlineStr">
        <is>
          <t>Dies gilt z.B. bei einem Wechsel der Aufgaben oder der Beendigung des Vertragsverhältnisses zwischen Nutzenden und der Institution.</t>
        </is>
      </c>
      <c r="Q129" s="11" t="inlineStr">
        <is>
          <t>Nutzende</t>
        </is>
      </c>
      <c r="R129" s="11" t="inlineStr">
        <is>
          <t>Arbeitsanweisung</t>
        </is>
      </c>
      <c r="S129" s="12" t="inlineStr">
        <is>
          <t>zur Rückgabe nicht mehr benötigter Assets</t>
        </is>
      </c>
      <c r="T129" s="12" t="inlineStr">
        <is>
          <t>G 0.18 – Fehlplanung oder fehlende Anpassung</t>
        </is>
      </c>
      <c r="U129" s="11" t="n">
        <v>2</v>
      </c>
      <c r="V129" s="11" t="n">
        <v>2</v>
      </c>
      <c r="W129" s="11" t="n">
        <v>1</v>
      </c>
      <c r="X129" s="11" t="n">
        <v>1</v>
      </c>
      <c r="Y129" s="11" t="n">
        <v>0</v>
      </c>
    </row>
    <row r="130">
      <c r="A130" s="11" t="inlineStr">
        <is>
          <t>SENS.8.9</t>
        </is>
      </c>
      <c r="B130" s="12" t="inlineStr">
        <is>
          <t>Rückgabe nicht mehr benötigter Assets</t>
        </is>
      </c>
      <c r="C130" s="11" t="inlineStr">
        <is>
          <t>SENS.8.9</t>
        </is>
      </c>
      <c r="D130" s="11" t="inlineStr">
        <is>
          <t>Standard-Anforderungen</t>
        </is>
      </c>
      <c r="E130" s="12" t="inlineStr">
        <is>
          <t>Sensibilisierung für Nutzende SOLLTE zur Rückgabe nicht mehr benötigter Assets anweisen.</t>
        </is>
      </c>
      <c r="F130" s="14" t="n"/>
      <c r="G130" s="14" t="n"/>
      <c r="H130" s="14" t="inlineStr">
        <is>
          <t>unbearbeitet</t>
        </is>
      </c>
      <c r="I130" s="14" t="n"/>
      <c r="J130" s="14" t="n"/>
      <c r="K130" s="14" t="n"/>
      <c r="L130" s="15" t="n"/>
      <c r="M130" s="11" t="inlineStr">
        <is>
          <t>Vertraulichkeit</t>
        </is>
      </c>
      <c r="N130" s="12" t="inlineStr"/>
      <c r="O130" s="11" t="inlineStr"/>
      <c r="P130" s="12" t="inlineStr">
        <is>
          <t>Dies gilt z.B. bei einem Wechsel der Aufgaben oder der Beendigung des Vertragsverhältnisses zwischen Nutzenden und der Institution.</t>
        </is>
      </c>
      <c r="Q130" s="11" t="inlineStr">
        <is>
          <t>Nutzende</t>
        </is>
      </c>
      <c r="R130" s="11" t="inlineStr">
        <is>
          <t>Arbeitsanweisung</t>
        </is>
      </c>
      <c r="S130" s="12" t="inlineStr">
        <is>
          <t>zur Rückgabe nicht mehr benötigter Assets</t>
        </is>
      </c>
      <c r="T130" s="12" t="inlineStr">
        <is>
          <t>G 0.18 – Fehlplanung oder fehlende Anpassung</t>
        </is>
      </c>
      <c r="U130" s="11" t="n">
        <v>2</v>
      </c>
      <c r="V130" s="11" t="n">
        <v>2</v>
      </c>
      <c r="W130" s="11" t="n">
        <v>1</v>
      </c>
      <c r="X130" s="11" t="n">
        <v>1</v>
      </c>
      <c r="Y130" s="11" t="n">
        <v>0</v>
      </c>
    </row>
    <row r="131">
      <c r="A131" s="9" t="inlineStr">
        <is>
          <t>SENS.8.10</t>
        </is>
      </c>
      <c r="B131" s="10" t="inlineStr">
        <is>
          <t>Vermeidung von Brandlasten</t>
        </is>
      </c>
      <c r="C131" s="11" t="n"/>
      <c r="D131" s="11" t="inlineStr">
        <is>
          <t>Standard-Anforderungen</t>
        </is>
      </c>
      <c r="E131" s="12" t="inlineStr">
        <is>
          <t>Gesamt:</t>
        </is>
      </c>
      <c r="F131" s="11" t="n"/>
      <c r="G131" s="11" t="n"/>
      <c r="H131" s="13">
        <f>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
      </c>
      <c r="I131" s="11" t="n"/>
      <c r="J131" s="11" t="n"/>
      <c r="K131" s="11" t="n"/>
      <c r="L131" s="11" t="n"/>
      <c r="M131" s="11" t="inlineStr">
        <is>
          <t>Verfügbarkeit</t>
        </is>
      </c>
      <c r="N131" s="12" t="inlineStr"/>
      <c r="O131" s="11" t="inlineStr"/>
      <c r="P131" s="12" t="inlineStr">
        <is>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is>
      </c>
      <c r="Q131" s="11" t="inlineStr">
        <is>
          <t>Nutzende, Standorte</t>
        </is>
      </c>
      <c r="R131" s="11" t="inlineStr">
        <is>
          <t>Arbeitsanweisung</t>
        </is>
      </c>
      <c r="S131" s="12" t="inlineStr">
        <is>
          <t>das ungesicherte Hinterlassen von Brandlasten</t>
        </is>
      </c>
      <c r="T131" s="12" t="inlineStr">
        <is>
          <t>G 0.18 – Fehlplanung oder fehlende Anpassung</t>
        </is>
      </c>
      <c r="U131" s="11" t="n">
        <v>3</v>
      </c>
      <c r="V131" s="11" t="n">
        <v>1</v>
      </c>
      <c r="W131" s="11" t="n">
        <v>1</v>
      </c>
      <c r="X131" s="11" t="n">
        <v>2</v>
      </c>
      <c r="Y131" s="11" t="n">
        <v>0</v>
      </c>
    </row>
    <row r="132">
      <c r="A132" s="11" t="inlineStr">
        <is>
          <t>SENS.8.10</t>
        </is>
      </c>
      <c r="B132" s="12" t="inlineStr">
        <is>
          <t>Vermeidung von Brandlasten</t>
        </is>
      </c>
      <c r="C132" s="11" t="inlineStr">
        <is>
          <t>SENS.8.10</t>
        </is>
      </c>
      <c r="D132" s="11" t="inlineStr">
        <is>
          <t>Standard-Anforderungen</t>
        </is>
      </c>
      <c r="E132" s="12" t="inlineStr">
        <is>
          <t>Sensibilisierung für Nutzende von Standorten SOLLTE das ungesicherte Hinterlassen von Brandlasten untersagen.</t>
        </is>
      </c>
      <c r="F132" s="14" t="n"/>
      <c r="G132" s="14" t="n"/>
      <c r="H132" s="14" t="inlineStr">
        <is>
          <t>unbearbeitet</t>
        </is>
      </c>
      <c r="I132" s="14" t="n"/>
      <c r="J132" s="14" t="n"/>
      <c r="K132" s="14" t="n"/>
      <c r="L132" s="15" t="n"/>
      <c r="M132" s="11" t="inlineStr">
        <is>
          <t>Verfügbarkeit</t>
        </is>
      </c>
      <c r="N132" s="12" t="inlineStr"/>
      <c r="O132" s="11" t="inlineStr"/>
      <c r="P132" s="12" t="inlineStr">
        <is>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is>
      </c>
      <c r="Q132" s="11" t="inlineStr">
        <is>
          <t>Nutzende, Standorte</t>
        </is>
      </c>
      <c r="R132" s="11" t="inlineStr">
        <is>
          <t>Arbeitsanweisung</t>
        </is>
      </c>
      <c r="S132" s="12" t="inlineStr">
        <is>
          <t>das ungesicherte Hinterlassen von Brandlasten</t>
        </is>
      </c>
      <c r="T132" s="12" t="inlineStr">
        <is>
          <t>G 0.18 – Fehlplanung oder fehlende Anpassung</t>
        </is>
      </c>
      <c r="U132" s="11" t="n">
        <v>3</v>
      </c>
      <c r="V132" s="11" t="n">
        <v>1</v>
      </c>
      <c r="W132" s="11" t="n">
        <v>1</v>
      </c>
      <c r="X132" s="11" t="n">
        <v>2</v>
      </c>
      <c r="Y132" s="11" t="n">
        <v>0</v>
      </c>
    </row>
    <row r="133">
      <c r="A133" s="9" t="inlineStr">
        <is>
          <t>SENS.8.11</t>
        </is>
      </c>
      <c r="B133" s="10" t="inlineStr">
        <is>
          <t>Verwendung von Brandschutmitteln</t>
        </is>
      </c>
      <c r="C133" s="11" t="n"/>
      <c r="D133" s="11" t="inlineStr">
        <is>
          <t>Standard-Anforderungen</t>
        </is>
      </c>
      <c r="E133" s="12" t="inlineStr">
        <is>
          <t>Gesamt:</t>
        </is>
      </c>
      <c r="F133" s="11" t="n"/>
      <c r="G133" s="11" t="n"/>
      <c r="H133" s="13">
        <f>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
      </c>
      <c r="I133" s="11" t="n"/>
      <c r="J133" s="11" t="n"/>
      <c r="K133" s="11" t="n"/>
      <c r="L133" s="11" t="n"/>
      <c r="M133" s="11" t="inlineStr">
        <is>
          <t>Verfügbarkeit</t>
        </is>
      </c>
      <c r="N133" s="12" t="inlineStr"/>
      <c r="O133" s="11" t="inlineStr"/>
      <c r="P133" s="12" t="inlineStr">
        <is>
          <t>Hierzu zählt z.B. die Einweisung in die korrekte Verwendung von Handfeuerlöschern, welche in Serverräumen oder Rechenzentren bereitgestellt werden.</t>
        </is>
      </c>
      <c r="Q133" s="11" t="inlineStr">
        <is>
          <t>Mitarbeitende</t>
        </is>
      </c>
      <c r="R133" s="11" t="inlineStr">
        <is>
          <t>Schulungsplan</t>
        </is>
      </c>
      <c r="S133" s="12" t="inlineStr">
        <is>
          <t>zur korrekten Verwendung bereitgestellter Brandschutz-Hilfsmittel</t>
        </is>
      </c>
      <c r="T133" s="12" t="inlineStr">
        <is>
          <t>G 0.18 – Fehlplanung oder fehlende Anpassung</t>
        </is>
      </c>
      <c r="U133" s="11" t="n">
        <v>3</v>
      </c>
      <c r="V133" s="11" t="n">
        <v>1</v>
      </c>
      <c r="W133" s="11" t="n">
        <v>1</v>
      </c>
      <c r="X133" s="11" t="n">
        <v>2</v>
      </c>
      <c r="Y133" s="11" t="n">
        <v>0</v>
      </c>
    </row>
    <row r="134">
      <c r="A134" s="11" t="inlineStr">
        <is>
          <t>SENS.8.11</t>
        </is>
      </c>
      <c r="B134" s="12" t="inlineStr">
        <is>
          <t>Verwendung von Brandschutmitteln</t>
        </is>
      </c>
      <c r="C134" s="11" t="inlineStr">
        <is>
          <t>SENS.8.11</t>
        </is>
      </c>
      <c r="D134" s="11" t="inlineStr">
        <is>
          <t>Standard-Anforderungen</t>
        </is>
      </c>
      <c r="E134" s="12" t="inlineStr">
        <is>
          <t>Sensibilisierung für Mitarbeitende SOLLTE zur korrekten Verwendung bereitgestellter Brandschutz-Hilfsmittel sensibilisieren.</t>
        </is>
      </c>
      <c r="F134" s="14" t="n"/>
      <c r="G134" s="14" t="n"/>
      <c r="H134" s="14" t="inlineStr">
        <is>
          <t>unbearbeitet</t>
        </is>
      </c>
      <c r="I134" s="14" t="n"/>
      <c r="J134" s="14" t="n"/>
      <c r="K134" s="14" t="n"/>
      <c r="L134" s="15" t="n"/>
      <c r="M134" s="11" t="inlineStr">
        <is>
          <t>Verfügbarkeit</t>
        </is>
      </c>
      <c r="N134" s="12" t="inlineStr"/>
      <c r="O134" s="11" t="inlineStr"/>
      <c r="P134" s="12" t="inlineStr">
        <is>
          <t>Hierzu zählt z.B. die Einweisung in die korrekte Verwendung von Handfeuerlöschern, welche in Serverräumen oder Rechenzentren bereitgestellt werden.</t>
        </is>
      </c>
      <c r="Q134" s="11" t="inlineStr">
        <is>
          <t>Mitarbeitende</t>
        </is>
      </c>
      <c r="R134" s="11" t="inlineStr">
        <is>
          <t>Schulungsplan</t>
        </is>
      </c>
      <c r="S134" s="12" t="inlineStr">
        <is>
          <t>zur korrekten Verwendung bereitgestellter Brandschutz-Hilfsmittel</t>
        </is>
      </c>
      <c r="T134" s="12" t="inlineStr">
        <is>
          <t>G 0.18 – Fehlplanung oder fehlende Anpassung</t>
        </is>
      </c>
      <c r="U134" s="11" t="n">
        <v>3</v>
      </c>
      <c r="V134" s="11" t="n">
        <v>1</v>
      </c>
      <c r="W134" s="11" t="n">
        <v>1</v>
      </c>
      <c r="X134" s="11" t="n">
        <v>2</v>
      </c>
      <c r="Y134" s="11" t="n">
        <v>0</v>
      </c>
    </row>
    <row r="135">
      <c r="A135" s="9" t="inlineStr">
        <is>
          <t>SENS.8.12</t>
        </is>
      </c>
      <c r="B135" s="10" t="inlineStr">
        <is>
          <t>Verwendung von Wasserschutzmitteln</t>
        </is>
      </c>
      <c r="C135" s="11" t="n"/>
      <c r="D135" s="11" t="inlineStr">
        <is>
          <t>Anforderungen bei erhöhtem Schutzbedarf</t>
        </is>
      </c>
      <c r="E135" s="12" t="inlineStr">
        <is>
          <t>Gesamt:</t>
        </is>
      </c>
      <c r="F135" s="11" t="n"/>
      <c r="G135" s="11" t="n"/>
      <c r="H135" s="13">
        <f>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
      </c>
      <c r="I135" s="11" t="n"/>
      <c r="J135" s="11" t="n"/>
      <c r="K135" s="11" t="n"/>
      <c r="L135" s="11" t="n"/>
      <c r="M135" s="11" t="inlineStr">
        <is>
          <t>Verfügbarkeit</t>
        </is>
      </c>
      <c r="N135" s="12" t="inlineStr"/>
      <c r="O135" s="11" t="inlineStr"/>
      <c r="P135" s="12" t="inlineStr">
        <is>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is>
      </c>
      <c r="Q135" s="11" t="inlineStr">
        <is>
          <t>Mitarbeitende</t>
        </is>
      </c>
      <c r="R135" s="11" t="inlineStr">
        <is>
          <t>Schulungsplan</t>
        </is>
      </c>
      <c r="S135" s="12" t="inlineStr">
        <is>
          <t>zur korrekten Verwendung bereitgestellter Wasserschutz-Hilfsmittel</t>
        </is>
      </c>
      <c r="T135" s="12" t="inlineStr">
        <is>
          <t>G 0.3 – Wasser</t>
        </is>
      </c>
      <c r="U135" s="11" t="n">
        <v>3</v>
      </c>
      <c r="V135" s="11" t="n">
        <v>0</v>
      </c>
      <c r="W135" s="11" t="n">
        <v>1</v>
      </c>
      <c r="X135" s="11" t="n">
        <v>2</v>
      </c>
      <c r="Y135" s="11" t="n">
        <v>0</v>
      </c>
    </row>
    <row r="136">
      <c r="A136" s="11" t="inlineStr">
        <is>
          <t>SENS.8.12</t>
        </is>
      </c>
      <c r="B136" s="12" t="inlineStr">
        <is>
          <t>Verwendung von Wasserschutzmitteln</t>
        </is>
      </c>
      <c r="C136" s="11" t="inlineStr">
        <is>
          <t>SENS.8.12</t>
        </is>
      </c>
      <c r="D136" s="11" t="inlineStr">
        <is>
          <t>Anforderungen bei erhöhtem Schutzbedarf</t>
        </is>
      </c>
      <c r="E136" s="12" t="inlineStr">
        <is>
          <t>Sensibilisierung für Mitarbeitende KANN zur korrekten Verwendung bereitgestellter Wasserschutz-Hilfsmittel sensibilisieren.</t>
        </is>
      </c>
      <c r="F136" s="14" t="n"/>
      <c r="G136" s="14" t="n"/>
      <c r="H136" s="14" t="inlineStr">
        <is>
          <t>unbearbeitet</t>
        </is>
      </c>
      <c r="I136" s="14" t="n"/>
      <c r="J136" s="14" t="n"/>
      <c r="K136" s="14" t="n"/>
      <c r="L136" s="15" t="n"/>
      <c r="M136" s="11" t="inlineStr">
        <is>
          <t>Verfügbarkeit</t>
        </is>
      </c>
      <c r="N136" s="12" t="inlineStr"/>
      <c r="O136" s="11" t="inlineStr"/>
      <c r="P136" s="12" t="inlineStr">
        <is>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is>
      </c>
      <c r="Q136" s="11" t="inlineStr">
        <is>
          <t>Mitarbeitende</t>
        </is>
      </c>
      <c r="R136" s="11" t="inlineStr">
        <is>
          <t>Schulungsplan</t>
        </is>
      </c>
      <c r="S136" s="12" t="inlineStr">
        <is>
          <t>zur korrekten Verwendung bereitgestellter Wasserschutz-Hilfsmittel</t>
        </is>
      </c>
      <c r="T136" s="12" t="inlineStr">
        <is>
          <t>G 0.3 – Wasser</t>
        </is>
      </c>
      <c r="U136" s="11" t="n">
        <v>3</v>
      </c>
      <c r="V136" s="11" t="n">
        <v>0</v>
      </c>
      <c r="W136" s="11" t="n">
        <v>1</v>
      </c>
      <c r="X136" s="11" t="n">
        <v>2</v>
      </c>
      <c r="Y136" s="11" t="n">
        <v>0</v>
      </c>
    </row>
    <row r="137">
      <c r="A137" s="9" t="inlineStr">
        <is>
          <t>SENS.9.1</t>
        </is>
      </c>
      <c r="B137" s="10" t="inlineStr">
        <is>
          <t>Verarbeitung in der Öffentlichkeit</t>
        </is>
      </c>
      <c r="C137" s="11" t="n"/>
      <c r="D137" s="11" t="inlineStr">
        <is>
          <t>Standard-Anforderungen</t>
        </is>
      </c>
      <c r="E137" s="12" t="inlineStr">
        <is>
          <t>Gesamt:</t>
        </is>
      </c>
      <c r="F137" s="11" t="n"/>
      <c r="G137" s="11" t="n"/>
      <c r="H137" s="13">
        <f>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
      </c>
      <c r="I137" s="11" t="n"/>
      <c r="J137" s="11" t="n"/>
      <c r="K137" s="11" t="n"/>
      <c r="L137" s="11" t="n"/>
      <c r="M137" s="11" t="inlineStr">
        <is>
          <t>Vertraulichkeit</t>
        </is>
      </c>
      <c r="N137" s="12" t="inlineStr"/>
      <c r="O137" s="11" t="inlineStr"/>
      <c r="P137" s="12" t="inlineStr">
        <is>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is>
      </c>
      <c r="Q137" s="11" t="inlineStr">
        <is>
          <t>Nutzende</t>
        </is>
      </c>
      <c r="R137" s="11" t="inlineStr">
        <is>
          <t>Schulungsplan</t>
        </is>
      </c>
      <c r="S137" s="12" t="inlineStr">
        <is>
          <t>gegen die Verarbeitung von vertraulichen Informationen in der Öffentlichkeit</t>
        </is>
      </c>
      <c r="T137" s="12" t="inlineStr">
        <is>
          <t>G 0.18 – Fehlplanung oder fehlende Anpassung; G 0.29 – Verstoß gegen Gesetze oder Regelungen</t>
        </is>
      </c>
      <c r="U137" s="11" t="n">
        <v>3</v>
      </c>
      <c r="V137" s="11" t="n">
        <v>2</v>
      </c>
      <c r="W137" s="11" t="n">
        <v>1</v>
      </c>
      <c r="X137" s="11" t="n">
        <v>1</v>
      </c>
      <c r="Y137" s="11" t="n">
        <v>0</v>
      </c>
    </row>
    <row r="138">
      <c r="A138" s="11" t="inlineStr">
        <is>
          <t>SENS.9.1</t>
        </is>
      </c>
      <c r="B138" s="12" t="inlineStr">
        <is>
          <t>Verarbeitung in der Öffentlichkeit</t>
        </is>
      </c>
      <c r="C138" s="11" t="inlineStr">
        <is>
          <t>SENS.9.1</t>
        </is>
      </c>
      <c r="D138" s="11" t="inlineStr">
        <is>
          <t>Standard-Anforderungen</t>
        </is>
      </c>
      <c r="E138" s="12" t="inlineStr">
        <is>
          <t>Sensibilisierung für Nutzende SOLLTE gegen die Verarbeitung von vertraulichen Informationen in der Öffentlichkeit sensibilisieren.</t>
        </is>
      </c>
      <c r="F138" s="14" t="n"/>
      <c r="G138" s="14" t="n"/>
      <c r="H138" s="14" t="inlineStr">
        <is>
          <t>unbearbeitet</t>
        </is>
      </c>
      <c r="I138" s="14" t="n"/>
      <c r="J138" s="14" t="n"/>
      <c r="K138" s="14" t="n"/>
      <c r="L138" s="15" t="n"/>
      <c r="M138" s="11" t="inlineStr">
        <is>
          <t>Vertraulichkeit</t>
        </is>
      </c>
      <c r="N138" s="12" t="inlineStr"/>
      <c r="O138" s="11" t="inlineStr"/>
      <c r="P138" s="12" t="inlineStr">
        <is>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is>
      </c>
      <c r="Q138" s="11" t="inlineStr">
        <is>
          <t>Nutzende</t>
        </is>
      </c>
      <c r="R138" s="11" t="inlineStr">
        <is>
          <t>Schulungsplan</t>
        </is>
      </c>
      <c r="S138" s="12" t="inlineStr">
        <is>
          <t>gegen die Verarbeitung von vertraulichen Informationen in der Öffentlichkeit</t>
        </is>
      </c>
      <c r="T138" s="12" t="inlineStr">
        <is>
          <t>G 0.18 – Fehlplanung oder fehlende Anpassung; G 0.29 – Verstoß gegen Gesetze oder Regelungen</t>
        </is>
      </c>
      <c r="U138" s="11" t="n">
        <v>3</v>
      </c>
      <c r="V138" s="11" t="n">
        <v>2</v>
      </c>
      <c r="W138" s="11" t="n">
        <v>1</v>
      </c>
      <c r="X138" s="11" t="n">
        <v>1</v>
      </c>
      <c r="Y138" s="11" t="n">
        <v>0</v>
      </c>
    </row>
    <row r="139">
      <c r="A139" s="9" t="inlineStr">
        <is>
          <t>SENS.9.2</t>
        </is>
      </c>
      <c r="B139" s="10" t="inlineStr">
        <is>
          <t>Vorsicht vor Mithören</t>
        </is>
      </c>
      <c r="C139" s="11" t="n"/>
      <c r="D139" s="11" t="inlineStr">
        <is>
          <t>Standard-Anforderungen</t>
        </is>
      </c>
      <c r="E139" s="12" t="inlineStr">
        <is>
          <t>Gesamt:</t>
        </is>
      </c>
      <c r="F139" s="11" t="n"/>
      <c r="G139" s="11" t="n"/>
      <c r="H139" s="13">
        <f>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
      </c>
      <c r="I139" s="11" t="n"/>
      <c r="J139" s="11" t="n"/>
      <c r="K139" s="11" t="n"/>
      <c r="L139" s="11" t="n"/>
      <c r="M139" s="11" t="inlineStr">
        <is>
          <t>Vertraulichkeit</t>
        </is>
      </c>
      <c r="N139" s="12" t="inlineStr"/>
      <c r="O139" s="11" t="inlineStr"/>
      <c r="P139" s="12" t="inlineStr">
        <is>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is>
      </c>
      <c r="Q139" s="11" t="inlineStr">
        <is>
          <t>Nutzende</t>
        </is>
      </c>
      <c r="R139" s="11" t="inlineStr">
        <is>
          <t>Schulungsplan</t>
        </is>
      </c>
      <c r="S139" s="12" t="inlineStr">
        <is>
          <t>gegen das Abhören von Gesprächen</t>
        </is>
      </c>
      <c r="T139" s="12" t="inlineStr">
        <is>
          <t>G 0.18 – Fehlplanung oder fehlende Anpassung</t>
        </is>
      </c>
      <c r="U139" s="11" t="n">
        <v>2</v>
      </c>
      <c r="V139" s="11" t="n">
        <v>2</v>
      </c>
      <c r="W139" s="11" t="n">
        <v>1</v>
      </c>
      <c r="X139" s="11" t="n">
        <v>1</v>
      </c>
      <c r="Y139" s="11" t="n">
        <v>0</v>
      </c>
    </row>
    <row r="140">
      <c r="A140" s="11" t="inlineStr">
        <is>
          <t>SENS.9.2</t>
        </is>
      </c>
      <c r="B140" s="12" t="inlineStr">
        <is>
          <t>Vorsicht vor Mithören</t>
        </is>
      </c>
      <c r="C140" s="11" t="inlineStr">
        <is>
          <t>SENS.9.2</t>
        </is>
      </c>
      <c r="D140" s="11" t="inlineStr">
        <is>
          <t>Standard-Anforderungen</t>
        </is>
      </c>
      <c r="E140" s="12" t="inlineStr">
        <is>
          <t>Sensibilisierung für Nutzende SOLLTE gegen das Abhören von Gesprächen beim mobilen Arbeiten sensibilisieren.</t>
        </is>
      </c>
      <c r="F140" s="14" t="n"/>
      <c r="G140" s="14" t="n"/>
      <c r="H140" s="14" t="inlineStr">
        <is>
          <t>unbearbeitet</t>
        </is>
      </c>
      <c r="I140" s="14" t="n"/>
      <c r="J140" s="14" t="n"/>
      <c r="K140" s="14" t="n"/>
      <c r="L140" s="15" t="n"/>
      <c r="M140" s="11" t="inlineStr">
        <is>
          <t>Vertraulichkeit</t>
        </is>
      </c>
      <c r="N140" s="12" t="inlineStr"/>
      <c r="O140" s="11" t="inlineStr"/>
      <c r="P140" s="12" t="inlineStr">
        <is>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is>
      </c>
      <c r="Q140" s="11" t="inlineStr">
        <is>
          <t>Nutzende</t>
        </is>
      </c>
      <c r="R140" s="11" t="inlineStr">
        <is>
          <t>Schulungsplan</t>
        </is>
      </c>
      <c r="S140" s="12" t="inlineStr">
        <is>
          <t>gegen das Abhören von Gesprächen</t>
        </is>
      </c>
      <c r="T140" s="12" t="inlineStr">
        <is>
          <t>G 0.18 – Fehlplanung oder fehlende Anpassung</t>
        </is>
      </c>
      <c r="U140" s="11" t="n">
        <v>2</v>
      </c>
      <c r="V140" s="11" t="n">
        <v>2</v>
      </c>
      <c r="W140" s="11" t="n">
        <v>1</v>
      </c>
      <c r="X140" s="11" t="n">
        <v>1</v>
      </c>
      <c r="Y140" s="11" t="n">
        <v>0</v>
      </c>
    </row>
    <row r="141">
      <c r="A141" s="9" t="inlineStr">
        <is>
          <t>SENS.9.3</t>
        </is>
      </c>
      <c r="B141" s="10" t="inlineStr">
        <is>
          <t>Verwahrung außer Haus</t>
        </is>
      </c>
      <c r="C141" s="11" t="n"/>
      <c r="D141" s="11" t="inlineStr">
        <is>
          <t>Standard-Anforderungen</t>
        </is>
      </c>
      <c r="E141" s="12" t="inlineStr">
        <is>
          <t>Gesamt:</t>
        </is>
      </c>
      <c r="F141" s="11" t="n"/>
      <c r="G141" s="11" t="n"/>
      <c r="H141" s="13">
        <f>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
      </c>
      <c r="I141" s="11" t="n"/>
      <c r="J141" s="11" t="n"/>
      <c r="K141" s="11" t="n"/>
      <c r="L141" s="11" t="n"/>
      <c r="M141" s="11" t="inlineStr"/>
      <c r="N141" s="12" t="inlineStr">
        <is>
          <t>INF.8.A1-UA.1</t>
        </is>
      </c>
      <c r="O141" s="11" t="inlineStr">
        <is>
          <t>intersects-with</t>
        </is>
      </c>
      <c r="P141" s="12" t="inlineStr">
        <is>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is>
      </c>
      <c r="Q141" s="11" t="inlineStr">
        <is>
          <t>Nutzende</t>
        </is>
      </c>
      <c r="R141" s="11" t="inlineStr">
        <is>
          <t>Arbeitsanweisung</t>
        </is>
      </c>
      <c r="S141" s="12" t="inlineStr">
        <is>
          <t>zur Verwahrung von IT-Systemen und Datenträgern</t>
        </is>
      </c>
      <c r="T141" s="12" t="inlineStr">
        <is>
          <t>G 0.18 – Fehlplanung oder fehlende Anpassung</t>
        </is>
      </c>
      <c r="U141" s="11" t="n">
        <v>3</v>
      </c>
      <c r="V141" s="11" t="n">
        <v>1</v>
      </c>
      <c r="W141" s="11" t="n">
        <v>1</v>
      </c>
      <c r="X141" s="11" t="n">
        <v>1</v>
      </c>
      <c r="Y141" s="11" t="n">
        <v>0</v>
      </c>
    </row>
    <row r="142">
      <c r="A142" s="11" t="inlineStr">
        <is>
          <t>SENS.9.3</t>
        </is>
      </c>
      <c r="B142" s="12" t="inlineStr">
        <is>
          <t>Verwahrung außer Haus</t>
        </is>
      </c>
      <c r="C142" s="11" t="inlineStr">
        <is>
          <t>SENS.9.3</t>
        </is>
      </c>
      <c r="D142" s="11" t="inlineStr">
        <is>
          <t>Standard-Anforderungen</t>
        </is>
      </c>
      <c r="E142" s="12" t="inlineStr">
        <is>
          <t>Sensibilisierung für Nutzende SOLLTE zur Verwahrung von IT-Systemen und Datenträgern beim mobilen Arbeiten anweisen.</t>
        </is>
      </c>
      <c r="F142" s="14" t="n"/>
      <c r="G142" s="14" t="n"/>
      <c r="H142" s="14" t="inlineStr">
        <is>
          <t>unbearbeitet</t>
        </is>
      </c>
      <c r="I142" s="14" t="n"/>
      <c r="J142" s="14" t="n"/>
      <c r="K142" s="14" t="n"/>
      <c r="L142" s="15" t="n"/>
      <c r="M142" s="11" t="inlineStr"/>
      <c r="N142" s="12" t="inlineStr">
        <is>
          <t>INF.8.A1-UA.1</t>
        </is>
      </c>
      <c r="O142" s="11" t="inlineStr">
        <is>
          <t>intersects-with</t>
        </is>
      </c>
      <c r="P142" s="12" t="inlineStr">
        <is>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is>
      </c>
      <c r="Q142" s="11" t="inlineStr">
        <is>
          <t>Nutzende</t>
        </is>
      </c>
      <c r="R142" s="11" t="inlineStr">
        <is>
          <t>Arbeitsanweisung</t>
        </is>
      </c>
      <c r="S142" s="12" t="inlineStr">
        <is>
          <t>zur Verwahrung von IT-Systemen und Datenträgern</t>
        </is>
      </c>
      <c r="T142" s="12" t="inlineStr">
        <is>
          <t>G 0.18 – Fehlplanung oder fehlende Anpassung</t>
        </is>
      </c>
      <c r="U142" s="11" t="n">
        <v>3</v>
      </c>
      <c r="V142" s="11" t="n">
        <v>1</v>
      </c>
      <c r="W142" s="11" t="n">
        <v>1</v>
      </c>
      <c r="X142" s="11" t="n">
        <v>1</v>
      </c>
      <c r="Y142" s="11" t="n">
        <v>0</v>
      </c>
    </row>
    <row r="143">
      <c r="A143" s="9" t="inlineStr">
        <is>
          <t>SENS.9.4</t>
        </is>
      </c>
      <c r="B143" s="10" t="inlineStr">
        <is>
          <t>Mobile Arbeit mit Dokumenten</t>
        </is>
      </c>
      <c r="C143" s="11" t="n"/>
      <c r="D143" s="11" t="inlineStr">
        <is>
          <t>Standard-Anforderungen</t>
        </is>
      </c>
      <c r="E143" s="12" t="inlineStr">
        <is>
          <t>Gesamt:</t>
        </is>
      </c>
      <c r="F143" s="11" t="n"/>
      <c r="G143" s="11" t="n"/>
      <c r="H143" s="13">
        <f>IF(OR(COUNTBLANK($H$144:$H$144)&gt;0,COUNTIF($H$144:$H$144,"unbearbeitet")=COUNTA($H$144:$H$144)),"Bitte Teilanforderungen ausfüllen",IF(COUNTIF($H$144:$H$144,"zu klären")&gt;0,"zu klären",IF(COUNTIF($H$144:$H$144,"entbehrlich")=COUNTA($H$144:$H$144),"entbehrlich",IF(COUNTIF($H$144:$H$144,"verwiesen")=COUNTA($H$144:$H$144),"verwiesen",IF(COUNTIF($H$144:$H$144,"nein")+COUNTIF($H$144:$H$144,"entbehrlich")=COUNTA($H$144:$H$144),"nein",IF(COUNTIF($H$144:$H$144,"ja")+COUNTIF($H$144:$H$144,"entbehrlich")+COUNTIF($H$144:$H$144,"verwiesen")=COUNTA($H$144:$H$144),"ja","teilweise"))))))</f>
        <v/>
      </c>
      <c r="I143" s="11" t="n"/>
      <c r="J143" s="11" t="n"/>
      <c r="K143" s="11" t="n"/>
      <c r="L143" s="11" t="n"/>
      <c r="M143" s="11" t="inlineStr">
        <is>
          <t>Vertraulichkeit</t>
        </is>
      </c>
      <c r="N143" s="12" t="inlineStr"/>
      <c r="O143" s="11" t="inlineStr"/>
      <c r="P143" s="12" t="inlineStr">
        <is>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is>
      </c>
      <c r="Q143" s="11" t="inlineStr">
        <is>
          <t>Nutzende</t>
        </is>
      </c>
      <c r="R143" s="11" t="inlineStr">
        <is>
          <t>Schulungsplan</t>
        </is>
      </c>
      <c r="S143" s="12" t="inlineStr">
        <is>
          <t>über den sicheren Umgang mit analogen Dokumenten</t>
        </is>
      </c>
      <c r="T143" s="12" t="inlineStr">
        <is>
          <t>G 0.18 – Fehlplanung oder fehlende Anpassung</t>
        </is>
      </c>
      <c r="U143" s="11" t="n">
        <v>2</v>
      </c>
      <c r="V143" s="11" t="n">
        <v>2</v>
      </c>
      <c r="W143" s="11" t="n">
        <v>1</v>
      </c>
      <c r="X143" s="11" t="n">
        <v>1</v>
      </c>
      <c r="Y143" s="11" t="n">
        <v>0</v>
      </c>
    </row>
    <row r="144">
      <c r="A144" s="11" t="inlineStr">
        <is>
          <t>SENS.9.4</t>
        </is>
      </c>
      <c r="B144" s="12" t="inlineStr">
        <is>
          <t>Mobile Arbeit mit Dokumenten</t>
        </is>
      </c>
      <c r="C144" s="11" t="inlineStr">
        <is>
          <t>SENS.9.4</t>
        </is>
      </c>
      <c r="D144" s="11" t="inlineStr">
        <is>
          <t>Standard-Anforderungen</t>
        </is>
      </c>
      <c r="E144" s="12" t="inlineStr">
        <is>
          <t>Sensibilisierung für Nutzende SOLLTE über den sicheren Umgang mit analogen Dokumenten beim mobilen Arbeiten sensibilisieren.</t>
        </is>
      </c>
      <c r="F144" s="14" t="n"/>
      <c r="G144" s="14" t="n"/>
      <c r="H144" s="14" t="inlineStr">
        <is>
          <t>unbearbeitet</t>
        </is>
      </c>
      <c r="I144" s="14" t="n"/>
      <c r="J144" s="14" t="n"/>
      <c r="K144" s="14" t="n"/>
      <c r="L144" s="15" t="n"/>
      <c r="M144" s="11" t="inlineStr">
        <is>
          <t>Vertraulichkeit</t>
        </is>
      </c>
      <c r="N144" s="12" t="inlineStr"/>
      <c r="O144" s="11" t="inlineStr"/>
      <c r="P144" s="12" t="inlineStr">
        <is>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is>
      </c>
      <c r="Q144" s="11" t="inlineStr">
        <is>
          <t>Nutzende</t>
        </is>
      </c>
      <c r="R144" s="11" t="inlineStr">
        <is>
          <t>Schulungsplan</t>
        </is>
      </c>
      <c r="S144" s="12" t="inlineStr">
        <is>
          <t>über den sicheren Umgang mit analogen Dokumenten</t>
        </is>
      </c>
      <c r="T144" s="12" t="inlineStr">
        <is>
          <t>G 0.18 – Fehlplanung oder fehlende Anpassung</t>
        </is>
      </c>
      <c r="U144" s="11" t="n">
        <v>2</v>
      </c>
      <c r="V144" s="11" t="n">
        <v>2</v>
      </c>
      <c r="W144" s="11" t="n">
        <v>1</v>
      </c>
      <c r="X144" s="11" t="n">
        <v>1</v>
      </c>
      <c r="Y144" s="11" t="n">
        <v>0</v>
      </c>
    </row>
    <row r="145">
      <c r="A145" s="9" t="inlineStr">
        <is>
          <t>SENS.9.5</t>
        </is>
      </c>
      <c r="B145" s="10" t="inlineStr">
        <is>
          <t>Mitnahme zur mobilen Arbeit</t>
        </is>
      </c>
      <c r="C145" s="11" t="n"/>
      <c r="D145" s="11" t="inlineStr">
        <is>
          <t>Standard-Anforderungen</t>
        </is>
      </c>
      <c r="E145" s="12" t="inlineStr">
        <is>
          <t>Gesamt:</t>
        </is>
      </c>
      <c r="F145" s="11" t="n"/>
      <c r="G145" s="11" t="n"/>
      <c r="H145" s="13">
        <f>IF(OR(COUNTBLANK($H$146:$H$146)&gt;0,COUNTIF($H$146:$H$146,"unbearbeitet")=COUNTA($H$146:$H$146)),"Bitte Teilanforderungen ausfüllen",IF(COUNTIF($H$146:$H$146,"zu klären")&gt;0,"zu klären",IF(COUNTIF($H$146:$H$146,"entbehrlich")=COUNTA($H$146:$H$146),"entbehrlich",IF(COUNTIF($H$146:$H$146,"verwiesen")=COUNTA($H$146:$H$146),"verwiesen",IF(COUNTIF($H$146:$H$146,"nein")+COUNTIF($H$146:$H$146,"entbehrlich")=COUNTA($H$146:$H$146),"nein",IF(COUNTIF($H$146:$H$146,"ja")+COUNTIF($H$146:$H$146,"entbehrlich")+COUNTIF($H$146:$H$146,"verwiesen")=COUNTA($H$146:$H$146),"ja","teilweise"))))))</f>
        <v/>
      </c>
      <c r="I145" s="11" t="n"/>
      <c r="J145" s="11" t="n"/>
      <c r="K145" s="11" t="n"/>
      <c r="L145" s="11" t="n"/>
      <c r="M145" s="11" t="inlineStr"/>
      <c r="N145" s="12" t="inlineStr"/>
      <c r="O145" s="11" t="inlineStr"/>
      <c r="P145" s="12" t="inlineStr">
        <is>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is>
      </c>
      <c r="Q145" s="11" t="inlineStr">
        <is>
          <t>Nutzende</t>
        </is>
      </c>
      <c r="R145" s="11" t="inlineStr">
        <is>
          <t>Schulungsplan</t>
        </is>
      </c>
      <c r="S145" s="12" t="inlineStr">
        <is>
          <t>gegen die Mitnahme nicht erforderlicher IT-Systeme und Datenträger</t>
        </is>
      </c>
      <c r="T145" s="12" t="inlineStr">
        <is>
          <t>G 0.18 – Fehlplanung oder fehlende Anpassung</t>
        </is>
      </c>
      <c r="U145" s="11" t="n">
        <v>4</v>
      </c>
      <c r="V145" s="11" t="n">
        <v>1</v>
      </c>
      <c r="W145" s="11" t="n">
        <v>1</v>
      </c>
      <c r="X145" s="11" t="n">
        <v>1</v>
      </c>
      <c r="Y145" s="11" t="n">
        <v>0</v>
      </c>
    </row>
    <row r="146">
      <c r="A146" s="11" t="inlineStr">
        <is>
          <t>SENS.9.5</t>
        </is>
      </c>
      <c r="B146" s="12" t="inlineStr">
        <is>
          <t>Mitnahme zur mobilen Arbeit</t>
        </is>
      </c>
      <c r="C146" s="11" t="inlineStr">
        <is>
          <t>SENS.9.5</t>
        </is>
      </c>
      <c r="D146" s="11" t="inlineStr">
        <is>
          <t>Standard-Anforderungen</t>
        </is>
      </c>
      <c r="E146" s="12" t="inlineStr">
        <is>
          <t>Sensibilisierung für Nutzende SOLLTE gegen die Mitnahme nicht erforderlicher IT-Systeme und Datenträger sensibilisieren.</t>
        </is>
      </c>
      <c r="F146" s="14" t="n"/>
      <c r="G146" s="14" t="n"/>
      <c r="H146" s="14" t="inlineStr">
        <is>
          <t>unbearbeitet</t>
        </is>
      </c>
      <c r="I146" s="14" t="n"/>
      <c r="J146" s="14" t="n"/>
      <c r="K146" s="14" t="n"/>
      <c r="L146" s="15" t="n"/>
      <c r="M146" s="11" t="inlineStr"/>
      <c r="N146" s="12" t="inlineStr"/>
      <c r="O146" s="11" t="inlineStr"/>
      <c r="P146" s="12" t="inlineStr">
        <is>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is>
      </c>
      <c r="Q146" s="11" t="inlineStr">
        <is>
          <t>Nutzende</t>
        </is>
      </c>
      <c r="R146" s="11" t="inlineStr">
        <is>
          <t>Schulungsplan</t>
        </is>
      </c>
      <c r="S146" s="12" t="inlineStr">
        <is>
          <t>gegen die Mitnahme nicht erforderlicher IT-Systeme und Datenträger</t>
        </is>
      </c>
      <c r="T146" s="12" t="inlineStr">
        <is>
          <t>G 0.18 – Fehlplanung oder fehlende Anpassung</t>
        </is>
      </c>
      <c r="U146" s="11" t="n">
        <v>4</v>
      </c>
      <c r="V146" s="11" t="n">
        <v>1</v>
      </c>
      <c r="W146" s="11" t="n">
        <v>1</v>
      </c>
      <c r="X146" s="11" t="n">
        <v>1</v>
      </c>
      <c r="Y146" s="11" t="n">
        <v>0</v>
      </c>
    </row>
    <row r="147">
      <c r="A147" s="9" t="inlineStr">
        <is>
          <t>SENS.9.6</t>
        </is>
      </c>
      <c r="B147" s="10" t="inlineStr">
        <is>
          <t>Mitnahme ins Ausland</t>
        </is>
      </c>
      <c r="C147" s="11" t="n"/>
      <c r="D147" s="11" t="inlineStr">
        <is>
          <t>Anforderungen bei erhöhtem Schutzbedarf</t>
        </is>
      </c>
      <c r="E147" s="12" t="inlineStr">
        <is>
          <t>Gesamt:</t>
        </is>
      </c>
      <c r="F147" s="11" t="n"/>
      <c r="G147" s="11" t="n"/>
      <c r="H147" s="13">
        <f>IF(OR(COUNTBLANK($H$148:$H$148)&gt;0,COUNTIF($H$148:$H$148,"unbearbeitet")=COUNTA($H$148:$H$148)),"Bitte Teilanforderungen ausfüllen",IF(COUNTIF($H$148:$H$148,"zu klären")&gt;0,"zu klären",IF(COUNTIF($H$148:$H$148,"entbehrlich")=COUNTA($H$148:$H$148),"entbehrlich",IF(COUNTIF($H$148:$H$148,"verwiesen")=COUNTA($H$148:$H$148),"verwiesen",IF(COUNTIF($H$148:$H$148,"nein")+COUNTIF($H$148:$H$148,"entbehrlich")=COUNTA($H$148:$H$148),"nein",IF(COUNTIF($H$148:$H$148,"ja")+COUNTIF($H$148:$H$148,"entbehrlich")+COUNTIF($H$148:$H$148,"verwiesen")=COUNTA($H$148:$H$148),"ja","teilweise"))))))</f>
        <v/>
      </c>
      <c r="I147" s="11" t="n"/>
      <c r="J147" s="11" t="n"/>
      <c r="K147" s="11" t="n"/>
      <c r="L147" s="11" t="n"/>
      <c r="M147" s="11" t="inlineStr"/>
      <c r="N147" s="12" t="inlineStr"/>
      <c r="O147" s="11" t="inlineStr"/>
      <c r="P147" s="12" t="inlineStr">
        <is>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is>
      </c>
      <c r="Q147" s="11" t="inlineStr">
        <is>
          <t>Nutzende</t>
        </is>
      </c>
      <c r="R147" s="11" t="inlineStr">
        <is>
          <t>Arbeitsanweisung</t>
        </is>
      </c>
      <c r="S147" s="12" t="inlineStr">
        <is>
          <t>die Mitnahme nicht erforderlicher IT-Systeme und Datenträger</t>
        </is>
      </c>
      <c r="T147" s="12" t="inlineStr">
        <is>
          <t>G 0.18 – Fehlplanung oder fehlende Anpassung</t>
        </is>
      </c>
      <c r="U147" s="11" t="n">
        <v>3</v>
      </c>
      <c r="V147" s="11" t="n">
        <v>1</v>
      </c>
      <c r="W147" s="11" t="n">
        <v>1</v>
      </c>
      <c r="X147" s="11" t="n">
        <v>1</v>
      </c>
      <c r="Y147" s="11" t="n">
        <v>0</v>
      </c>
    </row>
    <row r="148">
      <c r="A148" s="11" t="inlineStr">
        <is>
          <t>SENS.9.6</t>
        </is>
      </c>
      <c r="B148" s="12" t="inlineStr">
        <is>
          <t>Mitnahme ins Ausland</t>
        </is>
      </c>
      <c r="C148" s="11" t="inlineStr">
        <is>
          <t>SENS.9.6</t>
        </is>
      </c>
      <c r="D148" s="11" t="inlineStr">
        <is>
          <t>Anforderungen bei erhöhtem Schutzbedarf</t>
        </is>
      </c>
      <c r="E148" s="12" t="inlineStr">
        <is>
          <t>Sensibilisierung für Nutzende KANN die Mitnahme nicht erforderlicher IT-Systeme und Datenträger bei Auslandsreisen untersagen.</t>
        </is>
      </c>
      <c r="F148" s="14" t="n"/>
      <c r="G148" s="14" t="n"/>
      <c r="H148" s="14" t="inlineStr">
        <is>
          <t>unbearbeitet</t>
        </is>
      </c>
      <c r="I148" s="14" t="n"/>
      <c r="J148" s="14" t="n"/>
      <c r="K148" s="14" t="n"/>
      <c r="L148" s="15" t="n"/>
      <c r="M148" s="11" t="inlineStr"/>
      <c r="N148" s="12" t="inlineStr"/>
      <c r="O148" s="11" t="inlineStr"/>
      <c r="P148" s="12" t="inlineStr">
        <is>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is>
      </c>
      <c r="Q148" s="11" t="inlineStr">
        <is>
          <t>Nutzende</t>
        </is>
      </c>
      <c r="R148" s="11" t="inlineStr">
        <is>
          <t>Arbeitsanweisung</t>
        </is>
      </c>
      <c r="S148" s="12" t="inlineStr">
        <is>
          <t>die Mitnahme nicht erforderlicher IT-Systeme und Datenträger</t>
        </is>
      </c>
      <c r="T148" s="12" t="inlineStr">
        <is>
          <t>G 0.18 – Fehlplanung oder fehlende Anpassung</t>
        </is>
      </c>
      <c r="U148" s="11" t="n">
        <v>3</v>
      </c>
      <c r="V148" s="11" t="n">
        <v>1</v>
      </c>
      <c r="W148" s="11" t="n">
        <v>1</v>
      </c>
      <c r="X148" s="11" t="n">
        <v>1</v>
      </c>
      <c r="Y148" s="11" t="n">
        <v>0</v>
      </c>
    </row>
    <row r="149">
      <c r="A149" s="9" t="inlineStr">
        <is>
          <t>SENS.9.7</t>
        </is>
      </c>
      <c r="B149" s="10" t="inlineStr">
        <is>
          <t>Reise- und Sicherheitshinweise</t>
        </is>
      </c>
      <c r="C149" s="11" t="n"/>
      <c r="D149" s="11" t="inlineStr">
        <is>
          <t>Standard-Anforderungen</t>
        </is>
      </c>
      <c r="E149" s="12" t="inlineStr">
        <is>
          <t>Gesamt:</t>
        </is>
      </c>
      <c r="F149" s="11" t="n"/>
      <c r="G149" s="11" t="n"/>
      <c r="H149" s="13">
        <f>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
      </c>
      <c r="I149" s="11" t="n"/>
      <c r="J149" s="11" t="n"/>
      <c r="K149" s="11" t="n"/>
      <c r="L149" s="11" t="n"/>
      <c r="M149" s="11" t="inlineStr"/>
      <c r="N149" s="12" t="inlineStr"/>
      <c r="O149" s="11" t="inlineStr"/>
      <c r="P149" s="12" t="inlineStr">
        <is>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is>
      </c>
      <c r="Q149" s="11" t="inlineStr">
        <is>
          <t>Nutzende</t>
        </is>
      </c>
      <c r="R149" s="11" t="inlineStr">
        <is>
          <t>Schulungsplan</t>
        </is>
      </c>
      <c r="S149" s="12" t="inlineStr">
        <is>
          <t>zu Reise- und Sicherheitshinweisen des Auswärtigen Amtes</t>
        </is>
      </c>
      <c r="T149" s="12" t="inlineStr">
        <is>
          <t>G 0.18 – Fehlplanung oder fehlende Anpassung</t>
        </is>
      </c>
      <c r="U149" s="11" t="n">
        <v>4</v>
      </c>
      <c r="V149" s="11" t="n">
        <v>1</v>
      </c>
      <c r="W149" s="11" t="n">
        <v>1</v>
      </c>
      <c r="X149" s="11" t="n">
        <v>1</v>
      </c>
      <c r="Y149" s="11" t="n">
        <v>0</v>
      </c>
    </row>
    <row r="150">
      <c r="A150" s="11" t="inlineStr">
        <is>
          <t>SENS.9.7</t>
        </is>
      </c>
      <c r="B150" s="12" t="inlineStr">
        <is>
          <t>Reise- und Sicherheitshinweise</t>
        </is>
      </c>
      <c r="C150" s="11" t="inlineStr">
        <is>
          <t>SENS.9.7</t>
        </is>
      </c>
      <c r="D150" s="11" t="inlineStr">
        <is>
          <t>Standard-Anforderungen</t>
        </is>
      </c>
      <c r="E150" s="12" t="inlineStr">
        <is>
          <t>Sensibilisierung für Nutzende SOLLTE zu Reise- und Sicherheitshinweisen des Auswärtigen Amtes bei Auslandsreisen ins außereuropäische Ausland sensibilisieren.</t>
        </is>
      </c>
      <c r="F150" s="14" t="n"/>
      <c r="G150" s="14" t="n"/>
      <c r="H150" s="14" t="inlineStr">
        <is>
          <t>unbearbeitet</t>
        </is>
      </c>
      <c r="I150" s="14" t="n"/>
      <c r="J150" s="14" t="n"/>
      <c r="K150" s="14" t="n"/>
      <c r="L150" s="15" t="n"/>
      <c r="M150" s="11" t="inlineStr"/>
      <c r="N150" s="12" t="inlineStr"/>
      <c r="O150" s="11" t="inlineStr"/>
      <c r="P150" s="12" t="inlineStr">
        <is>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is>
      </c>
      <c r="Q150" s="11" t="inlineStr">
        <is>
          <t>Nutzende</t>
        </is>
      </c>
      <c r="R150" s="11" t="inlineStr">
        <is>
          <t>Schulungsplan</t>
        </is>
      </c>
      <c r="S150" s="12" t="inlineStr">
        <is>
          <t>zu Reise- und Sicherheitshinweisen des Auswärtigen Amtes</t>
        </is>
      </c>
      <c r="T150" s="12" t="inlineStr">
        <is>
          <t>G 0.18 – Fehlplanung oder fehlende Anpassung</t>
        </is>
      </c>
      <c r="U150" s="11" t="n">
        <v>4</v>
      </c>
      <c r="V150" s="11" t="n">
        <v>1</v>
      </c>
      <c r="W150" s="11" t="n">
        <v>1</v>
      </c>
      <c r="X150" s="11" t="n">
        <v>1</v>
      </c>
      <c r="Y150" s="11" t="n">
        <v>0</v>
      </c>
    </row>
    <row r="151">
      <c r="A151" s="9" t="inlineStr">
        <is>
          <t>SENS.10.1</t>
        </is>
      </c>
      <c r="B151" s="10" t="inlineStr">
        <is>
          <t>Grundprinzipien der Systemadministration</t>
        </is>
      </c>
      <c r="C151" s="11" t="n"/>
      <c r="D151" s="11" t="inlineStr">
        <is>
          <t>Standard-Anforderungen</t>
        </is>
      </c>
      <c r="E151" s="12" t="inlineStr">
        <is>
          <t>Gesamt:</t>
        </is>
      </c>
      <c r="F151" s="11" t="n"/>
      <c r="G151" s="11" t="n"/>
      <c r="H151" s="13">
        <f>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
      </c>
      <c r="I151" s="11" t="n"/>
      <c r="J151" s="11" t="n"/>
      <c r="K151" s="11" t="n"/>
      <c r="L151" s="11" t="n"/>
      <c r="M151" s="11" t="inlineStr"/>
      <c r="N151" s="12" t="inlineStr"/>
      <c r="O151" s="11" t="inlineStr"/>
      <c r="P151" s="12" t="inlineStr">
        <is>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is>
      </c>
      <c r="Q151" s="11" t="inlineStr">
        <is>
          <t>Administrierende</t>
        </is>
      </c>
      <c r="R151" s="11" t="inlineStr">
        <is>
          <t>Schulungsplan</t>
        </is>
      </c>
      <c r="S151" s="12" t="inlineStr">
        <is>
          <t>zu den Grundprinzipien der sicheren Administration</t>
        </is>
      </c>
      <c r="T151" s="12" t="inlineStr">
        <is>
          <t>G 0.31 – Fehlerhafte Nutzung oder Administration von Geräten und Systemen; G 0.30 – Unberechtigte Nutzung oder Administration von Geräten und Systemen; G 0.32 – Missbrauch von Berechtigungen</t>
        </is>
      </c>
      <c r="U151" s="11" t="n">
        <v>2</v>
      </c>
      <c r="V151" s="11" t="n">
        <v>1</v>
      </c>
      <c r="W151" s="11" t="n">
        <v>1</v>
      </c>
      <c r="X151" s="11" t="n">
        <v>1</v>
      </c>
      <c r="Y151" s="11" t="n">
        <v>1</v>
      </c>
    </row>
    <row r="152">
      <c r="A152" s="11" t="inlineStr">
        <is>
          <t>SENS.10.1</t>
        </is>
      </c>
      <c r="B152" s="12" t="inlineStr">
        <is>
          <t>Grundprinzipien der Systemadministration</t>
        </is>
      </c>
      <c r="C152" s="11" t="inlineStr">
        <is>
          <t>SENS.10.1</t>
        </is>
      </c>
      <c r="D152" s="11" t="inlineStr">
        <is>
          <t>Standard-Anforderungen</t>
        </is>
      </c>
      <c r="E152" s="12" t="inlineStr">
        <is>
          <t>Sensibilisierung für Administrierende SOLLTE zu den Grundprinzipien der sicheren Administration sensibilisieren.</t>
        </is>
      </c>
      <c r="F152" s="14" t="n"/>
      <c r="G152" s="14" t="n"/>
      <c r="H152" s="14" t="inlineStr">
        <is>
          <t>unbearbeitet</t>
        </is>
      </c>
      <c r="I152" s="14" t="n"/>
      <c r="J152" s="14" t="n"/>
      <c r="K152" s="14" t="n"/>
      <c r="L152" s="15" t="n"/>
      <c r="M152" s="11" t="inlineStr"/>
      <c r="N152" s="12" t="inlineStr"/>
      <c r="O152" s="11" t="inlineStr"/>
      <c r="P152" s="12" t="inlineStr">
        <is>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is>
      </c>
      <c r="Q152" s="11" t="inlineStr">
        <is>
          <t>Administrierende</t>
        </is>
      </c>
      <c r="R152" s="11" t="inlineStr">
        <is>
          <t>Schulungsplan</t>
        </is>
      </c>
      <c r="S152" s="12" t="inlineStr">
        <is>
          <t>zu den Grundprinzipien der sicheren Administration</t>
        </is>
      </c>
      <c r="T152" s="12" t="inlineStr">
        <is>
          <t>G 0.31 – Fehlerhafte Nutzung oder Administration von Geräten und Systemen; G 0.30 – Unberechtigte Nutzung oder Administration von Geräten und Systemen; G 0.32 – Missbrauch von Berechtigungen</t>
        </is>
      </c>
      <c r="U152" s="11" t="n">
        <v>2</v>
      </c>
      <c r="V152" s="11" t="n">
        <v>1</v>
      </c>
      <c r="W152" s="11" t="n">
        <v>1</v>
      </c>
      <c r="X152" s="11" t="n">
        <v>1</v>
      </c>
      <c r="Y152" s="11" t="n">
        <v>1</v>
      </c>
    </row>
    <row r="153">
      <c r="A153" s="9" t="inlineStr">
        <is>
          <t>SENS.10.2</t>
        </is>
      </c>
      <c r="B153" s="10" t="inlineStr">
        <is>
          <t>Umgang mit privilegierten Berechtigungen</t>
        </is>
      </c>
      <c r="C153" s="11" t="n"/>
      <c r="D153" s="11" t="inlineStr">
        <is>
          <t>Standard-Anforderungen</t>
        </is>
      </c>
      <c r="E153" s="12" t="inlineStr">
        <is>
          <t>Gesamt:</t>
        </is>
      </c>
      <c r="F153" s="11" t="n"/>
      <c r="G153" s="11" t="n"/>
      <c r="H153" s="13">
        <f>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
      </c>
      <c r="I153" s="11" t="n"/>
      <c r="J153" s="11" t="n"/>
      <c r="K153" s="11" t="n"/>
      <c r="L153" s="11" t="n"/>
      <c r="M153" s="11" t="inlineStr"/>
      <c r="N153" s="12" t="inlineStr"/>
      <c r="O153" s="11" t="inlineStr"/>
      <c r="P153" s="12" t="inlineStr">
        <is>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is>
      </c>
      <c r="Q153" s="11" t="inlineStr">
        <is>
          <t>Administrierende</t>
        </is>
      </c>
      <c r="R153" s="11" t="inlineStr">
        <is>
          <t>Schulungsplan</t>
        </is>
      </c>
      <c r="S153" s="12" t="inlineStr">
        <is>
          <t>zum Umgang mit privilegierten Berechtigungen</t>
        </is>
      </c>
      <c r="T153" s="12" t="inlineStr">
        <is>
          <t>G 0.31 – Fehlerhafte Nutzung oder Administration von Geräten und Systemen; G 0.30 – Unberechtigte Nutzung oder Administration von Geräten und Systemen; G 0.32 – Missbrauch von Berechtigungen; G 0.42 – Social Engineering</t>
        </is>
      </c>
      <c r="U153" s="11" t="n">
        <v>2</v>
      </c>
      <c r="V153" s="11" t="n">
        <v>1</v>
      </c>
      <c r="W153" s="11" t="n">
        <v>1</v>
      </c>
      <c r="X153" s="11" t="n">
        <v>1</v>
      </c>
      <c r="Y153" s="11" t="n">
        <v>1</v>
      </c>
    </row>
    <row r="154">
      <c r="A154" s="11" t="inlineStr">
        <is>
          <t>SENS.10.2</t>
        </is>
      </c>
      <c r="B154" s="12" t="inlineStr">
        <is>
          <t>Umgang mit privilegierten Berechtigungen</t>
        </is>
      </c>
      <c r="C154" s="11" t="inlineStr">
        <is>
          <t>SENS.10.2</t>
        </is>
      </c>
      <c r="D154" s="11" t="inlineStr">
        <is>
          <t>Standard-Anforderungen</t>
        </is>
      </c>
      <c r="E154" s="12" t="inlineStr">
        <is>
          <t>Sensibilisierung für Administrierende SOLLTE zum Umgang mit privilegierten Berechtigungen sensibilisieren.</t>
        </is>
      </c>
      <c r="F154" s="14" t="n"/>
      <c r="G154" s="14" t="n"/>
      <c r="H154" s="14" t="inlineStr">
        <is>
          <t>unbearbeitet</t>
        </is>
      </c>
      <c r="I154" s="14" t="n"/>
      <c r="J154" s="14" t="n"/>
      <c r="K154" s="14" t="n"/>
      <c r="L154" s="15" t="n"/>
      <c r="M154" s="11" t="inlineStr"/>
      <c r="N154" s="12" t="inlineStr"/>
      <c r="O154" s="11" t="inlineStr"/>
      <c r="P154" s="12" t="inlineStr">
        <is>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is>
      </c>
      <c r="Q154" s="11" t="inlineStr">
        <is>
          <t>Administrierende</t>
        </is>
      </c>
      <c r="R154" s="11" t="inlineStr">
        <is>
          <t>Schulungsplan</t>
        </is>
      </c>
      <c r="S154" s="12" t="inlineStr">
        <is>
          <t>zum Umgang mit privilegierten Berechtigungen</t>
        </is>
      </c>
      <c r="T154" s="12" t="inlineStr">
        <is>
          <t>G 0.31 – Fehlerhafte Nutzung oder Administration von Geräten und Systemen; G 0.30 – Unberechtigte Nutzung oder Administration von Geräten und Systemen; G 0.32 – Missbrauch von Berechtigungen; G 0.42 – Social Engineering</t>
        </is>
      </c>
      <c r="U154" s="11" t="n">
        <v>2</v>
      </c>
      <c r="V154" s="11" t="n">
        <v>1</v>
      </c>
      <c r="W154" s="11" t="n">
        <v>1</v>
      </c>
      <c r="X154" s="11" t="n">
        <v>1</v>
      </c>
      <c r="Y154" s="11" t="n">
        <v>1</v>
      </c>
    </row>
    <row r="155">
      <c r="A155" s="9" t="inlineStr">
        <is>
          <t>SENS.10.3</t>
        </is>
      </c>
      <c r="B155" s="10" t="inlineStr">
        <is>
          <t>Systemadministration - Sicherheitsvorfälle</t>
        </is>
      </c>
      <c r="C155" s="11" t="n"/>
      <c r="D155" s="11" t="inlineStr">
        <is>
          <t>Standard-Anforderungen</t>
        </is>
      </c>
      <c r="E155" s="12" t="inlineStr">
        <is>
          <t>Gesamt:</t>
        </is>
      </c>
      <c r="F155" s="11" t="n"/>
      <c r="G155" s="11" t="n"/>
      <c r="H155" s="13">
        <f>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
      </c>
      <c r="I155" s="11" t="n"/>
      <c r="J155" s="11" t="n"/>
      <c r="K155" s="11" t="n"/>
      <c r="L155" s="11" t="n"/>
      <c r="M155" s="11" t="inlineStr"/>
      <c r="N155" s="12" t="inlineStr"/>
      <c r="O155" s="11" t="inlineStr"/>
      <c r="P155" s="12" t="inlineStr">
        <is>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is>
      </c>
      <c r="Q155" s="11" t="inlineStr">
        <is>
          <t>Administrierende</t>
        </is>
      </c>
      <c r="R155" s="11" t="inlineStr">
        <is>
          <t>Schulungsplan</t>
        </is>
      </c>
      <c r="S155" s="12" t="inlineStr">
        <is>
          <t>zu Verfahren und Regelungen bei Sicherheitsvorfällen</t>
        </is>
      </c>
      <c r="T155" s="12" t="inlineStr">
        <is>
          <t>G 0.31 – Fehlerhafte Nutzung oder Administration von Geräten und Systemen; G 0.30 – Unberechtigte Nutzung oder Administration von Geräten und Systemen; G 0.32 – Missbrauch von Berechtigungen</t>
        </is>
      </c>
      <c r="U155" s="11" t="n">
        <v>3</v>
      </c>
      <c r="V155" s="11" t="n">
        <v>1</v>
      </c>
      <c r="W155" s="11" t="n">
        <v>1</v>
      </c>
      <c r="X155" s="11" t="n">
        <v>1</v>
      </c>
      <c r="Y155" s="11" t="n">
        <v>1</v>
      </c>
    </row>
    <row r="156">
      <c r="A156" s="11" t="inlineStr">
        <is>
          <t>SENS.10.3</t>
        </is>
      </c>
      <c r="B156" s="12" t="inlineStr">
        <is>
          <t>Systemadministration - Sicherheitsvorfälle</t>
        </is>
      </c>
      <c r="C156" s="11" t="inlineStr">
        <is>
          <t>SENS.10.3</t>
        </is>
      </c>
      <c r="D156" s="11" t="inlineStr">
        <is>
          <t>Standard-Anforderungen</t>
        </is>
      </c>
      <c r="E156" s="12" t="inlineStr">
        <is>
          <t>Sensibilisierung für Administrierende SOLLTE zu Verfahren und Regelungen bei Sicherheitsvorfällen sensibilisieren.</t>
        </is>
      </c>
      <c r="F156" s="14" t="n"/>
      <c r="G156" s="14" t="n"/>
      <c r="H156" s="14" t="inlineStr">
        <is>
          <t>unbearbeitet</t>
        </is>
      </c>
      <c r="I156" s="14" t="n"/>
      <c r="J156" s="14" t="n"/>
      <c r="K156" s="14" t="n"/>
      <c r="L156" s="15" t="n"/>
      <c r="M156" s="11" t="inlineStr"/>
      <c r="N156" s="12" t="inlineStr"/>
      <c r="O156" s="11" t="inlineStr"/>
      <c r="P156" s="12" t="inlineStr">
        <is>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is>
      </c>
      <c r="Q156" s="11" t="inlineStr">
        <is>
          <t>Administrierende</t>
        </is>
      </c>
      <c r="R156" s="11" t="inlineStr">
        <is>
          <t>Schulungsplan</t>
        </is>
      </c>
      <c r="S156" s="12" t="inlineStr">
        <is>
          <t>zu Verfahren und Regelungen bei Sicherheitsvorfällen</t>
        </is>
      </c>
      <c r="T156" s="12" t="inlineStr">
        <is>
          <t>G 0.31 – Fehlerhafte Nutzung oder Administration von Geräten und Systemen; G 0.30 – Unberechtigte Nutzung oder Administration von Geräten und Systemen; G 0.32 – Missbrauch von Berechtigungen</t>
        </is>
      </c>
      <c r="U156" s="11" t="n">
        <v>3</v>
      </c>
      <c r="V156" s="11" t="n">
        <v>1</v>
      </c>
      <c r="W156" s="11" t="n">
        <v>1</v>
      </c>
      <c r="X156" s="11" t="n">
        <v>1</v>
      </c>
      <c r="Y156" s="11" t="n">
        <v>1</v>
      </c>
    </row>
    <row r="157">
      <c r="A157" s="9" t="inlineStr">
        <is>
          <t>SENS.10.4</t>
        </is>
      </c>
      <c r="B157" s="10" t="inlineStr">
        <is>
          <t>Systemadministration - Strukturierte Verkabelung</t>
        </is>
      </c>
      <c r="C157" s="11" t="n"/>
      <c r="D157" s="11" t="inlineStr">
        <is>
          <t>Standard-Anforderungen</t>
        </is>
      </c>
      <c r="E157" s="12" t="inlineStr">
        <is>
          <t>Gesamt:</t>
        </is>
      </c>
      <c r="F157" s="11" t="n"/>
      <c r="G157" s="11" t="n"/>
      <c r="H157" s="13">
        <f>IF(OR(COUNTBLANK($H$158:$H$158)&gt;0,COUNTIF($H$158:$H$158,"unbearbeitet")=COUNTA($H$158:$H$158)),"Bitte Teilanforderungen ausfüllen",IF(COUNTIF($H$158:$H$158,"zu klären")&gt;0,"zu klären",IF(COUNTIF($H$158:$H$158,"entbehrlich")=COUNTA($H$158:$H$158),"entbehrlich",IF(COUNTIF($H$158:$H$158,"verwiesen")=COUNTA($H$158:$H$158),"verwiesen",IF(COUNTIF($H$158:$H$158,"nein")+COUNTIF($H$158:$H$158,"entbehrlich")=COUNTA($H$158:$H$158),"nein",IF(COUNTIF($H$158:$H$158,"ja")+COUNTIF($H$158:$H$158,"entbehrlich")+COUNTIF($H$158:$H$158,"verwiesen")=COUNTA($H$158:$H$158),"ja","teilweise"))))))</f>
        <v/>
      </c>
      <c r="I157" s="11" t="n"/>
      <c r="J157" s="11" t="n"/>
      <c r="K157" s="11" t="n"/>
      <c r="L157" s="11" t="n"/>
      <c r="M157" s="11" t="inlineStr"/>
      <c r="N157" s="12" t="inlineStr"/>
      <c r="O157" s="11" t="inlineStr"/>
      <c r="P157" s="12" t="inlineStr">
        <is>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is>
      </c>
      <c r="Q157" s="11" t="inlineStr">
        <is>
          <t>Administrierende, Netze</t>
        </is>
      </c>
      <c r="R157" s="11" t="inlineStr">
        <is>
          <t>Schulungsplan</t>
        </is>
      </c>
      <c r="S157" s="12" t="inlineStr">
        <is>
          <t>zur strukturierten Verkabelung</t>
        </is>
      </c>
      <c r="T157" s="12" t="inlineStr">
        <is>
          <t>G 0.31 – Fehlerhafte Nutzung oder Administration von Geräten und Systemen; G 0.30 – Unberechtigte Nutzung oder Administration von Geräten und Systemen; G 0.32 – Missbrauch von Berechtigungen</t>
        </is>
      </c>
      <c r="U157" s="11" t="n">
        <v>2</v>
      </c>
      <c r="V157" s="11" t="n">
        <v>1</v>
      </c>
      <c r="W157" s="11" t="n">
        <v>1</v>
      </c>
      <c r="X157" s="11" t="n">
        <v>1</v>
      </c>
      <c r="Y157" s="11" t="n">
        <v>0</v>
      </c>
    </row>
    <row r="158">
      <c r="A158" s="11" t="inlineStr">
        <is>
          <t>SENS.10.4</t>
        </is>
      </c>
      <c r="B158" s="12" t="inlineStr">
        <is>
          <t>Systemadministration - Strukturierte Verkabelung</t>
        </is>
      </c>
      <c r="C158" s="11" t="inlineStr">
        <is>
          <t>SENS.10.4</t>
        </is>
      </c>
      <c r="D158" s="11" t="inlineStr">
        <is>
          <t>Standard-Anforderungen</t>
        </is>
      </c>
      <c r="E158" s="12" t="inlineStr">
        <is>
          <t>Sensibilisierung für Administrierende von Netzen SOLLTE zur strukturierten Verkabelung sensibilisieren.</t>
        </is>
      </c>
      <c r="F158" s="14" t="n"/>
      <c r="G158" s="14" t="n"/>
      <c r="H158" s="14" t="inlineStr">
        <is>
          <t>unbearbeitet</t>
        </is>
      </c>
      <c r="I158" s="14" t="n"/>
      <c r="J158" s="14" t="n"/>
      <c r="K158" s="14" t="n"/>
      <c r="L158" s="15" t="n"/>
      <c r="M158" s="11" t="inlineStr"/>
      <c r="N158" s="12" t="inlineStr"/>
      <c r="O158" s="11" t="inlineStr"/>
      <c r="P158" s="12" t="inlineStr">
        <is>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is>
      </c>
      <c r="Q158" s="11" t="inlineStr">
        <is>
          <t>Administrierende, Netze</t>
        </is>
      </c>
      <c r="R158" s="11" t="inlineStr">
        <is>
          <t>Schulungsplan</t>
        </is>
      </c>
      <c r="S158" s="12" t="inlineStr">
        <is>
          <t>zur strukturierten Verkabelung</t>
        </is>
      </c>
      <c r="T158" s="12" t="inlineStr">
        <is>
          <t>G 0.31 – Fehlerhafte Nutzung oder Administration von Geräten und Systemen; G 0.30 – Unberechtigte Nutzung oder Administration von Geräten und Systemen; G 0.32 – Missbrauch von Berechtigungen</t>
        </is>
      </c>
      <c r="U158" s="11" t="n">
        <v>2</v>
      </c>
      <c r="V158" s="11" t="n">
        <v>1</v>
      </c>
      <c r="W158" s="11" t="n">
        <v>1</v>
      </c>
      <c r="X158" s="11" t="n">
        <v>1</v>
      </c>
      <c r="Y158" s="11" t="n">
        <v>0</v>
      </c>
    </row>
    <row r="159">
      <c r="A159" s="9" t="inlineStr">
        <is>
          <t>SENS.10.5</t>
        </is>
      </c>
      <c r="B159" s="10" t="inlineStr">
        <is>
          <t>Systemadministration - Internetnutzung</t>
        </is>
      </c>
      <c r="C159" s="11" t="n"/>
      <c r="D159" s="11" t="inlineStr">
        <is>
          <t>Standard-Anforderungen</t>
        </is>
      </c>
      <c r="E159" s="12" t="inlineStr">
        <is>
          <t>Gesamt:</t>
        </is>
      </c>
      <c r="F159" s="11" t="n"/>
      <c r="G159" s="11" t="n"/>
      <c r="H159" s="13">
        <f>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
      </c>
      <c r="I159" s="11" t="n"/>
      <c r="J159" s="11" t="n"/>
      <c r="K159" s="11" t="n"/>
      <c r="L159" s="11" t="n"/>
      <c r="M159" s="11" t="inlineStr"/>
      <c r="N159" s="12" t="inlineStr"/>
      <c r="O159" s="11" t="inlineStr"/>
      <c r="P159" s="12" t="inlineStr">
        <is>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is>
      </c>
      <c r="Q159" s="11" t="inlineStr">
        <is>
          <t>Administrierende</t>
        </is>
      </c>
      <c r="R159" s="11" t="inlineStr">
        <is>
          <t>Schulungsplan</t>
        </is>
      </c>
      <c r="S159" s="12" t="inlineStr">
        <is>
          <t>gegen den Internetzugriff über ein Administrationskonto</t>
        </is>
      </c>
      <c r="T159" s="12" t="inlineStr">
        <is>
          <t>G 0.31 – Fehlerhafte Nutzung oder Administration von Geräten und Systemen; G 0.30 – Unberechtigte Nutzung oder Administration von Geräten und Systemen; G 0.32 – Missbrauch von Berechtigungen</t>
        </is>
      </c>
      <c r="U159" s="11" t="n">
        <v>3</v>
      </c>
      <c r="V159" s="11" t="n">
        <v>1</v>
      </c>
      <c r="W159" s="11" t="n">
        <v>1</v>
      </c>
      <c r="X159" s="11" t="n">
        <v>1</v>
      </c>
      <c r="Y159" s="11" t="n">
        <v>0</v>
      </c>
    </row>
    <row r="160">
      <c r="A160" s="11" t="inlineStr">
        <is>
          <t>SENS.10.5</t>
        </is>
      </c>
      <c r="B160" s="12" t="inlineStr">
        <is>
          <t>Systemadministration - Internetnutzung</t>
        </is>
      </c>
      <c r="C160" s="11" t="inlineStr">
        <is>
          <t>SENS.10.5</t>
        </is>
      </c>
      <c r="D160" s="11" t="inlineStr">
        <is>
          <t>Standard-Anforderungen</t>
        </is>
      </c>
      <c r="E160" s="12" t="inlineStr">
        <is>
          <t>Sensibilisierung für Administrierende SOLLTE gegen den Internetzugriff über ein Administrationskonto sensibilisieren.</t>
        </is>
      </c>
      <c r="F160" s="14" t="n"/>
      <c r="G160" s="14" t="n"/>
      <c r="H160" s="14" t="inlineStr">
        <is>
          <t>unbearbeitet</t>
        </is>
      </c>
      <c r="I160" s="14" t="n"/>
      <c r="J160" s="14" t="n"/>
      <c r="K160" s="14" t="n"/>
      <c r="L160" s="15" t="n"/>
      <c r="M160" s="11" t="inlineStr"/>
      <c r="N160" s="12" t="inlineStr"/>
      <c r="O160" s="11" t="inlineStr"/>
      <c r="P160" s="12" t="inlineStr">
        <is>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is>
      </c>
      <c r="Q160" s="11" t="inlineStr">
        <is>
          <t>Administrierende</t>
        </is>
      </c>
      <c r="R160" s="11" t="inlineStr">
        <is>
          <t>Schulungsplan</t>
        </is>
      </c>
      <c r="S160" s="12" t="inlineStr">
        <is>
          <t>gegen den Internetzugriff über ein Administrationskonto</t>
        </is>
      </c>
      <c r="T160" s="12" t="inlineStr">
        <is>
          <t>G 0.31 – Fehlerhafte Nutzung oder Administration von Geräten und Systemen; G 0.30 – Unberechtigte Nutzung oder Administration von Geräten und Systemen; G 0.32 – Missbrauch von Berechtigungen</t>
        </is>
      </c>
      <c r="U160" s="11" t="n">
        <v>3</v>
      </c>
      <c r="V160" s="11" t="n">
        <v>1</v>
      </c>
      <c r="W160" s="11" t="n">
        <v>1</v>
      </c>
      <c r="X160" s="11" t="n">
        <v>1</v>
      </c>
      <c r="Y160" s="11" t="n">
        <v>0</v>
      </c>
    </row>
    <row r="161">
      <c r="A161" s="9" t="inlineStr">
        <is>
          <t>SENS.11.1</t>
        </is>
      </c>
      <c r="B161" s="10" t="inlineStr">
        <is>
          <t>Sensibilisierung der Institutionsleitung</t>
        </is>
      </c>
      <c r="C161" s="11" t="n"/>
      <c r="D161" s="11" t="inlineStr">
        <is>
          <t>Standard-Anforderungen</t>
        </is>
      </c>
      <c r="E161" s="12" t="inlineStr">
        <is>
          <t>Gesamt:</t>
        </is>
      </c>
      <c r="F161" s="11" t="n"/>
      <c r="G161" s="11" t="n"/>
      <c r="H161" s="13">
        <f>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
      </c>
      <c r="I161" s="11" t="n"/>
      <c r="J161" s="11" t="n"/>
      <c r="K161" s="11" t="n"/>
      <c r="L161" s="11" t="n"/>
      <c r="M161" s="11" t="inlineStr"/>
      <c r="N161" s="12" t="inlineStr">
        <is>
          <t>ORP.3.A1-UA.1</t>
        </is>
      </c>
      <c r="O161" s="11" t="inlineStr">
        <is>
          <t>intersects-with</t>
        </is>
      </c>
      <c r="P161" s="12" t="inlineStr">
        <is>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is>
      </c>
      <c r="Q161" s="11" t="inlineStr">
        <is>
          <t>Institutionsleitung</t>
        </is>
      </c>
      <c r="R161" s="11" t="inlineStr">
        <is>
          <t>Schulungsplan</t>
        </is>
      </c>
      <c r="S161" s="12" t="inlineStr">
        <is>
          <t>zur Bedeutung der Informationssicherheit für den Schutz der Geschäftsprozesse</t>
        </is>
      </c>
      <c r="T161" s="12" t="inlineStr">
        <is>
          <t>G 0.18 – Fehlplanung oder fehlende Anpassung</t>
        </is>
      </c>
      <c r="U161" s="11" t="n">
        <v>2</v>
      </c>
      <c r="V161" s="11" t="n">
        <v>1</v>
      </c>
      <c r="W161" s="11" t="n">
        <v>1</v>
      </c>
      <c r="X161" s="11" t="n">
        <v>1</v>
      </c>
      <c r="Y161" s="11" t="n">
        <v>0</v>
      </c>
    </row>
    <row r="162">
      <c r="A162" s="11" t="inlineStr">
        <is>
          <t>SENS.11.1</t>
        </is>
      </c>
      <c r="B162" s="12" t="inlineStr">
        <is>
          <t>Sensibilisierung der Institutionsleitung</t>
        </is>
      </c>
      <c r="C162" s="11" t="inlineStr">
        <is>
          <t>SENS.11.1</t>
        </is>
      </c>
      <c r="D162" s="11" t="inlineStr">
        <is>
          <t>Standard-Anforderungen</t>
        </is>
      </c>
      <c r="E162" s="12" t="inlineStr">
        <is>
          <t>Sensibilisierung für Institutionsleitung SOLLTE zur Bedeutung der Informationssicherheit für den Schutz der Geschäftsprozesse sensibilisieren.</t>
        </is>
      </c>
      <c r="F162" s="14" t="n"/>
      <c r="G162" s="14" t="n"/>
      <c r="H162" s="14" t="inlineStr">
        <is>
          <t>unbearbeitet</t>
        </is>
      </c>
      <c r="I162" s="14" t="n"/>
      <c r="J162" s="14" t="n"/>
      <c r="K162" s="14" t="n"/>
      <c r="L162" s="15" t="n"/>
      <c r="M162" s="11" t="inlineStr"/>
      <c r="N162" s="12" t="inlineStr">
        <is>
          <t>ORP.3.A1-UA.1</t>
        </is>
      </c>
      <c r="O162" s="11" t="inlineStr">
        <is>
          <t>intersects-with</t>
        </is>
      </c>
      <c r="P162" s="12" t="inlineStr">
        <is>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is>
      </c>
      <c r="Q162" s="11" t="inlineStr">
        <is>
          <t>Institutionsleitung</t>
        </is>
      </c>
      <c r="R162" s="11" t="inlineStr">
        <is>
          <t>Schulungsplan</t>
        </is>
      </c>
      <c r="S162" s="12" t="inlineStr">
        <is>
          <t>zur Bedeutung der Informationssicherheit für den Schutz der Geschäftsprozesse</t>
        </is>
      </c>
      <c r="T162" s="12" t="inlineStr">
        <is>
          <t>G 0.18 – Fehlplanung oder fehlende Anpassung</t>
        </is>
      </c>
      <c r="U162" s="11" t="n">
        <v>2</v>
      </c>
      <c r="V162" s="11" t="n">
        <v>1</v>
      </c>
      <c r="W162" s="11" t="n">
        <v>1</v>
      </c>
      <c r="X162" s="11" t="n">
        <v>1</v>
      </c>
      <c r="Y162" s="11" t="n">
        <v>0</v>
      </c>
    </row>
    <row r="163">
      <c r="A163" s="9" t="inlineStr">
        <is>
          <t>SENS.11.2</t>
        </is>
      </c>
      <c r="B163" s="10" t="inlineStr">
        <is>
          <t>Führen als Vorbild</t>
        </is>
      </c>
      <c r="C163" s="11" t="n"/>
      <c r="D163" s="11" t="inlineStr">
        <is>
          <t>Standard-Anforderungen</t>
        </is>
      </c>
      <c r="E163" s="12" t="inlineStr">
        <is>
          <t>Gesamt:</t>
        </is>
      </c>
      <c r="F163" s="11" t="n"/>
      <c r="G163" s="11" t="n"/>
      <c r="H163" s="13">
        <f>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
      </c>
      <c r="I163" s="11" t="n"/>
      <c r="J163" s="11" t="n"/>
      <c r="K163" s="11" t="n"/>
      <c r="L163" s="11" t="n"/>
      <c r="M163" s="11" t="inlineStr"/>
      <c r="N163" s="12" t="inlineStr">
        <is>
          <t>ORP.3.A1-UA.4</t>
        </is>
      </c>
      <c r="O163" s="11" t="inlineStr">
        <is>
          <t>intersects-with</t>
        </is>
      </c>
      <c r="P163" s="12" t="inlineStr">
        <is>
          <t>Die Vorbildfunktion von Führungskräften ist entscheidend, um eine robuste Sicherheitskultur zu etablieren und die Einhaltung der geschulten Inhalte im Arbeitsalltag zu gewährleisten.</t>
        </is>
      </c>
      <c r="Q163" s="11" t="inlineStr">
        <is>
          <t>Führungskräfte</t>
        </is>
      </c>
      <c r="R163" s="11" t="inlineStr">
        <is>
          <t>Schulungsplan</t>
        </is>
      </c>
      <c r="S163" s="12" t="inlineStr">
        <is>
          <t>zu ihrer Vorbildfunktion bei der Informationssicherheit</t>
        </is>
      </c>
      <c r="T163" s="12" t="inlineStr">
        <is>
          <t>G 0.18 – Fehlplanung oder fehlende Anpassung</t>
        </is>
      </c>
      <c r="U163" s="11" t="n">
        <v>1</v>
      </c>
      <c r="V163" s="11" t="n">
        <v>1</v>
      </c>
      <c r="W163" s="11" t="n">
        <v>1</v>
      </c>
      <c r="X163" s="11" t="n">
        <v>1</v>
      </c>
      <c r="Y163" s="11" t="n">
        <v>0</v>
      </c>
    </row>
    <row r="164">
      <c r="A164" s="11" t="inlineStr">
        <is>
          <t>SENS.11.2</t>
        </is>
      </c>
      <c r="B164" s="12" t="inlineStr">
        <is>
          <t>Führen als Vorbild</t>
        </is>
      </c>
      <c r="C164" s="11" t="inlineStr">
        <is>
          <t>SENS.11.2</t>
        </is>
      </c>
      <c r="D164" s="11" t="inlineStr">
        <is>
          <t>Standard-Anforderungen</t>
        </is>
      </c>
      <c r="E164" s="12" t="inlineStr">
        <is>
          <t>Sensibilisierung für Führungskräfte SOLLTE zu ihrer Vorbildfunktion bei der Informationssicherheit sensibilisieren.</t>
        </is>
      </c>
      <c r="F164" s="14" t="n"/>
      <c r="G164" s="14" t="n"/>
      <c r="H164" s="14" t="inlineStr">
        <is>
          <t>unbearbeitet</t>
        </is>
      </c>
      <c r="I164" s="14" t="n"/>
      <c r="J164" s="14" t="n"/>
      <c r="K164" s="14" t="n"/>
      <c r="L164" s="15" t="n"/>
      <c r="M164" s="11" t="inlineStr"/>
      <c r="N164" s="12" t="inlineStr">
        <is>
          <t>ORP.3.A1-UA.4</t>
        </is>
      </c>
      <c r="O164" s="11" t="inlineStr">
        <is>
          <t>intersects-with</t>
        </is>
      </c>
      <c r="P164" s="12" t="inlineStr">
        <is>
          <t>Die Vorbildfunktion von Führungskräften ist entscheidend, um eine robuste Sicherheitskultur zu etablieren und die Einhaltung der geschulten Inhalte im Arbeitsalltag zu gewährleisten.</t>
        </is>
      </c>
      <c r="Q164" s="11" t="inlineStr">
        <is>
          <t>Führungskräfte</t>
        </is>
      </c>
      <c r="R164" s="11" t="inlineStr">
        <is>
          <t>Schulungsplan</t>
        </is>
      </c>
      <c r="S164" s="12" t="inlineStr">
        <is>
          <t>zu ihrer Vorbildfunktion bei der Informationssicherheit</t>
        </is>
      </c>
      <c r="T164" s="12" t="inlineStr">
        <is>
          <t>G 0.18 – Fehlplanung oder fehlende Anpassung</t>
        </is>
      </c>
      <c r="U164" s="11" t="n">
        <v>1</v>
      </c>
      <c r="V164" s="11" t="n">
        <v>1</v>
      </c>
      <c r="W164" s="11" t="n">
        <v>1</v>
      </c>
      <c r="X164" s="11" t="n">
        <v>1</v>
      </c>
      <c r="Y164" s="11" t="n">
        <v>0</v>
      </c>
    </row>
    <row r="165">
      <c r="A165" s="9" t="inlineStr">
        <is>
          <t>SENS.11.3</t>
        </is>
      </c>
      <c r="B165" s="10" t="inlineStr">
        <is>
          <t>Whaling</t>
        </is>
      </c>
      <c r="C165" s="11" t="n"/>
      <c r="D165" s="11" t="inlineStr">
        <is>
          <t>Standard-Anforderungen</t>
        </is>
      </c>
      <c r="E165" s="12" t="inlineStr">
        <is>
          <t>Gesamt:</t>
        </is>
      </c>
      <c r="F165" s="11" t="n"/>
      <c r="G165" s="11" t="n"/>
      <c r="H165" s="13">
        <f>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
      </c>
      <c r="I165" s="11" t="n"/>
      <c r="J165" s="11" t="n"/>
      <c r="K165" s="11" t="n"/>
      <c r="L165" s="11" t="n"/>
      <c r="M165" s="11" t="inlineStr"/>
      <c r="N165" s="12" t="inlineStr"/>
      <c r="O165" s="11" t="inlineStr"/>
      <c r="P165" s="12" t="inlineStr">
        <is>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is>
      </c>
      <c r="Q165" s="11" t="inlineStr">
        <is>
          <t>Führungskräfte</t>
        </is>
      </c>
      <c r="R165" s="11" t="inlineStr">
        <is>
          <t>Schulungsplan</t>
        </is>
      </c>
      <c r="S165" s="12" t="inlineStr">
        <is>
          <t>gegen gezielte Angriffe auf Führungskräfte</t>
        </is>
      </c>
      <c r="T165" s="12" t="inlineStr">
        <is>
          <t>G 0.42 – Social Engineering</t>
        </is>
      </c>
      <c r="U165" s="11" t="n">
        <v>1</v>
      </c>
      <c r="V165" s="11" t="n">
        <v>1</v>
      </c>
      <c r="W165" s="11" t="n">
        <v>1</v>
      </c>
      <c r="X165" s="11" t="n">
        <v>0</v>
      </c>
      <c r="Y165" s="11" t="n">
        <v>0</v>
      </c>
    </row>
    <row r="166">
      <c r="A166" s="11" t="inlineStr">
        <is>
          <t>SENS.11.3</t>
        </is>
      </c>
      <c r="B166" s="12" t="inlineStr">
        <is>
          <t>Whaling</t>
        </is>
      </c>
      <c r="C166" s="11" t="inlineStr">
        <is>
          <t>SENS.11.3</t>
        </is>
      </c>
      <c r="D166" s="11" t="inlineStr">
        <is>
          <t>Standard-Anforderungen</t>
        </is>
      </c>
      <c r="E166" s="12" t="inlineStr">
        <is>
          <t>Sensibilisierung für Führungskräfte SOLLTE gegen gezielte Angriffe auf Führungskräfte sensibilisieren.</t>
        </is>
      </c>
      <c r="F166" s="14" t="n"/>
      <c r="G166" s="14" t="n"/>
      <c r="H166" s="14" t="inlineStr">
        <is>
          <t>unbearbeitet</t>
        </is>
      </c>
      <c r="I166" s="14" t="n"/>
      <c r="J166" s="14" t="n"/>
      <c r="K166" s="14" t="n"/>
      <c r="L166" s="15" t="n"/>
      <c r="M166" s="11" t="inlineStr"/>
      <c r="N166" s="12" t="inlineStr"/>
      <c r="O166" s="11" t="inlineStr"/>
      <c r="P166" s="12" t="inlineStr">
        <is>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is>
      </c>
      <c r="Q166" s="11" t="inlineStr">
        <is>
          <t>Führungskräfte</t>
        </is>
      </c>
      <c r="R166" s="11" t="inlineStr">
        <is>
          <t>Schulungsplan</t>
        </is>
      </c>
      <c r="S166" s="12" t="inlineStr">
        <is>
          <t>gegen gezielte Angriffe auf Führungskräfte</t>
        </is>
      </c>
      <c r="T166" s="12" t="inlineStr">
        <is>
          <t>G 0.42 – Social Engineering</t>
        </is>
      </c>
      <c r="U166" s="11" t="n">
        <v>1</v>
      </c>
      <c r="V166" s="11" t="n">
        <v>1</v>
      </c>
      <c r="W166" s="11" t="n">
        <v>1</v>
      </c>
      <c r="X166" s="11" t="n">
        <v>0</v>
      </c>
      <c r="Y166" s="11" t="n">
        <v>0</v>
      </c>
    </row>
    <row r="167">
      <c r="A167" s="9" t="inlineStr">
        <is>
          <t>SENS.12.1</t>
        </is>
      </c>
      <c r="B167" s="10" t="inlineStr">
        <is>
          <t>Hohe Risiken</t>
        </is>
      </c>
      <c r="C167" s="11" t="n"/>
      <c r="D167" s="11" t="inlineStr">
        <is>
          <t>Anforderungen bei erhöhtem Schutzbedarf</t>
        </is>
      </c>
      <c r="E167" s="12" t="inlineStr">
        <is>
          <t>Gesamt:</t>
        </is>
      </c>
      <c r="F167" s="11" t="n"/>
      <c r="G167" s="11" t="n"/>
      <c r="H167" s="13">
        <f>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
      </c>
      <c r="I167" s="11" t="n"/>
      <c r="J167" s="11" t="n"/>
      <c r="K167" s="11" t="n"/>
      <c r="L167" s="11" t="n"/>
      <c r="M167" s="11" t="inlineStr"/>
      <c r="N167" s="12" t="inlineStr">
        <is>
          <t>ORP.3.A9-UA.1</t>
        </is>
      </c>
      <c r="O167" s="11" t="inlineStr">
        <is>
          <t>intersects-with</t>
        </is>
      </c>
      <c r="P167" s="12" t="inlineStr">
        <is>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is>
      </c>
      <c r="Q167" s="11" t="inlineStr">
        <is>
          <t>Nutzende</t>
        </is>
      </c>
      <c r="R167" s="11" t="inlineStr">
        <is>
          <t>Schulungsplan</t>
        </is>
      </c>
      <c r="S167" s="12" t="inlineStr">
        <is>
          <t>gegen die in der Risikoanalyse festgestellten hohen Risiken</t>
        </is>
      </c>
      <c r="T167" s="12" t="inlineStr">
        <is>
          <t>G 0.42 – Social Engineering</t>
        </is>
      </c>
      <c r="U167" s="11" t="n">
        <v>5</v>
      </c>
      <c r="V167" s="11" t="n">
        <v>1</v>
      </c>
      <c r="W167" s="11" t="n">
        <v>1</v>
      </c>
      <c r="X167" s="11" t="n">
        <v>0</v>
      </c>
      <c r="Y167" s="11" t="n">
        <v>0</v>
      </c>
    </row>
    <row r="168">
      <c r="A168" s="11" t="inlineStr">
        <is>
          <t>SENS.12.1</t>
        </is>
      </c>
      <c r="B168" s="12" t="inlineStr">
        <is>
          <t>Hohe Risiken</t>
        </is>
      </c>
      <c r="C168" s="11" t="inlineStr">
        <is>
          <t>SENS.12.1</t>
        </is>
      </c>
      <c r="D168" s="11" t="inlineStr">
        <is>
          <t>Anforderungen bei erhöhtem Schutzbedarf</t>
        </is>
      </c>
      <c r="E168" s="12" t="inlineStr">
        <is>
          <t>Sensibilisierung für Nutzende KANN gegen die in der Risikoanalyse festgestellten hohen Risiken sensibilisieren.</t>
        </is>
      </c>
      <c r="F168" s="14" t="n"/>
      <c r="G168" s="14" t="n"/>
      <c r="H168" s="14" t="inlineStr">
        <is>
          <t>unbearbeitet</t>
        </is>
      </c>
      <c r="I168" s="14" t="n"/>
      <c r="J168" s="14" t="n"/>
      <c r="K168" s="14" t="n"/>
      <c r="L168" s="15" t="n"/>
      <c r="M168" s="11" t="inlineStr"/>
      <c r="N168" s="12" t="inlineStr">
        <is>
          <t>ORP.3.A9-UA.1</t>
        </is>
      </c>
      <c r="O168" s="11" t="inlineStr">
        <is>
          <t>intersects-with</t>
        </is>
      </c>
      <c r="P168" s="12" t="inlineStr">
        <is>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is>
      </c>
      <c r="Q168" s="11" t="inlineStr">
        <is>
          <t>Nutzende</t>
        </is>
      </c>
      <c r="R168" s="11" t="inlineStr">
        <is>
          <t>Schulungsplan</t>
        </is>
      </c>
      <c r="S168" s="12" t="inlineStr">
        <is>
          <t>gegen die in der Risikoanalyse festgestellten hohen Risiken</t>
        </is>
      </c>
      <c r="T168" s="12" t="inlineStr">
        <is>
          <t>G 0.42 – Social Engineering</t>
        </is>
      </c>
      <c r="U168" s="11" t="n">
        <v>5</v>
      </c>
      <c r="V168" s="11" t="n">
        <v>1</v>
      </c>
      <c r="W168" s="11" t="n">
        <v>1</v>
      </c>
      <c r="X168" s="11" t="n">
        <v>0</v>
      </c>
      <c r="Y168" s="11" t="n">
        <v>0</v>
      </c>
    </row>
  </sheetData>
  <autoFilter ref="A6:Y6"/>
  <conditionalFormatting sqref="H7:H168">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20 H21 H23 H25 H27 H29 H30 H32 H34 H36 H38 H39 H40 H41 H42 H43 H44 H46 H48 H50 H52 H54 H56 H58 H60 H62 H64 H66 H68 H70 H72 H74 H76 H78 H80 H82 H84 H86 H88 H90 H92 H94 H96 H98 H100 H102 H104 H106 H108 H110 H112 H114 H116 H118 H120 H122 H124 H126 H128 H130 H132 H134 H136 H138 H140 H142 H144 H146 H148 H150 H152 H154 H156 H158 H160 H162 H164 H166 H168"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5"/>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STM</t>
        </is>
      </c>
      <c r="B3" s="6" t="inlineStr">
        <is>
          <t>Strukturmodellierung</t>
        </is>
      </c>
    </row>
    <row r="4">
      <c r="A4" s="3" t="inlineStr">
        <is>
          <t>Zielobjekte</t>
        </is>
      </c>
      <c r="B4" s="7">
        <f>IF('Praktiken'!D21="","",'Praktiken'!D21)</f>
        <v/>
      </c>
    </row>
    <row r="5">
      <c r="A5" s="3" t="inlineStr">
        <is>
          <t>Zuständig</t>
        </is>
      </c>
      <c r="B5" s="7">
        <f>IF('Praktiken'!S21="","",'Praktiken'!S21)</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STM.1.1</t>
        </is>
      </c>
      <c r="B7" s="10" t="inlineStr">
        <is>
          <t>Definition und Abgrenzung des Informationsverbunds</t>
        </is>
      </c>
      <c r="C7" s="11" t="n"/>
      <c r="D7" s="11" t="inlineStr">
        <is>
          <t>Basis-Anforderungen</t>
        </is>
      </c>
      <c r="E7" s="12" t="inlineStr">
        <is>
          <t>Gesamt:</t>
        </is>
      </c>
      <c r="F7" s="11" t="n"/>
      <c r="G7" s="11" t="n"/>
      <c r="H7" s="13">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
      </c>
      <c r="I7" s="11" t="n"/>
      <c r="J7" s="11" t="n"/>
      <c r="K7" s="11" t="n"/>
      <c r="L7" s="11" t="n"/>
      <c r="M7" s="11" t="inlineStr"/>
      <c r="N7" s="12" t="inlineStr"/>
      <c r="O7" s="11" t="inlineStr"/>
      <c r="P7" s="12" t="inlineStr">
        <is>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is>
      </c>
      <c r="Q7" s="11" t="inlineStr"/>
      <c r="R7" s="11" t="inlineStr">
        <is>
          <t>Informationsverbund</t>
        </is>
      </c>
      <c r="S7" s="12" t="inlineStr">
        <is>
          <t>den nachvollziehbar abgegrenzten Informationsverbund</t>
        </is>
      </c>
      <c r="T7" s="12" t="inlineStr"/>
      <c r="U7" s="11" t="n">
        <v>0</v>
      </c>
      <c r="V7" s="11" t="n"/>
      <c r="W7" s="11" t="n"/>
      <c r="X7" s="11" t="n"/>
      <c r="Y7" s="11" t="n"/>
    </row>
    <row r="8">
      <c r="A8" s="11" t="inlineStr">
        <is>
          <t>STM.1.1</t>
        </is>
      </c>
      <c r="B8" s="12" t="inlineStr">
        <is>
          <t>Definition und Abgrenzung des Informationsverbunds</t>
        </is>
      </c>
      <c r="C8" s="11" t="inlineStr">
        <is>
          <t>STM.1.1</t>
        </is>
      </c>
      <c r="D8" s="11" t="inlineStr">
        <is>
          <t>Basis-Anforderungen</t>
        </is>
      </c>
      <c r="E8" s="12" t="inlineStr">
        <is>
          <t>Strukturmodellierung MUSS den nachvollziehbar abgegrenzten Informationsverbund auf Basis des Geltungsbereichs festlegen.</t>
        </is>
      </c>
      <c r="F8" s="14" t="n"/>
      <c r="G8" s="14" t="n"/>
      <c r="H8" s="14" t="inlineStr">
        <is>
          <t>unbearbeitet</t>
        </is>
      </c>
      <c r="I8" s="14" t="n"/>
      <c r="J8" s="14" t="n"/>
      <c r="K8" s="14" t="n"/>
      <c r="L8" s="15" t="n"/>
      <c r="M8" s="11" t="inlineStr"/>
      <c r="N8" s="12" t="inlineStr"/>
      <c r="O8" s="11" t="inlineStr"/>
      <c r="P8" s="12" t="inlineStr">
        <is>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is>
      </c>
      <c r="Q8" s="11" t="inlineStr"/>
      <c r="R8" s="11" t="inlineStr">
        <is>
          <t>Informationsverbund</t>
        </is>
      </c>
      <c r="S8" s="12" t="inlineStr">
        <is>
          <t>den nachvollziehbar abgegrenzten Informationsverbund</t>
        </is>
      </c>
      <c r="T8" s="12" t="inlineStr"/>
      <c r="U8" s="11" t="n">
        <v>0</v>
      </c>
      <c r="V8" s="11" t="n"/>
      <c r="W8" s="11" t="n"/>
      <c r="X8" s="11" t="n"/>
      <c r="Y8" s="11" t="n"/>
    </row>
    <row r="9">
      <c r="A9" s="9" t="inlineStr">
        <is>
          <t>STM.1.2</t>
        </is>
      </c>
      <c r="B9" s="10" t="inlineStr">
        <is>
          <t>Dokumentation der externen Schnittstellen</t>
        </is>
      </c>
      <c r="C9" s="11" t="n"/>
      <c r="D9" s="11" t="inlineStr">
        <is>
          <t>Basis-Anforderungen</t>
        </is>
      </c>
      <c r="E9" s="12" t="inlineStr">
        <is>
          <t>Gesamt:</t>
        </is>
      </c>
      <c r="F9" s="11" t="n"/>
      <c r="G9" s="11" t="n"/>
      <c r="H9" s="13">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
      </c>
      <c r="I9" s="11" t="n"/>
      <c r="J9" s="11" t="n"/>
      <c r="K9" s="11" t="n"/>
      <c r="L9" s="11" t="n"/>
      <c r="M9" s="11" t="inlineStr"/>
      <c r="N9" s="12" t="inlineStr"/>
      <c r="O9" s="11" t="inlineStr"/>
      <c r="P9" s="12" t="inlineStr">
        <is>
          <t>Zum Informationsverbund werden die organisatorischen, technischen und infrastrukturellen Schnittstellen dargestellt. Wie bei der Beschreibung des Informationsverbunds selbst, werden auch hier organisatorische, technische sowie infrastrukturelle Schnittstellen berücksichtigt.</t>
        </is>
      </c>
      <c r="Q9" s="11" t="inlineStr"/>
      <c r="R9" s="11" t="inlineStr">
        <is>
          <t>Informationsverbund</t>
        </is>
      </c>
      <c r="S9" s="12" t="inlineStr">
        <is>
          <t>Schnittstellen des Informationsverbunds</t>
        </is>
      </c>
      <c r="T9" s="12" t="inlineStr"/>
      <c r="U9" s="11" t="n">
        <v>0</v>
      </c>
      <c r="V9" s="11" t="n"/>
      <c r="W9" s="11" t="n"/>
      <c r="X9" s="11" t="n"/>
      <c r="Y9" s="11" t="n"/>
    </row>
    <row r="10">
      <c r="A10" s="11" t="inlineStr">
        <is>
          <t>STM.1.2</t>
        </is>
      </c>
      <c r="B10" s="12" t="inlineStr">
        <is>
          <t>Dokumentation der externen Schnittstellen</t>
        </is>
      </c>
      <c r="C10" s="11" t="inlineStr">
        <is>
          <t>STM.1.2</t>
        </is>
      </c>
      <c r="D10" s="11" t="inlineStr">
        <is>
          <t>Basis-Anforderungen</t>
        </is>
      </c>
      <c r="E10" s="12" t="inlineStr">
        <is>
          <t>Strukturmodellierung MUSS Schnittstellen des Informationsverbunds zu externen Prozessen festlegen.</t>
        </is>
      </c>
      <c r="F10" s="14" t="n"/>
      <c r="G10" s="14" t="n"/>
      <c r="H10" s="14" t="inlineStr">
        <is>
          <t>unbearbeitet</t>
        </is>
      </c>
      <c r="I10" s="14" t="n"/>
      <c r="J10" s="14" t="n"/>
      <c r="K10" s="14" t="n"/>
      <c r="L10" s="15" t="n"/>
      <c r="M10" s="11" t="inlineStr"/>
      <c r="N10" s="12" t="inlineStr"/>
      <c r="O10" s="11" t="inlineStr"/>
      <c r="P10" s="12" t="inlineStr">
        <is>
          <t>Zum Informationsverbund werden die organisatorischen, technischen und infrastrukturellen Schnittstellen dargestellt. Wie bei der Beschreibung des Informationsverbunds selbst, werden auch hier organisatorische, technische sowie infrastrukturelle Schnittstellen berücksichtigt.</t>
        </is>
      </c>
      <c r="Q10" s="11" t="inlineStr"/>
      <c r="R10" s="11" t="inlineStr">
        <is>
          <t>Informationsverbund</t>
        </is>
      </c>
      <c r="S10" s="12" t="inlineStr">
        <is>
          <t>Schnittstellen des Informationsverbunds</t>
        </is>
      </c>
      <c r="T10" s="12" t="inlineStr"/>
      <c r="U10" s="11" t="n">
        <v>0</v>
      </c>
      <c r="V10" s="11" t="n"/>
      <c r="W10" s="11" t="n"/>
      <c r="X10" s="11" t="n"/>
      <c r="Y10" s="11" t="n"/>
    </row>
    <row r="11">
      <c r="A11" s="9" t="inlineStr">
        <is>
          <t>STM.2.1</t>
        </is>
      </c>
      <c r="B11" s="10" t="inlineStr">
        <is>
          <t>Erstellung eines Anforderungspakets</t>
        </is>
      </c>
      <c r="C11" s="11" t="n"/>
      <c r="D11" s="11" t="inlineStr">
        <is>
          <t>Basis-Anforderungen</t>
        </is>
      </c>
      <c r="E11" s="12" t="inlineStr">
        <is>
          <t>Gesamt:</t>
        </is>
      </c>
      <c r="F11" s="11" t="n"/>
      <c r="G11" s="11" t="n"/>
      <c r="H11" s="13">
        <f>IF(OR(COUNTBLANK($H$12:$H$19)&gt;0,COUNTIF($H$12:$H$19,"unbearbeitet")=COUNTA($H$12:$H$19)),"Bitte Teilanforderungen ausfüllen",IF(COUNTIF($H$12:$H$19,"zu klären")&gt;0,"zu klären",IF(COUNTIF($H$12:$H$19,"entbehrlich")=COUNTA($H$12:$H$19),"entbehrlich",IF(COUNTIF($H$12:$H$19,"verwiesen")=COUNTA($H$12:$H$19),"verwiesen",IF(COUNTIF($H$12:$H$19,"nein")+COUNTIF($H$12:$H$19,"entbehrlich")=COUNTA($H$12:$H$19),"nein",IF(COUNTIF($H$12:$H$19,"ja")+COUNTIF($H$12:$H$19,"entbehrlich")+COUNTIF($H$12:$H$19,"verwiesen")=COUNTA($H$12:$H$19),"ja","teilweise"))))))</f>
        <v/>
      </c>
      <c r="I11" s="11" t="n"/>
      <c r="J11" s="11" t="n"/>
      <c r="K11" s="11" t="n"/>
      <c r="L11" s="11" t="n"/>
      <c r="M11" s="11" t="inlineStr"/>
      <c r="N11" s="12" t="inlineStr"/>
      <c r="O11" s="11" t="inlineStr"/>
      <c r="P11" s="12" t="inlineStr">
        <is>
          <t>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is>
      </c>
      <c r="Q11" s="11" t="inlineStr"/>
      <c r="R11" s="11" t="inlineStr">
        <is>
          <t>Anforderungspaket</t>
        </is>
      </c>
      <c r="S11" s="12" t="inlineStr">
        <is>
          <t>ein Anforderungspaket</t>
        </is>
      </c>
      <c r="T11" s="12" t="inlineStr"/>
      <c r="U11" s="11" t="n">
        <v>0</v>
      </c>
      <c r="V11" s="11" t="n"/>
      <c r="W11" s="11" t="n"/>
      <c r="X11" s="11" t="n"/>
      <c r="Y11" s="11" t="n"/>
    </row>
    <row r="12">
      <c r="A12" s="11" t="inlineStr">
        <is>
          <t>STM.2.1</t>
        </is>
      </c>
      <c r="B12" s="12" t="inlineStr">
        <is>
          <t>Erstellung eines Anforderungspakets</t>
        </is>
      </c>
      <c r="C12" s="11" t="inlineStr">
        <is>
          <t>STM.2.1.1</t>
        </is>
      </c>
      <c r="D12" s="11" t="inlineStr">
        <is>
          <t>Basis-Anforderungen</t>
        </is>
      </c>
      <c r="E12" s="12" t="inlineStr">
        <is>
          <t>Strukturmodellierung MUSS alle Anforderungen der ISMS-Praktiken auf den vorliegenden Informationsverbund modellieren.</t>
        </is>
      </c>
      <c r="F12" s="14" t="n"/>
      <c r="G12" s="14" t="n"/>
      <c r="H12" s="14" t="inlineStr">
        <is>
          <t>unbearbeitet</t>
        </is>
      </c>
      <c r="I12" s="14" t="n"/>
      <c r="J12" s="14" t="n"/>
      <c r="K12" s="14" t="n"/>
      <c r="L12" s="15" t="n"/>
      <c r="M12" s="11" t="inlineStr"/>
      <c r="N12" s="12" t="inlineStr"/>
      <c r="O12" s="11" t="inlineStr"/>
      <c r="P12" s="12" t="inlineStr">
        <is>
          <t>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is>
      </c>
      <c r="Q12" s="11" t="inlineStr"/>
      <c r="R12" s="11" t="inlineStr">
        <is>
          <t>Anforderungspaket</t>
        </is>
      </c>
      <c r="S12" s="12" t="inlineStr">
        <is>
          <t>alle Anforderungen der ISMS-Praktiken</t>
        </is>
      </c>
      <c r="T12" s="12" t="inlineStr"/>
      <c r="U12" s="11" t="n">
        <v>0</v>
      </c>
      <c r="V12" s="11" t="n"/>
      <c r="W12" s="11" t="n"/>
      <c r="X12" s="11" t="n"/>
      <c r="Y12" s="11" t="n"/>
    </row>
    <row r="13">
      <c r="A13" s="11" t="inlineStr">
        <is>
          <t>STM.2.1</t>
        </is>
      </c>
      <c r="B13" s="12" t="inlineStr">
        <is>
          <t>Erstellung eines Anforderungspakets</t>
        </is>
      </c>
      <c r="C13" s="11" t="inlineStr">
        <is>
          <t>STM.2.1.2</t>
        </is>
      </c>
      <c r="D13" s="11" t="inlineStr">
        <is>
          <t>Basis-Anforderungen</t>
        </is>
      </c>
      <c r="E13" s="12" t="inlineStr">
        <is>
          <t>Strukturmodellierung MUSS alle relevanten Assets für die betrachteten Geschäftsprozesse festlegen.</t>
        </is>
      </c>
      <c r="F13" s="14" t="n"/>
      <c r="G13" s="14" t="n"/>
      <c r="H13" s="14" t="inlineStr">
        <is>
          <t>unbearbeitet</t>
        </is>
      </c>
      <c r="I13" s="14" t="n"/>
      <c r="J13" s="14" t="n"/>
      <c r="K13" s="14" t="n"/>
      <c r="L13" s="15" t="n"/>
      <c r="M13" s="11" t="inlineStr"/>
      <c r="N13" s="12" t="inlineStr"/>
      <c r="O13" s="11" t="inlineStr"/>
      <c r="P13" s="12" t="inlineStr">
        <is>
          <t>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is>
      </c>
      <c r="Q13" s="11" t="inlineStr"/>
      <c r="R13" s="11" t="inlineStr">
        <is>
          <t>Anforderungspaket</t>
        </is>
      </c>
      <c r="S13" s="12" t="inlineStr">
        <is>
          <t>alle relevanten Assets für die betrachteten Geschäftsprozesse</t>
        </is>
      </c>
      <c r="T13" s="12" t="inlineStr"/>
      <c r="U13" s="11" t="n">
        <v>0</v>
      </c>
      <c r="V13" s="11" t="n"/>
      <c r="W13" s="11" t="n"/>
      <c r="X13" s="11" t="n"/>
      <c r="Y13" s="11" t="n"/>
    </row>
    <row r="14">
      <c r="A14" s="11" t="inlineStr">
        <is>
          <t>STM.2.1</t>
        </is>
      </c>
      <c r="B14" s="12" t="inlineStr">
        <is>
          <t>Erstellung eines Anforderungspakets</t>
        </is>
      </c>
      <c r="C14" s="11" t="inlineStr">
        <is>
          <t>STM.2.1.3</t>
        </is>
      </c>
      <c r="D14" s="11" t="inlineStr">
        <is>
          <t>Basis-Anforderungen</t>
        </is>
      </c>
      <c r="E14" s="12" t="inlineStr">
        <is>
          <t>Strukturmodellierung MUSS allen relevanten Assets eine oder mehrere Zielobjektkategorien zuweisen.</t>
        </is>
      </c>
      <c r="F14" s="14" t="n"/>
      <c r="G14" s="14" t="n"/>
      <c r="H14" s="14" t="inlineStr">
        <is>
          <t>unbearbeitet</t>
        </is>
      </c>
      <c r="I14" s="14" t="n"/>
      <c r="J14" s="14" t="n"/>
      <c r="K14" s="14" t="n"/>
      <c r="L14" s="15" t="n"/>
      <c r="M14" s="11" t="inlineStr"/>
      <c r="N14" s="12" t="inlineStr"/>
      <c r="O14" s="11" t="inlineStr"/>
      <c r="P14" s="12" t="inlineStr">
        <is>
          <t>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is>
      </c>
      <c r="Q14" s="11" t="inlineStr"/>
      <c r="R14" s="11" t="inlineStr">
        <is>
          <t>Anforderungspaket</t>
        </is>
      </c>
      <c r="S14" s="12" t="inlineStr">
        <is>
          <t>allen relevanten Assets eine oder mehrere Zielobjektkategorien</t>
        </is>
      </c>
      <c r="T14" s="12" t="inlineStr"/>
      <c r="U14" s="11" t="n">
        <v>0</v>
      </c>
      <c r="V14" s="11" t="n"/>
      <c r="W14" s="11" t="n"/>
      <c r="X14" s="11" t="n"/>
      <c r="Y14" s="11" t="n"/>
    </row>
    <row r="15">
      <c r="A15" s="11" t="inlineStr">
        <is>
          <t>STM.2.1</t>
        </is>
      </c>
      <c r="B15" s="12" t="inlineStr">
        <is>
          <t>Erstellung eines Anforderungspakets</t>
        </is>
      </c>
      <c r="C15" s="11" t="inlineStr">
        <is>
          <t>STM.2.1.4.1</t>
        </is>
      </c>
      <c r="D15" s="11" t="inlineStr">
        <is>
          <t>Basis-Anforderungen</t>
        </is>
      </c>
      <c r="E15" s="12" t="inlineStr">
        <is>
          <t>Strukturmodellierung MUSS die in der Hierarchie übergeordneten Zielobjektkategorien ebenfalls dem jeweiligen Asset die in der Zielobjekthierarchie übergeordnet sind zuweisen.</t>
        </is>
      </c>
      <c r="F15" s="14" t="n"/>
      <c r="G15" s="14" t="n"/>
      <c r="H15" s="14" t="inlineStr">
        <is>
          <t>unbearbeitet</t>
        </is>
      </c>
      <c r="I15" s="14" t="n"/>
      <c r="J15" s="14" t="n"/>
      <c r="K15" s="14" t="n"/>
      <c r="L15" s="15" t="n"/>
      <c r="M15" s="11" t="inlineStr"/>
      <c r="N15" s="12" t="inlineStr"/>
      <c r="O15" s="11" t="inlineStr"/>
      <c r="P15" s="12" t="inlineStr">
        <is>
          <t>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is>
      </c>
      <c r="Q15" s="11" t="inlineStr"/>
      <c r="R15" s="11" t="inlineStr">
        <is>
          <t>Anforderungspaket</t>
        </is>
      </c>
      <c r="S15" s="12" t="inlineStr">
        <is>
          <t>die in der Hierarchie übergeordneten Zielobjektkategorien ebenfalls dem jeweiligen Asset</t>
        </is>
      </c>
      <c r="T15" s="12" t="inlineStr"/>
      <c r="U15" s="11" t="n">
        <v>0</v>
      </c>
      <c r="V15" s="11" t="n"/>
      <c r="W15" s="11" t="n"/>
      <c r="X15" s="11" t="n"/>
      <c r="Y15" s="11" t="n"/>
    </row>
    <row r="16">
      <c r="A16" s="11" t="inlineStr">
        <is>
          <t>STM.2.1</t>
        </is>
      </c>
      <c r="B16" s="12" t="inlineStr">
        <is>
          <t>Erstellung eines Anforderungspakets</t>
        </is>
      </c>
      <c r="C16" s="11" t="inlineStr">
        <is>
          <t>STM.2.1.4.2</t>
        </is>
      </c>
      <c r="D16" s="11" t="inlineStr">
        <is>
          <t>Basis-Anforderungen</t>
        </is>
      </c>
      <c r="E16" s="12" t="inlineStr">
        <is>
          <t>Strukturmodellierung MUSS eine Konsolidierung und Redundanzprüfung des Anforderungspakets ausführen.</t>
        </is>
      </c>
      <c r="F16" s="14" t="n"/>
      <c r="G16" s="14" t="n"/>
      <c r="H16" s="14" t="inlineStr">
        <is>
          <t>unbearbeitet</t>
        </is>
      </c>
      <c r="I16" s="14" t="n"/>
      <c r="J16" s="14" t="n"/>
      <c r="K16" s="14" t="n"/>
      <c r="L16" s="15" t="n"/>
      <c r="M16" s="11" t="inlineStr"/>
      <c r="N16" s="12" t="inlineStr"/>
      <c r="O16" s="11" t="inlineStr"/>
      <c r="P16" s="12" t="inlineStr">
        <is>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is>
      </c>
      <c r="Q16" s="11" t="inlineStr"/>
      <c r="R16" s="11" t="inlineStr">
        <is>
          <t>Anforderungspaket</t>
        </is>
      </c>
      <c r="S16" s="12" t="inlineStr">
        <is>
          <t>eine Konsolidierung und Redundanzprüfung des Anforderungspakets</t>
        </is>
      </c>
      <c r="T16" s="12" t="inlineStr"/>
      <c r="U16" s="11" t="n">
        <v>0</v>
      </c>
      <c r="V16" s="11" t="n"/>
      <c r="W16" s="11" t="n"/>
      <c r="X16" s="11" t="n"/>
      <c r="Y16" s="11" t="n"/>
    </row>
    <row r="17">
      <c r="A17" s="11" t="inlineStr">
        <is>
          <t>STM.2.1</t>
        </is>
      </c>
      <c r="B17" s="12" t="inlineStr">
        <is>
          <t>Erstellung eines Anforderungspakets</t>
        </is>
      </c>
      <c r="C17" s="11" t="inlineStr">
        <is>
          <t>STM.2.1.5</t>
        </is>
      </c>
      <c r="D17" s="11" t="inlineStr">
        <is>
          <t>Basis-Anforderungen</t>
        </is>
      </c>
      <c r="E17" s="12" t="inlineStr">
        <is>
          <t>Strukturmodellierung MUSS alle weiteren Anforderungen denen keine Zielobjektkategorie zugeordnet ist modellieren.</t>
        </is>
      </c>
      <c r="F17" s="14" t="n"/>
      <c r="G17" s="14" t="n"/>
      <c r="H17" s="14" t="inlineStr">
        <is>
          <t>unbearbeitet</t>
        </is>
      </c>
      <c r="I17" s="14" t="n"/>
      <c r="J17" s="14" t="n"/>
      <c r="K17" s="14" t="n"/>
      <c r="L17" s="15" t="n"/>
      <c r="M17" s="11" t="inlineStr"/>
      <c r="N17" s="12" t="inlineStr"/>
      <c r="O17" s="11" t="inlineStr"/>
      <c r="P17" s="12" t="inlineStr">
        <is>
          <t>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is>
      </c>
      <c r="Q17" s="11" t="inlineStr"/>
      <c r="R17" s="11" t="inlineStr">
        <is>
          <t>Anforderungspaket</t>
        </is>
      </c>
      <c r="S17" s="12" t="inlineStr">
        <is>
          <t>alle weiteren Anforderungen</t>
        </is>
      </c>
      <c r="T17" s="12" t="inlineStr"/>
      <c r="U17" s="11" t="n">
        <v>0</v>
      </c>
      <c r="V17" s="11" t="n"/>
      <c r="W17" s="11" t="n"/>
      <c r="X17" s="11" t="n"/>
      <c r="Y17" s="11" t="n"/>
    </row>
    <row r="18">
      <c r="A18" s="11" t="inlineStr">
        <is>
          <t>STM.2.1</t>
        </is>
      </c>
      <c r="B18" s="12" t="inlineStr">
        <is>
          <t>Erstellung eines Anforderungspakets</t>
        </is>
      </c>
      <c r="C18" s="11" t="inlineStr">
        <is>
          <t>STM.2.1.6</t>
        </is>
      </c>
      <c r="D18" s="11" t="inlineStr">
        <is>
          <t>Basis-Anforderungen</t>
        </is>
      </c>
      <c r="E18" s="12" t="inlineStr">
        <is>
          <t>Strukturmodellierung MUSS für Assets, für die es noch keine passenden GS++-Anforderungen gibt, zusätzliche Anforderungen dem Anforderungspaket zuweisen.</t>
        </is>
      </c>
      <c r="F18" s="14" t="n"/>
      <c r="G18" s="14" t="n"/>
      <c r="H18" s="14" t="inlineStr">
        <is>
          <t>unbearbeitet</t>
        </is>
      </c>
      <c r="I18" s="14" t="n"/>
      <c r="J18" s="14" t="n"/>
      <c r="K18" s="14" t="n"/>
      <c r="L18" s="15" t="n"/>
      <c r="M18" s="11" t="inlineStr"/>
      <c r="N18" s="12" t="inlineStr"/>
      <c r="O18" s="11" t="inlineStr"/>
      <c r="P18" s="12" t="inlineStr">
        <is>
          <t>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is>
      </c>
      <c r="Q18" s="11" t="inlineStr"/>
      <c r="R18" s="11" t="inlineStr">
        <is>
          <t>Anforderungspaket</t>
        </is>
      </c>
      <c r="S18" s="12" t="inlineStr">
        <is>
          <t>für Assets, für die es noch keine passenden GS++-Anforderungen gibt, zusätzliche Anforderungen</t>
        </is>
      </c>
      <c r="T18" s="12" t="inlineStr"/>
      <c r="U18" s="11" t="n">
        <v>0</v>
      </c>
      <c r="V18" s="11" t="n"/>
      <c r="W18" s="11" t="n"/>
      <c r="X18" s="11" t="n"/>
      <c r="Y18" s="11" t="n"/>
    </row>
    <row r="19">
      <c r="A19" s="11" t="inlineStr">
        <is>
          <t>STM.2.1</t>
        </is>
      </c>
      <c r="B19" s="12" t="inlineStr">
        <is>
          <t>Erstellung eines Anforderungspakets</t>
        </is>
      </c>
      <c r="C19" s="11" t="inlineStr">
        <is>
          <t>STM.2.1.7</t>
        </is>
      </c>
      <c r="D19" s="11" t="inlineStr">
        <is>
          <t>Basis-Anforderungen</t>
        </is>
      </c>
      <c r="E19" s="12" t="inlineStr">
        <is>
          <t>Strukturmodellierung MUSS für das individuelle Compliance-Umfeld der Institution zusätzliche Anforderungen dem Anforderungspaket zuweisen.</t>
        </is>
      </c>
      <c r="F19" s="14" t="n"/>
      <c r="G19" s="14" t="n"/>
      <c r="H19" s="14" t="inlineStr">
        <is>
          <t>unbearbeitet</t>
        </is>
      </c>
      <c r="I19" s="14" t="n"/>
      <c r="J19" s="14" t="n"/>
      <c r="K19" s="14" t="n"/>
      <c r="L19" s="15" t="n"/>
      <c r="M19" s="11" t="inlineStr"/>
      <c r="N19" s="12" t="inlineStr"/>
      <c r="O19" s="11" t="inlineStr"/>
      <c r="P19" s="12" t="inlineStr">
        <is>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is>
      </c>
      <c r="Q19" s="11" t="inlineStr"/>
      <c r="R19" s="11" t="inlineStr">
        <is>
          <t>Anforderungspaket</t>
        </is>
      </c>
      <c r="S19" s="12" t="inlineStr">
        <is>
          <t>für das individuelle Compliance-Umfeld der Institution zusätzliche Anforderungen</t>
        </is>
      </c>
      <c r="T19" s="12" t="inlineStr"/>
      <c r="U19" s="11" t="n">
        <v>0</v>
      </c>
      <c r="V19" s="11" t="n"/>
      <c r="W19" s="11" t="n"/>
      <c r="X19" s="11" t="n"/>
      <c r="Y19" s="11" t="n"/>
    </row>
    <row r="20">
      <c r="A20" s="9" t="inlineStr">
        <is>
          <t>STM.3.1</t>
        </is>
      </c>
      <c r="B20" s="10" t="inlineStr">
        <is>
          <t>Überprüfung des gesetzten Sicherheitsniveaus</t>
        </is>
      </c>
      <c r="C20" s="11" t="n"/>
      <c r="D20" s="11" t="inlineStr">
        <is>
          <t>Standard-Anforderungen</t>
        </is>
      </c>
      <c r="E20" s="12" t="inlineStr">
        <is>
          <t>Gesamt:</t>
        </is>
      </c>
      <c r="F20" s="11" t="n"/>
      <c r="G20" s="11" t="n"/>
      <c r="H20" s="13">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
      </c>
      <c r="I20" s="11" t="n"/>
      <c r="J20" s="11" t="n"/>
      <c r="K20" s="11" t="n"/>
      <c r="L20" s="11" t="n"/>
      <c r="M20" s="11" t="inlineStr"/>
      <c r="N20" s="12" t="inlineStr"/>
      <c r="O20" s="11" t="inlineStr"/>
      <c r="P20" s="12" t="inlineStr">
        <is>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is>
      </c>
      <c r="Q20" s="11" t="inlineStr"/>
      <c r="R20" s="11" t="inlineStr"/>
      <c r="S20" s="12" t="inlineStr">
        <is>
          <t>die initiale Einstufung der Sicherheitsniveaus der Anforderungen im Anforderungspaket</t>
        </is>
      </c>
      <c r="T20" s="12" t="inlineStr"/>
      <c r="U20" s="11" t="n">
        <v>2</v>
      </c>
      <c r="V20" s="11" t="n"/>
      <c r="W20" s="11" t="n"/>
      <c r="X20" s="11" t="n"/>
      <c r="Y20" s="11" t="n"/>
    </row>
    <row r="21">
      <c r="A21" s="11" t="inlineStr">
        <is>
          <t>STM.3.1</t>
        </is>
      </c>
      <c r="B21" s="12" t="inlineStr">
        <is>
          <t>Überprüfung des gesetzten Sicherheitsniveaus</t>
        </is>
      </c>
      <c r="C21" s="11" t="inlineStr">
        <is>
          <t>STM.3.1</t>
        </is>
      </c>
      <c r="D21" s="11" t="inlineStr">
        <is>
          <t>Standard-Anforderungen</t>
        </is>
      </c>
      <c r="E21" s="12" t="inlineStr">
        <is>
          <t>Strukturmodellierung SOLLTE die initiale Einstufung der Sicherheitsniveaus der Anforderungen im Anforderungspaket bei Abweichungen des Kontextes der Institution überprüfen.</t>
        </is>
      </c>
      <c r="F21" s="14" t="n"/>
      <c r="G21" s="14" t="n"/>
      <c r="H21" s="14" t="inlineStr">
        <is>
          <t>unbearbeitet</t>
        </is>
      </c>
      <c r="I21" s="14" t="n"/>
      <c r="J21" s="14" t="n"/>
      <c r="K21" s="14" t="n"/>
      <c r="L21" s="15" t="n"/>
      <c r="M21" s="11" t="inlineStr"/>
      <c r="N21" s="12" t="inlineStr"/>
      <c r="O21" s="11" t="inlineStr"/>
      <c r="P21" s="12" t="inlineStr">
        <is>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is>
      </c>
      <c r="Q21" s="11" t="inlineStr"/>
      <c r="R21" s="11" t="inlineStr"/>
      <c r="S21" s="12" t="inlineStr">
        <is>
          <t>die initiale Einstufung der Sicherheitsniveaus der Anforderungen im Anforderungspaket</t>
        </is>
      </c>
      <c r="T21" s="12" t="inlineStr"/>
      <c r="U21" s="11" t="n">
        <v>2</v>
      </c>
      <c r="V21" s="11" t="n"/>
      <c r="W21" s="11" t="n"/>
      <c r="X21" s="11" t="n"/>
      <c r="Y21" s="11" t="n"/>
    </row>
    <row r="22">
      <c r="A22" s="9" t="inlineStr">
        <is>
          <t>STM.4.1</t>
        </is>
      </c>
      <c r="B22" s="10" t="inlineStr">
        <is>
          <t>Durchführung der Risikobetrachtung</t>
        </is>
      </c>
      <c r="C22" s="11" t="n"/>
      <c r="D22" s="11" t="inlineStr">
        <is>
          <t>Basis-Anforderungen</t>
        </is>
      </c>
      <c r="E22" s="12" t="inlineStr">
        <is>
          <t>Gesamt:</t>
        </is>
      </c>
      <c r="F22" s="11" t="n"/>
      <c r="G22" s="11" t="n"/>
      <c r="H22" s="13">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
      </c>
      <c r="I22" s="11" t="n"/>
      <c r="J22" s="11" t="n"/>
      <c r="K22" s="11" t="n"/>
      <c r="L22" s="11" t="n"/>
      <c r="M22" s="11" t="inlineStr"/>
      <c r="N22" s="12" t="inlineStr"/>
      <c r="O22" s="11" t="inlineStr"/>
      <c r="P22" s="12" t="inlineStr">
        <is>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is>
      </c>
      <c r="Q22" s="11" t="inlineStr"/>
      <c r="R22" s="11" t="inlineStr"/>
      <c r="S22" s="12" t="inlineStr">
        <is>
          <t>eine Risikobetrachtung</t>
        </is>
      </c>
      <c r="T22" s="12" t="inlineStr"/>
      <c r="U22" s="11" t="n">
        <v>0</v>
      </c>
      <c r="V22" s="11" t="n"/>
      <c r="W22" s="11" t="n"/>
      <c r="X22" s="11" t="n"/>
      <c r="Y22" s="11" t="n"/>
    </row>
    <row r="23">
      <c r="A23" s="11" t="inlineStr">
        <is>
          <t>STM.4.1</t>
        </is>
      </c>
      <c r="B23" s="12" t="inlineStr">
        <is>
          <t>Durchführung der Risikobetrachtung</t>
        </is>
      </c>
      <c r="C23" s="11" t="inlineStr">
        <is>
          <t>STM.4.1</t>
        </is>
      </c>
      <c r="D23" s="11" t="inlineStr">
        <is>
          <t>Basis-Anforderungen</t>
        </is>
      </c>
      <c r="E23" s="12" t="inlineStr">
        <is>
          <t>Strukturmodellierung MUSS eine Risikobetrachtung bei durch die GS++-Methodik festgeleger Notwendigkeit ausführen.</t>
        </is>
      </c>
      <c r="F23" s="14" t="n"/>
      <c r="G23" s="14" t="n"/>
      <c r="H23" s="14" t="inlineStr">
        <is>
          <t>unbearbeitet</t>
        </is>
      </c>
      <c r="I23" s="14" t="n"/>
      <c r="J23" s="14" t="n"/>
      <c r="K23" s="14" t="n"/>
      <c r="L23" s="15" t="n"/>
      <c r="M23" s="11" t="inlineStr"/>
      <c r="N23" s="12" t="inlineStr"/>
      <c r="O23" s="11" t="inlineStr"/>
      <c r="P23" s="12" t="inlineStr">
        <is>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is>
      </c>
      <c r="Q23" s="11" t="inlineStr"/>
      <c r="R23" s="11" t="inlineStr"/>
      <c r="S23" s="12" t="inlineStr">
        <is>
          <t>eine Risikobetrachtung</t>
        </is>
      </c>
      <c r="T23" s="12" t="inlineStr"/>
      <c r="U23" s="11" t="n">
        <v>0</v>
      </c>
      <c r="V23" s="11" t="n"/>
      <c r="W23" s="11" t="n"/>
      <c r="X23" s="11" t="n"/>
      <c r="Y23" s="11" t="n"/>
    </row>
    <row r="24">
      <c r="A24" s="9" t="inlineStr">
        <is>
          <t>STM.5.1</t>
        </is>
      </c>
      <c r="B24" s="10" t="inlineStr">
        <is>
          <t>Setzen von Parametern</t>
        </is>
      </c>
      <c r="C24" s="11" t="n"/>
      <c r="D24" s="11" t="inlineStr">
        <is>
          <t>Basis-Anforderungen</t>
        </is>
      </c>
      <c r="E24" s="12" t="inlineStr">
        <is>
          <t>Gesamt:</t>
        </is>
      </c>
      <c r="F24" s="11" t="n"/>
      <c r="G24" s="11" t="n"/>
      <c r="H24" s="13">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
      </c>
      <c r="I24" s="11" t="n"/>
      <c r="J24" s="11" t="n"/>
      <c r="K24" s="11" t="n"/>
      <c r="L24" s="11" t="n"/>
      <c r="M24" s="11" t="inlineStr"/>
      <c r="N24" s="12" t="inlineStr"/>
      <c r="O24" s="11" t="inlineStr"/>
      <c r="P24" s="12" t="inlineStr">
        <is>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is>
      </c>
      <c r="Q24" s="11" t="inlineStr"/>
      <c r="R24" s="11" t="inlineStr"/>
      <c r="S24" s="12" t="inlineStr">
        <is>
          <t>bei Anforderungen mit Parametern</t>
        </is>
      </c>
      <c r="T24" s="12" t="inlineStr"/>
      <c r="U24" s="11" t="n">
        <v>0</v>
      </c>
      <c r="V24" s="11" t="n"/>
      <c r="W24" s="11" t="n"/>
      <c r="X24" s="11" t="n"/>
      <c r="Y24" s="11" t="n"/>
    </row>
    <row r="25">
      <c r="A25" s="11" t="inlineStr">
        <is>
          <t>STM.5.1</t>
        </is>
      </c>
      <c r="B25" s="12" t="inlineStr">
        <is>
          <t>Setzen von Parametern</t>
        </is>
      </c>
      <c r="C25" s="11" t="inlineStr">
        <is>
          <t>STM.5.1</t>
        </is>
      </c>
      <c r="D25" s="11" t="inlineStr">
        <is>
          <t>Basis-Anforderungen</t>
        </is>
      </c>
      <c r="E25" s="12" t="inlineStr">
        <is>
          <t>Strukturmodellierung MUSS bei Anforderungen mit Parametern konkrete Werte zuweisen.</t>
        </is>
      </c>
      <c r="F25" s="14" t="n"/>
      <c r="G25" s="14" t="n"/>
      <c r="H25" s="14" t="inlineStr">
        <is>
          <t>unbearbeitet</t>
        </is>
      </c>
      <c r="I25" s="14" t="n"/>
      <c r="J25" s="14" t="n"/>
      <c r="K25" s="14" t="n"/>
      <c r="L25" s="15" t="n"/>
      <c r="M25" s="11" t="inlineStr"/>
      <c r="N25" s="12" t="inlineStr"/>
      <c r="O25" s="11" t="inlineStr"/>
      <c r="P25" s="12" t="inlineStr">
        <is>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is>
      </c>
      <c r="Q25" s="11" t="inlineStr"/>
      <c r="R25" s="11" t="inlineStr"/>
      <c r="S25" s="12" t="inlineStr">
        <is>
          <t>bei Anforderungen mit Parametern</t>
        </is>
      </c>
      <c r="T25" s="12" t="inlineStr"/>
      <c r="U25" s="11" t="n">
        <v>0</v>
      </c>
      <c r="V25" s="11" t="n"/>
      <c r="W25" s="11" t="n"/>
      <c r="X25" s="11" t="n"/>
      <c r="Y25" s="11" t="n"/>
    </row>
  </sheetData>
  <autoFilter ref="A6:Y6"/>
  <conditionalFormatting sqref="H7:H25">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10 H12 H13 H14 H15 H16 H17 H18 H19 H21 H23 H25"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57"/>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TEST</t>
        </is>
      </c>
      <c r="B3" s="6" t="inlineStr">
        <is>
          <t>Änderungen und Tests</t>
        </is>
      </c>
    </row>
    <row r="4">
      <c r="A4" s="3" t="inlineStr">
        <is>
          <t>Zielobjekte</t>
        </is>
      </c>
      <c r="B4" s="7">
        <f>IF('Praktiken'!D22="","",'Praktiken'!D22)</f>
        <v/>
      </c>
    </row>
    <row r="5">
      <c r="A5" s="3" t="inlineStr">
        <is>
          <t>Zuständig</t>
        </is>
      </c>
      <c r="B5" s="7">
        <f>IF('Praktiken'!S22="","",'Praktiken'!S22)</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TEST.1.1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IND.1.A6-UA.1; INF.13.A16-UA.2</t>
        </is>
      </c>
      <c r="O7" s="11" t="inlineStr">
        <is>
          <t>subset-of; subset-of</t>
        </is>
      </c>
      <c r="P7" s="12" t="inlineStr">
        <is>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is>
      </c>
      <c r="Q7" s="11" t="inlineStr"/>
      <c r="R7" s="11" t="inlineStr">
        <is>
          <t>IT-Betriebskonzept</t>
        </is>
      </c>
      <c r="S7" s="12" t="inlineStr">
        <is>
          <t>Verfahren und Regelungen zum Management von Neueinführungen, Änderungen oder der Entfernung von Komponenten</t>
        </is>
      </c>
      <c r="T7" s="12" t="inlineStr">
        <is>
          <t>G 0.18 – Fehlplanung oder fehlende Anpassung</t>
        </is>
      </c>
      <c r="U7" s="11" t="n">
        <v>0</v>
      </c>
      <c r="V7" s="11" t="n">
        <v>1</v>
      </c>
      <c r="W7" s="11" t="n">
        <v>1</v>
      </c>
      <c r="X7" s="11" t="n">
        <v>1</v>
      </c>
      <c r="Y7" s="11" t="n">
        <v>0</v>
      </c>
    </row>
    <row r="8">
      <c r="A8" s="11" t="inlineStr">
        <is>
          <t>TEST.1.1</t>
        </is>
      </c>
      <c r="B8" s="12" t="inlineStr">
        <is>
          <t>Verfahren und Regelungen</t>
        </is>
      </c>
      <c r="C8" s="11" t="inlineStr">
        <is>
          <t>TEST.1.1.1</t>
        </is>
      </c>
      <c r="D8" s="11" t="inlineStr">
        <is>
          <t>Basis-Anforderungen</t>
        </is>
      </c>
      <c r="E8" s="12" t="inlineStr">
        <is>
          <t>Änderungen und Tests MUSS die Verfahren und Regelungen dokumentieren.</t>
        </is>
      </c>
      <c r="F8" s="14" t="n"/>
      <c r="G8" s="14" t="n"/>
      <c r="H8" s="14" t="inlineStr">
        <is>
          <t>unbearbeitet</t>
        </is>
      </c>
      <c r="I8" s="14" t="n"/>
      <c r="J8" s="14" t="n"/>
      <c r="K8" s="14" t="n"/>
      <c r="L8" s="15" t="n"/>
      <c r="M8" s="11" t="inlineStr"/>
      <c r="N8" s="12" t="inlineStr">
        <is>
          <t>CON.11.1.A2-UA.3; OPS.1.1.2.A11-UA.4</t>
        </is>
      </c>
      <c r="O8" s="11" t="inlineStr">
        <is>
          <t>intersects-with; subset-of</t>
        </is>
      </c>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t>
        </is>
      </c>
      <c r="U8" s="11" t="n">
        <v>0</v>
      </c>
      <c r="V8" s="11" t="n">
        <v>1</v>
      </c>
      <c r="W8" s="11" t="n">
        <v>1</v>
      </c>
      <c r="X8" s="11" t="n">
        <v>1</v>
      </c>
      <c r="Y8" s="11" t="n">
        <v>0</v>
      </c>
    </row>
    <row r="9">
      <c r="A9" s="11" t="inlineStr">
        <is>
          <t>TEST.1.1</t>
        </is>
      </c>
      <c r="B9" s="12" t="inlineStr">
        <is>
          <t>Verfahren und Regelungen</t>
        </is>
      </c>
      <c r="C9" s="11" t="inlineStr">
        <is>
          <t>TEST.1.1.2</t>
        </is>
      </c>
      <c r="D9" s="11" t="inlineStr">
        <is>
          <t>Basis-Anforderungen</t>
        </is>
      </c>
      <c r="E9" s="12" t="inlineStr">
        <is>
          <t>Änderungen und Tests MUSS die mit den Verfahren und Regelungen verbundenen Aufgaben zuständigen Personen oder Rollen zuweisen.</t>
        </is>
      </c>
      <c r="F9" s="14" t="n"/>
      <c r="G9" s="14" t="n"/>
      <c r="H9" s="14" t="inlineStr">
        <is>
          <t>unbearbeitet</t>
        </is>
      </c>
      <c r="I9" s="14" t="n"/>
      <c r="J9" s="14" t="n"/>
      <c r="K9" s="14" t="n"/>
      <c r="L9" s="15" t="n"/>
      <c r="M9" s="11" t="inlineStr"/>
      <c r="N9" s="12" t="inlineStr">
        <is>
          <t>OPS.1.1.1.A1-UA.2; OPS.1.1.2.A7-UA.2</t>
        </is>
      </c>
      <c r="O9" s="11" t="inlineStr">
        <is>
          <t>intersects-with; intersects-with</t>
        </is>
      </c>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t>
        </is>
      </c>
      <c r="U9" s="11" t="n">
        <v>0</v>
      </c>
      <c r="V9" s="11" t="n">
        <v>1</v>
      </c>
      <c r="W9" s="11" t="n">
        <v>1</v>
      </c>
      <c r="X9" s="11" t="n">
        <v>1</v>
      </c>
      <c r="Y9" s="11" t="n">
        <v>0</v>
      </c>
    </row>
    <row r="10">
      <c r="A10" s="11" t="inlineStr">
        <is>
          <t>TEST.1.1</t>
        </is>
      </c>
      <c r="B10" s="12" t="inlineStr">
        <is>
          <t>Verfahren und Regelungen</t>
        </is>
      </c>
      <c r="C10" s="11" t="inlineStr">
        <is>
          <t>TEST.1.1.3</t>
        </is>
      </c>
      <c r="D10" s="11" t="inlineStr">
        <is>
          <t>Basis-Anforderungen</t>
        </is>
      </c>
      <c r="E10" s="12" t="inlineStr">
        <is>
          <t>Änderungen und Tests MUSS die zuständigen Personen oder Rollen über die Verfahren und Regelungen informieren.</t>
        </is>
      </c>
      <c r="F10" s="14" t="n"/>
      <c r="G10" s="14" t="n"/>
      <c r="H10" s="14" t="inlineStr">
        <is>
          <t>unbearbeitet</t>
        </is>
      </c>
      <c r="I10" s="14" t="n"/>
      <c r="J10" s="14" t="n"/>
      <c r="K10" s="14" t="n"/>
      <c r="L10" s="15" t="n"/>
      <c r="M10" s="11" t="inlineStr"/>
      <c r="N10" s="12" t="inlineStr">
        <is>
          <t>ISMS.1.A8-UA.6; ORP.1.A1-UA.4; ORP.2.A1-UA.2</t>
        </is>
      </c>
      <c r="O10" s="11" t="inlineStr">
        <is>
          <t>superset-of; superset-of; superset-of</t>
        </is>
      </c>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0.29 – Verstoß gegen Gesetze oder Regelungen</t>
        </is>
      </c>
      <c r="U10" s="11" t="n">
        <v>0</v>
      </c>
      <c r="V10" s="11" t="n">
        <v>1</v>
      </c>
      <c r="W10" s="11" t="n">
        <v>1</v>
      </c>
      <c r="X10" s="11" t="n">
        <v>1</v>
      </c>
      <c r="Y10" s="11" t="n">
        <v>0</v>
      </c>
    </row>
    <row r="11">
      <c r="A11" s="9" t="inlineStr">
        <is>
          <t>TEST.1.2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is>
          <t>ORP.1.A1-UA.3</t>
        </is>
      </c>
      <c r="O11" s="11" t="inlineStr">
        <is>
          <t>equal-to</t>
        </is>
      </c>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TEST.1.2</t>
        </is>
      </c>
      <c r="B12" s="12" t="inlineStr">
        <is>
          <t>Regelmäßige Überprüfung</t>
        </is>
      </c>
      <c r="C12" s="11" t="inlineStr">
        <is>
          <t>TEST.1.2</t>
        </is>
      </c>
      <c r="D12" s="11" t="inlineStr">
        <is>
          <t>Basis-Anforderungen</t>
        </is>
      </c>
      <c r="E12" s="12" t="inlineStr">
        <is>
          <t>Änderungen und Tests MUSS die Verfahren und Regelungen regelmäßig und anlassbezogen auf Aktualität überprüfen.</t>
        </is>
      </c>
      <c r="F12" s="14" t="n"/>
      <c r="G12" s="14" t="n"/>
      <c r="H12" s="14" t="inlineStr">
        <is>
          <t>unbearbeitet</t>
        </is>
      </c>
      <c r="I12" s="14" t="n"/>
      <c r="J12" s="14" t="n"/>
      <c r="K12" s="14" t="n"/>
      <c r="L12" s="15" t="n"/>
      <c r="M12" s="11" t="inlineStr"/>
      <c r="N12" s="12" t="inlineStr">
        <is>
          <t>ORP.1.A1-UA.3</t>
        </is>
      </c>
      <c r="O12" s="11" t="inlineStr">
        <is>
          <t>equal-to</t>
        </is>
      </c>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TEST.1.3</t>
        </is>
      </c>
      <c r="B13" s="10" t="inlineStr">
        <is>
          <t>Einschränkung von Änderungen</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is>
          <t>Vertraulichkeit, Integrität</t>
        </is>
      </c>
      <c r="N13" s="12" t="inlineStr">
        <is>
          <t>APP.4.4.A3-UA.6; APP.5.3.A1-UA.3; IND.1.A8-UA.2; IND.2.7.A6-UA.1; OPS.1.1.2.A23-UA.1; OPS.1.1.2.A5-UA.4; SYS.2.1.A8-UA.4; SYS.2.3.A1-UA.2</t>
        </is>
      </c>
      <c r="O13" s="11" t="inlineStr">
        <is>
          <t>subset-of; subset-of; subset-of; subset-of; superset-of; intersects-with; subset-of; intersects-with</t>
        </is>
      </c>
      <c r="P13" s="12" t="inlineStr">
        <is>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is>
      </c>
      <c r="Q13" s="11" t="inlineStr"/>
      <c r="R13" s="11" t="inlineStr">
        <is>
          <t>IT-Betriebskonzept</t>
        </is>
      </c>
      <c r="S13" s="12" t="inlineStr">
        <is>
          <t>die Durchführung von Änderungen</t>
        </is>
      </c>
      <c r="T13" s="12" t="inlineStr">
        <is>
          <t>G 0.18 – Fehlplanung oder fehlende Anpassung; G 0.30 – Unberechtigte Nutzung oder Administration von Geräten und Systemen; G 0.23 – Unbefugtes Eindringen in IT-Systeme</t>
        </is>
      </c>
      <c r="U13" s="11" t="n">
        <v>2</v>
      </c>
      <c r="V13" s="11" t="n">
        <v>2</v>
      </c>
      <c r="W13" s="11" t="n">
        <v>2</v>
      </c>
      <c r="X13" s="11" t="n">
        <v>1</v>
      </c>
      <c r="Y13" s="11" t="n">
        <v>1</v>
      </c>
    </row>
    <row r="14">
      <c r="A14" s="11" t="inlineStr">
        <is>
          <t>TEST.1.3</t>
        </is>
      </c>
      <c r="B14" s="12" t="inlineStr">
        <is>
          <t>Einschränkung von Änderungen</t>
        </is>
      </c>
      <c r="C14" s="11" t="inlineStr">
        <is>
          <t>TEST.1.3</t>
        </is>
      </c>
      <c r="D14" s="11" t="inlineStr">
        <is>
          <t>Standard-Anforderungen</t>
        </is>
      </c>
      <c r="E14" s="12" t="inlineStr">
        <is>
          <t>Änderungen und Tests SOLLTE die Durchführung von Änderungen auf Administrierende einschränken.</t>
        </is>
      </c>
      <c r="F14" s="14" t="n"/>
      <c r="G14" s="14" t="n"/>
      <c r="H14" s="14" t="inlineStr">
        <is>
          <t>unbearbeitet</t>
        </is>
      </c>
      <c r="I14" s="14" t="n"/>
      <c r="J14" s="14" t="n"/>
      <c r="K14" s="14" t="n"/>
      <c r="L14" s="15" t="n"/>
      <c r="M14" s="11" t="inlineStr">
        <is>
          <t>Vertraulichkeit, Integrität</t>
        </is>
      </c>
      <c r="N14" s="12" t="inlineStr">
        <is>
          <t>APP.4.4.A3-UA.6; APP.5.3.A1-UA.3; IND.1.A8-UA.2; IND.2.7.A6-UA.1; OPS.1.1.2.A23-UA.1; OPS.1.1.2.A5-UA.4; SYS.2.1.A8-UA.4; SYS.2.3.A1-UA.2</t>
        </is>
      </c>
      <c r="O14" s="11" t="inlineStr">
        <is>
          <t>subset-of; subset-of; subset-of; subset-of; superset-of; intersects-with; subset-of; intersects-with</t>
        </is>
      </c>
      <c r="P14" s="12" t="inlineStr">
        <is>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is>
      </c>
      <c r="Q14" s="11" t="inlineStr"/>
      <c r="R14" s="11" t="inlineStr">
        <is>
          <t>IT-Betriebskonzept</t>
        </is>
      </c>
      <c r="S14" s="12" t="inlineStr">
        <is>
          <t>die Durchführung von Änderungen</t>
        </is>
      </c>
      <c r="T14" s="12" t="inlineStr">
        <is>
          <t>G 0.18 – Fehlplanung oder fehlende Anpassung; G 0.30 – Unberechtigte Nutzung oder Administration von Geräten und Systemen; G 0.23 – Unbefugtes Eindringen in IT-Systeme</t>
        </is>
      </c>
      <c r="U14" s="11" t="n">
        <v>2</v>
      </c>
      <c r="V14" s="11" t="n">
        <v>2</v>
      </c>
      <c r="W14" s="11" t="n">
        <v>2</v>
      </c>
      <c r="X14" s="11" t="n">
        <v>1</v>
      </c>
      <c r="Y14" s="11" t="n">
        <v>1</v>
      </c>
    </row>
    <row r="15">
      <c r="A15" s="9" t="inlineStr">
        <is>
          <t>TEST.2.1</t>
        </is>
      </c>
      <c r="B15" s="10" t="inlineStr">
        <is>
          <t>Versionshistorie</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is>
          <t>CON.8.A10-UA.3; IND.1.A20-UA.3; INF.13.A21-UA.4; SYS.1.6.A20-UA.2</t>
        </is>
      </c>
      <c r="O15" s="11" t="inlineStr">
        <is>
          <t>equivalent-to; subset-of; subset-of; superset-of</t>
        </is>
      </c>
      <c r="P15" s="12" t="inlineStr">
        <is>
          <t>Wesentlich sind Änderungen, wenn sie Auswirkungen auf die Informationssicherheit von Produktivsystemen und -anwendungen haben können, die über eine geringe Anzahl von Nutzenden hinausgeht.</t>
        </is>
      </c>
      <c r="Q15" s="11" t="inlineStr"/>
      <c r="R15" s="11" t="inlineStr">
        <is>
          <t>Audit Log</t>
        </is>
      </c>
      <c r="S15" s="12" t="inlineStr">
        <is>
          <t>eine Versionshistorie</t>
        </is>
      </c>
      <c r="T15" s="12" t="inlineStr">
        <is>
          <t>G 0.18 – Fehlplanung oder fehlende Anpassung</t>
        </is>
      </c>
      <c r="U15" s="11" t="n">
        <v>3</v>
      </c>
      <c r="V15" s="11" t="n">
        <v>1</v>
      </c>
      <c r="W15" s="11" t="n">
        <v>1</v>
      </c>
      <c r="X15" s="11" t="n">
        <v>1</v>
      </c>
      <c r="Y15" s="11" t="n">
        <v>0</v>
      </c>
    </row>
    <row r="16">
      <c r="A16" s="11" t="inlineStr">
        <is>
          <t>TEST.2.1</t>
        </is>
      </c>
      <c r="B16" s="12" t="inlineStr">
        <is>
          <t>Versionshistorie</t>
        </is>
      </c>
      <c r="C16" s="11" t="inlineStr">
        <is>
          <t>TEST.2.1</t>
        </is>
      </c>
      <c r="D16" s="11" t="inlineStr">
        <is>
          <t>Standard-Anforderungen</t>
        </is>
      </c>
      <c r="E16" s="12" t="inlineStr">
        <is>
          <t>Änderungen und Tests SOLLTE eine Versionshistorie wesentlicher Änderungen protokollieren.</t>
        </is>
      </c>
      <c r="F16" s="14" t="n"/>
      <c r="G16" s="14" t="n"/>
      <c r="H16" s="14" t="inlineStr">
        <is>
          <t>unbearbeitet</t>
        </is>
      </c>
      <c r="I16" s="14" t="n"/>
      <c r="J16" s="14" t="n"/>
      <c r="K16" s="14" t="n"/>
      <c r="L16" s="15" t="n"/>
      <c r="M16" s="11" t="inlineStr"/>
      <c r="N16" s="12" t="inlineStr">
        <is>
          <t>CON.8.A10-UA.3; IND.1.A20-UA.3; INF.13.A21-UA.4; SYS.1.6.A20-UA.2</t>
        </is>
      </c>
      <c r="O16" s="11" t="inlineStr">
        <is>
          <t>equivalent-to; subset-of; subset-of; superset-of</t>
        </is>
      </c>
      <c r="P16" s="12" t="inlineStr">
        <is>
          <t>Wesentlich sind Änderungen, wenn sie Auswirkungen auf die Informationssicherheit von Produktivsystemen und -anwendungen haben können, die über eine geringe Anzahl von Nutzenden hinausgeht.</t>
        </is>
      </c>
      <c r="Q16" s="11" t="inlineStr"/>
      <c r="R16" s="11" t="inlineStr">
        <is>
          <t>Audit Log</t>
        </is>
      </c>
      <c r="S16" s="12" t="inlineStr">
        <is>
          <t>eine Versionshistorie</t>
        </is>
      </c>
      <c r="T16" s="12" t="inlineStr">
        <is>
          <t>G 0.18 – Fehlplanung oder fehlende Anpassung</t>
        </is>
      </c>
      <c r="U16" s="11" t="n">
        <v>3</v>
      </c>
      <c r="V16" s="11" t="n">
        <v>1</v>
      </c>
      <c r="W16" s="11" t="n">
        <v>1</v>
      </c>
      <c r="X16" s="11" t="n">
        <v>1</v>
      </c>
      <c r="Y16" s="11" t="n">
        <v>0</v>
      </c>
    </row>
    <row r="17">
      <c r="A17" s="9" t="inlineStr">
        <is>
          <t>TEST.2.2</t>
        </is>
      </c>
      <c r="B17" s="10" t="inlineStr">
        <is>
          <t>Folgenabschätzung</t>
        </is>
      </c>
      <c r="C17" s="11" t="n"/>
      <c r="D17" s="11" t="inlineStr">
        <is>
          <t>Standard-Anforderungen</t>
        </is>
      </c>
      <c r="E17" s="12" t="inlineStr">
        <is>
          <t>Gesamt:</t>
        </is>
      </c>
      <c r="F17" s="11" t="n"/>
      <c r="G17" s="11" t="n"/>
      <c r="H17" s="13">
        <f>IF(OR(COUNTBLANK($H$18:$H$21)&gt;0,COUNTIF($H$18:$H$21,"unbearbeitet")=COUNTA($H$18:$H$21)),"Bitte Teilanforderungen ausfüllen",IF(COUNTIF($H$18:$H$21,"zu klären")&gt;0,"zu klären",IF(COUNTIF($H$18:$H$21,"entbehrlich")=COUNTA($H$18:$H$21),"entbehrlich",IF(COUNTIF($H$18:$H$21,"verwiesen")=COUNTA($H$18:$H$21),"verwiesen",IF(COUNTIF($H$18:$H$21,"nein")+COUNTIF($H$18:$H$21,"entbehrlich")=COUNTA($H$18:$H$21),"nein",IF(COUNTIF($H$18:$H$21,"ja")+COUNTIF($H$18:$H$21,"entbehrlich")+COUNTIF($H$18:$H$21,"verwiesen")=COUNTA($H$18:$H$21),"ja","teilweise"))))))</f>
        <v/>
      </c>
      <c r="I17" s="11" t="n"/>
      <c r="J17" s="11" t="n"/>
      <c r="K17" s="11" t="n"/>
      <c r="L17" s="11" t="n"/>
      <c r="M17" s="11" t="inlineStr"/>
      <c r="N17" s="12" t="inlineStr">
        <is>
          <t>OPS.1.1.2.A24-UA.4; OPS.1.1.3.A1-UA.6; OPS.1.1.3.A7-UA.2</t>
        </is>
      </c>
      <c r="O17" s="11" t="inlineStr">
        <is>
          <t>superset-of; intersects-with; subset-of</t>
        </is>
      </c>
      <c r="P17" s="12" t="inlineStr">
        <is>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is>
      </c>
      <c r="Q17" s="11" t="inlineStr">
        <is>
          <t>Administrierende</t>
        </is>
      </c>
      <c r="R17" s="11" t="inlineStr">
        <is>
          <t>IT-Betriebskonzept</t>
        </is>
      </c>
      <c r="S17" s="12" t="inlineStr">
        <is>
          <t>zu einer strukturierten Folgenabschätzung</t>
        </is>
      </c>
      <c r="T17" s="12" t="inlineStr">
        <is>
          <t>G 0.18 – Fehlplanung oder fehlende Anpassung</t>
        </is>
      </c>
      <c r="U17" s="11" t="n">
        <v>2</v>
      </c>
      <c r="V17" s="11" t="n">
        <v>1</v>
      </c>
      <c r="W17" s="11" t="n">
        <v>1</v>
      </c>
      <c r="X17" s="11" t="n">
        <v>1</v>
      </c>
      <c r="Y17" s="11" t="n">
        <v>0</v>
      </c>
    </row>
    <row r="18">
      <c r="A18" s="11" t="inlineStr">
        <is>
          <t>TEST.2.2</t>
        </is>
      </c>
      <c r="B18" s="12" t="inlineStr">
        <is>
          <t>Folgenabschätzung</t>
        </is>
      </c>
      <c r="C18" s="11" t="inlineStr">
        <is>
          <t>TEST.2.2</t>
        </is>
      </c>
      <c r="D18" s="11" t="inlineStr">
        <is>
          <t>Standard-Anforderungen</t>
        </is>
      </c>
      <c r="E18" s="12" t="inlineStr">
        <is>
          <t>Änderungen und Tests für Administrierende SOLLTE zu einer strukturierten Folgenabschätzung vor wesentlichen Änderungen anweisen.</t>
        </is>
      </c>
      <c r="F18" s="14" t="n"/>
      <c r="G18" s="14" t="n"/>
      <c r="H18" s="14" t="inlineStr">
        <is>
          <t>unbearbeitet</t>
        </is>
      </c>
      <c r="I18" s="14" t="n"/>
      <c r="J18" s="14" t="n"/>
      <c r="K18" s="14" t="n"/>
      <c r="L18" s="15" t="n"/>
      <c r="M18" s="11" t="inlineStr"/>
      <c r="N18" s="12" t="inlineStr">
        <is>
          <t>OPS.1.1.2.A24-UA.4; OPS.1.1.3.A1-UA.6; OPS.1.1.3.A7-UA.2</t>
        </is>
      </c>
      <c r="O18" s="11" t="inlineStr">
        <is>
          <t>superset-of; intersects-with; subset-of</t>
        </is>
      </c>
      <c r="P18" s="12" t="inlineStr">
        <is>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is>
      </c>
      <c r="Q18" s="11" t="inlineStr">
        <is>
          <t>Administrierende</t>
        </is>
      </c>
      <c r="R18" s="11" t="inlineStr">
        <is>
          <t>IT-Betriebskonzept</t>
        </is>
      </c>
      <c r="S18" s="12" t="inlineStr">
        <is>
          <t>zu einer strukturierten Folgenabschätzung</t>
        </is>
      </c>
      <c r="T18" s="12" t="inlineStr">
        <is>
          <t>G 0.18 – Fehlplanung oder fehlende Anpassung</t>
        </is>
      </c>
      <c r="U18" s="11" t="n">
        <v>2</v>
      </c>
      <c r="V18" s="11" t="n">
        <v>1</v>
      </c>
      <c r="W18" s="11" t="n">
        <v>1</v>
      </c>
      <c r="X18" s="11" t="n">
        <v>1</v>
      </c>
      <c r="Y18" s="11" t="n">
        <v>0</v>
      </c>
    </row>
    <row r="19">
      <c r="A19" s="11" t="inlineStr">
        <is>
          <t>TEST.2.2</t>
        </is>
      </c>
      <c r="B19" s="12" t="inlineStr">
        <is>
          <t>Folgenabschätzung</t>
        </is>
      </c>
      <c r="C19" s="11" t="inlineStr">
        <is>
          <t>TEST.2.2.1</t>
        </is>
      </c>
      <c r="D19" s="11" t="inlineStr">
        <is>
          <t>Standard-Anforderungen</t>
        </is>
      </c>
      <c r="E19" s="12" t="inlineStr">
        <is>
          <t>Änderungen und Tests SOLLTE Änderungsvorhaben einer Kategorie zuweisen.</t>
        </is>
      </c>
      <c r="F19" s="14" t="n"/>
      <c r="G19" s="14" t="n"/>
      <c r="H19" s="14" t="inlineStr">
        <is>
          <t>unbearbeitet</t>
        </is>
      </c>
      <c r="I19" s="14" t="n"/>
      <c r="J19" s="14" t="n"/>
      <c r="K19" s="14" t="n"/>
      <c r="L19" s="15" t="n"/>
      <c r="M19" s="11" t="inlineStr"/>
      <c r="N19" s="12" t="inlineStr">
        <is>
          <t>INF.13.A16-UA.3</t>
        </is>
      </c>
      <c r="O19" s="11" t="inlineStr">
        <is>
          <t>intersects-with</t>
        </is>
      </c>
      <c r="P19" s="12" t="inlineStr">
        <is>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is>
      </c>
      <c r="Q19" s="11" t="inlineStr"/>
      <c r="R19" s="11" t="inlineStr">
        <is>
          <t>IT-Betriebskonzept</t>
        </is>
      </c>
      <c r="S19" s="12" t="inlineStr">
        <is>
          <t>Änderungsvorhaben einer Kategorie</t>
        </is>
      </c>
      <c r="T19" s="12" t="inlineStr">
        <is>
          <t>G 0.18 – Fehlplanung oder fehlende Anpassung</t>
        </is>
      </c>
      <c r="U19" s="11" t="n">
        <v>3</v>
      </c>
      <c r="V19" s="11" t="n">
        <v>1</v>
      </c>
      <c r="W19" s="11" t="n">
        <v>1</v>
      </c>
      <c r="X19" s="11" t="n">
        <v>1</v>
      </c>
      <c r="Y19" s="11" t="n">
        <v>0</v>
      </c>
    </row>
    <row r="20">
      <c r="A20" s="11" t="inlineStr">
        <is>
          <t>TEST.2.2</t>
        </is>
      </c>
      <c r="B20" s="12" t="inlineStr">
        <is>
          <t>Folgenabschätzung</t>
        </is>
      </c>
      <c r="C20" s="11" t="inlineStr">
        <is>
          <t>TEST.2.2.2</t>
        </is>
      </c>
      <c r="D20" s="11" t="inlineStr">
        <is>
          <t>Standard-Anforderungen</t>
        </is>
      </c>
      <c r="E20" s="12" t="inlineStr">
        <is>
          <t>Änderungen und Tests SOLLTE die geplanten Änderungen dokumentieren.</t>
        </is>
      </c>
      <c r="F20" s="14" t="n"/>
      <c r="G20" s="14" t="n"/>
      <c r="H20" s="14" t="inlineStr">
        <is>
          <t>unbearbeitet</t>
        </is>
      </c>
      <c r="I20" s="14" t="n"/>
      <c r="J20" s="14" t="n"/>
      <c r="K20" s="14" t="n"/>
      <c r="L20" s="15" t="n"/>
      <c r="M20" s="11" t="inlineStr"/>
      <c r="N20" s="12" t="inlineStr">
        <is>
          <t>INF.12.A10-UA.5; NET.3.4.A18-UA.5; OPS.1.1.3.A11-UA.1; OPS.1.2.2.A16-UA.4</t>
        </is>
      </c>
      <c r="O20" s="11" t="inlineStr">
        <is>
          <t>subset-of; subset-of; intersects-with; intersects-with</t>
        </is>
      </c>
      <c r="P20" s="12" t="inlineStr">
        <is>
          <t>Je nach Inhalt der Änderung können hierzu Konfigurationsdateien, Sicherheitsrichtlinien, oder begleitende Dokumente wie ein IT-Betriebshandbuch oder für Nutzende gedachte Anwenderhandbücher oder Wikis gehören.</t>
        </is>
      </c>
      <c r="Q20" s="11" t="inlineStr"/>
      <c r="R20" s="11" t="inlineStr">
        <is>
          <t>Ergebnisprotokoll</t>
        </is>
      </c>
      <c r="S20" s="12" t="inlineStr">
        <is>
          <t>die geplanten Änderungen</t>
        </is>
      </c>
      <c r="T20" s="12" t="inlineStr">
        <is>
          <t>G 0.18 – Fehlplanung oder fehlende Anpassung</t>
        </is>
      </c>
      <c r="U20" s="11" t="n">
        <v>2</v>
      </c>
      <c r="V20" s="11" t="n">
        <v>1</v>
      </c>
      <c r="W20" s="11" t="n">
        <v>1</v>
      </c>
      <c r="X20" s="11" t="n">
        <v>1</v>
      </c>
      <c r="Y20" s="11" t="n">
        <v>0</v>
      </c>
    </row>
    <row r="21">
      <c r="A21" s="11" t="inlineStr">
        <is>
          <t>TEST.2.2</t>
        </is>
      </c>
      <c r="B21" s="12" t="inlineStr">
        <is>
          <t>Folgenabschätzung</t>
        </is>
      </c>
      <c r="C21" s="11" t="inlineStr">
        <is>
          <t>TEST.2.2.3</t>
        </is>
      </c>
      <c r="D21" s="11" t="inlineStr">
        <is>
          <t>Standard-Anforderungen</t>
        </is>
      </c>
      <c r="E21" s="12" t="inlineStr">
        <is>
          <t>Änderungen und Tests SOLLTE von der Änderung betroffene Abhängigkeiten dokumentieren.</t>
        </is>
      </c>
      <c r="F21" s="14" t="n"/>
      <c r="G21" s="14" t="n"/>
      <c r="H21" s="14" t="inlineStr">
        <is>
          <t>unbearbeitet</t>
        </is>
      </c>
      <c r="I21" s="14" t="n"/>
      <c r="J21" s="14" t="n"/>
      <c r="K21" s="14" t="n"/>
      <c r="L21" s="15" t="n"/>
      <c r="M21" s="11" t="inlineStr">
        <is>
          <t>Verfügbarkeit</t>
        </is>
      </c>
      <c r="N21" s="12" t="inlineStr">
        <is>
          <t>CON.10.A11-UA.1; INF.13.A17-UA.4; NET.3.4.A18-UA.2</t>
        </is>
      </c>
      <c r="O21" s="11" t="inlineStr">
        <is>
          <t>intersects-with; intersects-with; subset-of</t>
        </is>
      </c>
      <c r="P21" s="12" t="inlineStr">
        <is>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is>
      </c>
      <c r="Q21" s="11" t="inlineStr"/>
      <c r="R21" s="11" t="inlineStr">
        <is>
          <t>Systemdokumentation</t>
        </is>
      </c>
      <c r="S21" s="12" t="inlineStr">
        <is>
          <t>von der Änderung betroffene Abhängigkeiten</t>
        </is>
      </c>
      <c r="T21" s="12" t="inlineStr">
        <is>
          <t>G 0.18 – Fehlplanung oder fehlende Anpassung; G 0.28 – Software-Schwachstellen oder -Fehler; G 0.25 – Ausfall von Geräten oder Systemen</t>
        </is>
      </c>
      <c r="U21" s="11" t="n">
        <v>4</v>
      </c>
      <c r="V21" s="11" t="n">
        <v>1</v>
      </c>
      <c r="W21" s="11" t="n">
        <v>1</v>
      </c>
      <c r="X21" s="11" t="n">
        <v>2</v>
      </c>
      <c r="Y21" s="11" t="n">
        <v>0</v>
      </c>
    </row>
    <row r="22">
      <c r="A22" s="9" t="inlineStr">
        <is>
          <t>TEST.3.1</t>
        </is>
      </c>
      <c r="B22" s="10" t="inlineStr">
        <is>
          <t>Sicherheitstest</t>
        </is>
      </c>
      <c r="C22" s="11" t="n"/>
      <c r="D22" s="11" t="inlineStr">
        <is>
          <t>Standard-Anforderungen</t>
        </is>
      </c>
      <c r="E22" s="12" t="inlineStr">
        <is>
          <t>Gesamt:</t>
        </is>
      </c>
      <c r="F22" s="11" t="n"/>
      <c r="G22" s="11" t="n"/>
      <c r="H22" s="13">
        <f>IF(OR(COUNTBLANK($H$23:$H$34)&gt;0,COUNTIF($H$23:$H$34,"unbearbeitet")=COUNTA($H$23:$H$34)),"Bitte Teilanforderungen ausfüllen",IF(COUNTIF($H$23:$H$34,"zu klären")&gt;0,"zu klären",IF(COUNTIF($H$23:$H$34,"entbehrlich")=COUNTA($H$23:$H$34),"entbehrlich",IF(COUNTIF($H$23:$H$34,"verwiesen")=COUNTA($H$23:$H$34),"verwiesen",IF(COUNTIF($H$23:$H$34,"nein")+COUNTIF($H$23:$H$34,"entbehrlich")=COUNTA($H$23:$H$34),"nein",IF(COUNTIF($H$23:$H$34,"ja")+COUNTIF($H$23:$H$34,"entbehrlich")+COUNTIF($H$23:$H$34,"verwiesen")=COUNTA($H$23:$H$34),"ja","teilweise"))))))</f>
        <v/>
      </c>
      <c r="I22" s="11" t="n"/>
      <c r="J22" s="11" t="n"/>
      <c r="K22" s="11" t="n"/>
      <c r="L22" s="11" t="n"/>
      <c r="M22" s="11" t="inlineStr">
        <is>
          <t>Verfügbarkeit</t>
        </is>
      </c>
      <c r="N22" s="12" t="inlineStr">
        <is>
          <t>INF.13.A16-UA.4; INF.13.A22-UA.3; OPS.1.1.1.A7-UA.6; OPS.1.1.3.A1-UA.4; OPS.1.1.6.A5-UA.2</t>
        </is>
      </c>
      <c r="O22" s="11" t="inlineStr">
        <is>
          <t>subset-of; equivalent-to; intersects-with; superset-of; subset-of</t>
        </is>
      </c>
      <c r="P22" s="12" t="inlineStr">
        <is>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is>
      </c>
      <c r="Q22" s="11" t="inlineStr"/>
      <c r="R22" s="11" t="inlineStr">
        <is>
          <t>Freigabeplan</t>
        </is>
      </c>
      <c r="S22" s="12" t="inlineStr">
        <is>
          <t>vor wesentlichen Änderungen die Einhaltung der Sicherheitsanforderungen</t>
        </is>
      </c>
      <c r="T22" s="12" t="inlineStr">
        <is>
          <t>G 0.26 – Fehlfunktion von Geräten oder Systemen; G 0.28 – Software-Schwachstellen oder -Fehler; G 0.27 – Ressourcenmangel</t>
        </is>
      </c>
      <c r="U22" s="11" t="n">
        <v>3</v>
      </c>
      <c r="V22" s="11" t="n">
        <v>1</v>
      </c>
      <c r="W22" s="11" t="n">
        <v>1</v>
      </c>
      <c r="X22" s="11" t="n">
        <v>2</v>
      </c>
      <c r="Y22" s="11" t="n">
        <v>0</v>
      </c>
    </row>
    <row r="23">
      <c r="A23" s="11" t="inlineStr">
        <is>
          <t>TEST.3.1</t>
        </is>
      </c>
      <c r="B23" s="12" t="inlineStr">
        <is>
          <t>Sicherheitstest</t>
        </is>
      </c>
      <c r="C23" s="11" t="inlineStr">
        <is>
          <t>TEST.3.1</t>
        </is>
      </c>
      <c r="D23" s="11" t="inlineStr">
        <is>
          <t>Standard-Anforderungen</t>
        </is>
      </c>
      <c r="E23" s="12" t="inlineStr">
        <is>
          <t>Änderungen und Tests SOLLTE vor wesentlichen Änderungen die Einhaltung der Sicherheitsanforderungen testen.</t>
        </is>
      </c>
      <c r="F23" s="14" t="n"/>
      <c r="G23" s="14" t="n"/>
      <c r="H23" s="14" t="inlineStr">
        <is>
          <t>unbearbeitet</t>
        </is>
      </c>
      <c r="I23" s="14" t="n"/>
      <c r="J23" s="14" t="n"/>
      <c r="K23" s="14" t="n"/>
      <c r="L23" s="15" t="n"/>
      <c r="M23" s="11" t="inlineStr">
        <is>
          <t>Verfügbarkeit</t>
        </is>
      </c>
      <c r="N23" s="12" t="inlineStr">
        <is>
          <t>INF.13.A16-UA.4; INF.13.A22-UA.3; OPS.1.1.1.A7-UA.6; OPS.1.1.3.A1-UA.4; OPS.1.1.6.A5-UA.2</t>
        </is>
      </c>
      <c r="O23" s="11" t="inlineStr">
        <is>
          <t>subset-of; equivalent-to; intersects-with; superset-of; subset-of</t>
        </is>
      </c>
      <c r="P23" s="12" t="inlineStr">
        <is>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is>
      </c>
      <c r="Q23" s="11" t="inlineStr"/>
      <c r="R23" s="11" t="inlineStr">
        <is>
          <t>Freigabeplan</t>
        </is>
      </c>
      <c r="S23" s="12" t="inlineStr">
        <is>
          <t>vor wesentlichen Änderungen die Einhaltung der Sicherheitsanforderungen</t>
        </is>
      </c>
      <c r="T23" s="12" t="inlineStr">
        <is>
          <t>G 0.26 – Fehlfunktion von Geräten oder Systemen; G 0.28 – Software-Schwachstellen oder -Fehler; G 0.27 – Ressourcenmangel</t>
        </is>
      </c>
      <c r="U23" s="11" t="n">
        <v>3</v>
      </c>
      <c r="V23" s="11" t="n">
        <v>1</v>
      </c>
      <c r="W23" s="11" t="n">
        <v>1</v>
      </c>
      <c r="X23" s="11" t="n">
        <v>2</v>
      </c>
      <c r="Y23" s="11" t="n">
        <v>0</v>
      </c>
    </row>
    <row r="24">
      <c r="A24" s="11" t="inlineStr">
        <is>
          <t>TEST.3.1</t>
        </is>
      </c>
      <c r="B24" s="12" t="inlineStr">
        <is>
          <t>Sicherheitstest</t>
        </is>
      </c>
      <c r="C24" s="11" t="inlineStr">
        <is>
          <t>TEST.3.1.1</t>
        </is>
      </c>
      <c r="D24" s="11" t="inlineStr">
        <is>
          <t>Standard-Anforderungen</t>
        </is>
      </c>
      <c r="E24" s="12" t="inlineStr">
        <is>
          <t>Änderungen und Tests SOLLTE Tests einschließlich Prüfschritte, Ergebnissen und ggf. vorgenommenen Korrekturen dokumentieren.</t>
        </is>
      </c>
      <c r="F24" s="14" t="n"/>
      <c r="G24" s="14" t="n"/>
      <c r="H24" s="14" t="inlineStr">
        <is>
          <t>unbearbeitet</t>
        </is>
      </c>
      <c r="I24" s="14" t="n"/>
      <c r="J24" s="14" t="n"/>
      <c r="K24" s="14" t="n"/>
      <c r="L24" s="15" t="n"/>
      <c r="M24" s="11" t="inlineStr">
        <is>
          <t>Vertraulichkeit, Integrität</t>
        </is>
      </c>
      <c r="N24" s="12" t="inlineStr">
        <is>
          <t>INF.13.A22-UA.5; OPS.1.1.1.A12-UA.6; OPS.1.1.3.A13-UA.3; OPS.1.1.6.A12-UA.4; OPS.1.1.6.A5-UA.3; OPS.1.2.2.A16-UA.4</t>
        </is>
      </c>
      <c r="O24" s="11" t="inlineStr">
        <is>
          <t>subset-of; intersects-with; equivalent-to; subset-of; superset-of; intersects-with</t>
        </is>
      </c>
      <c r="P24" s="12" t="inlineStr">
        <is>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is>
      </c>
      <c r="Q24" s="11" t="inlineStr"/>
      <c r="R24" s="11" t="inlineStr">
        <is>
          <t>Freigabeplan</t>
        </is>
      </c>
      <c r="S24" s="12" t="inlineStr">
        <is>
          <t>Tests</t>
        </is>
      </c>
      <c r="T24" s="12" t="inlineStr">
        <is>
          <t>G 0.18 – Fehlplanung oder fehlende Anpassung; G 0.37 – Abstreiten von Handlungen; G 0.28 – Software-Schwachstellen oder -Fehler; G 0.26 – Fehlfunktion von Geräten oder Systemen</t>
        </is>
      </c>
      <c r="U24" s="11" t="n">
        <v>4</v>
      </c>
      <c r="V24" s="11" t="n">
        <v>2</v>
      </c>
      <c r="W24" s="11" t="n">
        <v>2</v>
      </c>
      <c r="X24" s="11" t="n">
        <v>1</v>
      </c>
      <c r="Y24" s="11" t="n">
        <v>1</v>
      </c>
    </row>
    <row r="25">
      <c r="A25" s="11" t="inlineStr">
        <is>
          <t>TEST.3.1</t>
        </is>
      </c>
      <c r="B25" s="12" t="inlineStr">
        <is>
          <t>Sicherheitstest</t>
        </is>
      </c>
      <c r="C25" s="11" t="inlineStr">
        <is>
          <t>TEST.3.1.2</t>
        </is>
      </c>
      <c r="D25" s="11" t="inlineStr">
        <is>
          <t>Standard-Anforderungen</t>
        </is>
      </c>
      <c r="E25" s="12" t="inlineStr">
        <is>
          <t>Änderungen und Tests SOLLTE die Einbindung externer Softwareartefakte und -Schnittstellen aus unzuverlässigen oder unbekannten Quellen untersagen.</t>
        </is>
      </c>
      <c r="F25" s="14" t="n"/>
      <c r="G25" s="14" t="n"/>
      <c r="H25" s="14" t="inlineStr">
        <is>
          <t>unbearbeitet</t>
        </is>
      </c>
      <c r="I25" s="14" t="n"/>
      <c r="J25" s="14" t="n"/>
      <c r="K25" s="14" t="n"/>
      <c r="L25" s="15" t="n"/>
      <c r="M25" s="11" t="inlineStr">
        <is>
          <t>Integrität</t>
        </is>
      </c>
      <c r="N25" s="12" t="inlineStr">
        <is>
          <t>APP.6.A4-UA.7; APP.6.A8-UA.2; IND.2.7.A12-UA.2; IND.2.7.A12-UA.3; OPS.1.1.3.A10-UA.3; SYS.4.5.A11-UA.1</t>
        </is>
      </c>
      <c r="O25" s="11" t="inlineStr">
        <is>
          <t>superset-of; superset-of; intersects-with; intersects-with; superset-of; intersects-with</t>
        </is>
      </c>
      <c r="P25" s="12" t="inlineStr">
        <is>
          <t>Externe Softwareartefakte sind in diesem Kontext nicht von der Institution entwickelte, durch die Änderung in die eigene Infrastruktur eingebundene oder zur Laufzeit nachgeladene Bestandteile wie Bibliotheken, Frameworks, Container-Images, Plug-ins, Packages, Binärdateien, Skripte, Modelle, Templates oder Build-Abhängigkeiten (sog. Third-Party Components, Dependencies). Externe Softwareschnittstellen sind fremde technische Übergabe- und Kommunikationspunkte, über die eine Anwendung Funktionen oder Daten anderer Systeme nutzt, etwa Third-Party APIs, Webhooks, SDK-Schnittstellen, Datenfeeds, Authentifizierungsdienste oder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is>
      </c>
      <c r="Q25" s="11" t="inlineStr"/>
      <c r="R25" s="11" t="inlineStr">
        <is>
          <t>Freigabeplan</t>
        </is>
      </c>
      <c r="S25" s="12" t="inlineStr">
        <is>
          <t>die Einbindung externer Softwareartefakte und -Schnittstellen aus unzuverlässigen oder unbekannten Quellen</t>
        </is>
      </c>
      <c r="T25" s="12" t="inlineStr">
        <is>
          <t>G 0.28 – Software-Schwachstellen oder -Fehler; G 0.46 – Integritätsverlust schützenswerter Informationen; G 0.20 – Informationen oder Produkte aus unzuverlässiger Quelle</t>
        </is>
      </c>
      <c r="U25" s="11" t="n">
        <v>3</v>
      </c>
      <c r="V25" s="11" t="n">
        <v>1</v>
      </c>
      <c r="W25" s="11" t="n">
        <v>2</v>
      </c>
      <c r="X25" s="11" t="n">
        <v>1</v>
      </c>
      <c r="Y25" s="11" t="n">
        <v>1</v>
      </c>
    </row>
    <row r="26">
      <c r="A26" s="11" t="inlineStr">
        <is>
          <t>TEST.3.1</t>
        </is>
      </c>
      <c r="B26" s="12" t="inlineStr">
        <is>
          <t>Sicherheitstest</t>
        </is>
      </c>
      <c r="C26" s="11" t="inlineStr">
        <is>
          <t>TEST.3.1.3</t>
        </is>
      </c>
      <c r="D26" s="11" t="inlineStr">
        <is>
          <t>Standard-Anforderungen</t>
        </is>
      </c>
      <c r="E26" s="12" t="inlineStr">
        <is>
          <t>Änderungen und Tests SOLLTE die Integrität von Softwareartefakten testen.</t>
        </is>
      </c>
      <c r="F26" s="14" t="n"/>
      <c r="G26" s="14" t="n"/>
      <c r="H26" s="14" t="inlineStr">
        <is>
          <t>unbearbeitet</t>
        </is>
      </c>
      <c r="I26" s="14" t="n"/>
      <c r="J26" s="14" t="n"/>
      <c r="K26" s="14" t="n"/>
      <c r="L26" s="15" t="n"/>
      <c r="M26" s="11" t="inlineStr">
        <is>
          <t>Vertraulichkeit, Integrität</t>
        </is>
      </c>
      <c r="N26" s="12" t="inlineStr">
        <is>
          <t>CON.8.A7-UA.6; OPS.1.1.6.A1-UA.1; OPS.1.1.6.A11-UA.3</t>
        </is>
      </c>
      <c r="O26" s="11" t="inlineStr">
        <is>
          <t>intersects-with; superset-of; intersects-with</t>
        </is>
      </c>
      <c r="P26" s="12" t="inlineStr">
        <is>
          <t>Softwareartefakte sind in diesem Kontext Anwendungen oder ihre Bestandteile wie Bibliotheken, Frameworks, Container-Images, Plug-ins, Packages, Binärdateien, Skripte, Modelle, Templates oder Build-Abhängigkeiten (sog. Third-Party Components, Dependencies), die durch die Änderung installiert oder aktualisiert werden. Dies kann z.B. durch Vergleich von Prüfsummen geschehen. Wenn möglich ist der Einsatz automatisierter Prüfungen empfehlenswert, es kann aber auch ein manueller Abgleich z.B. mit der Herstellerwebseite erfolgen.</t>
        </is>
      </c>
      <c r="Q26" s="11" t="inlineStr"/>
      <c r="R26" s="11" t="inlineStr">
        <is>
          <t>Freigabeplan</t>
        </is>
      </c>
      <c r="S26" s="12" t="inlineStr">
        <is>
          <t>die Integrität von Softwareartefakten</t>
        </is>
      </c>
      <c r="T26" s="12" t="inlineStr">
        <is>
          <t>G 0.28 – Software-Schwachstellen oder -Fehler; G 0.20 – Informationen oder Produkte aus unzuverlässiger Quelle; G 0.23 – Unbefugtes Eindringen in IT-Systeme</t>
        </is>
      </c>
      <c r="U26" s="11" t="n">
        <v>3</v>
      </c>
      <c r="V26" s="11" t="n">
        <v>2</v>
      </c>
      <c r="W26" s="11" t="n">
        <v>2</v>
      </c>
      <c r="X26" s="11" t="n">
        <v>1</v>
      </c>
      <c r="Y26" s="11" t="n">
        <v>1</v>
      </c>
    </row>
    <row r="27">
      <c r="A27" s="11" t="inlineStr">
        <is>
          <t>TEST.3.1</t>
        </is>
      </c>
      <c r="B27" s="12" t="inlineStr">
        <is>
          <t>Sicherheitstest</t>
        </is>
      </c>
      <c r="C27" s="11" t="inlineStr">
        <is>
          <t>TEST.3.1.4</t>
        </is>
      </c>
      <c r="D27" s="11" t="inlineStr">
        <is>
          <t>Standard-Anforderungen</t>
        </is>
      </c>
      <c r="E27" s="12" t="inlineStr">
        <is>
          <t>Änderungen und Tests SOLLTE die Testfälle abdeckende, aber unkritische Testdaten verankern.</t>
        </is>
      </c>
      <c r="F27" s="14" t="n"/>
      <c r="G27" s="14" t="n"/>
      <c r="H27" s="14" t="inlineStr">
        <is>
          <t>unbearbeitet</t>
        </is>
      </c>
      <c r="I27" s="14" t="n"/>
      <c r="J27" s="14" t="n"/>
      <c r="K27" s="14" t="n"/>
      <c r="L27" s="15" t="n"/>
      <c r="M27" s="11" t="inlineStr"/>
      <c r="N27" s="12" t="inlineStr">
        <is>
          <t>APP.5.2.A7-UA.4; CON.8.A7-UA.8; IND.2.1.A11-UA.3; INF.13.A25-UA.1; OPS.1.1.3.A9-UA.3; OPS.1.1.6.A13-UA.1; OPS.1.1.6.A13-UA.2</t>
        </is>
      </c>
      <c r="O27" s="11" t="inlineStr">
        <is>
          <t>subset-of; equivalent-to; subset-of; subset-of; subset-of; subset-of; equivalent-to</t>
        </is>
      </c>
      <c r="P27" s="12" t="inlineStr">
        <is>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is>
      </c>
      <c r="Q27" s="11" t="inlineStr"/>
      <c r="R27" s="11" t="inlineStr">
        <is>
          <t>Konfigurationshistorie</t>
        </is>
      </c>
      <c r="S27" s="12" t="inlineStr">
        <is>
          <t>die Testfälle abdeckende, aber unkritische Testdaten</t>
        </is>
      </c>
      <c r="T27" s="12" t="inlineStr">
        <is>
          <t>G 0.26 – Fehlfunktion von Geräten oder Systemen; G 0.28 – Software-Schwachstellen oder -Fehler</t>
        </is>
      </c>
      <c r="U27" s="11" t="n">
        <v>4</v>
      </c>
      <c r="V27" s="11" t="n">
        <v>1</v>
      </c>
      <c r="W27" s="11" t="n">
        <v>1</v>
      </c>
      <c r="X27" s="11" t="n">
        <v>1</v>
      </c>
      <c r="Y27" s="11" t="n">
        <v>0</v>
      </c>
    </row>
    <row r="28">
      <c r="A28" s="11" t="inlineStr">
        <is>
          <t>TEST.3.1</t>
        </is>
      </c>
      <c r="B28" s="12" t="inlineStr">
        <is>
          <t>Sicherheitstest</t>
        </is>
      </c>
      <c r="C28" s="11" t="inlineStr">
        <is>
          <t>TEST.3.1.5</t>
        </is>
      </c>
      <c r="D28" s="11" t="inlineStr">
        <is>
          <t>Standard-Anforderungen</t>
        </is>
      </c>
      <c r="E28" s="12" t="inlineStr">
        <is>
          <t>Änderungen und Tests SOLLTE eine dedizierte Testumgebung installieren.</t>
        </is>
      </c>
      <c r="F28" s="14" t="n"/>
      <c r="G28" s="14" t="n"/>
      <c r="H28" s="14" t="inlineStr">
        <is>
          <t>unbearbeitet</t>
        </is>
      </c>
      <c r="I28" s="14" t="n"/>
      <c r="J28" s="14" t="n"/>
      <c r="K28" s="14" t="n"/>
      <c r="L28" s="15" t="n"/>
      <c r="M28" s="11" t="inlineStr"/>
      <c r="N28" s="12" t="inlineStr">
        <is>
          <t>APP.4.4.A2-UA.2; IND.1.A17-UA.4</t>
        </is>
      </c>
      <c r="O28" s="11" t="inlineStr">
        <is>
          <t>superset-of; subset-of</t>
        </is>
      </c>
      <c r="P28" s="12" t="inlineStr">
        <is>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is>
      </c>
      <c r="Q28" s="11" t="inlineStr"/>
      <c r="R28" s="11" t="inlineStr">
        <is>
          <t>IT-Betriebskonzept</t>
        </is>
      </c>
      <c r="S28" s="12" t="inlineStr">
        <is>
          <t>eine dedizierte Testumgebung</t>
        </is>
      </c>
      <c r="T28" s="12" t="inlineStr">
        <is>
          <t>G 0.28 – Software-Schwachstellen oder -Fehler; G 0.18 – Fehlplanung oder fehlende Anpassung</t>
        </is>
      </c>
      <c r="U28" s="11" t="n">
        <v>4</v>
      </c>
      <c r="V28" s="11" t="n">
        <v>1</v>
      </c>
      <c r="W28" s="11" t="n">
        <v>1</v>
      </c>
      <c r="X28" s="11" t="n">
        <v>1</v>
      </c>
      <c r="Y28" s="11" t="n">
        <v>0</v>
      </c>
    </row>
    <row r="29">
      <c r="A29" s="11" t="inlineStr">
        <is>
          <t>TEST.3.1</t>
        </is>
      </c>
      <c r="B29" s="12" t="inlineStr">
        <is>
          <t>Sicherheitstest</t>
        </is>
      </c>
      <c r="C29" s="11" t="inlineStr">
        <is>
          <t>TEST.3.1.6</t>
        </is>
      </c>
      <c r="D29" s="11" t="inlineStr">
        <is>
          <t>Anforderungen bei erhöhtem Schutzbedarf</t>
        </is>
      </c>
      <c r="E29" s="12" t="inlineStr">
        <is>
          <t>Änderungen und Tests KANN die Auswirkungen bei jeder Änderung automatisch testen.</t>
        </is>
      </c>
      <c r="F29" s="14" t="n"/>
      <c r="G29" s="14" t="n"/>
      <c r="H29" s="14" t="inlineStr">
        <is>
          <t>unbearbeitet</t>
        </is>
      </c>
      <c r="I29" s="14" t="n"/>
      <c r="J29" s="14" t="n"/>
      <c r="K29" s="14" t="n"/>
      <c r="L29" s="15" t="n"/>
      <c r="M29" s="11" t="inlineStr"/>
      <c r="N29" s="12" t="inlineStr">
        <is>
          <t>CON.8.A7-UA.4; SYS.1.8.A20-UA.5</t>
        </is>
      </c>
      <c r="O29" s="11" t="inlineStr">
        <is>
          <t>subset-of; subset-of</t>
        </is>
      </c>
      <c r="P29" s="12" t="inlineStr">
        <is>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is>
      </c>
      <c r="Q29" s="11" t="inlineStr"/>
      <c r="R29" s="11" t="inlineStr">
        <is>
          <t>Freigabeplan</t>
        </is>
      </c>
      <c r="S29" s="12" t="inlineStr">
        <is>
          <t>die Auswirkungen</t>
        </is>
      </c>
      <c r="T29" s="12" t="inlineStr">
        <is>
          <t>G 0.28 – Software-Schwachstellen oder -Fehler; G 0.18 – Fehlplanung oder fehlende Anpassung</t>
        </is>
      </c>
      <c r="U29" s="11" t="n">
        <v>5</v>
      </c>
      <c r="V29" s="11" t="n">
        <v>1</v>
      </c>
      <c r="W29" s="11" t="n">
        <v>1</v>
      </c>
      <c r="X29" s="11" t="n">
        <v>1</v>
      </c>
      <c r="Y29" s="11" t="n">
        <v>0</v>
      </c>
    </row>
    <row r="30">
      <c r="A30" s="11" t="inlineStr">
        <is>
          <t>TEST.3.1</t>
        </is>
      </c>
      <c r="B30" s="12" t="inlineStr">
        <is>
          <t>Sicherheitstest</t>
        </is>
      </c>
      <c r="C30" s="11" t="inlineStr">
        <is>
          <t>TEST.3.1.7</t>
        </is>
      </c>
      <c r="D30" s="11" t="inlineStr">
        <is>
          <t>Anforderungen bei erhöhtem Schutzbedarf</t>
        </is>
      </c>
      <c r="E30" s="12" t="inlineStr">
        <is>
          <t>Änderungen und Tests KANN die Resilienz bei Simulation verschiedenartiger Störungen testen.</t>
        </is>
      </c>
      <c r="F30" s="14" t="n"/>
      <c r="G30" s="14" t="n"/>
      <c r="H30" s="14" t="inlineStr">
        <is>
          <t>unbearbeitet</t>
        </is>
      </c>
      <c r="I30" s="14" t="n"/>
      <c r="J30" s="14" t="n"/>
      <c r="K30" s="14" t="n"/>
      <c r="L30" s="15" t="n"/>
      <c r="M30" s="11" t="inlineStr"/>
      <c r="N30" s="12" t="inlineStr"/>
      <c r="O30" s="11" t="inlineStr"/>
      <c r="P30" s="12" t="inlineStr">
        <is>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is>
      </c>
      <c r="Q30" s="11" t="inlineStr"/>
      <c r="R30" s="11" t="inlineStr">
        <is>
          <t>Freigabeplan</t>
        </is>
      </c>
      <c r="S30" s="12" t="inlineStr">
        <is>
          <t>die Resilienz bei Simulation verschiedenartiger Störungen</t>
        </is>
      </c>
      <c r="T30" s="12" t="inlineStr">
        <is>
          <t>G 0.28 – Software-Schwachstellen oder -Fehler; G 0.26 – Fehlfunktion von Geräten oder Systemen</t>
        </is>
      </c>
      <c r="U30" s="11" t="n">
        <v>5</v>
      </c>
      <c r="V30" s="11" t="n">
        <v>1</v>
      </c>
      <c r="W30" s="11" t="n">
        <v>1</v>
      </c>
      <c r="X30" s="11" t="n">
        <v>1</v>
      </c>
      <c r="Y30" s="11" t="n">
        <v>0</v>
      </c>
    </row>
    <row r="31">
      <c r="A31" s="11" t="inlineStr">
        <is>
          <t>TEST.3.1</t>
        </is>
      </c>
      <c r="B31" s="12" t="inlineStr">
        <is>
          <t>Sicherheitstest</t>
        </is>
      </c>
      <c r="C31" s="11" t="inlineStr">
        <is>
          <t>TEST.3.1.8</t>
        </is>
      </c>
      <c r="D31" s="11" t="inlineStr">
        <is>
          <t>Anforderungen bei erhöhtem Schutzbedarf</t>
        </is>
      </c>
      <c r="E31" s="12" t="inlineStr">
        <is>
          <t>Änderungen und Tests KANN die Zusammensetzung der Änderungen testen.</t>
        </is>
      </c>
      <c r="F31" s="14" t="n"/>
      <c r="G31" s="14" t="n"/>
      <c r="H31" s="14" t="inlineStr">
        <is>
          <t>unbearbeitet</t>
        </is>
      </c>
      <c r="I31" s="14" t="n"/>
      <c r="J31" s="14" t="n"/>
      <c r="K31" s="14" t="n"/>
      <c r="L31" s="15" t="n"/>
      <c r="M31" s="11" t="inlineStr"/>
      <c r="N31" s="12" t="inlineStr">
        <is>
          <t>CON.8.A7-UA.5; OPS.1.1.1.A22-UA.1</t>
        </is>
      </c>
      <c r="O31" s="11" t="inlineStr">
        <is>
          <t>subset-of; intersects-with</t>
        </is>
      </c>
      <c r="P31" s="12" t="inlineStr">
        <is>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is>
      </c>
      <c r="Q31" s="11" t="inlineStr"/>
      <c r="R31" s="11" t="inlineStr">
        <is>
          <t>Freigabeplan</t>
        </is>
      </c>
      <c r="S31" s="12" t="inlineStr">
        <is>
          <t>die Zusammensetzung der Änderungen</t>
        </is>
      </c>
      <c r="T31" s="12" t="inlineStr">
        <is>
          <t>G 0.23 – Unbefugtes Eindringen in IT-Systeme; G 0.46 – Integritätsverlust schützenswerter Informationen</t>
        </is>
      </c>
      <c r="U31" s="11" t="n">
        <v>5</v>
      </c>
      <c r="V31" s="11" t="n">
        <v>1</v>
      </c>
      <c r="W31" s="11" t="n">
        <v>1</v>
      </c>
      <c r="X31" s="11" t="n">
        <v>1</v>
      </c>
      <c r="Y31" s="11" t="n">
        <v>0</v>
      </c>
    </row>
    <row r="32">
      <c r="A32" s="11" t="inlineStr">
        <is>
          <t>TEST.3.1</t>
        </is>
      </c>
      <c r="B32" s="12" t="inlineStr">
        <is>
          <t>Sicherheitstest</t>
        </is>
      </c>
      <c r="C32" s="11" t="inlineStr">
        <is>
          <t>TEST.3.1.9</t>
        </is>
      </c>
      <c r="D32" s="11" t="inlineStr">
        <is>
          <t>Anforderungen bei erhöhtem Schutzbedarf</t>
        </is>
      </c>
      <c r="E32" s="12" t="inlineStr">
        <is>
          <t>Änderungen und Tests KANN die Stabilität gegen Fehlerzustände oder Abstürze bei der Eingabe großer Mengen an Zufallsdaten testen.</t>
        </is>
      </c>
      <c r="F32" s="14" t="n"/>
      <c r="G32" s="14" t="n"/>
      <c r="H32" s="14" t="inlineStr">
        <is>
          <t>unbearbeitet</t>
        </is>
      </c>
      <c r="I32" s="14" t="n"/>
      <c r="J32" s="14" t="n"/>
      <c r="K32" s="14" t="n"/>
      <c r="L32" s="15" t="n"/>
      <c r="M32" s="11" t="inlineStr">
        <is>
          <t>Vertraulichkeit, Integrität</t>
        </is>
      </c>
      <c r="N32" s="12" t="inlineStr">
        <is>
          <t>CON.8.A7-UA.9; INF.13.A16-UA.4; INF.13.A22-UA.3</t>
        </is>
      </c>
      <c r="O32" s="11" t="inlineStr">
        <is>
          <t>subset-of; superset-of; equivalent-to</t>
        </is>
      </c>
      <c r="P32" s="12" t="inlineStr">
        <is>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is>
      </c>
      <c r="Q32" s="11" t="inlineStr"/>
      <c r="R32" s="11" t="inlineStr">
        <is>
          <t>Freigabeplan</t>
        </is>
      </c>
      <c r="S32" s="12" t="inlineStr">
        <is>
          <t>die Stabilität gegen Fehlerzustände oder Abstürze bei der Eingabe großer Mengen an Zufallsdaten</t>
        </is>
      </c>
      <c r="T32" s="12" t="inlineStr">
        <is>
          <t>G 0.23 – Unbefugtes Eindringen in IT-Systeme; G 0.28 – Software-Schwachstellen oder -Fehler</t>
        </is>
      </c>
      <c r="U32" s="11" t="n">
        <v>5</v>
      </c>
      <c r="V32" s="11" t="n">
        <v>2</v>
      </c>
      <c r="W32" s="11" t="n">
        <v>2</v>
      </c>
      <c r="X32" s="11" t="n">
        <v>1</v>
      </c>
      <c r="Y32" s="11" t="n">
        <v>0</v>
      </c>
    </row>
    <row r="33">
      <c r="A33" s="11" t="inlineStr">
        <is>
          <t>TEST.3.1</t>
        </is>
      </c>
      <c r="B33" s="12" t="inlineStr">
        <is>
          <t>Sicherheitstest</t>
        </is>
      </c>
      <c r="C33" s="11" t="inlineStr">
        <is>
          <t>TEST.3.1.10</t>
        </is>
      </c>
      <c r="D33" s="11" t="inlineStr">
        <is>
          <t>Anforderungen bei erhöhtem Schutzbedarf</t>
        </is>
      </c>
      <c r="E33" s="12" t="inlineStr">
        <is>
          <t>Änderungen und Tests KANN die Belastbarkeit bei hoher Auslastung testen.</t>
        </is>
      </c>
      <c r="F33" s="14" t="n"/>
      <c r="G33" s="14" t="n"/>
      <c r="H33" s="14" t="inlineStr">
        <is>
          <t>unbearbeitet</t>
        </is>
      </c>
      <c r="I33" s="14" t="n"/>
      <c r="J33" s="14" t="n"/>
      <c r="K33" s="14" t="n"/>
      <c r="L33" s="15" t="n"/>
      <c r="M33" s="11" t="inlineStr"/>
      <c r="N33" s="12" t="inlineStr">
        <is>
          <t>APP.1.4.A15-UA.1; APP.1.4.A15-UA.3; INF.13.A30-UA.1; INF.13.A30-UA.2; NET.3.2.A24-UA.2; OPS.1.1.1.A23-UA.1; OPS.1.1.6.A14-UA.1</t>
        </is>
      </c>
      <c r="O33" s="11" t="inlineStr">
        <is>
          <t>subset-of; subset-of; subset-of; subset-of; superset-of; equivalent-to; intersects-with</t>
        </is>
      </c>
      <c r="P33" s="12" t="inlineStr">
        <is>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is>
      </c>
      <c r="Q33" s="11" t="inlineStr"/>
      <c r="R33" s="11" t="inlineStr">
        <is>
          <t>Freigabeplan</t>
        </is>
      </c>
      <c r="S33" s="12" t="inlineStr">
        <is>
          <t>die Belastbarkeit bei hoher Auslastung</t>
        </is>
      </c>
      <c r="T33" s="12" t="inlineStr">
        <is>
          <t>G 0.28 – Software-Schwachstellen oder -Fehler; G 0.18 – Fehlplanung oder fehlende Anpassung</t>
        </is>
      </c>
      <c r="U33" s="11" t="n">
        <v>5</v>
      </c>
      <c r="V33" s="11" t="n">
        <v>1</v>
      </c>
      <c r="W33" s="11" t="n">
        <v>1</v>
      </c>
      <c r="X33" s="11" t="n">
        <v>1</v>
      </c>
      <c r="Y33" s="11" t="n">
        <v>0</v>
      </c>
    </row>
    <row r="34">
      <c r="A34" s="11" t="inlineStr">
        <is>
          <t>TEST.3.1</t>
        </is>
      </c>
      <c r="B34" s="12" t="inlineStr">
        <is>
          <t>Sicherheitstest</t>
        </is>
      </c>
      <c r="C34" s="11" t="inlineStr">
        <is>
          <t>TEST.3.1.11</t>
        </is>
      </c>
      <c r="D34" s="11" t="inlineStr">
        <is>
          <t>Anforderungen bei erhöhtem Schutzbedarf</t>
        </is>
      </c>
      <c r="E34" s="12" t="inlineStr">
        <is>
          <t>Änderungen und Tests KANN bekannte Schwachstellen bei kritischen Änderungen testen.</t>
        </is>
      </c>
      <c r="F34" s="14" t="n"/>
      <c r="G34" s="14" t="n"/>
      <c r="H34" s="14" t="inlineStr">
        <is>
          <t>unbearbeitet</t>
        </is>
      </c>
      <c r="I34" s="14" t="n"/>
      <c r="J34" s="14" t="n"/>
      <c r="K34" s="14" t="n"/>
      <c r="L34" s="15" t="n"/>
      <c r="M34" s="11" t="inlineStr">
        <is>
          <t>Vertraulichkeit, Integrität</t>
        </is>
      </c>
      <c r="N34" s="12" t="inlineStr"/>
      <c r="O34" s="11" t="inlineStr"/>
      <c r="P34" s="12" t="inlineStr">
        <is>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is>
      </c>
      <c r="Q34" s="11" t="inlineStr"/>
      <c r="R34" s="11" t="inlineStr">
        <is>
          <t>Freigabeplan</t>
        </is>
      </c>
      <c r="S34" s="12" t="inlineStr">
        <is>
          <t>bekannte Schwachstellen</t>
        </is>
      </c>
      <c r="T34" s="12" t="inlineStr">
        <is>
          <t>G 0.28 – Software-Schwachstellen oder -Fehler; G 0.18 – Fehlplanung oder fehlende Anpassung; G 0.23 – Unbefugtes Eindringen in IT-Systeme</t>
        </is>
      </c>
      <c r="U34" s="11" t="n">
        <v>5</v>
      </c>
      <c r="V34" s="11" t="n">
        <v>2</v>
      </c>
      <c r="W34" s="11" t="n">
        <v>2</v>
      </c>
      <c r="X34" s="11" t="n">
        <v>1</v>
      </c>
      <c r="Y34" s="11" t="n">
        <v>0</v>
      </c>
    </row>
    <row r="35">
      <c r="A35" s="9" t="inlineStr">
        <is>
          <t>TEST.3.2</t>
        </is>
      </c>
      <c r="B35" s="10" t="inlineStr">
        <is>
          <t>Testabdeckung</t>
        </is>
      </c>
      <c r="C35" s="11" t="n"/>
      <c r="D35" s="11" t="inlineStr">
        <is>
          <t>Standard-Anforderungen</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is>
          <t>Verfügbarkeit</t>
        </is>
      </c>
      <c r="N35" s="12" t="inlineStr">
        <is>
          <t>INF.13.A22-UA.6; OPS.1.1.1.A20-UA.3; OPS.1.1.1.A7-UA.8</t>
        </is>
      </c>
      <c r="O35" s="11" t="inlineStr">
        <is>
          <t>intersects-with; superset-of; intersects-with</t>
        </is>
      </c>
      <c r="P35" s="12" t="inlineStr">
        <is>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is>
      </c>
      <c r="Q35" s="11" t="inlineStr"/>
      <c r="R35" s="11" t="inlineStr">
        <is>
          <t>Übungs- und Prüfplan</t>
        </is>
      </c>
      <c r="S35" s="12" t="inlineStr">
        <is>
          <t>die Testabdeckung</t>
        </is>
      </c>
      <c r="T35" s="12" t="inlineStr">
        <is>
          <t>G 0.28 – Software-Schwachstellen oder -Fehler; G 0.18 – Fehlplanung oder fehlende Anpassung; G 0.27 – Ressourcenmangel</t>
        </is>
      </c>
      <c r="U35" s="11" t="n">
        <v>3</v>
      </c>
      <c r="V35" s="11" t="n">
        <v>1</v>
      </c>
      <c r="W35" s="11" t="n">
        <v>1</v>
      </c>
      <c r="X35" s="11" t="n">
        <v>2</v>
      </c>
      <c r="Y35" s="11" t="n">
        <v>0</v>
      </c>
    </row>
    <row r="36">
      <c r="A36" s="11" t="inlineStr">
        <is>
          <t>TEST.3.2</t>
        </is>
      </c>
      <c r="B36" s="12" t="inlineStr">
        <is>
          <t>Testabdeckung</t>
        </is>
      </c>
      <c r="C36" s="11" t="inlineStr">
        <is>
          <t>TEST.3.2</t>
        </is>
      </c>
      <c r="D36" s="11" t="inlineStr">
        <is>
          <t>Standard-Anforderungen</t>
        </is>
      </c>
      <c r="E36" s="12" t="inlineStr">
        <is>
          <t>Änderungen und Tests SOLLTE die Testabdeckung regelmäßig überprüfen.</t>
        </is>
      </c>
      <c r="F36" s="14" t="n"/>
      <c r="G36" s="14" t="n"/>
      <c r="H36" s="14" t="inlineStr">
        <is>
          <t>unbearbeitet</t>
        </is>
      </c>
      <c r="I36" s="14" t="n"/>
      <c r="J36" s="14" t="n"/>
      <c r="K36" s="14" t="n"/>
      <c r="L36" s="15" t="n"/>
      <c r="M36" s="11" t="inlineStr">
        <is>
          <t>Verfügbarkeit</t>
        </is>
      </c>
      <c r="N36" s="12" t="inlineStr">
        <is>
          <t>INF.13.A22-UA.6; OPS.1.1.1.A20-UA.3; OPS.1.1.1.A7-UA.8</t>
        </is>
      </c>
      <c r="O36" s="11" t="inlineStr">
        <is>
          <t>intersects-with; superset-of; intersects-with</t>
        </is>
      </c>
      <c r="P36" s="12" t="inlineStr">
        <is>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is>
      </c>
      <c r="Q36" s="11" t="inlineStr"/>
      <c r="R36" s="11" t="inlineStr">
        <is>
          <t>Übungs- und Prüfplan</t>
        </is>
      </c>
      <c r="S36" s="12" t="inlineStr">
        <is>
          <t>die Testabdeckung</t>
        </is>
      </c>
      <c r="T36" s="12" t="inlineStr">
        <is>
          <t>G 0.28 – Software-Schwachstellen oder -Fehler; G 0.18 – Fehlplanung oder fehlende Anpassung; G 0.27 – Ressourcenmangel</t>
        </is>
      </c>
      <c r="U36" s="11" t="n">
        <v>3</v>
      </c>
      <c r="V36" s="11" t="n">
        <v>1</v>
      </c>
      <c r="W36" s="11" t="n">
        <v>1</v>
      </c>
      <c r="X36" s="11" t="n">
        <v>2</v>
      </c>
      <c r="Y36" s="11" t="n">
        <v>0</v>
      </c>
    </row>
    <row r="37">
      <c r="A37" s="9" t="inlineStr">
        <is>
          <t>TEST.4.1</t>
        </is>
      </c>
      <c r="B37" s="10" t="inlineStr">
        <is>
          <t>Autorisierung von Änderungen</t>
        </is>
      </c>
      <c r="C37" s="11" t="n"/>
      <c r="D37" s="11" t="inlineStr">
        <is>
          <t>Standard-Anforderungen</t>
        </is>
      </c>
      <c r="E37" s="12" t="inlineStr">
        <is>
          <t>Gesamt:</t>
        </is>
      </c>
      <c r="F37" s="11" t="n"/>
      <c r="G37" s="11" t="n"/>
      <c r="H37" s="13">
        <f>IF(OR(COUNTBLANK($H$38:$H$41)&gt;0,COUNTIF($H$38:$H$41,"unbearbeitet")=COUNTA($H$38:$H$41)),"Bitte Teilanforderungen ausfüllen",IF(COUNTIF($H$38:$H$41,"zu klären")&gt;0,"zu klären",IF(COUNTIF($H$38:$H$41,"entbehrlich")=COUNTA($H$38:$H$41),"entbehrlich",IF(COUNTIF($H$38:$H$41,"verwiesen")=COUNTA($H$38:$H$41),"verwiesen",IF(COUNTIF($H$38:$H$41,"nein")+COUNTIF($H$38:$H$41,"entbehrlich")=COUNTA($H$38:$H$41),"nein",IF(COUNTIF($H$38:$H$41,"ja")+COUNTIF($H$38:$H$41,"entbehrlich")+COUNTIF($H$38:$H$41,"verwiesen")=COUNTA($H$38:$H$41),"ja","teilweise"))))))</f>
        <v/>
      </c>
      <c r="I37" s="11" t="n"/>
      <c r="J37" s="11" t="n"/>
      <c r="K37" s="11" t="n"/>
      <c r="L37" s="11" t="n"/>
      <c r="M37" s="11" t="inlineStr"/>
      <c r="N37" s="12" t="inlineStr">
        <is>
          <t>OPS.1.1.3.A1-UA.3</t>
        </is>
      </c>
      <c r="O37" s="11" t="inlineStr">
        <is>
          <t>intersects-with</t>
        </is>
      </c>
      <c r="P37" s="12" t="inlineStr">
        <is>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is>
      </c>
      <c r="Q37" s="11" t="inlineStr"/>
      <c r="R37" s="11" t="inlineStr">
        <is>
          <t>IT-Betriebskonzept</t>
        </is>
      </c>
      <c r="S37" s="12" t="inlineStr">
        <is>
          <t>kritische Änderungen</t>
        </is>
      </c>
      <c r="T37" s="12" t="inlineStr">
        <is>
          <t>G 0.18 – Fehlplanung oder fehlende Anpassung</t>
        </is>
      </c>
      <c r="U37" s="11" t="n">
        <v>3</v>
      </c>
      <c r="V37" s="11" t="n">
        <v>1</v>
      </c>
      <c r="W37" s="11" t="n">
        <v>1</v>
      </c>
      <c r="X37" s="11" t="n">
        <v>1</v>
      </c>
      <c r="Y37" s="11" t="n">
        <v>0</v>
      </c>
    </row>
    <row r="38">
      <c r="A38" s="11" t="inlineStr">
        <is>
          <t>TEST.4.1</t>
        </is>
      </c>
      <c r="B38" s="12" t="inlineStr">
        <is>
          <t>Autorisierung von Änderungen</t>
        </is>
      </c>
      <c r="C38" s="11" t="inlineStr">
        <is>
          <t>TEST.4.1</t>
        </is>
      </c>
      <c r="D38" s="11" t="inlineStr">
        <is>
          <t>Standard-Anforderungen</t>
        </is>
      </c>
      <c r="E38" s="12" t="inlineStr">
        <is>
          <t>Änderungen und Tests SOLLTE kritische Änderungen anhand von Kriterien einschließlich der Sicherheitsanforderungen autorisieren.</t>
        </is>
      </c>
      <c r="F38" s="14" t="n"/>
      <c r="G38" s="14" t="n"/>
      <c r="H38" s="14" t="inlineStr">
        <is>
          <t>unbearbeitet</t>
        </is>
      </c>
      <c r="I38" s="14" t="n"/>
      <c r="J38" s="14" t="n"/>
      <c r="K38" s="14" t="n"/>
      <c r="L38" s="15" t="n"/>
      <c r="M38" s="11" t="inlineStr"/>
      <c r="N38" s="12" t="inlineStr">
        <is>
          <t>OPS.1.1.3.A1-UA.3</t>
        </is>
      </c>
      <c r="O38" s="11" t="inlineStr">
        <is>
          <t>intersects-with</t>
        </is>
      </c>
      <c r="P38" s="12" t="inlineStr">
        <is>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is>
      </c>
      <c r="Q38" s="11" t="inlineStr"/>
      <c r="R38" s="11" t="inlineStr">
        <is>
          <t>IT-Betriebskonzept</t>
        </is>
      </c>
      <c r="S38" s="12" t="inlineStr">
        <is>
          <t>kritische Änderungen</t>
        </is>
      </c>
      <c r="T38" s="12" t="inlineStr">
        <is>
          <t>G 0.18 – Fehlplanung oder fehlende Anpassung</t>
        </is>
      </c>
      <c r="U38" s="11" t="n">
        <v>3</v>
      </c>
      <c r="V38" s="11" t="n">
        <v>1</v>
      </c>
      <c r="W38" s="11" t="n">
        <v>1</v>
      </c>
      <c r="X38" s="11" t="n">
        <v>1</v>
      </c>
      <c r="Y38" s="11" t="n">
        <v>0</v>
      </c>
    </row>
    <row r="39">
      <c r="A39" s="11" t="inlineStr">
        <is>
          <t>TEST.4.1</t>
        </is>
      </c>
      <c r="B39" s="12" t="inlineStr">
        <is>
          <t>Autorisierung von Änderungen</t>
        </is>
      </c>
      <c r="C39" s="11" t="inlineStr">
        <is>
          <t>TEST.4.1.1</t>
        </is>
      </c>
      <c r="D39" s="11" t="inlineStr">
        <is>
          <t>Anforderungen bei erhöhtem Schutzbedarf</t>
        </is>
      </c>
      <c r="E39" s="12" t="inlineStr">
        <is>
          <t>Änderungen und Tests KANN kritische Änderungen auch durch eine von der Implementierung unabhängige Person autorisieren.</t>
        </is>
      </c>
      <c r="F39" s="14" t="n"/>
      <c r="G39" s="14" t="n"/>
      <c r="H39" s="14" t="inlineStr">
        <is>
          <t>unbearbeitet</t>
        </is>
      </c>
      <c r="I39" s="14" t="n"/>
      <c r="J39" s="14" t="n"/>
      <c r="K39" s="14" t="n"/>
      <c r="L39" s="15" t="n"/>
      <c r="M39" s="11" t="inlineStr"/>
      <c r="N39" s="12" t="inlineStr">
        <is>
          <t>ISMS.1.A11-UA.6; OPS.1.1.2.A17-UA.1; OPS.1.1.6.A4-UA.3</t>
        </is>
      </c>
      <c r="O39" s="11" t="inlineStr">
        <is>
          <t>superset-of; intersects-with; intersects-with</t>
        </is>
      </c>
      <c r="P39" s="12" t="inlineStr">
        <is>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is>
      </c>
      <c r="Q39" s="11" t="inlineStr"/>
      <c r="R39" s="11" t="inlineStr">
        <is>
          <t>IT-Betriebskonzept</t>
        </is>
      </c>
      <c r="S39" s="12" t="inlineStr">
        <is>
          <t>kritische Änderungen</t>
        </is>
      </c>
      <c r="T39" s="12" t="inlineStr">
        <is>
          <t>G 0.18 – Fehlplanung oder fehlende Anpassung</t>
        </is>
      </c>
      <c r="U39" s="11" t="n">
        <v>4</v>
      </c>
      <c r="V39" s="11" t="n">
        <v>1</v>
      </c>
      <c r="W39" s="11" t="n">
        <v>1</v>
      </c>
      <c r="X39" s="11" t="n">
        <v>1</v>
      </c>
      <c r="Y39" s="11" t="n">
        <v>0</v>
      </c>
    </row>
    <row r="40">
      <c r="A40" s="11" t="inlineStr">
        <is>
          <t>TEST.4.1</t>
        </is>
      </c>
      <c r="B40" s="12" t="inlineStr">
        <is>
          <t>Autorisierung von Änderungen</t>
        </is>
      </c>
      <c r="C40" s="11" t="inlineStr">
        <is>
          <t>TEST.4.1.2</t>
        </is>
      </c>
      <c r="D40" s="11" t="inlineStr">
        <is>
          <t>Standard-Anforderungen</t>
        </is>
      </c>
      <c r="E40" s="12" t="inlineStr">
        <is>
          <t>Änderungen und Tests SOLLTE die freizugebenden Änderungen in einer von der Produktumgebung getrennten Staging-Umgebung, deren Komponenten so weit wie möglich der Produktivumgebung entsprechen, testen.</t>
        </is>
      </c>
      <c r="F40" s="14" t="n"/>
      <c r="G40" s="14" t="n"/>
      <c r="H40" s="14" t="inlineStr">
        <is>
          <t>unbearbeitet</t>
        </is>
      </c>
      <c r="I40" s="14" t="n"/>
      <c r="J40" s="14" t="n"/>
      <c r="K40" s="14" t="n"/>
      <c r="L40" s="15" t="n"/>
      <c r="M40" s="11" t="inlineStr">
        <is>
          <t>Verfügbarkeit</t>
        </is>
      </c>
      <c r="N40" s="12" t="inlineStr">
        <is>
          <t>OPS.1.1.3.A1-UA.3; OPS.1.1.3.A9-UA.4; OPS.1.1.6.A4-UA.2</t>
        </is>
      </c>
      <c r="O40" s="11" t="inlineStr">
        <is>
          <t>superset-of; superset-of; equivalent-to</t>
        </is>
      </c>
      <c r="P40" s="12" t="inlineStr">
        <is>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is>
      </c>
      <c r="Q40" s="11" t="inlineStr"/>
      <c r="R40" s="11" t="inlineStr">
        <is>
          <t>IT-Betriebskonzept</t>
        </is>
      </c>
      <c r="S40" s="12" t="inlineStr">
        <is>
          <t>die freizugebenden Änderungen</t>
        </is>
      </c>
      <c r="T40" s="12" t="inlineStr">
        <is>
          <t>G 0.25 – Ausfall von Geräten oder Systemen; G 0.26 – Fehlfunktion von Geräten oder Systemen; G 0.18 – Fehlplanung oder fehlende Anpassung</t>
        </is>
      </c>
      <c r="U40" s="11" t="n">
        <v>4</v>
      </c>
      <c r="V40" s="11" t="n">
        <v>1</v>
      </c>
      <c r="W40" s="11" t="n">
        <v>1</v>
      </c>
      <c r="X40" s="11" t="n">
        <v>2</v>
      </c>
      <c r="Y40" s="11" t="n">
        <v>0</v>
      </c>
    </row>
    <row r="41">
      <c r="A41" s="11" t="inlineStr">
        <is>
          <t>TEST.4.1</t>
        </is>
      </c>
      <c r="B41" s="12" t="inlineStr">
        <is>
          <t>Autorisierung von Änderungen</t>
        </is>
      </c>
      <c r="C41" s="11" t="inlineStr">
        <is>
          <t>TEST.4.1.3</t>
        </is>
      </c>
      <c r="D41" s="11" t="inlineStr">
        <is>
          <t>Standard-Anforderungen</t>
        </is>
      </c>
      <c r="E41" s="12" t="inlineStr">
        <is>
          <t>Änderungen und Tests SOLLTE die Freigabe einschließlich Zeitpunkt, Vorhaben, Freigabekriterien und freigebender Personen dokumentieren.</t>
        </is>
      </c>
      <c r="F41" s="14" t="n"/>
      <c r="G41" s="14" t="n"/>
      <c r="H41" s="14" t="inlineStr">
        <is>
          <t>unbearbeitet</t>
        </is>
      </c>
      <c r="I41" s="14" t="n"/>
      <c r="J41" s="14" t="n"/>
      <c r="K41" s="14" t="n"/>
      <c r="L41" s="15" t="n"/>
      <c r="M41" s="11" t="inlineStr">
        <is>
          <t>Vertraulichkeit, Integrität</t>
        </is>
      </c>
      <c r="N41" s="12" t="inlineStr"/>
      <c r="O41" s="11" t="inlineStr"/>
      <c r="P41" s="12" t="inlineStr">
        <is>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is>
      </c>
      <c r="Q41" s="11" t="inlineStr"/>
      <c r="R41" s="11" t="inlineStr">
        <is>
          <t>IT-Betriebskonzept</t>
        </is>
      </c>
      <c r="S41" s="12" t="inlineStr">
        <is>
          <t>die Freigabe</t>
        </is>
      </c>
      <c r="T41" s="12" t="inlineStr">
        <is>
          <t>G 0.18 – Fehlplanung oder fehlende Anpassung; G 0.37 – Abstreiten von Handlungen</t>
        </is>
      </c>
      <c r="U41" s="11" t="n">
        <v>4</v>
      </c>
      <c r="V41" s="11" t="n">
        <v>2</v>
      </c>
      <c r="W41" s="11" t="n">
        <v>2</v>
      </c>
      <c r="X41" s="11" t="n">
        <v>1</v>
      </c>
      <c r="Y41" s="11" t="n">
        <v>1</v>
      </c>
    </row>
    <row r="42">
      <c r="A42" s="9" t="inlineStr">
        <is>
          <t>TEST.4.2</t>
        </is>
      </c>
      <c r="B42" s="10" t="inlineStr">
        <is>
          <t>Signatur</t>
        </is>
      </c>
      <c r="C42" s="11" t="n"/>
      <c r="D42" s="11" t="inlineStr">
        <is>
          <t>Anforderungen bei erhöhtem Schutzbedarf</t>
        </is>
      </c>
      <c r="E42" s="12" t="inlineStr">
        <is>
          <t>Gesamt:</t>
        </is>
      </c>
      <c r="F42" s="11" t="n"/>
      <c r="G42" s="11" t="n"/>
      <c r="H42" s="13">
        <f>IF(OR(COUNTBLANK($H$43:$H$43)&gt;0,COUNTIF($H$43:$H$43,"unbearbeitet")=COUNTA($H$43:$H$43)),"Bitte Teilanforderungen ausfüllen",IF(COUNTIF($H$43:$H$43,"zu klären")&gt;0,"zu klären",IF(COUNTIF($H$43:$H$43,"entbehrlich")=COUNTA($H$43:$H$43),"entbehrlich",IF(COUNTIF($H$43:$H$43,"verwiesen")=COUNTA($H$43:$H$43),"verwiesen",IF(COUNTIF($H$43:$H$43,"nein")+COUNTIF($H$43:$H$43,"entbehrlich")=COUNTA($H$43:$H$43),"nein",IF(COUNTIF($H$43:$H$43,"ja")+COUNTIF($H$43:$H$43,"entbehrlich")+COUNTIF($H$43:$H$43,"verwiesen")=COUNTA($H$43:$H$43),"ja","teilweise"))))))</f>
        <v/>
      </c>
      <c r="I42" s="11" t="n"/>
      <c r="J42" s="11" t="n"/>
      <c r="K42" s="11" t="n"/>
      <c r="L42" s="11" t="n"/>
      <c r="M42" s="11" t="inlineStr">
        <is>
          <t>Verfügbarkeit</t>
        </is>
      </c>
      <c r="N42" s="12" t="inlineStr">
        <is>
          <t>OPS.1.1.3.A9-UA.4; OPS.1.1.3.A9-UA.5; OPS.1.1.6.A4-UA.2</t>
        </is>
      </c>
      <c r="O42" s="11" t="inlineStr">
        <is>
          <t>subset-of; subset-of; subset-of</t>
        </is>
      </c>
      <c r="P42" s="12" t="inlineStr">
        <is>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is>
      </c>
      <c r="Q42" s="11" t="inlineStr"/>
      <c r="R42" s="11" t="inlineStr">
        <is>
          <t>IT-Betriebskonzept</t>
        </is>
      </c>
      <c r="S42" s="12" t="inlineStr">
        <is>
          <t>eine Signatur der Freigabeerklärung</t>
        </is>
      </c>
      <c r="T42" s="12" t="inlineStr">
        <is>
          <t>G 0.26 – Fehlfunktion von Geräten oder Systemen; G 0.25 – Ausfall von Geräten oder Systemen</t>
        </is>
      </c>
      <c r="U42" s="11" t="n">
        <v>5</v>
      </c>
      <c r="V42" s="11" t="n">
        <v>1</v>
      </c>
      <c r="W42" s="11" t="n">
        <v>1</v>
      </c>
      <c r="X42" s="11" t="n">
        <v>2</v>
      </c>
      <c r="Y42" s="11" t="n">
        <v>0</v>
      </c>
    </row>
    <row r="43">
      <c r="A43" s="11" t="inlineStr">
        <is>
          <t>TEST.4.2</t>
        </is>
      </c>
      <c r="B43" s="12" t="inlineStr">
        <is>
          <t>Signatur</t>
        </is>
      </c>
      <c r="C43" s="11" t="inlineStr">
        <is>
          <t>TEST.4.2</t>
        </is>
      </c>
      <c r="D43" s="11" t="inlineStr">
        <is>
          <t>Anforderungen bei erhöhtem Schutzbedarf</t>
        </is>
      </c>
      <c r="E43" s="12" t="inlineStr">
        <is>
          <t>Änderungen und Tests KANN eine Signatur der Freigabeerklärung ausführen.</t>
        </is>
      </c>
      <c r="F43" s="14" t="n"/>
      <c r="G43" s="14" t="n"/>
      <c r="H43" s="14" t="inlineStr">
        <is>
          <t>unbearbeitet</t>
        </is>
      </c>
      <c r="I43" s="14" t="n"/>
      <c r="J43" s="14" t="n"/>
      <c r="K43" s="14" t="n"/>
      <c r="L43" s="15" t="n"/>
      <c r="M43" s="11" t="inlineStr">
        <is>
          <t>Verfügbarkeit</t>
        </is>
      </c>
      <c r="N43" s="12" t="inlineStr">
        <is>
          <t>OPS.1.1.3.A9-UA.4; OPS.1.1.3.A9-UA.5; OPS.1.1.6.A4-UA.2</t>
        </is>
      </c>
      <c r="O43" s="11" t="inlineStr">
        <is>
          <t>subset-of; subset-of; subset-of</t>
        </is>
      </c>
      <c r="P43" s="12" t="inlineStr">
        <is>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is>
      </c>
      <c r="Q43" s="11" t="inlineStr"/>
      <c r="R43" s="11" t="inlineStr">
        <is>
          <t>IT-Betriebskonzept</t>
        </is>
      </c>
      <c r="S43" s="12" t="inlineStr">
        <is>
          <t>eine Signatur der Freigabeerklärung</t>
        </is>
      </c>
      <c r="T43" s="12" t="inlineStr">
        <is>
          <t>G 0.26 – Fehlfunktion von Geräten oder Systemen; G 0.25 – Ausfall von Geräten oder Systemen</t>
        </is>
      </c>
      <c r="U43" s="11" t="n">
        <v>5</v>
      </c>
      <c r="V43" s="11" t="n">
        <v>1</v>
      </c>
      <c r="W43" s="11" t="n">
        <v>1</v>
      </c>
      <c r="X43" s="11" t="n">
        <v>2</v>
      </c>
      <c r="Y43" s="11" t="n">
        <v>0</v>
      </c>
    </row>
    <row r="44">
      <c r="A44" s="9" t="inlineStr">
        <is>
          <t>TEST.4.3</t>
        </is>
      </c>
      <c r="B44" s="10" t="inlineStr">
        <is>
          <t>Rückfallösung</t>
        </is>
      </c>
      <c r="C44" s="11" t="n"/>
      <c r="D44" s="11" t="inlineStr">
        <is>
          <t>Standard-Anforderungen</t>
        </is>
      </c>
      <c r="E44" s="12" t="inlineStr">
        <is>
          <t>Gesamt:</t>
        </is>
      </c>
      <c r="F44" s="11" t="n"/>
      <c r="G44" s="11" t="n"/>
      <c r="H44" s="13">
        <f>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
      </c>
      <c r="I44" s="11" t="n"/>
      <c r="J44" s="11" t="n"/>
      <c r="K44" s="11" t="n"/>
      <c r="L44" s="11" t="n"/>
      <c r="M44" s="11" t="inlineStr"/>
      <c r="N44" s="12" t="inlineStr">
        <is>
          <t>OPS.1.1.2.A24-UA.5; OPS.1.1.3.A1-UA.5; OPS.1.1.7.A18-UA.2</t>
        </is>
      </c>
      <c r="O44" s="11" t="inlineStr">
        <is>
          <t>superset-of; superset-of; intersects-with</t>
        </is>
      </c>
      <c r="P44" s="12" t="inlineStr">
        <is>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is>
      </c>
      <c r="Q44" s="11" t="inlineStr"/>
      <c r="R44" s="11" t="inlineStr">
        <is>
          <t>IT-Betriebskonzept</t>
        </is>
      </c>
      <c r="S44" s="12" t="inlineStr">
        <is>
          <t>eine Rückfallösung</t>
        </is>
      </c>
      <c r="T44" s="12" t="inlineStr">
        <is>
          <t>G 0.18 – Fehlplanung oder fehlende Anpassung</t>
        </is>
      </c>
      <c r="U44" s="11" t="n">
        <v>3</v>
      </c>
      <c r="V44" s="11" t="n">
        <v>1</v>
      </c>
      <c r="W44" s="11" t="n">
        <v>1</v>
      </c>
      <c r="X44" s="11" t="n">
        <v>1</v>
      </c>
      <c r="Y44" s="11" t="n">
        <v>0</v>
      </c>
    </row>
    <row r="45">
      <c r="A45" s="11" t="inlineStr">
        <is>
          <t>TEST.4.3</t>
        </is>
      </c>
      <c r="B45" s="12" t="inlineStr">
        <is>
          <t>Rückfallösung</t>
        </is>
      </c>
      <c r="C45" s="11" t="inlineStr">
        <is>
          <t>TEST.4.3</t>
        </is>
      </c>
      <c r="D45" s="11" t="inlineStr">
        <is>
          <t>Standard-Anforderungen</t>
        </is>
      </c>
      <c r="E45" s="12" t="inlineStr">
        <is>
          <t>Änderungen und Tests SOLLTE eine Rückfallösung verankern.</t>
        </is>
      </c>
      <c r="F45" s="14" t="n"/>
      <c r="G45" s="14" t="n"/>
      <c r="H45" s="14" t="inlineStr">
        <is>
          <t>unbearbeitet</t>
        </is>
      </c>
      <c r="I45" s="14" t="n"/>
      <c r="J45" s="14" t="n"/>
      <c r="K45" s="14" t="n"/>
      <c r="L45" s="15" t="n"/>
      <c r="M45" s="11" t="inlineStr"/>
      <c r="N45" s="12" t="inlineStr">
        <is>
          <t>OPS.1.1.2.A24-UA.5; OPS.1.1.3.A1-UA.5; OPS.1.1.7.A18-UA.2</t>
        </is>
      </c>
      <c r="O45" s="11" t="inlineStr">
        <is>
          <t>superset-of; superset-of; intersects-with</t>
        </is>
      </c>
      <c r="P45" s="12" t="inlineStr">
        <is>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is>
      </c>
      <c r="Q45" s="11" t="inlineStr"/>
      <c r="R45" s="11" t="inlineStr">
        <is>
          <t>IT-Betriebskonzept</t>
        </is>
      </c>
      <c r="S45" s="12" t="inlineStr">
        <is>
          <t>eine Rückfallösung</t>
        </is>
      </c>
      <c r="T45" s="12" t="inlineStr">
        <is>
          <t>G 0.18 – Fehlplanung oder fehlende Anpassung</t>
        </is>
      </c>
      <c r="U45" s="11" t="n">
        <v>3</v>
      </c>
      <c r="V45" s="11" t="n">
        <v>1</v>
      </c>
      <c r="W45" s="11" t="n">
        <v>1</v>
      </c>
      <c r="X45" s="11" t="n">
        <v>1</v>
      </c>
      <c r="Y45" s="11" t="n">
        <v>0</v>
      </c>
    </row>
    <row r="46">
      <c r="A46" s="9" t="inlineStr">
        <is>
          <t>TEST.4.4</t>
        </is>
      </c>
      <c r="B46" s="10" t="inlineStr">
        <is>
          <t>Geregelte Notfalländerungen</t>
        </is>
      </c>
      <c r="C46" s="11" t="n"/>
      <c r="D46" s="11" t="inlineStr">
        <is>
          <t>Standard-Anforderungen</t>
        </is>
      </c>
      <c r="E46" s="12" t="inlineStr">
        <is>
          <t>Gesamt:</t>
        </is>
      </c>
      <c r="F46" s="11" t="n"/>
      <c r="G46" s="11" t="n"/>
      <c r="H46" s="13">
        <f>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
      </c>
      <c r="I46" s="11" t="n"/>
      <c r="J46" s="11" t="n"/>
      <c r="K46" s="11" t="n"/>
      <c r="L46" s="11" t="n"/>
      <c r="M46" s="11" t="inlineStr">
        <is>
          <t>Verfügbarkeit</t>
        </is>
      </c>
      <c r="N46" s="12" t="inlineStr">
        <is>
          <t>APP.4.3.A22-UA.4; DER.4.A1-UA.1; OPS.1.2.5.A21-UA.2; SYS.1.8.A20-UA.2</t>
        </is>
      </c>
      <c r="O46" s="11" t="inlineStr">
        <is>
          <t>subset-of; intersects-with; subset-of; subset-of</t>
        </is>
      </c>
      <c r="P46" s="12" t="inlineStr">
        <is>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is>
      </c>
      <c r="Q46" s="11" t="inlineStr"/>
      <c r="R46" s="11" t="inlineStr">
        <is>
          <t>IT-Betriebskonzept</t>
        </is>
      </c>
      <c r="S46" s="12" t="inlineStr">
        <is>
          <t>Regelungen für Notfalländerungen</t>
        </is>
      </c>
      <c r="T46" s="12" t="inlineStr">
        <is>
          <t>G 0.18 – Fehlplanung oder fehlende Anpassung; G 0.27 – Ressourcenmangel</t>
        </is>
      </c>
      <c r="U46" s="11" t="n">
        <v>3</v>
      </c>
      <c r="V46" s="11" t="n">
        <v>1</v>
      </c>
      <c r="W46" s="11" t="n">
        <v>1</v>
      </c>
      <c r="X46" s="11" t="n">
        <v>2</v>
      </c>
      <c r="Y46" s="11" t="n">
        <v>0</v>
      </c>
    </row>
    <row r="47">
      <c r="A47" s="11" t="inlineStr">
        <is>
          <t>TEST.4.4</t>
        </is>
      </c>
      <c r="B47" s="12" t="inlineStr">
        <is>
          <t>Geregelte Notfalländerungen</t>
        </is>
      </c>
      <c r="C47" s="11" t="inlineStr">
        <is>
          <t>TEST.4.4</t>
        </is>
      </c>
      <c r="D47" s="11" t="inlineStr">
        <is>
          <t>Standard-Anforderungen</t>
        </is>
      </c>
      <c r="E47" s="12" t="inlineStr">
        <is>
          <t>Änderungen und Tests SOLLTE Regelungen für Notfalländerungen einschließlich Vorgehensweise, Zuständigkeiten, erforderlicher Ressourcen und minimaler Prüfschritte verankern.</t>
        </is>
      </c>
      <c r="F47" s="14" t="n"/>
      <c r="G47" s="14" t="n"/>
      <c r="H47" s="14" t="inlineStr">
        <is>
          <t>unbearbeitet</t>
        </is>
      </c>
      <c r="I47" s="14" t="n"/>
      <c r="J47" s="14" t="n"/>
      <c r="K47" s="14" t="n"/>
      <c r="L47" s="15" t="n"/>
      <c r="M47" s="11" t="inlineStr">
        <is>
          <t>Verfügbarkeit</t>
        </is>
      </c>
      <c r="N47" s="12" t="inlineStr">
        <is>
          <t>APP.4.3.A22-UA.4; DER.4.A1-UA.1; OPS.1.2.5.A21-UA.2; SYS.1.8.A20-UA.2</t>
        </is>
      </c>
      <c r="O47" s="11" t="inlineStr">
        <is>
          <t>subset-of; intersects-with; subset-of; subset-of</t>
        </is>
      </c>
      <c r="P47" s="12" t="inlineStr">
        <is>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is>
      </c>
      <c r="Q47" s="11" t="inlineStr"/>
      <c r="R47" s="11" t="inlineStr">
        <is>
          <t>IT-Betriebskonzept</t>
        </is>
      </c>
      <c r="S47" s="12" t="inlineStr">
        <is>
          <t>Regelungen für Notfalländerungen</t>
        </is>
      </c>
      <c r="T47" s="12" t="inlineStr">
        <is>
          <t>G 0.18 – Fehlplanung oder fehlende Anpassung; G 0.27 – Ressourcenmangel</t>
        </is>
      </c>
      <c r="U47" s="11" t="n">
        <v>3</v>
      </c>
      <c r="V47" s="11" t="n">
        <v>1</v>
      </c>
      <c r="W47" s="11" t="n">
        <v>1</v>
      </c>
      <c r="X47" s="11" t="n">
        <v>2</v>
      </c>
      <c r="Y47" s="11" t="n">
        <v>0</v>
      </c>
    </row>
    <row r="48">
      <c r="A48" s="9" t="inlineStr">
        <is>
          <t>TEST.5.1</t>
        </is>
      </c>
      <c r="B48" s="10" t="inlineStr">
        <is>
          <t>Information betroffener Kreise</t>
        </is>
      </c>
      <c r="C48" s="11" t="n"/>
      <c r="D48" s="11" t="inlineStr">
        <is>
          <t>Standard-Anforderungen</t>
        </is>
      </c>
      <c r="E48" s="12" t="inlineStr">
        <is>
          <t>Gesamt:</t>
        </is>
      </c>
      <c r="F48" s="11" t="n"/>
      <c r="G48" s="11" t="n"/>
      <c r="H48" s="13">
        <f>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
      </c>
      <c r="I48" s="11" t="n"/>
      <c r="J48" s="11" t="n"/>
      <c r="K48" s="11" t="n"/>
      <c r="L48" s="11" t="n"/>
      <c r="M48" s="11" t="inlineStr">
        <is>
          <t>Verfügbarkeit</t>
        </is>
      </c>
      <c r="N48" s="12" t="inlineStr">
        <is>
          <t>APP.6.A12-UA.2; INF.13.A12-UA.8; OPS.1.1.3.A1-UA.6; OPS.1.1.3.A6-UA.1</t>
        </is>
      </c>
      <c r="O48" s="11" t="inlineStr">
        <is>
          <t>subset-of; superset-of; superset-of; superset-of</t>
        </is>
      </c>
      <c r="P48" s="12" t="inlineStr">
        <is>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is>
      </c>
      <c r="Q48" s="11" t="inlineStr"/>
      <c r="R48" s="11" t="inlineStr">
        <is>
          <t>IT-Betriebskonzept</t>
        </is>
      </c>
      <c r="S48" s="12" t="inlineStr">
        <is>
          <t>von der Änderung betroffene Kreise</t>
        </is>
      </c>
      <c r="T48" s="12" t="inlineStr">
        <is>
          <t>G 0.18 – Fehlplanung oder fehlende Anpassung; G 0.25 – Ausfall von Geräten oder Systemen</t>
        </is>
      </c>
      <c r="U48" s="11" t="n">
        <v>3</v>
      </c>
      <c r="V48" s="11" t="n">
        <v>1</v>
      </c>
      <c r="W48" s="11" t="n">
        <v>1</v>
      </c>
      <c r="X48" s="11" t="n">
        <v>2</v>
      </c>
      <c r="Y48" s="11" t="n">
        <v>0</v>
      </c>
    </row>
    <row r="49">
      <c r="A49" s="11" t="inlineStr">
        <is>
          <t>TEST.5.1</t>
        </is>
      </c>
      <c r="B49" s="12" t="inlineStr">
        <is>
          <t>Information betroffener Kreise</t>
        </is>
      </c>
      <c r="C49" s="11" t="inlineStr">
        <is>
          <t>TEST.5.1</t>
        </is>
      </c>
      <c r="D49" s="11" t="inlineStr">
        <is>
          <t>Standard-Anforderungen</t>
        </is>
      </c>
      <c r="E49" s="12" t="inlineStr">
        <is>
          <t>Änderungen und Tests SOLLTE von der Änderung betroffene Kreise informieren.</t>
        </is>
      </c>
      <c r="F49" s="14" t="n"/>
      <c r="G49" s="14" t="n"/>
      <c r="H49" s="14" t="inlineStr">
        <is>
          <t>unbearbeitet</t>
        </is>
      </c>
      <c r="I49" s="14" t="n"/>
      <c r="J49" s="14" t="n"/>
      <c r="K49" s="14" t="n"/>
      <c r="L49" s="15" t="n"/>
      <c r="M49" s="11" t="inlineStr">
        <is>
          <t>Verfügbarkeit</t>
        </is>
      </c>
      <c r="N49" s="12" t="inlineStr">
        <is>
          <t>APP.6.A12-UA.2; INF.13.A12-UA.8; OPS.1.1.3.A1-UA.6; OPS.1.1.3.A6-UA.1</t>
        </is>
      </c>
      <c r="O49" s="11" t="inlineStr">
        <is>
          <t>subset-of; superset-of; superset-of; superset-of</t>
        </is>
      </c>
      <c r="P49" s="12" t="inlineStr">
        <is>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is>
      </c>
      <c r="Q49" s="11" t="inlineStr"/>
      <c r="R49" s="11" t="inlineStr">
        <is>
          <t>IT-Betriebskonzept</t>
        </is>
      </c>
      <c r="S49" s="12" t="inlineStr">
        <is>
          <t>von der Änderung betroffene Kreise</t>
        </is>
      </c>
      <c r="T49" s="12" t="inlineStr">
        <is>
          <t>G 0.18 – Fehlplanung oder fehlende Anpassung; G 0.25 – Ausfall von Geräten oder Systemen</t>
        </is>
      </c>
      <c r="U49" s="11" t="n">
        <v>3</v>
      </c>
      <c r="V49" s="11" t="n">
        <v>1</v>
      </c>
      <c r="W49" s="11" t="n">
        <v>1</v>
      </c>
      <c r="X49" s="11" t="n">
        <v>2</v>
      </c>
      <c r="Y49" s="11" t="n">
        <v>0</v>
      </c>
    </row>
    <row r="50">
      <c r="A50" s="9" t="inlineStr">
        <is>
          <t>TEST.5.2</t>
        </is>
      </c>
      <c r="B50" s="10" t="inlineStr">
        <is>
          <t>Verschlüsselte Bereitstellung</t>
        </is>
      </c>
      <c r="C50" s="11" t="n"/>
      <c r="D50" s="11" t="inlineStr">
        <is>
          <t>Standard-Anforderungen</t>
        </is>
      </c>
      <c r="E50" s="12" t="inlineStr">
        <is>
          <t>Gesamt:</t>
        </is>
      </c>
      <c r="F50" s="11" t="n"/>
      <c r="G50" s="11" t="n"/>
      <c r="H50" s="13">
        <f>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
      </c>
      <c r="I50" s="11" t="n"/>
      <c r="J50" s="11" t="n"/>
      <c r="K50" s="11" t="n"/>
      <c r="L50" s="11" t="n"/>
      <c r="M50" s="11" t="inlineStr">
        <is>
          <t>Vertraulichkeit</t>
        </is>
      </c>
      <c r="N50" s="12" t="inlineStr">
        <is>
          <t>CON.9.A8-UA.2; IND.2.7.A12-UA.2</t>
        </is>
      </c>
      <c r="O50" s="11" t="inlineStr">
        <is>
          <t>superset-of; superset-of</t>
        </is>
      </c>
      <c r="P50" s="12" t="inlineStr">
        <is>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is>
      </c>
      <c r="Q50" s="11" t="inlineStr"/>
      <c r="R50" s="11" t="inlineStr">
        <is>
          <t>Konfigurationshistorie</t>
        </is>
      </c>
      <c r="S50" s="12" t="inlineStr">
        <is>
          <t>die Bereitstellung</t>
        </is>
      </c>
      <c r="T50" s="12" t="inlineStr">
        <is>
          <t>G 0.23 – Unbefugtes Eindringen in IT-Systeme; G 0.14 – Ausspähen von Informationen (Spionage); G 0.41 – Sabotage; G 0.21 – Manipulation von Hard- oder Software</t>
        </is>
      </c>
      <c r="U50" s="11" t="n">
        <v>3</v>
      </c>
      <c r="V50" s="11" t="n">
        <v>2</v>
      </c>
      <c r="W50" s="11" t="n">
        <v>1</v>
      </c>
      <c r="X50" s="11" t="n">
        <v>1</v>
      </c>
      <c r="Y50" s="11" t="n">
        <v>0</v>
      </c>
    </row>
    <row r="51">
      <c r="A51" s="11" t="inlineStr">
        <is>
          <t>TEST.5.2</t>
        </is>
      </c>
      <c r="B51" s="12" t="inlineStr">
        <is>
          <t>Verschlüsselte Bereitstellung</t>
        </is>
      </c>
      <c r="C51" s="11" t="inlineStr">
        <is>
          <t>TEST.5.2</t>
        </is>
      </c>
      <c r="D51" s="11" t="inlineStr">
        <is>
          <t>Standard-Anforderungen</t>
        </is>
      </c>
      <c r="E51" s="12" t="inlineStr">
        <is>
          <t>Änderungen und Tests SOLLTE die Bereitstellung verschlüsseln.</t>
        </is>
      </c>
      <c r="F51" s="14" t="n"/>
      <c r="G51" s="14" t="n"/>
      <c r="H51" s="14" t="inlineStr">
        <is>
          <t>unbearbeitet</t>
        </is>
      </c>
      <c r="I51" s="14" t="n"/>
      <c r="J51" s="14" t="n"/>
      <c r="K51" s="14" t="n"/>
      <c r="L51" s="15" t="n"/>
      <c r="M51" s="11" t="inlineStr">
        <is>
          <t>Vertraulichkeit</t>
        </is>
      </c>
      <c r="N51" s="12" t="inlineStr">
        <is>
          <t>CON.9.A8-UA.2; IND.2.7.A12-UA.2</t>
        </is>
      </c>
      <c r="O51" s="11" t="inlineStr">
        <is>
          <t>superset-of; superset-of</t>
        </is>
      </c>
      <c r="P51" s="12" t="inlineStr">
        <is>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is>
      </c>
      <c r="Q51" s="11" t="inlineStr"/>
      <c r="R51" s="11" t="inlineStr">
        <is>
          <t>Konfigurationshistorie</t>
        </is>
      </c>
      <c r="S51" s="12" t="inlineStr">
        <is>
          <t>die Bereitstellung</t>
        </is>
      </c>
      <c r="T51" s="12" t="inlineStr">
        <is>
          <t>G 0.23 – Unbefugtes Eindringen in IT-Systeme; G 0.14 – Ausspähen von Informationen (Spionage); G 0.41 – Sabotage; G 0.21 – Manipulation von Hard- oder Software</t>
        </is>
      </c>
      <c r="U51" s="11" t="n">
        <v>3</v>
      </c>
      <c r="V51" s="11" t="n">
        <v>2</v>
      </c>
      <c r="W51" s="11" t="n">
        <v>1</v>
      </c>
      <c r="X51" s="11" t="n">
        <v>1</v>
      </c>
      <c r="Y51" s="11" t="n">
        <v>0</v>
      </c>
    </row>
    <row r="52">
      <c r="A52" s="9" t="inlineStr">
        <is>
          <t>TEST.5.3</t>
        </is>
      </c>
      <c r="B52" s="10" t="inlineStr">
        <is>
          <t>Schrittweiser Rollout</t>
        </is>
      </c>
      <c r="C52" s="11" t="n"/>
      <c r="D52" s="11" t="inlineStr">
        <is>
          <t>Anforderungen bei erhöhtem Schutzbedarf</t>
        </is>
      </c>
      <c r="E52" s="12" t="inlineStr">
        <is>
          <t>Gesamt:</t>
        </is>
      </c>
      <c r="F52" s="11" t="n"/>
      <c r="G52" s="11" t="n"/>
      <c r="H52" s="13">
        <f>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
      </c>
      <c r="I52" s="11" t="n"/>
      <c r="J52" s="11" t="n"/>
      <c r="K52" s="11" t="n"/>
      <c r="L52" s="11" t="n"/>
      <c r="M52" s="11" t="inlineStr"/>
      <c r="N52" s="12" t="inlineStr">
        <is>
          <t>SYS.2.1.A11-UA.3</t>
        </is>
      </c>
      <c r="O52" s="11" t="inlineStr">
        <is>
          <t>subset-of</t>
        </is>
      </c>
      <c r="P52" s="12" t="inlineStr">
        <is>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is>
      </c>
      <c r="Q52" s="11" t="inlineStr"/>
      <c r="R52" s="11" t="inlineStr">
        <is>
          <t>Konfigurationshistorie</t>
        </is>
      </c>
      <c r="S52" s="12" t="inlineStr">
        <is>
          <t>die Inbetriebnahme</t>
        </is>
      </c>
      <c r="T52" s="12" t="inlineStr">
        <is>
          <t>G 0.18 – Fehlplanung oder fehlende Anpassung</t>
        </is>
      </c>
      <c r="U52" s="11" t="n">
        <v>5</v>
      </c>
      <c r="V52" s="11" t="n">
        <v>1</v>
      </c>
      <c r="W52" s="11" t="n">
        <v>1</v>
      </c>
      <c r="X52" s="11" t="n">
        <v>1</v>
      </c>
      <c r="Y52" s="11" t="n">
        <v>0</v>
      </c>
    </row>
    <row r="53">
      <c r="A53" s="11" t="inlineStr">
        <is>
          <t>TEST.5.3</t>
        </is>
      </c>
      <c r="B53" s="12" t="inlineStr">
        <is>
          <t>Schrittweiser Rollout</t>
        </is>
      </c>
      <c r="C53" s="11" t="inlineStr">
        <is>
          <t>TEST.5.3</t>
        </is>
      </c>
      <c r="D53" s="11" t="inlineStr">
        <is>
          <t>Anforderungen bei erhöhtem Schutzbedarf</t>
        </is>
      </c>
      <c r="E53" s="12" t="inlineStr">
        <is>
          <t>Änderungen und Tests KANN die Inbetriebnahme stufenweise ausführen.</t>
        </is>
      </c>
      <c r="F53" s="14" t="n"/>
      <c r="G53" s="14" t="n"/>
      <c r="H53" s="14" t="inlineStr">
        <is>
          <t>unbearbeitet</t>
        </is>
      </c>
      <c r="I53" s="14" t="n"/>
      <c r="J53" s="14" t="n"/>
      <c r="K53" s="14" t="n"/>
      <c r="L53" s="15" t="n"/>
      <c r="M53" s="11" t="inlineStr"/>
      <c r="N53" s="12" t="inlineStr">
        <is>
          <t>SYS.2.1.A11-UA.3</t>
        </is>
      </c>
      <c r="O53" s="11" t="inlineStr">
        <is>
          <t>subset-of</t>
        </is>
      </c>
      <c r="P53" s="12" t="inlineStr">
        <is>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is>
      </c>
      <c r="Q53" s="11" t="inlineStr"/>
      <c r="R53" s="11" t="inlineStr">
        <is>
          <t>Konfigurationshistorie</t>
        </is>
      </c>
      <c r="S53" s="12" t="inlineStr">
        <is>
          <t>die Inbetriebnahme</t>
        </is>
      </c>
      <c r="T53" s="12" t="inlineStr">
        <is>
          <t>G 0.18 – Fehlplanung oder fehlende Anpassung</t>
        </is>
      </c>
      <c r="U53" s="11" t="n">
        <v>5</v>
      </c>
      <c r="V53" s="11" t="n">
        <v>1</v>
      </c>
      <c r="W53" s="11" t="n">
        <v>1</v>
      </c>
      <c r="X53" s="11" t="n">
        <v>1</v>
      </c>
      <c r="Y53" s="11" t="n">
        <v>0</v>
      </c>
    </row>
    <row r="54">
      <c r="A54" s="9" t="inlineStr">
        <is>
          <t>TEST.5.4</t>
        </is>
      </c>
      <c r="B54" s="10" t="inlineStr">
        <is>
          <t>Persistenz</t>
        </is>
      </c>
      <c r="C54" s="11" t="n"/>
      <c r="D54" s="11" t="inlineStr">
        <is>
          <t>Standard-Anforderungen</t>
        </is>
      </c>
      <c r="E54" s="12" t="inlineStr">
        <is>
          <t>Gesamt:</t>
        </is>
      </c>
      <c r="F54" s="11" t="n"/>
      <c r="G54" s="11" t="n"/>
      <c r="H54" s="13">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
      </c>
      <c r="I54" s="11" t="n"/>
      <c r="J54" s="11" t="n"/>
      <c r="K54" s="11" t="n"/>
      <c r="L54" s="11" t="n"/>
      <c r="M54" s="11" t="inlineStr">
        <is>
          <t>Integrität</t>
        </is>
      </c>
      <c r="N54" s="12" t="inlineStr">
        <is>
          <t>INF.13.A12-UA.3; NET.3.1.A25-UA.1; NET.3.2.A25-UA.1; NET.3.2.A25-UA.2; OPS.1.1.3.A1-UA.8; OPS.1.1.6.A12-UA.2</t>
        </is>
      </c>
      <c r="O54" s="11" t="inlineStr">
        <is>
          <t>intersects-with; subset-of; subset-of; subset-of; superset-of; subset-of</t>
        </is>
      </c>
      <c r="P54" s="12" t="inlineStr">
        <is>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is>
      </c>
      <c r="Q54" s="11" t="inlineStr"/>
      <c r="R54" s="11" t="inlineStr">
        <is>
          <t>Konfigurationshistorie</t>
        </is>
      </c>
      <c r="S54" s="12" t="inlineStr">
        <is>
          <t>die Persistenz</t>
        </is>
      </c>
      <c r="T54" s="12" t="inlineStr">
        <is>
          <t>G 0.23 – Unbefugtes Eindringen in IT-Systeme; G 0.22 – Manipulation von Informationen; G 0.43 – Einspielen von Nachrichten; G 0.18 – Fehlplanung oder fehlende Anpassung</t>
        </is>
      </c>
      <c r="U54" s="11" t="n">
        <v>3</v>
      </c>
      <c r="V54" s="11" t="n">
        <v>1</v>
      </c>
      <c r="W54" s="11" t="n">
        <v>2</v>
      </c>
      <c r="X54" s="11" t="n">
        <v>1</v>
      </c>
      <c r="Y54" s="11" t="n">
        <v>1</v>
      </c>
    </row>
    <row r="55">
      <c r="A55" s="11" t="inlineStr">
        <is>
          <t>TEST.5.4</t>
        </is>
      </c>
      <c r="B55" s="12" t="inlineStr">
        <is>
          <t>Persistenz</t>
        </is>
      </c>
      <c r="C55" s="11" t="inlineStr">
        <is>
          <t>TEST.5.4</t>
        </is>
      </c>
      <c r="D55" s="11" t="inlineStr">
        <is>
          <t>Standard-Anforderungen</t>
        </is>
      </c>
      <c r="E55" s="12" t="inlineStr">
        <is>
          <t>Änderungen und Tests SOLLTE die Persistenz nach wesentlichen Änderungen testen.</t>
        </is>
      </c>
      <c r="F55" s="14" t="n"/>
      <c r="G55" s="14" t="n"/>
      <c r="H55" s="14" t="inlineStr">
        <is>
          <t>unbearbeitet</t>
        </is>
      </c>
      <c r="I55" s="14" t="n"/>
      <c r="J55" s="14" t="n"/>
      <c r="K55" s="14" t="n"/>
      <c r="L55" s="15" t="n"/>
      <c r="M55" s="11" t="inlineStr">
        <is>
          <t>Integrität</t>
        </is>
      </c>
      <c r="N55" s="12" t="inlineStr">
        <is>
          <t>INF.13.A12-UA.3; NET.3.1.A25-UA.1; NET.3.2.A25-UA.1; NET.3.2.A25-UA.2; OPS.1.1.3.A1-UA.8; OPS.1.1.6.A12-UA.2</t>
        </is>
      </c>
      <c r="O55" s="11" t="inlineStr">
        <is>
          <t>intersects-with; subset-of; subset-of; subset-of; superset-of; subset-of</t>
        </is>
      </c>
      <c r="P55" s="12" t="inlineStr">
        <is>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is>
      </c>
      <c r="Q55" s="11" t="inlineStr"/>
      <c r="R55" s="11" t="inlineStr">
        <is>
          <t>Konfigurationshistorie</t>
        </is>
      </c>
      <c r="S55" s="12" t="inlineStr">
        <is>
          <t>die Persistenz</t>
        </is>
      </c>
      <c r="T55" s="12" t="inlineStr">
        <is>
          <t>G 0.23 – Unbefugtes Eindringen in IT-Systeme; G 0.22 – Manipulation von Informationen; G 0.43 – Einspielen von Nachrichten; G 0.18 – Fehlplanung oder fehlende Anpassung</t>
        </is>
      </c>
      <c r="U55" s="11" t="n">
        <v>3</v>
      </c>
      <c r="V55" s="11" t="n">
        <v>1</v>
      </c>
      <c r="W55" s="11" t="n">
        <v>2</v>
      </c>
      <c r="X55" s="11" t="n">
        <v>1</v>
      </c>
      <c r="Y55" s="11" t="n">
        <v>1</v>
      </c>
    </row>
    <row r="56">
      <c r="A56" s="9" t="inlineStr">
        <is>
          <t>TEST.5.5</t>
        </is>
      </c>
      <c r="B56" s="10" t="inlineStr">
        <is>
          <t>Rückblick</t>
        </is>
      </c>
      <c r="C56" s="11" t="n"/>
      <c r="D56" s="11" t="inlineStr">
        <is>
          <t>Standard-Anforderungen</t>
        </is>
      </c>
      <c r="E56" s="12" t="inlineStr">
        <is>
          <t>Gesamt:</t>
        </is>
      </c>
      <c r="F56" s="11" t="n"/>
      <c r="G56" s="11" t="n"/>
      <c r="H56" s="13">
        <f>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
      </c>
      <c r="I56" s="11" t="n"/>
      <c r="J56" s="11" t="n"/>
      <c r="K56" s="11" t="n"/>
      <c r="L56" s="11" t="n"/>
      <c r="M56" s="11" t="inlineStr"/>
      <c r="N56" s="12" t="inlineStr">
        <is>
          <t>CON.11.1.A17-UA.5; OPS.1.1.3.A1-UA.7</t>
        </is>
      </c>
      <c r="O56" s="11" t="inlineStr">
        <is>
          <t>subset-of; superset-of</t>
        </is>
      </c>
      <c r="P56" s="12" t="inlineStr">
        <is>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is>
      </c>
      <c r="Q56" s="11" t="inlineStr"/>
      <c r="R56" s="11" t="inlineStr">
        <is>
          <t>Übungs- und Prüfplan</t>
        </is>
      </c>
      <c r="S56" s="12" t="inlineStr">
        <is>
          <t>die Erreichung der Bereitstellungsziele</t>
        </is>
      </c>
      <c r="T56" s="12" t="inlineStr">
        <is>
          <t>G 0.18 – Fehlplanung oder fehlende Anpassung</t>
        </is>
      </c>
      <c r="U56" s="11" t="n">
        <v>4</v>
      </c>
      <c r="V56" s="11" t="n">
        <v>1</v>
      </c>
      <c r="W56" s="11" t="n">
        <v>1</v>
      </c>
      <c r="X56" s="11" t="n">
        <v>1</v>
      </c>
      <c r="Y56" s="11" t="n">
        <v>0</v>
      </c>
    </row>
    <row r="57">
      <c r="A57" s="11" t="inlineStr">
        <is>
          <t>TEST.5.5</t>
        </is>
      </c>
      <c r="B57" s="12" t="inlineStr">
        <is>
          <t>Rückblick</t>
        </is>
      </c>
      <c r="C57" s="11" t="inlineStr">
        <is>
          <t>TEST.5.5</t>
        </is>
      </c>
      <c r="D57" s="11" t="inlineStr">
        <is>
          <t>Standard-Anforderungen</t>
        </is>
      </c>
      <c r="E57" s="12" t="inlineStr">
        <is>
          <t>Änderungen und Tests SOLLTE die Erreichung der Bereitstellungsziele regelmäßig überprüfen.</t>
        </is>
      </c>
      <c r="F57" s="14" t="n"/>
      <c r="G57" s="14" t="n"/>
      <c r="H57" s="14" t="inlineStr">
        <is>
          <t>unbearbeitet</t>
        </is>
      </c>
      <c r="I57" s="14" t="n"/>
      <c r="J57" s="14" t="n"/>
      <c r="K57" s="14" t="n"/>
      <c r="L57" s="15" t="n"/>
      <c r="M57" s="11" t="inlineStr"/>
      <c r="N57" s="12" t="inlineStr">
        <is>
          <t>CON.11.1.A17-UA.5; OPS.1.1.3.A1-UA.7</t>
        </is>
      </c>
      <c r="O57" s="11" t="inlineStr">
        <is>
          <t>subset-of; superset-of</t>
        </is>
      </c>
      <c r="P57" s="12" t="inlineStr">
        <is>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is>
      </c>
      <c r="Q57" s="11" t="inlineStr"/>
      <c r="R57" s="11" t="inlineStr">
        <is>
          <t>Übungs- und Prüfplan</t>
        </is>
      </c>
      <c r="S57" s="12" t="inlineStr">
        <is>
          <t>die Erreichung der Bereitstellungsziele</t>
        </is>
      </c>
      <c r="T57" s="12" t="inlineStr">
        <is>
          <t>G 0.18 – Fehlplanung oder fehlende Anpassung</t>
        </is>
      </c>
      <c r="U57" s="11" t="n">
        <v>4</v>
      </c>
      <c r="V57" s="11" t="n">
        <v>1</v>
      </c>
      <c r="W57" s="11" t="n">
        <v>1</v>
      </c>
      <c r="X57" s="11" t="n">
        <v>1</v>
      </c>
      <c r="Y57" s="11" t="n">
        <v>0</v>
      </c>
    </row>
  </sheetData>
  <autoFilter ref="A6:Y6"/>
  <conditionalFormatting sqref="H7:H57">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19 H20 H21 H23 H24 H25 H26 H27 H28 H29 H30 H31 H32 H33 H34 H36 H38 H39 H40 H41 H43 H45 H47 H49 H51 H53 H55 H57"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28"/>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UMS</t>
        </is>
      </c>
      <c r="B3" s="6" t="inlineStr">
        <is>
          <t>Umsetzung</t>
        </is>
      </c>
    </row>
    <row r="4">
      <c r="A4" s="3" t="inlineStr">
        <is>
          <t>Zielobjekte</t>
        </is>
      </c>
      <c r="B4" s="7">
        <f>IF('Praktiken'!D23="","",'Praktiken'!D23)</f>
        <v/>
      </c>
    </row>
    <row r="5">
      <c r="A5" s="3" t="inlineStr">
        <is>
          <t>Zuständig</t>
        </is>
      </c>
      <c r="B5" s="7">
        <f>IF('Praktiken'!S23="","",'Praktiken'!S23)</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UMS.1.1</t>
        </is>
      </c>
      <c r="B7" s="10" t="inlineStr">
        <is>
          <t>Ermittlung des Umsetzungsstatus</t>
        </is>
      </c>
      <c r="C7" s="11" t="n"/>
      <c r="D7" s="11" t="inlineStr">
        <is>
          <t>Basis-Anforderungen</t>
        </is>
      </c>
      <c r="E7" s="12" t="inlineStr">
        <is>
          <t>Gesamt:</t>
        </is>
      </c>
      <c r="F7" s="11" t="n"/>
      <c r="G7" s="11" t="n"/>
      <c r="H7" s="13">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
      </c>
      <c r="I7" s="11" t="n"/>
      <c r="J7" s="11" t="n"/>
      <c r="K7" s="11" t="n"/>
      <c r="L7" s="11" t="n"/>
      <c r="M7" s="11" t="inlineStr"/>
      <c r="N7" s="12" t="inlineStr"/>
      <c r="O7" s="11" t="inlineStr"/>
      <c r="P7" s="12" t="inlineStr">
        <is>
          <t>Der Umsetzungsstatus einer Anforderung kann grundsätzlich nur „umgesetzt“ („ja“) oder „nicht umgesetzt“ („nein“) sein. Eine Anforderung gilt nur dann als umgesetzt, wenn sie selbst sowie alle in Abhängigkeit stehenden Anforderungen umgesetzt sind.</t>
        </is>
      </c>
      <c r="Q7" s="11" t="inlineStr"/>
      <c r="R7" s="11" t="inlineStr"/>
      <c r="S7" s="12" t="inlineStr">
        <is>
          <t>den Umsetzungsstatus der Anforderungen</t>
        </is>
      </c>
      <c r="T7" s="12" t="inlineStr"/>
      <c r="U7" s="11" t="n">
        <v>0</v>
      </c>
      <c r="V7" s="11" t="n"/>
      <c r="W7" s="11" t="n"/>
      <c r="X7" s="11" t="n"/>
      <c r="Y7" s="11" t="n"/>
    </row>
    <row r="8">
      <c r="A8" s="11" t="inlineStr">
        <is>
          <t>UMS.1.1</t>
        </is>
      </c>
      <c r="B8" s="12" t="inlineStr">
        <is>
          <t>Ermittlung des Umsetzungsstatus</t>
        </is>
      </c>
      <c r="C8" s="11" t="inlineStr">
        <is>
          <t>UMS.1.1</t>
        </is>
      </c>
      <c r="D8" s="11" t="inlineStr">
        <is>
          <t>Basis-Anforderungen</t>
        </is>
      </c>
      <c r="E8" s="12" t="inlineStr">
        <is>
          <t>Umsetzung MUSS den Umsetzungsstatus der Anforderungen im Anforderungspaket vollständig regelmäßig überprüfen.</t>
        </is>
      </c>
      <c r="F8" s="14" t="n"/>
      <c r="G8" s="14" t="n"/>
      <c r="H8" s="14" t="inlineStr">
        <is>
          <t>unbearbeitet</t>
        </is>
      </c>
      <c r="I8" s="14" t="n"/>
      <c r="J8" s="14" t="n"/>
      <c r="K8" s="14" t="n"/>
      <c r="L8" s="15" t="n"/>
      <c r="M8" s="11" t="inlineStr"/>
      <c r="N8" s="12" t="inlineStr"/>
      <c r="O8" s="11" t="inlineStr"/>
      <c r="P8" s="12" t="inlineStr">
        <is>
          <t>Der Umsetzungsstatus einer Anforderung kann grundsätzlich nur „umgesetzt“ („ja“) oder „nicht umgesetzt“ („nein“) sein. Eine Anforderung gilt nur dann als umgesetzt, wenn sie selbst sowie alle in Abhängigkeit stehenden Anforderungen umgesetzt sind.</t>
        </is>
      </c>
      <c r="Q8" s="11" t="inlineStr"/>
      <c r="R8" s="11" t="inlineStr"/>
      <c r="S8" s="12" t="inlineStr">
        <is>
          <t>den Umsetzungsstatus der Anforderungen</t>
        </is>
      </c>
      <c r="T8" s="12" t="inlineStr"/>
      <c r="U8" s="11" t="n">
        <v>0</v>
      </c>
      <c r="V8" s="11" t="n"/>
      <c r="W8" s="11" t="n"/>
      <c r="X8" s="11" t="n"/>
      <c r="Y8" s="11" t="n"/>
    </row>
    <row r="9">
      <c r="A9" s="9" t="inlineStr">
        <is>
          <t>UMS.1.2</t>
        </is>
      </c>
      <c r="B9" s="10" t="inlineStr">
        <is>
          <t>Bewertung des Restrisikos</t>
        </is>
      </c>
      <c r="C9" s="11" t="n"/>
      <c r="D9" s="11" t="inlineStr">
        <is>
          <t>Standard-Anforderungen</t>
        </is>
      </c>
      <c r="E9" s="12" t="inlineStr">
        <is>
          <t>Gesamt:</t>
        </is>
      </c>
      <c r="F9" s="11" t="n"/>
      <c r="G9" s="11" t="n"/>
      <c r="H9" s="13">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
      </c>
      <c r="I9" s="11" t="n"/>
      <c r="J9" s="11" t="n"/>
      <c r="K9" s="11" t="n"/>
      <c r="L9" s="11" t="n"/>
      <c r="M9" s="11" t="inlineStr"/>
      <c r="N9" s="12" t="inlineStr"/>
      <c r="O9" s="11" t="inlineStr"/>
      <c r="P9" s="12" t="inlineStr">
        <is>
          <t>Die Risiken der Nichtumsetzung von Anforderungen können auch konsolidiert werden, um diese für die Institutionsleitung nachvollziehbarer zu machen.</t>
        </is>
      </c>
      <c r="Q9" s="11" t="inlineStr"/>
      <c r="R9" s="11" t="inlineStr"/>
      <c r="S9" s="12" t="inlineStr">
        <is>
          <t>das bestehende Restrisiko durch die nicht umgesetzten Anforderungen</t>
        </is>
      </c>
      <c r="T9" s="12" t="inlineStr"/>
      <c r="U9" s="11" t="n">
        <v>2</v>
      </c>
      <c r="V9" s="11" t="n"/>
      <c r="W9" s="11" t="n"/>
      <c r="X9" s="11" t="n"/>
      <c r="Y9" s="11" t="n"/>
    </row>
    <row r="10">
      <c r="A10" s="11" t="inlineStr">
        <is>
          <t>UMS.1.2</t>
        </is>
      </c>
      <c r="B10" s="12" t="inlineStr">
        <is>
          <t>Bewertung des Restrisikos</t>
        </is>
      </c>
      <c r="C10" s="11" t="inlineStr">
        <is>
          <t>UMS.1.2</t>
        </is>
      </c>
      <c r="D10" s="11" t="inlineStr">
        <is>
          <t>Standard-Anforderungen</t>
        </is>
      </c>
      <c r="E10" s="12" t="inlineStr">
        <is>
          <t>Umsetzung SOLLTE das bestehende Restrisiko durch die nicht umgesetzten Anforderungen festlegen.</t>
        </is>
      </c>
      <c r="F10" s="14" t="n"/>
      <c r="G10" s="14" t="n"/>
      <c r="H10" s="14" t="inlineStr">
        <is>
          <t>unbearbeitet</t>
        </is>
      </c>
      <c r="I10" s="14" t="n"/>
      <c r="J10" s="14" t="n"/>
      <c r="K10" s="14" t="n"/>
      <c r="L10" s="15" t="n"/>
      <c r="M10" s="11" t="inlineStr"/>
      <c r="N10" s="12" t="inlineStr"/>
      <c r="O10" s="11" t="inlineStr"/>
      <c r="P10" s="12" t="inlineStr">
        <is>
          <t>Die Risiken der Nichtumsetzung von Anforderungen können auch konsolidiert werden, um diese für die Institutionsleitung nachvollziehbarer zu machen.</t>
        </is>
      </c>
      <c r="Q10" s="11" t="inlineStr"/>
      <c r="R10" s="11" t="inlineStr"/>
      <c r="S10" s="12" t="inlineStr">
        <is>
          <t>das bestehende Restrisiko durch die nicht umgesetzten Anforderungen</t>
        </is>
      </c>
      <c r="T10" s="12" t="inlineStr"/>
      <c r="U10" s="11" t="n">
        <v>2</v>
      </c>
      <c r="V10" s="11" t="n"/>
      <c r="W10" s="11" t="n"/>
      <c r="X10" s="11" t="n"/>
      <c r="Y10" s="11" t="n"/>
    </row>
    <row r="11">
      <c r="A11" s="9" t="inlineStr">
        <is>
          <t>UMS.2.1</t>
        </is>
      </c>
      <c r="B11" s="10" t="inlineStr">
        <is>
          <t>Umsetzungsplanung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t>
        </is>
      </c>
      <c r="Q11" s="11" t="inlineStr"/>
      <c r="R11" s="11" t="inlineStr">
        <is>
          <t>Umsetzungsplan</t>
        </is>
      </c>
      <c r="S11" s="12" t="inlineStr">
        <is>
          <t>Maßnahmen für die Umsetzung der bisher nicht umgesetzten Anforderungen des Anforderungspakets</t>
        </is>
      </c>
      <c r="T11" s="12" t="inlineStr"/>
      <c r="U11" s="11" t="n">
        <v>0</v>
      </c>
      <c r="V11" s="11" t="n"/>
      <c r="W11" s="11" t="n"/>
      <c r="X11" s="11" t="n"/>
      <c r="Y11" s="11" t="n"/>
    </row>
    <row r="12">
      <c r="A12" s="11" t="inlineStr">
        <is>
          <t>UMS.2.1</t>
        </is>
      </c>
      <c r="B12" s="12" t="inlineStr">
        <is>
          <t>Umsetzungsplanung</t>
        </is>
      </c>
      <c r="C12" s="11" t="inlineStr">
        <is>
          <t>UMS.2.1</t>
        </is>
      </c>
      <c r="D12" s="11" t="inlineStr">
        <is>
          <t>Basis-Anforderungen</t>
        </is>
      </c>
      <c r="E12" s="12" t="inlineStr">
        <is>
          <t>Umsetzung MUSS Maßnahmen für die Umsetzung der bisher nicht umgesetzten Anforderungen des Anforderungspakets gemäß einer strukturierten Vorgehensweise festlegen.</t>
        </is>
      </c>
      <c r="F12" s="14" t="n"/>
      <c r="G12" s="14" t="n"/>
      <c r="H12" s="14" t="inlineStr">
        <is>
          <t>unbearbeitet</t>
        </is>
      </c>
      <c r="I12" s="14" t="n"/>
      <c r="J12" s="14" t="n"/>
      <c r="K12" s="14" t="n"/>
      <c r="L12" s="15" t="n"/>
      <c r="M12" s="11" t="inlineStr"/>
      <c r="N12" s="12" t="inlineStr"/>
      <c r="O12" s="11" t="inlineStr"/>
      <c r="P12" s="12" t="inlineStr">
        <is>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t>
        </is>
      </c>
      <c r="Q12" s="11" t="inlineStr"/>
      <c r="R12" s="11" t="inlineStr">
        <is>
          <t>Umsetzungsplan</t>
        </is>
      </c>
      <c r="S12" s="12" t="inlineStr">
        <is>
          <t>Maßnahmen für die Umsetzung der bisher nicht umgesetzten Anforderungen des Anforderungspakets</t>
        </is>
      </c>
      <c r="T12" s="12" t="inlineStr"/>
      <c r="U12" s="11" t="n">
        <v>0</v>
      </c>
      <c r="V12" s="11" t="n"/>
      <c r="W12" s="11" t="n"/>
      <c r="X12" s="11" t="n"/>
      <c r="Y12" s="11" t="n"/>
    </row>
    <row r="13">
      <c r="A13" s="9" t="inlineStr">
        <is>
          <t>UMS.2.2</t>
        </is>
      </c>
      <c r="B13" s="10" t="inlineStr">
        <is>
          <t>Priorisierung von Maßnahmen</t>
        </is>
      </c>
      <c r="C13" s="11" t="n"/>
      <c r="D13" s="11" t="inlineStr">
        <is>
          <t>Basis-Anforderungen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Es ist eine geeignete Priorisierung der Anforderungen und Maßnahmenumsetzung vorzunehmen. Gesetzliche Verpflichtungen und Compliance, der Umsetzungsaufwand einer Anforderung bzw. Maßnahme oder die Risikomitigierung der Anforderungen können bei der Priorisierung helfen.</t>
        </is>
      </c>
      <c r="Q13" s="11" t="inlineStr"/>
      <c r="R13" s="11" t="inlineStr">
        <is>
          <t>Umsetzungsplan</t>
        </is>
      </c>
      <c r="S13" s="12" t="inlineStr">
        <is>
          <t>eine Priorisierung der festgelegten Maßnahmen</t>
        </is>
      </c>
      <c r="T13" s="12" t="inlineStr"/>
      <c r="U13" s="11" t="n">
        <v>0</v>
      </c>
      <c r="V13" s="11" t="n"/>
      <c r="W13" s="11" t="n"/>
      <c r="X13" s="11" t="n"/>
      <c r="Y13" s="11" t="n"/>
    </row>
    <row r="14">
      <c r="A14" s="11" t="inlineStr">
        <is>
          <t>UMS.2.2</t>
        </is>
      </c>
      <c r="B14" s="12" t="inlineStr">
        <is>
          <t>Priorisierung von Maßnahmen</t>
        </is>
      </c>
      <c r="C14" s="11" t="inlineStr">
        <is>
          <t>UMS.2.2</t>
        </is>
      </c>
      <c r="D14" s="11" t="inlineStr">
        <is>
          <t>Basis-Anforderungen</t>
        </is>
      </c>
      <c r="E14" s="12" t="inlineStr">
        <is>
          <t>Umsetzung MUSS eine Priorisierung der festgelegten Maßnahmen auf Basis der Risikobewertung, Abhängigkeiten und Ressourcenverfügbarkeit festlegen.</t>
        </is>
      </c>
      <c r="F14" s="14" t="n"/>
      <c r="G14" s="14" t="n"/>
      <c r="H14" s="14" t="inlineStr">
        <is>
          <t>unbearbeitet</t>
        </is>
      </c>
      <c r="I14" s="14" t="n"/>
      <c r="J14" s="14" t="n"/>
      <c r="K14" s="14" t="n"/>
      <c r="L14" s="15" t="n"/>
      <c r="M14" s="11" t="inlineStr"/>
      <c r="N14" s="12" t="inlineStr"/>
      <c r="O14" s="11" t="inlineStr"/>
      <c r="P14" s="12" t="inlineStr">
        <is>
          <t>Es ist eine geeignete Priorisierung der Anforderungen und Maßnahmenumsetzung vorzunehmen. Gesetzliche Verpflichtungen und Compliance, der Umsetzungsaufwand einer Anforderung bzw. Maßnahme oder die Risikomitigierung der Anforderungen können bei der Priorisierung helfen.</t>
        </is>
      </c>
      <c r="Q14" s="11" t="inlineStr"/>
      <c r="R14" s="11" t="inlineStr">
        <is>
          <t>Umsetzungsplan</t>
        </is>
      </c>
      <c r="S14" s="12" t="inlineStr">
        <is>
          <t>eine Priorisierung der festgelegten Maßnahmen</t>
        </is>
      </c>
      <c r="T14" s="12" t="inlineStr"/>
      <c r="U14" s="11" t="n">
        <v>0</v>
      </c>
      <c r="V14" s="11" t="n"/>
      <c r="W14" s="11" t="n"/>
      <c r="X14" s="11" t="n"/>
      <c r="Y14" s="11" t="n"/>
    </row>
    <row r="15">
      <c r="A15" s="9" t="inlineStr">
        <is>
          <t>UMS.3.1</t>
        </is>
      </c>
      <c r="B15" s="10" t="inlineStr">
        <is>
          <t>Benennung von Umsetzungszuständigen</t>
        </is>
      </c>
      <c r="C15" s="11" t="n"/>
      <c r="D15" s="11" t="inlineStr">
        <is>
          <t>Basis-Anforderungen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c r="O15" s="11" t="inlineStr"/>
      <c r="P15" s="12" t="inlineStr">
        <is>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is>
      </c>
      <c r="Q15" s="11" t="inlineStr"/>
      <c r="R15" s="11" t="inlineStr">
        <is>
          <t>Umsetzungsplan</t>
        </is>
      </c>
      <c r="S15" s="12" t="inlineStr">
        <is>
          <t>Zuständige für die Umsetzung der bisher nicht erfüllten Anforderungen</t>
        </is>
      </c>
      <c r="T15" s="12" t="inlineStr"/>
      <c r="U15" s="11" t="n">
        <v>0</v>
      </c>
      <c r="V15" s="11" t="n"/>
      <c r="W15" s="11" t="n"/>
      <c r="X15" s="11" t="n"/>
      <c r="Y15" s="11" t="n"/>
    </row>
    <row r="16">
      <c r="A16" s="11" t="inlineStr">
        <is>
          <t>UMS.3.1</t>
        </is>
      </c>
      <c r="B16" s="12" t="inlineStr">
        <is>
          <t>Benennung von Umsetzungszuständigen</t>
        </is>
      </c>
      <c r="C16" s="11" t="inlineStr">
        <is>
          <t>UMS.3.1</t>
        </is>
      </c>
      <c r="D16" s="11" t="inlineStr">
        <is>
          <t>Basis-Anforderungen</t>
        </is>
      </c>
      <c r="E16" s="12" t="inlineStr">
        <is>
          <t>Umsetzung MUSS Zuständige für die Umsetzung der bisher nicht erfüllten Anforderungen eindeutig zuweisen.</t>
        </is>
      </c>
      <c r="F16" s="14" t="n"/>
      <c r="G16" s="14" t="n"/>
      <c r="H16" s="14" t="inlineStr">
        <is>
          <t>unbearbeitet</t>
        </is>
      </c>
      <c r="I16" s="14" t="n"/>
      <c r="J16" s="14" t="n"/>
      <c r="K16" s="14" t="n"/>
      <c r="L16" s="15" t="n"/>
      <c r="M16" s="11" t="inlineStr"/>
      <c r="N16" s="12" t="inlineStr"/>
      <c r="O16" s="11" t="inlineStr"/>
      <c r="P16" s="12" t="inlineStr">
        <is>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is>
      </c>
      <c r="Q16" s="11" t="inlineStr"/>
      <c r="R16" s="11" t="inlineStr">
        <is>
          <t>Umsetzungsplan</t>
        </is>
      </c>
      <c r="S16" s="12" t="inlineStr">
        <is>
          <t>Zuständige für die Umsetzung der bisher nicht erfüllten Anforderungen</t>
        </is>
      </c>
      <c r="T16" s="12" t="inlineStr"/>
      <c r="U16" s="11" t="n">
        <v>0</v>
      </c>
      <c r="V16" s="11" t="n"/>
      <c r="W16" s="11" t="n"/>
      <c r="X16" s="11" t="n"/>
      <c r="Y16" s="11" t="n"/>
    </row>
    <row r="17">
      <c r="A17" s="9" t="inlineStr">
        <is>
          <t>UMS.4.1</t>
        </is>
      </c>
      <c r="B17" s="10" t="inlineStr">
        <is>
          <t>Festlegung von Umsetzungsfristen</t>
        </is>
      </c>
      <c r="C17" s="11" t="n"/>
      <c r="D17" s="11" t="inlineStr">
        <is>
          <t>Basis-Anforderungen</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c r="N17" s="12" t="inlineStr"/>
      <c r="O17" s="11" t="inlineStr"/>
      <c r="P17" s="12" t="inlineStr">
        <is>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is>
      </c>
      <c r="Q17" s="11" t="inlineStr"/>
      <c r="R17" s="11" t="inlineStr">
        <is>
          <t>Umsetzungsplan</t>
        </is>
      </c>
      <c r="S17" s="12" t="inlineStr">
        <is>
          <t>ein realistisches Zieldatum für die Umsetzung der bisher nicht umgesetzten Anforderungen</t>
        </is>
      </c>
      <c r="T17" s="12" t="inlineStr"/>
      <c r="U17" s="11" t="n">
        <v>0</v>
      </c>
      <c r="V17" s="11" t="n"/>
      <c r="W17" s="11" t="n"/>
      <c r="X17" s="11" t="n"/>
      <c r="Y17" s="11" t="n"/>
    </row>
    <row r="18">
      <c r="A18" s="11" t="inlineStr">
        <is>
          <t>UMS.4.1</t>
        </is>
      </c>
      <c r="B18" s="12" t="inlineStr">
        <is>
          <t>Festlegung von Umsetzungsfristen</t>
        </is>
      </c>
      <c r="C18" s="11" t="inlineStr">
        <is>
          <t>UMS.4.1</t>
        </is>
      </c>
      <c r="D18" s="11" t="inlineStr">
        <is>
          <t>Basis-Anforderungen</t>
        </is>
      </c>
      <c r="E18" s="12" t="inlineStr">
        <is>
          <t>Umsetzung MUSS ein realistisches Zieldatum für die Umsetzung der bisher nicht umgesetzten Anforderungen festlegen.</t>
        </is>
      </c>
      <c r="F18" s="14" t="n"/>
      <c r="G18" s="14" t="n"/>
      <c r="H18" s="14" t="inlineStr">
        <is>
          <t>unbearbeitet</t>
        </is>
      </c>
      <c r="I18" s="14" t="n"/>
      <c r="J18" s="14" t="n"/>
      <c r="K18" s="14" t="n"/>
      <c r="L18" s="15" t="n"/>
      <c r="M18" s="11" t="inlineStr"/>
      <c r="N18" s="12" t="inlineStr"/>
      <c r="O18" s="11" t="inlineStr"/>
      <c r="P18" s="12" t="inlineStr">
        <is>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is>
      </c>
      <c r="Q18" s="11" t="inlineStr"/>
      <c r="R18" s="11" t="inlineStr">
        <is>
          <t>Umsetzungsplan</t>
        </is>
      </c>
      <c r="S18" s="12" t="inlineStr">
        <is>
          <t>ein realistisches Zieldatum für die Umsetzung der bisher nicht umgesetzten Anforderungen</t>
        </is>
      </c>
      <c r="T18" s="12" t="inlineStr"/>
      <c r="U18" s="11" t="n">
        <v>0</v>
      </c>
      <c r="V18" s="11" t="n"/>
      <c r="W18" s="11" t="n"/>
      <c r="X18" s="11" t="n"/>
      <c r="Y18" s="11" t="n"/>
    </row>
    <row r="19">
      <c r="A19" s="9" t="inlineStr">
        <is>
          <t>UMS.5.1</t>
        </is>
      </c>
      <c r="B19" s="10" t="inlineStr">
        <is>
          <t>Autorisierung von Ausnahmen</t>
        </is>
      </c>
      <c r="C19" s="11" t="n"/>
      <c r="D19" s="11" t="inlineStr">
        <is>
          <t>Basis-Anforderungen</t>
        </is>
      </c>
      <c r="E19" s="12" t="inlineStr">
        <is>
          <t>Gesamt:</t>
        </is>
      </c>
      <c r="F19" s="11" t="n"/>
      <c r="G19" s="11" t="n"/>
      <c r="H19" s="13">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
      </c>
      <c r="I19" s="11" t="n"/>
      <c r="J19" s="11" t="n"/>
      <c r="K19" s="11" t="n"/>
      <c r="L19" s="11" t="n"/>
      <c r="M19" s="11" t="inlineStr"/>
      <c r="N19" s="12" t="inlineStr"/>
      <c r="O19" s="11" t="inlineStr"/>
      <c r="P19" s="12" t="inlineStr">
        <is>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is>
      </c>
      <c r="Q19" s="11" t="inlineStr"/>
      <c r="R19" s="11" t="inlineStr"/>
      <c r="S19" s="12" t="inlineStr">
        <is>
          <t>Ausnahmegenehmigungen für Verpflichtungen</t>
        </is>
      </c>
      <c r="T19" s="12" t="inlineStr"/>
      <c r="U19" s="11" t="n">
        <v>0</v>
      </c>
      <c r="V19" s="11" t="n"/>
      <c r="W19" s="11" t="n"/>
      <c r="X19" s="11" t="n"/>
      <c r="Y19" s="11" t="n"/>
    </row>
    <row r="20">
      <c r="A20" s="11" t="inlineStr">
        <is>
          <t>UMS.5.1</t>
        </is>
      </c>
      <c r="B20" s="12" t="inlineStr">
        <is>
          <t>Autorisierung von Ausnahmen</t>
        </is>
      </c>
      <c r="C20" s="11" t="inlineStr">
        <is>
          <t>UMS.5.1</t>
        </is>
      </c>
      <c r="D20" s="11" t="inlineStr">
        <is>
          <t>Basis-Anforderungen</t>
        </is>
      </c>
      <c r="E20" s="12" t="inlineStr">
        <is>
          <t>Umsetzung MUSS Ausnahmegenehmigungen für Verpflichtungen durch eine zuständige Person oder Rolle autorisieren.</t>
        </is>
      </c>
      <c r="F20" s="14" t="n"/>
      <c r="G20" s="14" t="n"/>
      <c r="H20" s="14" t="inlineStr">
        <is>
          <t>unbearbeitet</t>
        </is>
      </c>
      <c r="I20" s="14" t="n"/>
      <c r="J20" s="14" t="n"/>
      <c r="K20" s="14" t="n"/>
      <c r="L20" s="15" t="n"/>
      <c r="M20" s="11" t="inlineStr"/>
      <c r="N20" s="12" t="inlineStr"/>
      <c r="O20" s="11" t="inlineStr"/>
      <c r="P20" s="12" t="inlineStr">
        <is>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is>
      </c>
      <c r="Q20" s="11" t="inlineStr"/>
      <c r="R20" s="11" t="inlineStr"/>
      <c r="S20" s="12" t="inlineStr">
        <is>
          <t>Ausnahmegenehmigungen für Verpflichtungen</t>
        </is>
      </c>
      <c r="T20" s="12" t="inlineStr"/>
      <c r="U20" s="11" t="n">
        <v>0</v>
      </c>
      <c r="V20" s="11" t="n"/>
      <c r="W20" s="11" t="n"/>
      <c r="X20" s="11" t="n"/>
      <c r="Y20" s="11" t="n"/>
    </row>
    <row r="21">
      <c r="A21" s="9" t="inlineStr">
        <is>
          <t>UMS.5.2</t>
        </is>
      </c>
      <c r="B21" s="10" t="inlineStr">
        <is>
          <t>Dokumentation von Ausnahmen</t>
        </is>
      </c>
      <c r="C21" s="11" t="n"/>
      <c r="D21" s="11" t="inlineStr">
        <is>
          <t>Basis-Anforderungen</t>
        </is>
      </c>
      <c r="E21" s="12" t="inlineStr">
        <is>
          <t>Gesamt:</t>
        </is>
      </c>
      <c r="F21" s="11" t="n"/>
      <c r="G21" s="11" t="n"/>
      <c r="H21" s="13">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
      </c>
      <c r="I21" s="11" t="n"/>
      <c r="J21" s="11" t="n"/>
      <c r="K21" s="11" t="n"/>
      <c r="L21" s="11" t="n"/>
      <c r="M21" s="11" t="inlineStr"/>
      <c r="N21" s="12" t="inlineStr"/>
      <c r="O21" s="11" t="inlineStr"/>
      <c r="P21" s="12" t="inlineStr">
        <is>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is>
      </c>
      <c r="Q21" s="11" t="inlineStr"/>
      <c r="R21" s="11" t="inlineStr">
        <is>
          <t>Freigegebene Ausnahmegenehmigung</t>
        </is>
      </c>
      <c r="S21" s="12" t="inlineStr">
        <is>
          <t>Ausnahmegenehmigungen</t>
        </is>
      </c>
      <c r="T21" s="12" t="inlineStr"/>
      <c r="U21" s="11" t="n">
        <v>0</v>
      </c>
      <c r="V21" s="11" t="n"/>
      <c r="W21" s="11" t="n"/>
      <c r="X21" s="11" t="n"/>
      <c r="Y21" s="11" t="n"/>
    </row>
    <row r="22">
      <c r="A22" s="11" t="inlineStr">
        <is>
          <t>UMS.5.2</t>
        </is>
      </c>
      <c r="B22" s="12" t="inlineStr">
        <is>
          <t>Dokumentation von Ausnahmen</t>
        </is>
      </c>
      <c r="C22" s="11" t="inlineStr">
        <is>
          <t>UMS.5.2</t>
        </is>
      </c>
      <c r="D22" s="11" t="inlineStr">
        <is>
          <t>Basis-Anforderungen</t>
        </is>
      </c>
      <c r="E22" s="12" t="inlineStr">
        <is>
          <t>Umsetzung MUSS Ausnahmegenehmigungen mit Begründung dokumentieren.</t>
        </is>
      </c>
      <c r="F22" s="14" t="n"/>
      <c r="G22" s="14" t="n"/>
      <c r="H22" s="14" t="inlineStr">
        <is>
          <t>unbearbeitet</t>
        </is>
      </c>
      <c r="I22" s="14" t="n"/>
      <c r="J22" s="14" t="n"/>
      <c r="K22" s="14" t="n"/>
      <c r="L22" s="15" t="n"/>
      <c r="M22" s="11" t="inlineStr"/>
      <c r="N22" s="12" t="inlineStr"/>
      <c r="O22" s="11" t="inlineStr"/>
      <c r="P22" s="12" t="inlineStr">
        <is>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is>
      </c>
      <c r="Q22" s="11" t="inlineStr"/>
      <c r="R22" s="11" t="inlineStr">
        <is>
          <t>Freigegebene Ausnahmegenehmigung</t>
        </is>
      </c>
      <c r="S22" s="12" t="inlineStr">
        <is>
          <t>Ausnahmegenehmigungen</t>
        </is>
      </c>
      <c r="T22" s="12" t="inlineStr"/>
      <c r="U22" s="11" t="n">
        <v>0</v>
      </c>
      <c r="V22" s="11" t="n"/>
      <c r="W22" s="11" t="n"/>
      <c r="X22" s="11" t="n"/>
      <c r="Y22" s="11" t="n"/>
    </row>
    <row r="23">
      <c r="A23" s="9" t="inlineStr">
        <is>
          <t>UMS.6.1</t>
        </is>
      </c>
      <c r="B23" s="10" t="inlineStr">
        <is>
          <t>Nachverfolgung des Umsetzungsfortschritts</t>
        </is>
      </c>
      <c r="C23" s="11" t="n"/>
      <c r="D23" s="11" t="inlineStr">
        <is>
          <t>Basis-Anforderungen</t>
        </is>
      </c>
      <c r="E23" s="12" t="inlineStr">
        <is>
          <t>Gesamt:</t>
        </is>
      </c>
      <c r="F23" s="11" t="n"/>
      <c r="G23" s="11" t="n"/>
      <c r="H23" s="13">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
      </c>
      <c r="I23" s="11" t="n"/>
      <c r="J23" s="11" t="n"/>
      <c r="K23" s="11" t="n"/>
      <c r="L23" s="11" t="n"/>
      <c r="M23" s="11" t="inlineStr"/>
      <c r="N23" s="12" t="inlineStr"/>
      <c r="O23" s="11" t="inlineStr"/>
      <c r="P23" s="12" t="inlineStr">
        <is>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is>
      </c>
      <c r="Q23" s="11" t="inlineStr"/>
      <c r="R23" s="11" t="inlineStr">
        <is>
          <t>Umsetzungsplan</t>
        </is>
      </c>
      <c r="S23" s="12" t="inlineStr">
        <is>
          <t>ein Verfahren für die Nachverfolgung der Umsetzung von Maßnahmen</t>
        </is>
      </c>
      <c r="T23" s="12" t="inlineStr"/>
      <c r="U23" s="11" t="n">
        <v>0</v>
      </c>
      <c r="V23" s="11" t="n"/>
      <c r="W23" s="11" t="n"/>
      <c r="X23" s="11" t="n"/>
      <c r="Y23" s="11" t="n"/>
    </row>
    <row r="24">
      <c r="A24" s="11" t="inlineStr">
        <is>
          <t>UMS.6.1</t>
        </is>
      </c>
      <c r="B24" s="12" t="inlineStr">
        <is>
          <t>Nachverfolgung des Umsetzungsfortschritts</t>
        </is>
      </c>
      <c r="C24" s="11" t="inlineStr">
        <is>
          <t>UMS.6.1</t>
        </is>
      </c>
      <c r="D24" s="11" t="inlineStr">
        <is>
          <t>Basis-Anforderungen</t>
        </is>
      </c>
      <c r="E24" s="12" t="inlineStr">
        <is>
          <t>Umsetzung MUSS ein Verfahren für die Nachverfolgung der Umsetzung von Maßnahmen verankern.</t>
        </is>
      </c>
      <c r="F24" s="14" t="n"/>
      <c r="G24" s="14" t="n"/>
      <c r="H24" s="14" t="inlineStr">
        <is>
          <t>unbearbeitet</t>
        </is>
      </c>
      <c r="I24" s="14" t="n"/>
      <c r="J24" s="14" t="n"/>
      <c r="K24" s="14" t="n"/>
      <c r="L24" s="15" t="n"/>
      <c r="M24" s="11" t="inlineStr"/>
      <c r="N24" s="12" t="inlineStr"/>
      <c r="O24" s="11" t="inlineStr"/>
      <c r="P24" s="12" t="inlineStr">
        <is>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is>
      </c>
      <c r="Q24" s="11" t="inlineStr"/>
      <c r="R24" s="11" t="inlineStr">
        <is>
          <t>Umsetzungsplan</t>
        </is>
      </c>
      <c r="S24" s="12" t="inlineStr">
        <is>
          <t>ein Verfahren für die Nachverfolgung der Umsetzung von Maßnahmen</t>
        </is>
      </c>
      <c r="T24" s="12" t="inlineStr"/>
      <c r="U24" s="11" t="n">
        <v>0</v>
      </c>
      <c r="V24" s="11" t="n"/>
      <c r="W24" s="11" t="n"/>
      <c r="X24" s="11" t="n"/>
      <c r="Y24" s="11" t="n"/>
    </row>
    <row r="25">
      <c r="A25" s="9" t="inlineStr">
        <is>
          <t>UMS.6.2</t>
        </is>
      </c>
      <c r="B25" s="10" t="inlineStr">
        <is>
          <t>Fortschreibung des Umsetzungsplans</t>
        </is>
      </c>
      <c r="C25" s="11" t="n"/>
      <c r="D25" s="11" t="inlineStr">
        <is>
          <t>Basis-Anforderungen</t>
        </is>
      </c>
      <c r="E25" s="12" t="inlineStr">
        <is>
          <t>Gesamt:</t>
        </is>
      </c>
      <c r="F25" s="11" t="n"/>
      <c r="G25" s="11" t="n"/>
      <c r="H25" s="13">
        <f>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
      </c>
      <c r="I25" s="11" t="n"/>
      <c r="J25" s="11" t="n"/>
      <c r="K25" s="11" t="n"/>
      <c r="L25" s="11" t="n"/>
      <c r="M25" s="11" t="inlineStr"/>
      <c r="N25" s="12" t="inlineStr"/>
      <c r="O25" s="11" t="inlineStr"/>
      <c r="P25" s="12" t="inlineStr">
        <is>
          <t>Die Fortschreibung sollte die Anpassung von Zeitplänen und Ressourcenzuweisungen, Neubewertungen von Prioritäten, die Ergänzung neuer Maßnahmen und Streichung nicht mehr relevanter Maßnahmen sowie die Integration von Erkenntnissen aus der Wirksamkeitsprüfung umfassen.</t>
        </is>
      </c>
      <c r="Q25" s="11" t="inlineStr"/>
      <c r="R25" s="11" t="inlineStr">
        <is>
          <t>Umsetzungsplan</t>
        </is>
      </c>
      <c r="S25" s="12" t="inlineStr">
        <is>
          <t>ein Verfahren zur Fortschreibung des Umsetzungsplans</t>
        </is>
      </c>
      <c r="T25" s="12" t="inlineStr"/>
      <c r="U25" s="11" t="n">
        <v>0</v>
      </c>
      <c r="V25" s="11" t="n"/>
      <c r="W25" s="11" t="n"/>
      <c r="X25" s="11" t="n"/>
      <c r="Y25" s="11" t="n"/>
    </row>
    <row r="26">
      <c r="A26" s="11" t="inlineStr">
        <is>
          <t>UMS.6.2</t>
        </is>
      </c>
      <c r="B26" s="12" t="inlineStr">
        <is>
          <t>Fortschreibung des Umsetzungsplans</t>
        </is>
      </c>
      <c r="C26" s="11" t="inlineStr">
        <is>
          <t>UMS.6.2</t>
        </is>
      </c>
      <c r="D26" s="11" t="inlineStr">
        <is>
          <t>Basis-Anforderungen</t>
        </is>
      </c>
      <c r="E26" s="12" t="inlineStr">
        <is>
          <t>Umsetzung MUSS ein Verfahren zur Fortschreibung des Umsetzungsplans verankern.</t>
        </is>
      </c>
      <c r="F26" s="14" t="n"/>
      <c r="G26" s="14" t="n"/>
      <c r="H26" s="14" t="inlineStr">
        <is>
          <t>unbearbeitet</t>
        </is>
      </c>
      <c r="I26" s="14" t="n"/>
      <c r="J26" s="14" t="n"/>
      <c r="K26" s="14" t="n"/>
      <c r="L26" s="15" t="n"/>
      <c r="M26" s="11" t="inlineStr"/>
      <c r="N26" s="12" t="inlineStr"/>
      <c r="O26" s="11" t="inlineStr"/>
      <c r="P26" s="12" t="inlineStr">
        <is>
          <t>Die Fortschreibung sollte die Anpassung von Zeitplänen und Ressourcenzuweisungen, Neubewertungen von Prioritäten, die Ergänzung neuer Maßnahmen und Streichung nicht mehr relevanter Maßnahmen sowie die Integration von Erkenntnissen aus der Wirksamkeitsprüfung umfassen.</t>
        </is>
      </c>
      <c r="Q26" s="11" t="inlineStr"/>
      <c r="R26" s="11" t="inlineStr">
        <is>
          <t>Umsetzungsplan</t>
        </is>
      </c>
      <c r="S26" s="12" t="inlineStr">
        <is>
          <t>ein Verfahren zur Fortschreibung des Umsetzungsplans</t>
        </is>
      </c>
      <c r="T26" s="12" t="inlineStr"/>
      <c r="U26" s="11" t="n">
        <v>0</v>
      </c>
      <c r="V26" s="11" t="n"/>
      <c r="W26" s="11" t="n"/>
      <c r="X26" s="11" t="n"/>
      <c r="Y26" s="11" t="n"/>
    </row>
    <row r="27">
      <c r="A27" s="9" t="inlineStr">
        <is>
          <t>UMS.7.1</t>
        </is>
      </c>
      <c r="B27" s="10" t="inlineStr">
        <is>
          <t>Wahrung von Compliance in der Umsetzung</t>
        </is>
      </c>
      <c r="C27" s="11" t="n"/>
      <c r="D27" s="11" t="inlineStr">
        <is>
          <t>Basis-Anforderungen</t>
        </is>
      </c>
      <c r="E27" s="12" t="inlineStr">
        <is>
          <t>Gesamt:</t>
        </is>
      </c>
      <c r="F27" s="11" t="n"/>
      <c r="G27" s="11" t="n"/>
      <c r="H27" s="13">
        <f>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
      </c>
      <c r="I27" s="11" t="n"/>
      <c r="J27" s="11" t="n"/>
      <c r="K27" s="11" t="n"/>
      <c r="L27" s="11" t="n"/>
      <c r="M27" s="11" t="inlineStr"/>
      <c r="N27" s="12" t="inlineStr"/>
      <c r="O27" s="11" t="inlineStr"/>
      <c r="P27" s="12" t="inlineStr">
        <is>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is>
      </c>
      <c r="Q27" s="11" t="inlineStr"/>
      <c r="R27" s="11" t="inlineStr">
        <is>
          <t>Compliance-Verpflichtungen</t>
        </is>
      </c>
      <c r="S27" s="12" t="inlineStr">
        <is>
          <t>ein Verfahren zur Überprüfung von Compliance im Umsetzungsprozess</t>
        </is>
      </c>
      <c r="T27" s="12" t="inlineStr"/>
      <c r="U27" s="11" t="n">
        <v>0</v>
      </c>
      <c r="V27" s="11" t="n"/>
      <c r="W27" s="11" t="n"/>
      <c r="X27" s="11" t="n"/>
      <c r="Y27" s="11" t="n"/>
    </row>
    <row r="28">
      <c r="A28" s="11" t="inlineStr">
        <is>
          <t>UMS.7.1</t>
        </is>
      </c>
      <c r="B28" s="12" t="inlineStr">
        <is>
          <t>Wahrung von Compliance in der Umsetzung</t>
        </is>
      </c>
      <c r="C28" s="11" t="inlineStr">
        <is>
          <t>UMS.7.1</t>
        </is>
      </c>
      <c r="D28" s="11" t="inlineStr">
        <is>
          <t>Basis-Anforderungen</t>
        </is>
      </c>
      <c r="E28" s="12" t="inlineStr">
        <is>
          <t>Umsetzung MUSS ein Verfahren zur Überprüfung von Compliance im Umsetzungsprozess verankern.</t>
        </is>
      </c>
      <c r="F28" s="14" t="n"/>
      <c r="G28" s="14" t="n"/>
      <c r="H28" s="14" t="inlineStr">
        <is>
          <t>unbearbeitet</t>
        </is>
      </c>
      <c r="I28" s="14" t="n"/>
      <c r="J28" s="14" t="n"/>
      <c r="K28" s="14" t="n"/>
      <c r="L28" s="15" t="n"/>
      <c r="M28" s="11" t="inlineStr"/>
      <c r="N28" s="12" t="inlineStr"/>
      <c r="O28" s="11" t="inlineStr"/>
      <c r="P28" s="12" t="inlineStr">
        <is>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is>
      </c>
      <c r="Q28" s="11" t="inlineStr"/>
      <c r="R28" s="11" t="inlineStr">
        <is>
          <t>Compliance-Verpflichtungen</t>
        </is>
      </c>
      <c r="S28" s="12" t="inlineStr">
        <is>
          <t>ein Verfahren zur Überprüfung von Compliance im Umsetzungsprozess</t>
        </is>
      </c>
      <c r="T28" s="12" t="inlineStr"/>
      <c r="U28" s="11" t="n">
        <v>0</v>
      </c>
      <c r="V28" s="11" t="n"/>
      <c r="W28" s="11" t="n"/>
      <c r="X28" s="11" t="n"/>
      <c r="Y28" s="11" t="n"/>
    </row>
  </sheetData>
  <autoFilter ref="A6:Y6"/>
  <conditionalFormatting sqref="H7:H28">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10 H12 H14 H16 H18 H20 H22 H24 H26 H28"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6"/>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VRB</t>
        </is>
      </c>
      <c r="B3" s="6" t="inlineStr">
        <is>
          <t>Verbesserung</t>
        </is>
      </c>
    </row>
    <row r="4">
      <c r="A4" s="3" t="inlineStr">
        <is>
          <t>Zielobjekte</t>
        </is>
      </c>
      <c r="B4" s="7">
        <f>IF('Praktiken'!D24="","",'Praktiken'!D24)</f>
        <v/>
      </c>
    </row>
    <row r="5">
      <c r="A5" s="3" t="inlineStr">
        <is>
          <t>Zuständig</t>
        </is>
      </c>
      <c r="B5" s="7">
        <f>IF('Praktiken'!S24="","",'Praktiken'!S24)</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VRB.1.1</t>
        </is>
      </c>
      <c r="B7" s="10" t="inlineStr">
        <is>
          <t>Verfahren zur kontinuierlichen Verbesserung</t>
        </is>
      </c>
      <c r="C7" s="11" t="n"/>
      <c r="D7" s="11" t="inlineStr">
        <is>
          <t>Basis-Anforderungen</t>
        </is>
      </c>
      <c r="E7" s="12" t="inlineStr">
        <is>
          <t>Gesamt:</t>
        </is>
      </c>
      <c r="F7" s="11" t="n"/>
      <c r="G7" s="11" t="n"/>
      <c r="H7" s="13">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
      </c>
      <c r="I7" s="11" t="n"/>
      <c r="J7" s="11" t="n"/>
      <c r="K7" s="11" t="n"/>
      <c r="L7" s="11" t="n"/>
      <c r="M7" s="11" t="inlineStr"/>
      <c r="N7" s="12" t="inlineStr"/>
      <c r="O7" s="11" t="inlineStr"/>
      <c r="P7" s="12" t="inlineStr">
        <is>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is>
      </c>
      <c r="Q7" s="11" t="inlineStr"/>
      <c r="R7" s="11" t="inlineStr"/>
      <c r="S7" s="12" t="inlineStr">
        <is>
          <t>ein Verfahren zur kontinuierlichen Verbesserung des ISMS</t>
        </is>
      </c>
      <c r="T7" s="12" t="inlineStr"/>
      <c r="U7" s="11" t="n">
        <v>0</v>
      </c>
      <c r="V7" s="11" t="n"/>
      <c r="W7" s="11" t="n"/>
      <c r="X7" s="11" t="n"/>
      <c r="Y7" s="11" t="n"/>
    </row>
    <row r="8">
      <c r="A8" s="11" t="inlineStr">
        <is>
          <t>VRB.1.1</t>
        </is>
      </c>
      <c r="B8" s="12" t="inlineStr">
        <is>
          <t>Verfahren zur kontinuierlichen Verbesserung</t>
        </is>
      </c>
      <c r="C8" s="11" t="inlineStr">
        <is>
          <t>VRB.1.1</t>
        </is>
      </c>
      <c r="D8" s="11" t="inlineStr">
        <is>
          <t>Basis-Anforderungen</t>
        </is>
      </c>
      <c r="E8" s="12" t="inlineStr">
        <is>
          <t>Verbesserung MUSS ein Verfahren zur kontinuierlichen Verbesserung des ISMS verankern.</t>
        </is>
      </c>
      <c r="F8" s="14" t="n"/>
      <c r="G8" s="14" t="n"/>
      <c r="H8" s="14" t="inlineStr">
        <is>
          <t>unbearbeitet</t>
        </is>
      </c>
      <c r="I8" s="14" t="n"/>
      <c r="J8" s="14" t="n"/>
      <c r="K8" s="14" t="n"/>
      <c r="L8" s="15" t="n"/>
      <c r="M8" s="11" t="inlineStr"/>
      <c r="N8" s="12" t="inlineStr"/>
      <c r="O8" s="11" t="inlineStr"/>
      <c r="P8" s="12" t="inlineStr">
        <is>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is>
      </c>
      <c r="Q8" s="11" t="inlineStr"/>
      <c r="R8" s="11" t="inlineStr"/>
      <c r="S8" s="12" t="inlineStr">
        <is>
          <t>ein Verfahren zur kontinuierlichen Verbesserung des ISMS</t>
        </is>
      </c>
      <c r="T8" s="12" t="inlineStr"/>
      <c r="U8" s="11" t="n">
        <v>0</v>
      </c>
      <c r="V8" s="11" t="n"/>
      <c r="W8" s="11" t="n"/>
      <c r="X8" s="11" t="n"/>
      <c r="Y8" s="11" t="n"/>
    </row>
    <row r="9">
      <c r="A9" s="9" t="inlineStr">
        <is>
          <t>VRB.2.1</t>
        </is>
      </c>
      <c r="B9" s="10" t="inlineStr">
        <is>
          <t>Umgang mit Nicht-Konformitäten</t>
        </is>
      </c>
      <c r="C9" s="11" t="n"/>
      <c r="D9" s="11" t="inlineStr">
        <is>
          <t>Basis-Anforderungen</t>
        </is>
      </c>
      <c r="E9" s="12" t="inlineStr">
        <is>
          <t>Gesamt:</t>
        </is>
      </c>
      <c r="F9" s="11" t="n"/>
      <c r="G9" s="11" t="n"/>
      <c r="H9" s="13">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
      </c>
      <c r="I9" s="11" t="n"/>
      <c r="J9" s="11" t="n"/>
      <c r="K9" s="11" t="n"/>
      <c r="L9" s="11" t="n"/>
      <c r="M9" s="11" t="inlineStr"/>
      <c r="N9" s="12" t="inlineStr"/>
      <c r="O9" s="11" t="inlineStr"/>
      <c r="P9" s="12" t="inlineStr">
        <is>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is>
      </c>
      <c r="Q9" s="11" t="inlineStr"/>
      <c r="R9" s="11" t="inlineStr"/>
      <c r="S9" s="12" t="inlineStr">
        <is>
          <t>eine Methode zur Überprüfung von Nicht-Konformitäten</t>
        </is>
      </c>
      <c r="T9" s="12" t="inlineStr"/>
      <c r="U9" s="11" t="n">
        <v>0</v>
      </c>
      <c r="V9" s="11" t="n"/>
      <c r="W9" s="11" t="n"/>
      <c r="X9" s="11" t="n"/>
      <c r="Y9" s="11" t="n"/>
    </row>
    <row r="10">
      <c r="A10" s="11" t="inlineStr">
        <is>
          <t>VRB.2.1</t>
        </is>
      </c>
      <c r="B10" s="12" t="inlineStr">
        <is>
          <t>Umgang mit Nicht-Konformitäten</t>
        </is>
      </c>
      <c r="C10" s="11" t="inlineStr">
        <is>
          <t>VRB.2.1</t>
        </is>
      </c>
      <c r="D10" s="11" t="inlineStr">
        <is>
          <t>Basis-Anforderungen</t>
        </is>
      </c>
      <c r="E10" s="12" t="inlineStr">
        <is>
          <t>Verbesserung MUSS eine Methode zur Überprüfung von Nicht-Konformitäten hinsichtlich Ursachen und Wiederauftreten festlegen.</t>
        </is>
      </c>
      <c r="F10" s="14" t="n"/>
      <c r="G10" s="14" t="n"/>
      <c r="H10" s="14" t="inlineStr">
        <is>
          <t>unbearbeitet</t>
        </is>
      </c>
      <c r="I10" s="14" t="n"/>
      <c r="J10" s="14" t="n"/>
      <c r="K10" s="14" t="n"/>
      <c r="L10" s="15" t="n"/>
      <c r="M10" s="11" t="inlineStr"/>
      <c r="N10" s="12" t="inlineStr"/>
      <c r="O10" s="11" t="inlineStr"/>
      <c r="P10" s="12" t="inlineStr">
        <is>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is>
      </c>
      <c r="Q10" s="11" t="inlineStr"/>
      <c r="R10" s="11" t="inlineStr"/>
      <c r="S10" s="12" t="inlineStr">
        <is>
          <t>eine Methode zur Überprüfung von Nicht-Konformitäten</t>
        </is>
      </c>
      <c r="T10" s="12" t="inlineStr"/>
      <c r="U10" s="11" t="n">
        <v>0</v>
      </c>
      <c r="V10" s="11" t="n"/>
      <c r="W10" s="11" t="n"/>
      <c r="X10" s="11" t="n"/>
      <c r="Y10" s="11" t="n"/>
    </row>
    <row r="11">
      <c r="A11" s="9" t="inlineStr">
        <is>
          <t>VRB.2.2</t>
        </is>
      </c>
      <c r="B11" s="10" t="inlineStr">
        <is>
          <t>Anpassung des ISMS</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is>
      </c>
      <c r="Q11" s="11" t="inlineStr"/>
      <c r="R11" s="11" t="inlineStr"/>
      <c r="S11" s="12" t="inlineStr">
        <is>
          <t>die Notwendigkeit zur Anpassung des ISMS hinsichtlich der Nicht-Konformitäten</t>
        </is>
      </c>
      <c r="T11" s="12" t="inlineStr"/>
      <c r="U11" s="11" t="n">
        <v>0</v>
      </c>
      <c r="V11" s="11" t="n"/>
      <c r="W11" s="11" t="n"/>
      <c r="X11" s="11" t="n"/>
      <c r="Y11" s="11" t="n"/>
    </row>
    <row r="12">
      <c r="A12" s="11" t="inlineStr">
        <is>
          <t>VRB.2.2</t>
        </is>
      </c>
      <c r="B12" s="12" t="inlineStr">
        <is>
          <t>Anpassung des ISMS</t>
        </is>
      </c>
      <c r="C12" s="11" t="inlineStr">
        <is>
          <t>VRB.2.2</t>
        </is>
      </c>
      <c r="D12" s="11" t="inlineStr">
        <is>
          <t>Basis-Anforderungen</t>
        </is>
      </c>
      <c r="E12" s="12" t="inlineStr">
        <is>
          <t>Verbesserung MUSS die Notwendigkeit zur Anpassung des ISMS hinsichtlich der Nicht-Konformitäten regelmäßig überprüfen.</t>
        </is>
      </c>
      <c r="F12" s="14" t="n"/>
      <c r="G12" s="14" t="n"/>
      <c r="H12" s="14" t="inlineStr">
        <is>
          <t>unbearbeitet</t>
        </is>
      </c>
      <c r="I12" s="14" t="n"/>
      <c r="J12" s="14" t="n"/>
      <c r="K12" s="14" t="n"/>
      <c r="L12" s="15" t="n"/>
      <c r="M12" s="11" t="inlineStr"/>
      <c r="N12" s="12" t="inlineStr"/>
      <c r="O12" s="11" t="inlineStr"/>
      <c r="P12" s="12" t="inlineStr">
        <is>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is>
      </c>
      <c r="Q12" s="11" t="inlineStr"/>
      <c r="R12" s="11" t="inlineStr"/>
      <c r="S12" s="12" t="inlineStr">
        <is>
          <t>die Notwendigkeit zur Anpassung des ISMS hinsichtlich der Nicht-Konformitäten</t>
        </is>
      </c>
      <c r="T12" s="12" t="inlineStr"/>
      <c r="U12" s="11" t="n">
        <v>0</v>
      </c>
      <c r="V12" s="11" t="n"/>
      <c r="W12" s="11" t="n"/>
      <c r="X12" s="11" t="n"/>
      <c r="Y12" s="11" t="n"/>
    </row>
    <row r="13">
      <c r="A13" s="9" t="inlineStr">
        <is>
          <t>VRB.3.1</t>
        </is>
      </c>
      <c r="B13" s="10" t="inlineStr">
        <is>
          <t>Identifikation von Verbesserungspotenzialen</t>
        </is>
      </c>
      <c r="C13" s="11" t="n"/>
      <c r="D13" s="11" t="inlineStr">
        <is>
          <t>Basis-Anforderungen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is>
      </c>
      <c r="Q13" s="11" t="inlineStr"/>
      <c r="R13" s="11" t="inlineStr"/>
      <c r="S13" s="12" t="inlineStr">
        <is>
          <t>eine Methode zur Überprüfung und Bewertung von Verbesserungspotentialen</t>
        </is>
      </c>
      <c r="T13" s="12" t="inlineStr"/>
      <c r="U13" s="11" t="n">
        <v>0</v>
      </c>
      <c r="V13" s="11" t="n"/>
      <c r="W13" s="11" t="n"/>
      <c r="X13" s="11" t="n"/>
      <c r="Y13" s="11" t="n"/>
    </row>
    <row r="14">
      <c r="A14" s="11" t="inlineStr">
        <is>
          <t>VRB.3.1</t>
        </is>
      </c>
      <c r="B14" s="12" t="inlineStr">
        <is>
          <t>Identifikation von Verbesserungspotenzialen</t>
        </is>
      </c>
      <c r="C14" s="11" t="inlineStr">
        <is>
          <t>VRB.3.1</t>
        </is>
      </c>
      <c r="D14" s="11" t="inlineStr">
        <is>
          <t>Basis-Anforderungen</t>
        </is>
      </c>
      <c r="E14" s="12" t="inlineStr">
        <is>
          <t>Verbesserung MUSS eine Methode zur Überprüfung und Bewertung von Verbesserungspotentialen unter Berücksichtigung der damit verbundenen Vor- und Nachteile festlegen.</t>
        </is>
      </c>
      <c r="F14" s="14" t="n"/>
      <c r="G14" s="14" t="n"/>
      <c r="H14" s="14" t="inlineStr">
        <is>
          <t>unbearbeitet</t>
        </is>
      </c>
      <c r="I14" s="14" t="n"/>
      <c r="J14" s="14" t="n"/>
      <c r="K14" s="14" t="n"/>
      <c r="L14" s="15" t="n"/>
      <c r="M14" s="11" t="inlineStr"/>
      <c r="N14" s="12" t="inlineStr"/>
      <c r="O14" s="11" t="inlineStr"/>
      <c r="P14" s="12" t="inlineStr">
        <is>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is>
      </c>
      <c r="Q14" s="11" t="inlineStr"/>
      <c r="R14" s="11" t="inlineStr"/>
      <c r="S14" s="12" t="inlineStr">
        <is>
          <t>eine Methode zur Überprüfung und Bewertung von Verbesserungspotentialen</t>
        </is>
      </c>
      <c r="T14" s="12" t="inlineStr"/>
      <c r="U14" s="11" t="n">
        <v>0</v>
      </c>
      <c r="V14" s="11" t="n"/>
      <c r="W14" s="11" t="n"/>
      <c r="X14" s="11" t="n"/>
      <c r="Y14" s="11" t="n"/>
    </row>
    <row r="15">
      <c r="A15" s="9" t="inlineStr">
        <is>
          <t>VRB.4.1</t>
        </is>
      </c>
      <c r="B15" s="10" t="inlineStr">
        <is>
          <t>Korrekturmaßnahmen</t>
        </is>
      </c>
      <c r="C15" s="11" t="n"/>
      <c r="D15" s="11" t="inlineStr">
        <is>
          <t>Basis-Anforderungen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c r="O15" s="11" t="inlineStr"/>
      <c r="P15" s="12" t="inlineStr">
        <is>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is>
      </c>
      <c r="Q15" s="11" t="inlineStr"/>
      <c r="R15" s="11" t="inlineStr"/>
      <c r="S15" s="12" t="inlineStr">
        <is>
          <t>angemessene Korrekturmaßnahmen zur Beseitigung der Ursachen von Fehlern</t>
        </is>
      </c>
      <c r="T15" s="12" t="inlineStr"/>
      <c r="U15" s="11" t="n">
        <v>0</v>
      </c>
      <c r="V15" s="11" t="n"/>
      <c r="W15" s="11" t="n"/>
      <c r="X15" s="11" t="n"/>
      <c r="Y15" s="11" t="n"/>
    </row>
    <row r="16">
      <c r="A16" s="11" t="inlineStr">
        <is>
          <t>VRB.4.1</t>
        </is>
      </c>
      <c r="B16" s="12" t="inlineStr">
        <is>
          <t>Korrekturmaßnahmen</t>
        </is>
      </c>
      <c r="C16" s="11" t="inlineStr">
        <is>
          <t>VRB.4.1</t>
        </is>
      </c>
      <c r="D16" s="11" t="inlineStr">
        <is>
          <t>Basis-Anforderungen</t>
        </is>
      </c>
      <c r="E16" s="12" t="inlineStr">
        <is>
          <t>Verbesserung MUSS angemessene Korrekturmaßnahmen zur Beseitigung der Ursachen von Fehlern festlegen.</t>
        </is>
      </c>
      <c r="F16" s="14" t="n"/>
      <c r="G16" s="14" t="n"/>
      <c r="H16" s="14" t="inlineStr">
        <is>
          <t>unbearbeitet</t>
        </is>
      </c>
      <c r="I16" s="14" t="n"/>
      <c r="J16" s="14" t="n"/>
      <c r="K16" s="14" t="n"/>
      <c r="L16" s="15" t="n"/>
      <c r="M16" s="11" t="inlineStr"/>
      <c r="N16" s="12" t="inlineStr"/>
      <c r="O16" s="11" t="inlineStr"/>
      <c r="P16" s="12" t="inlineStr">
        <is>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is>
      </c>
      <c r="Q16" s="11" t="inlineStr"/>
      <c r="R16" s="11" t="inlineStr"/>
      <c r="S16" s="12" t="inlineStr">
        <is>
          <t>angemessene Korrekturmaßnahmen zur Beseitigung der Ursachen von Fehlern</t>
        </is>
      </c>
      <c r="T16" s="12" t="inlineStr"/>
      <c r="U16" s="11" t="n">
        <v>0</v>
      </c>
      <c r="V16" s="11" t="n"/>
      <c r="W16" s="11" t="n"/>
      <c r="X16" s="11" t="n"/>
      <c r="Y16" s="11" t="n"/>
    </row>
    <row r="17">
      <c r="A17" s="9" t="inlineStr">
        <is>
          <t>VRB.4.2</t>
        </is>
      </c>
      <c r="B17" s="10" t="inlineStr">
        <is>
          <t>Verbesserungsmaßnahmen</t>
        </is>
      </c>
      <c r="C17" s="11" t="n"/>
      <c r="D17" s="11" t="inlineStr">
        <is>
          <t>Basis-Anforderungen</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c r="N17" s="12" t="inlineStr"/>
      <c r="O17" s="11" t="inlineStr"/>
      <c r="P17" s="12" t="inlineStr">
        <is>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is>
      </c>
      <c r="Q17" s="11" t="inlineStr"/>
      <c r="R17" s="11" t="inlineStr"/>
      <c r="S17" s="12" t="inlineStr">
        <is>
          <t>angemessene Maßnahmen zur Nutzung von Verbesserungspotentialen</t>
        </is>
      </c>
      <c r="T17" s="12" t="inlineStr"/>
      <c r="U17" s="11" t="n">
        <v>0</v>
      </c>
      <c r="V17" s="11" t="n"/>
      <c r="W17" s="11" t="n"/>
      <c r="X17" s="11" t="n"/>
      <c r="Y17" s="11" t="n"/>
    </row>
    <row r="18">
      <c r="A18" s="11" t="inlineStr">
        <is>
          <t>VRB.4.2</t>
        </is>
      </c>
      <c r="B18" s="12" t="inlineStr">
        <is>
          <t>Verbesserungsmaßnahmen</t>
        </is>
      </c>
      <c r="C18" s="11" t="inlineStr">
        <is>
          <t>VRB.4.2</t>
        </is>
      </c>
      <c r="D18" s="11" t="inlineStr">
        <is>
          <t>Basis-Anforderungen</t>
        </is>
      </c>
      <c r="E18" s="12" t="inlineStr">
        <is>
          <t>Verbesserung MUSS angemessene Maßnahmen zur Nutzung von Verbesserungspotentialen unter Berücksichtigung der damit verbundenen Vor- und Nachteile festlegen.</t>
        </is>
      </c>
      <c r="F18" s="14" t="n"/>
      <c r="G18" s="14" t="n"/>
      <c r="H18" s="14" t="inlineStr">
        <is>
          <t>unbearbeitet</t>
        </is>
      </c>
      <c r="I18" s="14" t="n"/>
      <c r="J18" s="14" t="n"/>
      <c r="K18" s="14" t="n"/>
      <c r="L18" s="15" t="n"/>
      <c r="M18" s="11" t="inlineStr"/>
      <c r="N18" s="12" t="inlineStr"/>
      <c r="O18" s="11" t="inlineStr"/>
      <c r="P18" s="12" t="inlineStr">
        <is>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is>
      </c>
      <c r="Q18" s="11" t="inlineStr"/>
      <c r="R18" s="11" t="inlineStr"/>
      <c r="S18" s="12" t="inlineStr">
        <is>
          <t>angemessene Maßnahmen zur Nutzung von Verbesserungspotentialen</t>
        </is>
      </c>
      <c r="T18" s="12" t="inlineStr"/>
      <c r="U18" s="11" t="n">
        <v>0</v>
      </c>
      <c r="V18" s="11" t="n"/>
      <c r="W18" s="11" t="n"/>
      <c r="X18" s="11" t="n"/>
      <c r="Y18" s="11" t="n"/>
    </row>
    <row r="19">
      <c r="A19" s="9" t="inlineStr">
        <is>
          <t>VRB.5.1</t>
        </is>
      </c>
      <c r="B19" s="10" t="inlineStr">
        <is>
          <t>Priorisierung von Maßnahmen</t>
        </is>
      </c>
      <c r="C19" s="11" t="n"/>
      <c r="D19" s="11" t="inlineStr">
        <is>
          <t>Basis-Anforderungen</t>
        </is>
      </c>
      <c r="E19" s="12" t="inlineStr">
        <is>
          <t>Gesamt:</t>
        </is>
      </c>
      <c r="F19" s="11" t="n"/>
      <c r="G19" s="11" t="n"/>
      <c r="H19" s="13">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
      </c>
      <c r="I19" s="11" t="n"/>
      <c r="J19" s="11" t="n"/>
      <c r="K19" s="11" t="n"/>
      <c r="L19" s="11" t="n"/>
      <c r="M19" s="11" t="inlineStr"/>
      <c r="N19" s="12" t="inlineStr"/>
      <c r="O19" s="11" t="inlineStr"/>
      <c r="P19" s="12" t="inlineStr">
        <is>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is>
      </c>
      <c r="Q19" s="11" t="inlineStr"/>
      <c r="R19" s="11" t="inlineStr">
        <is>
          <t>Umsetzungsplan</t>
        </is>
      </c>
      <c r="S19" s="12" t="inlineStr">
        <is>
          <t>den Maßnahmen zur Korrektur und Verbesserung Prioritäten</t>
        </is>
      </c>
      <c r="T19" s="12" t="inlineStr"/>
      <c r="U19" s="11" t="n">
        <v>0</v>
      </c>
      <c r="V19" s="11" t="n"/>
      <c r="W19" s="11" t="n"/>
      <c r="X19" s="11" t="n"/>
      <c r="Y19" s="11" t="n"/>
    </row>
    <row r="20">
      <c r="A20" s="11" t="inlineStr">
        <is>
          <t>VRB.5.1</t>
        </is>
      </c>
      <c r="B20" s="12" t="inlineStr">
        <is>
          <t>Priorisierung von Maßnahmen</t>
        </is>
      </c>
      <c r="C20" s="11" t="inlineStr">
        <is>
          <t>VRB.5.1</t>
        </is>
      </c>
      <c r="D20" s="11" t="inlineStr">
        <is>
          <t>Basis-Anforderungen</t>
        </is>
      </c>
      <c r="E20" s="12" t="inlineStr">
        <is>
          <t>Verbesserung MUSS den Maßnahmen zur Korrektur und Verbesserung Prioritäten zuweisen.</t>
        </is>
      </c>
      <c r="F20" s="14" t="n"/>
      <c r="G20" s="14" t="n"/>
      <c r="H20" s="14" t="inlineStr">
        <is>
          <t>unbearbeitet</t>
        </is>
      </c>
      <c r="I20" s="14" t="n"/>
      <c r="J20" s="14" t="n"/>
      <c r="K20" s="14" t="n"/>
      <c r="L20" s="15" t="n"/>
      <c r="M20" s="11" t="inlineStr"/>
      <c r="N20" s="12" t="inlineStr"/>
      <c r="O20" s="11" t="inlineStr"/>
      <c r="P20" s="12" t="inlineStr">
        <is>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is>
      </c>
      <c r="Q20" s="11" t="inlineStr"/>
      <c r="R20" s="11" t="inlineStr">
        <is>
          <t>Umsetzungsplan</t>
        </is>
      </c>
      <c r="S20" s="12" t="inlineStr">
        <is>
          <t>den Maßnahmen zur Korrektur und Verbesserung Prioritäten</t>
        </is>
      </c>
      <c r="T20" s="12" t="inlineStr"/>
      <c r="U20" s="11" t="n">
        <v>0</v>
      </c>
      <c r="V20" s="11" t="n"/>
      <c r="W20" s="11" t="n"/>
      <c r="X20" s="11" t="n"/>
      <c r="Y20" s="11" t="n"/>
    </row>
    <row r="21">
      <c r="A21" s="9" t="inlineStr">
        <is>
          <t>VRB.6.1</t>
        </is>
      </c>
      <c r="B21" s="10" t="inlineStr">
        <is>
          <t>Überprüfung der erreichten Verbesserung</t>
        </is>
      </c>
      <c r="C21" s="11" t="n"/>
      <c r="D21" s="11" t="inlineStr">
        <is>
          <t>Basis-Anforderungen</t>
        </is>
      </c>
      <c r="E21" s="12" t="inlineStr">
        <is>
          <t>Gesamt:</t>
        </is>
      </c>
      <c r="F21" s="11" t="n"/>
      <c r="G21" s="11" t="n"/>
      <c r="H21" s="13">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
      </c>
      <c r="I21" s="11" t="n"/>
      <c r="J21" s="11" t="n"/>
      <c r="K21" s="11" t="n"/>
      <c r="L21" s="11" t="n"/>
      <c r="M21" s="11" t="inlineStr"/>
      <c r="N21" s="12" t="inlineStr"/>
      <c r="O21" s="11" t="inlineStr"/>
      <c r="P21" s="12" t="inlineStr">
        <is>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is>
      </c>
      <c r="Q21" s="11" t="inlineStr"/>
      <c r="R21" s="11" t="inlineStr"/>
      <c r="S21" s="12" t="inlineStr">
        <is>
          <t>die Wirksamkeit der umgesetzten Korrektur- und Verbesserungsmaßnahmen</t>
        </is>
      </c>
      <c r="T21" s="12" t="inlineStr"/>
      <c r="U21" s="11" t="n">
        <v>0</v>
      </c>
      <c r="V21" s="11" t="n"/>
      <c r="W21" s="11" t="n"/>
      <c r="X21" s="11" t="n"/>
      <c r="Y21" s="11" t="n"/>
    </row>
    <row r="22">
      <c r="A22" s="11" t="inlineStr">
        <is>
          <t>VRB.6.1</t>
        </is>
      </c>
      <c r="B22" s="12" t="inlineStr">
        <is>
          <t>Überprüfung der erreichten Verbesserung</t>
        </is>
      </c>
      <c r="C22" s="11" t="inlineStr">
        <is>
          <t>VRB.6.1</t>
        </is>
      </c>
      <c r="D22" s="11" t="inlineStr">
        <is>
          <t>Basis-Anforderungen</t>
        </is>
      </c>
      <c r="E22" s="12" t="inlineStr">
        <is>
          <t>Verbesserung MUSS die Wirksamkeit der umgesetzten Korrektur- und Verbesserungsmaßnahmen regelmäßig testen.</t>
        </is>
      </c>
      <c r="F22" s="14" t="n"/>
      <c r="G22" s="14" t="n"/>
      <c r="H22" s="14" t="inlineStr">
        <is>
          <t>unbearbeitet</t>
        </is>
      </c>
      <c r="I22" s="14" t="n"/>
      <c r="J22" s="14" t="n"/>
      <c r="K22" s="14" t="n"/>
      <c r="L22" s="15" t="n"/>
      <c r="M22" s="11" t="inlineStr"/>
      <c r="N22" s="12" t="inlineStr"/>
      <c r="O22" s="11" t="inlineStr"/>
      <c r="P22" s="12" t="inlineStr">
        <is>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is>
      </c>
      <c r="Q22" s="11" t="inlineStr"/>
      <c r="R22" s="11" t="inlineStr"/>
      <c r="S22" s="12" t="inlineStr">
        <is>
          <t>die Wirksamkeit der umgesetzten Korrektur- und Verbesserungsmaßnahmen</t>
        </is>
      </c>
      <c r="T22" s="12" t="inlineStr"/>
      <c r="U22" s="11" t="n">
        <v>0</v>
      </c>
      <c r="V22" s="11" t="n"/>
      <c r="W22" s="11" t="n"/>
      <c r="X22" s="11" t="n"/>
      <c r="Y22" s="11" t="n"/>
    </row>
    <row r="23">
      <c r="A23" s="9" t="inlineStr">
        <is>
          <t>VRB.6.2</t>
        </is>
      </c>
      <c r="B23" s="10" t="inlineStr">
        <is>
          <t>Bewertung der erreichten Verbesserung</t>
        </is>
      </c>
      <c r="C23" s="11" t="n"/>
      <c r="D23" s="11" t="inlineStr">
        <is>
          <t>Standard-Anforderungen</t>
        </is>
      </c>
      <c r="E23" s="12" t="inlineStr">
        <is>
          <t>Gesamt:</t>
        </is>
      </c>
      <c r="F23" s="11" t="n"/>
      <c r="G23" s="11" t="n"/>
      <c r="H23" s="13">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
      </c>
      <c r="I23" s="11" t="n"/>
      <c r="J23" s="11" t="n"/>
      <c r="K23" s="11" t="n"/>
      <c r="L23" s="11" t="n"/>
      <c r="M23" s="11" t="inlineStr"/>
      <c r="N23" s="12" t="inlineStr"/>
      <c r="O23" s="11" t="inlineStr"/>
      <c r="P23" s="12" t="inlineStr">
        <is>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is>
      </c>
      <c r="Q23" s="11" t="inlineStr"/>
      <c r="R23" s="11" t="inlineStr"/>
      <c r="S23" s="12" t="inlineStr">
        <is>
          <t>ein Verfahren zur Bewertung der erreichten Verbesserung</t>
        </is>
      </c>
      <c r="T23" s="12" t="inlineStr"/>
      <c r="U23" s="11" t="n">
        <v>2</v>
      </c>
      <c r="V23" s="11" t="n"/>
      <c r="W23" s="11" t="n"/>
      <c r="X23" s="11" t="n"/>
      <c r="Y23" s="11" t="n"/>
    </row>
    <row r="24">
      <c r="A24" s="11" t="inlineStr">
        <is>
          <t>VRB.6.2</t>
        </is>
      </c>
      <c r="B24" s="12" t="inlineStr">
        <is>
          <t>Bewertung der erreichten Verbesserung</t>
        </is>
      </c>
      <c r="C24" s="11" t="inlineStr">
        <is>
          <t>VRB.6.2</t>
        </is>
      </c>
      <c r="D24" s="11" t="inlineStr">
        <is>
          <t>Standard-Anforderungen</t>
        </is>
      </c>
      <c r="E24" s="12" t="inlineStr">
        <is>
          <t>Verbesserung SOLLTE ein Verfahren zur Bewertung der erreichten Verbesserung unter Berücksichtigung der damit verbundenen Vor- und Nachteile verankern.</t>
        </is>
      </c>
      <c r="F24" s="14" t="n"/>
      <c r="G24" s="14" t="n"/>
      <c r="H24" s="14" t="inlineStr">
        <is>
          <t>unbearbeitet</t>
        </is>
      </c>
      <c r="I24" s="14" t="n"/>
      <c r="J24" s="14" t="n"/>
      <c r="K24" s="14" t="n"/>
      <c r="L24" s="15" t="n"/>
      <c r="M24" s="11" t="inlineStr"/>
      <c r="N24" s="12" t="inlineStr"/>
      <c r="O24" s="11" t="inlineStr"/>
      <c r="P24" s="12" t="inlineStr">
        <is>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is>
      </c>
      <c r="Q24" s="11" t="inlineStr"/>
      <c r="R24" s="11" t="inlineStr"/>
      <c r="S24" s="12" t="inlineStr">
        <is>
          <t>ein Verfahren zur Bewertung der erreichten Verbesserung</t>
        </is>
      </c>
      <c r="T24" s="12" t="inlineStr"/>
      <c r="U24" s="11" t="n">
        <v>2</v>
      </c>
      <c r="V24" s="11" t="n"/>
      <c r="W24" s="11" t="n"/>
      <c r="X24" s="11" t="n"/>
      <c r="Y24" s="11" t="n"/>
    </row>
    <row r="25">
      <c r="A25" s="9" t="inlineStr">
        <is>
          <t>VRB.7.1</t>
        </is>
      </c>
      <c r="B25" s="10" t="inlineStr">
        <is>
          <t>Behandlung von Compliance-Verstößen</t>
        </is>
      </c>
      <c r="C25" s="11" t="n"/>
      <c r="D25" s="11" t="inlineStr">
        <is>
          <t>Standard-Anforderungen</t>
        </is>
      </c>
      <c r="E25" s="12" t="inlineStr">
        <is>
          <t>Gesamt:</t>
        </is>
      </c>
      <c r="F25" s="11" t="n"/>
      <c r="G25" s="11" t="n"/>
      <c r="H25" s="13">
        <f>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
      </c>
      <c r="I25" s="11" t="n"/>
      <c r="J25" s="11" t="n"/>
      <c r="K25" s="11" t="n"/>
      <c r="L25" s="11" t="n"/>
      <c r="M25" s="11" t="inlineStr"/>
      <c r="N25" s="12" t="inlineStr"/>
      <c r="O25" s="11" t="inlineStr"/>
      <c r="P25" s="12" t="inlineStr">
        <is>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is>
      </c>
      <c r="Q25" s="11" t="inlineStr"/>
      <c r="R25" s="11" t="inlineStr">
        <is>
          <t>Compliance-Verpflichtungen</t>
        </is>
      </c>
      <c r="S25" s="12" t="inlineStr">
        <is>
          <t>ein Verfahren zur Behandlung von Verstößen</t>
        </is>
      </c>
      <c r="T25" s="12" t="inlineStr"/>
      <c r="U25" s="11" t="n">
        <v>2</v>
      </c>
      <c r="V25" s="11" t="n"/>
      <c r="W25" s="11" t="n"/>
      <c r="X25" s="11" t="n"/>
      <c r="Y25" s="11" t="n"/>
    </row>
    <row r="26">
      <c r="A26" s="11" t="inlineStr">
        <is>
          <t>VRB.7.1</t>
        </is>
      </c>
      <c r="B26" s="12" t="inlineStr">
        <is>
          <t>Behandlung von Compliance-Verstößen</t>
        </is>
      </c>
      <c r="C26" s="11" t="inlineStr">
        <is>
          <t>VRB.7.1</t>
        </is>
      </c>
      <c r="D26" s="11" t="inlineStr">
        <is>
          <t>Standard-Anforderungen</t>
        </is>
      </c>
      <c r="E26" s="12" t="inlineStr">
        <is>
          <t>Verbesserung SOLLTE ein Verfahren zur Behandlung von Verstößen unter Berücksichtigung der Betroffenenrechte verankern.</t>
        </is>
      </c>
      <c r="F26" s="14" t="n"/>
      <c r="G26" s="14" t="n"/>
      <c r="H26" s="14" t="inlineStr">
        <is>
          <t>unbearbeitet</t>
        </is>
      </c>
      <c r="I26" s="14" t="n"/>
      <c r="J26" s="14" t="n"/>
      <c r="K26" s="14" t="n"/>
      <c r="L26" s="15" t="n"/>
      <c r="M26" s="11" t="inlineStr"/>
      <c r="N26" s="12" t="inlineStr"/>
      <c r="O26" s="11" t="inlineStr"/>
      <c r="P26" s="12" t="inlineStr">
        <is>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is>
      </c>
      <c r="Q26" s="11" t="inlineStr"/>
      <c r="R26" s="11" t="inlineStr">
        <is>
          <t>Compliance-Verpflichtungen</t>
        </is>
      </c>
      <c r="S26" s="12" t="inlineStr">
        <is>
          <t>ein Verfahren zur Behandlung von Verstößen</t>
        </is>
      </c>
      <c r="T26" s="12" t="inlineStr"/>
      <c r="U26" s="11" t="n">
        <v>2</v>
      </c>
      <c r="V26" s="11" t="n"/>
      <c r="W26" s="11" t="n"/>
      <c r="X26" s="11" t="n"/>
      <c r="Y26" s="11" t="n"/>
    </row>
  </sheetData>
  <autoFilter ref="A6:Y6"/>
  <conditionalFormatting sqref="H7:H26">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10 H12 H14 H16 H18 H20 H22 H24 H26"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46"/>
  <sheetViews>
    <sheetView showGridLines="0" workbookViewId="0">
      <pane ySplit="1" topLeftCell="A2" activePane="bottomLeft" state="frozen"/>
      <selection pane="bottomLeft" activeCell="A1" sqref="A1"/>
    </sheetView>
  </sheetViews>
  <sheetFormatPr baseColWidth="8" defaultRowHeight="15"/>
  <cols>
    <col width="12" customWidth="1" min="1" max="1"/>
    <col width="46" customWidth="1" min="2" max="2"/>
    <col width="130" customWidth="1" min="3" max="3"/>
  </cols>
  <sheetData>
    <row r="1" ht="28" customHeight="1">
      <c r="A1" s="8" t="inlineStr">
        <is>
          <t>Gefährdung</t>
        </is>
      </c>
      <c r="B1" s="8" t="inlineStr">
        <is>
          <t>Begriff</t>
        </is>
      </c>
      <c r="C1" s="8" t="inlineStr">
        <is>
          <t>Definition</t>
        </is>
      </c>
    </row>
    <row r="2" ht="213" customHeight="1">
      <c r="A2" s="20" t="inlineStr">
        <is>
          <t>G 0.1</t>
        </is>
      </c>
      <c r="B2" s="4" t="inlineStr">
        <is>
          <t>Feuer</t>
        </is>
      </c>
      <c r="C2" s="4" t="inlineStr">
        <is>
          <t>Feuer können schwere Schäden an Menschen, Gebäuden und deren Einrichtung verursachen. Neben direkten durch Feuer verursachten Schäden lassen sich Folgeschäden aufzeigen, die insbesondere für die Informationstechnik in ihrer Schadenswirkung ein katastrophales Ausmaß erreichen können.
Löschwasserschäden treten beispielsweise nicht nur an der Brandstelle auf. Sie können auch in tiefer liegenden Gebäudeteilen entstehen. Bei der Verbrennung von PVC entstehen Chlorgase, die zusammen mit der Luftfeuchtigkeit und dem Löschwasser Salzsäure bilden. Werden die Salzsäuredämpfe über die Klimaanlage verteilt, können auf diese Weise Schäden an empfindlichen elektronischen Geräten entstehen, die in einem vom Brandort weit entfernten Teil des Gebäudes stehen. Aber auch "normaler" Brandrauch kann auf diesem Weg beschädigend auf die IT-Einrichtung einwirken.
Ein Brand entsteht nicht nur durch den fahrlässigen Umgang mit Feuer (z. B. durch unbeaufsichtigte offene Flammen, Schweiß- und Lötarbeiten), sondern auch durch unsachgemäße Benutzung elektrischer Einrichtungen (z. B. unbeaufsichtigte Kaffeemaschine, Überlastung von Mehrfachsteckdosen). Technische Defekte an elektrischen Geräten können ebenfalls zu einem Brand führen.
Die Ausbreitung eines Brandes kann unter anderem begünstigt werden durch:
- Aufhalten von Brandabschnittstüren durch Keile,
- unsachgemäße Lagerung brennbarer Materialien (z. B. Altpapier),
- Nichtbeachtung der einschlägigen Normen und Vorschriften zur Brandvermeidung,
- fehlende Brandmeldeeinrichtungen (z. B. Rauchmelder),
- fehlende oder nicht einsatzbereite Handfeuerlöscher oder automatische Löscheinrichtungen (z. B. Gaslöschanlagen),
- mangelhaften vorbeugenden Brandschutz (z. B. Fehlen von Brandabschottungen auf Kabeltrassen oder Verwendung ungeeigneter Dämmmaterialien zur Wärme- und Schallisolierung).
Beispiele:
- Anfang der 90er Jahre erlitt im Frankfurter Raum ein Großrechenzentrum einen katastrophalen Brandschaden, der zu einem kompletten Ausfall führte.
- Immer wieder kommt es vor, dass elektrische Kleingeräte, wie z. B. Kaffeemaschinen oder Tischleuchten, unsachgemäß installiert oder aufgestellt sind und dadurch Brände verursachen.</t>
        </is>
      </c>
    </row>
    <row r="3" ht="136" customHeight="1">
      <c r="A3" s="20" t="inlineStr">
        <is>
          <t>G 0.2</t>
        </is>
      </c>
      <c r="B3" s="4" t="inlineStr">
        <is>
          <t>Ungünstige klimatische Bedingungen</t>
        </is>
      </c>
      <c r="C3" s="4" t="inlineStr">
        <is>
          <t>Ungünstige klimatische Bedingungen wie Hitze, Frost oder hohe Luftfeuchtigkeit können zu Schäden verschiedenster Art führen, beispielsweise zu Fehlfunktionen in technischen Komponenten oder zur Beschädigung von Speichermedien. Häufige Schwankungen der klimatischen Bedingungen verstärken diesen Effekt. Ungünstige klimatische Bedingungen können auch dazu führen, dass Menschen nicht mehr arbeiten können oder sogar verletzt oder getötet werden.
Jeder Mensch und jedes technische Gerät hat einen Temperaturbereich, innerhalb dessen seine normale Arbeitsweise bzw. ordnungsgemäße Funktion gewährleistet ist. Überschreitet die Umgebungstemperatur die Grenzen dieses Bereiches nach oben oder unten, kann es zu Arbeitsausfällen, Betriebsstörungen oder zu Geräteausfällen kommen.
Zu Lüftungszwecken werden oft unerlaubt Fenster von Serverräumen geöffnet. In der Übergangszeit (Frühjahr, Herbst) kann das bei großen Temperaturschwankungen dazu führen, dass durch starke Abkühlung die zulässige Luftfeuchte überschritten wird.
Beispiele:
- Bei hochsommerlichen Temperaturen und unzureichender Kühlung kann es bei IT-Geräten zu temperaturbedingten Ausfällen kommen.
- Zu viel Staub in IT-Systemen kann zu einem Hitzestau führen.
- Durch zu hohe Temperaturen können magnetische Datenträger entmagnetisiert werden.</t>
        </is>
      </c>
    </row>
    <row r="4" ht="191" customHeight="1">
      <c r="A4" s="20" t="inlineStr">
        <is>
          <t>G 0.3</t>
        </is>
      </c>
      <c r="B4" s="4" t="inlineStr">
        <is>
          <t>Wasser</t>
        </is>
      </c>
      <c r="C4" s="4" t="inlineStr">
        <is>
          <t>Durch Wasser kann die Integrität und Verfügbarkeit von Informationen beeinträchtigt werden, die auf analogen und digitalen Datenträgern gespeichert sind. Auch Informationen im Arbeitsspeicher von IT-Systemen sind gefährdet. Der unkontrollierte Eintritt von Wasser in Gebäude oder Räume kann beispielsweise bedingt sein durch:
- Störungen in der Wasser-Versorgung oder Abwasser-Entsorgung,
- Defekte der Heizungsanlage,
- Defekte an Klimaanlagen mit Wasseranschluss,
- Defekte in Sprinkleranlagen,
- Löschwasser bei der Brandbekämpfung und
- Wassersabotage z. B. durch Öffnen der Wasserhähne und Verstopfen der Abflüsse.
Unabhängig davon, auf welche Weise Wasser in Gebäude oder Räume gelangt, besteht die Gefahr, dass Versorgungseinrichtungen oder IT-Komponenten beschädigt oder außer Betrieb gesetzt werden (Kurzschluss, mechanische Beschädigung, Rost etc.). Besonders wenn zentrale Einrichtungen der Gebäudeversorgung (Hauptverteiler für Strom, Telefon, Daten) in Kellerräumen ohne selbsttätige Entwässerung untergebracht sind, kann eindringendes Wasser sehr hohe Schäden verursachen.
Probleme können außerdem durch Frost entstehen. Beispielsweise können Rohre in frostgefährdeten Bereichen undicht werden, wenn darin Wasser bei anhaltendem Frost stillsteht. Auch eine vorhandene Wärmedämmung wird mit der Zeit vom Frost überwunden.
Beispiel:
- In einem Serverraum verlief eine Wasserleitung unterhalb der Decke, die mit Gipskartonelementen verkleidet war. Als eine Verbindung der Wasserleitung undicht wurde, wurde dies nicht rechtzeitig erkannt. Das austretende Wasser sammelte sich zunächst an der tiefsten Stelle der Verkleidung, bevor es dort austrat und im darunter angebrachten Stromverteiler einen Kurzschluss verursachte. Dies führte dazu, dass bis zur endgültigen Reparatur sowohl die Wasser- als auch die Stromversorgung des betroffenen Gebäudeteils komplett abgeschaltet werden musste.</t>
        </is>
      </c>
    </row>
    <row r="5" ht="235" customHeight="1">
      <c r="A5" s="20" t="inlineStr">
        <is>
          <t>G 0.4</t>
        </is>
      </c>
      <c r="B5" s="4" t="inlineStr">
        <is>
          <t>Verschmutzung, Staub, Korrosion</t>
        </is>
      </c>
      <c r="C5" s="4" t="inlineStr">
        <is>
          <t>Viele IT-Geräte enthalten neben der Elektronik auch mechanisch arbeitende Komponenten, wie z. B. bei Fest- und Wechselplatten, DVD-Laufwerken, Druckern, Scannern etc., aber auch Lüftern von Prozessoren und Netzteilen. Mit steigenden Anforderungen an die Qualität und die Schnelligkeit müssen diese Geräte immer präziser arbeiten. Bereits geringfügige Verunreinigungen können zu einer Störung eines Gerätes führen. Staub und Verschmutzungen können beispielsweise durch folgende Tätigkeiten in größerem Maße entstehen:
- Arbeiten an Wänden, Doppelböden oder anderen Gebäudeteilen,
- Umrüstungsarbeiten an der Hardware bzw.
- Entpackungsaktionen von Geräten (z. B. aufwirbelndes Styropor).
Vorhandene Sicherheitsschaltungen in den Geräten führen meist zu einem rechtzeitigen Abschalten. Das hält zwar den direkten Schaden am Gerät, die Instandsetzungskosten und die Ausfallzeiten klein, führt aber dazu, dass das betroffene Gerät nicht verfügbar ist.
Die Geräte und die Infrastruktur können außerdem durch Korrosion angegriffen werden. Dies kann sich nicht nur auf die IT, sondern sogar auf die Sicherheit von Gebäuden negativ auswirken.
Durch Korrosion können auch indirekt weitere Gefährdungen entstehen. So kann beispielsweise Wasser aus korrodierten Stellen austreten (siehe G 0.3 Wasser).
Insgesamt können Verschmutzung, Staub oder Korrosion somit zu Ausfällen oder Beschädigungen von IT-Komponenten und Versorgungseinrichtungen führen. Als Folge kann die ordnungsgemäße Informationsverarbeitung beeinträchtigt werden.
Beispiele:
- Bei der Aufstellung eines Servers in einem Medienraum, zusammen mit einem Kopierer und einem Faxgerät, traten nacheinander die Lähmung des Prozessor-Lüfters und des Netzteil-Lüfters aufgrund der hohen Staubbelastung des Raumes auf. Der Ausfall des Prozessor-Lüfters führte zu sporadischen Server-Abstürzen. Der Ausfall des Netzteil-Lüfters führte schließlich zu einer Überhitzung des Netzteils mit der Folge eines Kurzschlusses, was schließlich einen Totalausfall des Servers nach sich zog.
- Um eine Wandtafel in einem Büro aufzuhängen, wurden von der Haustechnik Löcher in die Wand gebohrt. Der Mitarbeiter hatte hierzu sein Büro für kurze Zeit verlassen. Nach Rückkehr an seinen Arbeitsplatz stellte er fest, dass sein PC nicht mehr funktionierte. Ursache hierfür war Bohrstaub, der durch die Lüftungsschlitze in das PC-Netzteil eingedrungen war.</t>
        </is>
      </c>
    </row>
    <row r="6" ht="240" customHeight="1">
      <c r="A6" s="20" t="inlineStr">
        <is>
          <t>G 0.8</t>
        </is>
      </c>
      <c r="B6" s="4" t="inlineStr">
        <is>
          <t>Ausfall oder Störung der Stromversorgung</t>
        </is>
      </c>
      <c r="C6" s="4" t="inlineStr">
        <is>
          <t>Trotz hoher Versorgungssicherheit kommt es immer wieder zu Unterbrechungen der Stromversorgung seitens der Verteilungsnetzbetreiber (VNB) bzw. Energieversorgungsunternehmen (EVU). Die größte Zahl dieser Störungen ist mit Zeiten unter einer Sekunde so kurz, dass der Mensch sie nicht bemerkt. Aber schon Unterbrechungen von mehr als 10 ms sind geeignet, den IT-Betrieb zu stören. Neben Störungen im Versorgungsnetz können jedoch auch Abschaltungen bei nicht angekündigten Arbeiten oder Kabelbeschädigungen bei Tiefbauarbeiten dazu führen, dass die Stromversorgung ausfällt.
Von der Stromversorgung sind nicht nur die offensichtlichen, direkten Stromverbraucher (PC, Beleuchtung usw.) abhängig. Viele Infrastruktur-Einrichtungen sind heute vom Strom abhängig, z.B. Aufzüge, Klimatechnik, Gefahrenmeldeanlagen, Sicherheitsschleusen, automatische Türschließanlagen und Sprinkleranlagen. Selbst die Wasserversorgung in Hochhäusern ist wegen der zur Druck-Erzeugung in den oberen Etagen erforderlichen Pumpen stromabhängig. Bei längeren Stromausfällen kann der Ausfall der Infrastruktur-Einrichtungen dazu führen, dass keinerlei Tätigkeiten mehr in den betroffenen Räumlichkeiten durchgeführt werden können.
Neben Ausfällen können auch andere Störungen der Stromversorgung den Betrieb beeinträchtigen.
Überspannung kann beispielsweise zu Fehlfunktionen oder sogar zu Beschädigungen von elektrischen Geräten führen.
Zu beachten ist außerdem, dass durch Ausfälle oder Störungen der Stromversorgung in der Nachbarschaft unter Umständen auch die eigenen Geschäftsprozesse betroffen sein können, beispielsweise wenn Zufahrtswege blockiert werden.
Beispiele:
- Durch einen Fehler in der USV eines Rechenzentrums schaltete diese nach einem kurzen Stromausfall nicht auf Normalbetrieb zurück. Nach Entladung der Batterien (nach etwa 40 Minuten) fielen alle Rechner im betroffenen Server-Saal aus.
- Anfang 2001 gab es über 40 Tage einen Strom-Notstand in Kalifornien. Die Stromversorgungslage war dort so angespannt, dass die Kalifornische Netzüberwachungsbehörde rotierende Stromabschaltungen anordnete. Von diesen Stromabschaltungen, die bis zu 90 Minuten andauerten, waren nicht nur Haushalte, sondern auch die High-Tech-Industrie betroffen. Weil mit dem Stromausfall auch Alarmanlagen und Überwachungskameras ausgeschaltet wurden, hielten die Energieversorger ihre Abschaltpläne geheim.
- Im November 2005 waren nach heftigen Schneefällen in Niedersachsen und Nordrhein-Westfalen viele Gemeinden tagelang ohne Stromversorgung, weil viele Hochspannungsmasten unter der Schnee- und Eislast umgestürzt waren. Die Wiederherstellung der Stromversorgung dauerte einige Tage.</t>
        </is>
      </c>
    </row>
    <row r="7" ht="191" customHeight="1">
      <c r="A7" s="20" t="inlineStr">
        <is>
          <t>G 0.9</t>
        </is>
      </c>
      <c r="B7" s="4" t="inlineStr">
        <is>
          <t>Ausfall oder Störung von Kommunikationsnetzen</t>
        </is>
      </c>
      <c r="C7" s="4" t="inlineStr">
        <is>
          <t>Für viele Geschäftsprozesse werden heutzutage zumindest zeitweise intakte Kommunikationsverbindungen benötigt, sei es über Telefon, Fax, E-Mail oder andere Dienste über Nah- oder Weitverkehrsnetze. Fallen einige oder mehrere dieser Kommunikationsverbindungen über einen längeren Zeitraum aus, kann dies beispielsweise dazu führen, dass
- Geschäftsprozesse nicht mehr weiterbearbeitet werden können, weil benötigte Informationen nicht abgerufen werden können,
- Kunden die Institution nicht mehr für Rückfragen erreichen können,
- Aufträge nicht abgegeben oder beendet werden können.
Werden auf IT-Systemen, die über Weitverkehrsnetze verbunden sind, zeitkritische Anwendungen betrieben, sind die durch einen Netzausfall möglichen Schäden und Folgeschäden entsprechend hoch, wenn keine Ausweichmöglichkeiten (z. B. Anbindung an ein zweites Kommunikationsnetz) vorhanden sind. Zu ähnlichen Problemen kann es kommen, wenn die benötigten Kommunikationsnetze gestört sind, ohne jedoch vollständig auszufallen. Kommunikationsverbindungen können beispielsweise eine erhöhte Fehlerrate oder andere Qualitätsmängel aufweisen. Falsche Betriebsparameter können ebenfalls zu Beeinträchtigungen führen.
Beispiele:
- Das Internet ist heute für viele Institutionen zu einem unverzichtbaren Kommunikationsmedium geworden, unter anderem zum Abruf wichtiger Informationen, zur Außendarstellung sowie zur Kommunikation mit Kunden und Partnern. Unternehmen, die sich auf Internet-basierte Dienstleistungen spezialisiert haben, sind natürlich in besonderem Maße von einer funktionierenden Internet-Anbindung abhängig.
- Im Zuge der Konvergenz der Netze werden Sprach- und Datendienste häufig über die gleichen technischen Komponenten transportiert (z. B. VoIP). Dadurch steigt jedoch die Gefahr, dass bei einer Störung der Kommunikationstechnik die Sprachdienste und die Datendienste gleichzeitig ausfallen.</t>
        </is>
      </c>
    </row>
    <row r="8" ht="136" customHeight="1">
      <c r="A8" s="20" t="inlineStr">
        <is>
          <t>G 0.10</t>
        </is>
      </c>
      <c r="B8" s="4" t="inlineStr">
        <is>
          <t>Ausfall oder Störung von Versorgungsnetzen</t>
        </is>
      </c>
      <c r="C8" s="4" t="inlineStr">
        <is>
          <t>Es gibt in einem Gebäude eine Vielzahl von Netzen, die der grundlegenden Ver- und Entsorgung und somit als Basis für alle Geschäftsprozesse einer Institution einschließlich der IT dienen. Beispiele für solche Versorgungsnetze sind:
- Strom,
- Telefon,
- Kühlung,
- Heizung bzw. Lüftung,
- Wasser und Abwasser,
- Löschwasserspeisungen,
- Gas,
- Melde- und Steueranlagen (z. B. für Einbruch, Brand, Hausleittechnik) und
- Sprechanlagen.
Der Ausfall oder die Störung eines Versorgungsnetzes kann unter anderem dazu führen, dass Menschen nicht mehr im Gebäude arbeiten können oder dass der IT-Betrieb und somit die Informationsverarbeitung beeinträchtigt wird.
Die Netze sind in unterschiedlich starker Weise voneinander abhängig, so dass sich Betriebsstörungen in jedem einzelnen Netz auch auf andere auswirken können.
Beispiele:
- Ein Ausfall von Heizung oder Lüftung kann zur Folge haben, dass alle Mitarbeiter die betroffenen Gebäude verlassen müssen. Dies kann unter Umständen hohe Schäden nach sich ziehen.
- Der Ausfall der Stromversorgung wirkt nicht nur auf die IT direkt, sondern auch auf alle anderen Netze, die mit elektrisch betriebener Steuer- und Regeltechnik ausgestattet sind. Selbst in Abwasserleitungen sind unter Umständen elektrische Hebepumpen vorhanden.
- Der Ausfall der Wasserversorgung beeinträchtigt eventuell die Funktion von Klimaanlagen.</t>
        </is>
      </c>
    </row>
    <row r="9" ht="240" customHeight="1">
      <c r="A9" s="20" t="inlineStr">
        <is>
          <t>G 0.11</t>
        </is>
      </c>
      <c r="B9" s="4" t="inlineStr">
        <is>
          <t>Ausfall oder Störung von Dienstleistern</t>
        </is>
      </c>
      <c r="C9" s="4" t="inlineStr">
        <is>
          <t>Kaum eine Institution arbeitet heute noch ohne Dienstleister wie Zulieferer oder Outsourcing-Anbieter. Wenn Organisationseinheiten von Dienstleistern abhängig sind, kann durch Ausfälle externer Dienstleistungen die Aufgabenbewältigung beeinträchtigt werden. Der teilweise oder vollständige Ausfall eines Outsourcing-Dienstleisters oder eines Zulieferers kann sich erheblich auf die betriebliche Kontinuität auswirken, insbesondere bei kritischen Geschäftsprozessen. Es gibt verschiedene Ursachen für solche Ausfälle, beispielsweise Insolvenz, einseitige Kündigung des Vertrags durch den Dienstleister oder Zulieferer, betriebliche Probleme beispielsweise durch Naturgewalten oder Personalausfall. Probleme können auch entstehen, wenn die vom Dienstleister erbrachten Leistungen nicht den Qualitätsanforderungen des Auftraggebers entsprechen.
Zu beachten ist außerdem, dass Dienstleister ebenfalls häufig auf Unterauftragnehmer zurückgreifen, um ihre Leistungen gegenüber dem Auftraggeber zu erbringen. Störungen, Qualitätsmängel und Ausfälle seitens der Unterauftragnehmer können dadurch indirekt zu Beeinträchtigungen beim Auftraggeber führen.
Auch durch Ausfälle von IT-Systemen beim Dienstleister oder der Kommunikationsanbindungen zu diesem können Geschäftsprozesse beim Auftraggeber beeinträchtigt werden.
Eine gegebenenfalls notwendige Rückholung ausgelagerter Prozesse kann stark erschwert sein, beispielsweise weil die ausgelagerten Verfahren nicht hinreichend dokumentiert sind oder weil der bisherige Dienstleister die Rückholung nicht unterstützt.
Beispiele:
- Ein Unternehmen hat seine Server in einem Rechenzentrum eines externen Dienstleisters installiert. Nach einem Brand in diesem Rechenzentrum war die Finanzabteilung des Unternehmens nicht mehr handlungsfähig. Es entstanden erhebliche finanzielle Verluste für das Unternehmen.
- Die Just-in-Time-Produktion eines Unternehmens war von der Zulieferung von Betriebsmitteln externer Dienstleister abhängig. Nachdem ein LKW durch einen Defekt beim Dienstleister ausfiel, verzögerte sich die Lieferung dringend benötigter Teile drastisch. Eine Reihe von Kunden konnte dadurch nicht fristgerecht beliefert werden.
- Ein Bankinstitut wickelte alle Geldtransporte mit einem Werttransportunternehmen ab. Das Werttransportunternehmen meldete überraschend Konkurs an. Die Vereinbarung und Tourenplanung mit einem neuen Werttransporter dauerte mehrere Tage. Als Folge kam es zu erheblichen Problemen und Zeitverzögerungen bei der Geldversorgung und -entsorgung der Bankfilialen.</t>
        </is>
      </c>
    </row>
    <row r="10" ht="169" customHeight="1">
      <c r="A10" s="20" t="inlineStr">
        <is>
          <t>G 0.12</t>
        </is>
      </c>
      <c r="B10" s="4" t="inlineStr">
        <is>
          <t>Elektromagnetische Störstrahlung</t>
        </is>
      </c>
      <c r="C10" s="4" t="inlineStr">
        <is>
          <t>Informationstechnik setzt sich heute zu einem großen Teil aus elektronischen Komponenten zusammen. Zwar wird zunehmend auch optische Übertragungstechnik eingesetzt, dennoch enthalten beispielsweise Computer, Netzkoppelelemente und Speichersysteme in der Regel sehr viele elektronische Bauteile. Durch elektromagnetische Störstrahlung, die auf solche Bauteile einwirkt, können elektronische Geräte in ihrer Funktion beeinträchtigt oder sogar beschädigt werden. Als Folge kann es unter anderem zu Ausfällen, Störungen, falschen Verarbeitungsergebnissen oder Kommunikationsfehlern kommen.
Auch drahtlose Kommunikation kann durch elektromagnetische Störstrahlung beeinträchtigt werden. Hierzu reicht unter Umständen eine ausreichend starke Störung der verwendeten Frequenzbänder.
Weiterhin können Informationen, die auf bestimmten Arten von Datenträgern gespeichert sind, durch elektromagnetische Störstrahlung gelöscht oder verfälscht werden. Dies betrifft insbesondere magnetisierbare Datenträger (Festplatten, Magnetbänder etc.) und Halbleiter-Speicher. Auch eine Beschädigung solcher Datenträger durch elektromagnetische Störstrahlung ist möglich.
Es gibt viele unterschiedliche Quellen elektromagnetischer Felder oder Strahlung, zum Beispiel Funknetze wie WLAN, Bluetooth, GSM, UMTS etc., Dauermagnete und kosmische Strahlung. Außerdem strahlt jedes elektrische Gerät mehr oder weniger starke elektromagnetische Wellen ab, die sich unter anderem durch die Luft und entlang metallischer Leiter (z. B. Kabel, Klimakanäle, Heizungsrohre etc.) ausbreiten können. In Deutschland enthält das Gesetz über die elektromagnetische Verträglichkeit von Betriebsmitteln (EMVG) Regelungen zu diesem Thema.</t>
        </is>
      </c>
    </row>
    <row r="11" ht="158" customHeight="1">
      <c r="A11" s="20" t="inlineStr">
        <is>
          <t>G 0.13</t>
        </is>
      </c>
      <c r="B11" s="4" t="inlineStr">
        <is>
          <t>Abfangen kompromittierender Strahlung</t>
        </is>
      </c>
      <c r="C11" s="4" t="inlineStr">
        <is>
          <t>Elektrische Geräte strahlen elektromagnetische Wellen ab. Bei Geräten, die Informationen verarbeiten (z. B. Computer, Bildschirme, Netzkoppelelemente, Drucker), kann diese Strahlung auch die gerade verarbeiteten Informationen mit sich führen. Derartige informationstragende Abstrahlung wird bloßstellende oder kompromittierende Abstrahlung genannt. Ein Angreifer, der sich beispielsweise in einem Nachbarhaus oder in einem in der Nähe abgestellten Fahrzeug befindet, kann versuchen, diese Abstrahlung zu empfangen und daraus die verarbeiteten Informationen zu rekonstruieren. Die Vertraulichkeit der Informationen ist damit in Frage gestellt. Eine mögliche Zielsetzung eines solchen Angriffes ist Industriespionage.
Die Grenzwerte des Gesetzes über die elektromagnetische Verträglichkeit von Betriebsmitteln (EMVG) reichen im Allgemeinen nicht aus, um das Abfangen der bloßstellenden Abstrahlung zu verhindern. Falls dieses Risiko nicht akzeptiert werden kann, müssen deshalb in aller Regel zusätzliche Schutzmaßnahmen getroffen werden.
Bloßstellende Abstrahlung ist nicht auf elektromagnetische Wellen beschränkt. Auch aus Schallwellen, zum Beispiel bei Druckern oder Tastaturen, können unter Umständen nützliche Informationen gewonnen werden.
Zu beachten ist außerdem, dass bloßstellende Abstrahlung in bestimmten Fällen auch durch äußere Manipulation von Geräten verursacht oder verstärkt werden kann. Wird zum Beispiel ein Gerät mit elektromagnetischen Wellen bestrahlt, kann es passieren, dass die reflektierten Wellen vertrauliche Informationen mit sich führen.</t>
        </is>
      </c>
    </row>
    <row r="12" ht="235" customHeight="1">
      <c r="A12" s="20" t="inlineStr">
        <is>
          <t>G 0.14</t>
        </is>
      </c>
      <c r="B12" s="4" t="inlineStr">
        <is>
          <t>Ausspähen von Informationen (Spionage)</t>
        </is>
      </c>
      <c r="C12" s="4" t="inlineStr">
        <is>
          <t>Mit Spionage werden Angriffe bezeichnet, die das Ziel haben, Informationen über Unternehmen, Personen, Produkte oder andere Zielobjekte zu sammeln, auszuwerten und aufzubereiten. Die aufbereiteten Informationen können dann beispielsweise eingesetzt werden, um einem anderem Unternehmen bestimmte Wettbewerbsvorteile zu verschaffen, Personen zu erpressen oder ein Produkt nachbauen zu können. Neben einer Vielzahl technisch komplexer Angriffe gibt es oft auch viel einfachere Methoden, um an wertvolle Informationen zu kommen, beispielsweise indem Informationen aus mehreren öffentlich zugänglichen Quellen zusammengeführt werden, die einzeln unverfänglich aussehen, aber in anderen Zusammenhängen kompromittierend sein können. Da vertrauliche Daten häufig nicht ausreichend geschützt werden, können diese oft auf optischem, akustischem oder elektronischem Weg ausgespäht werden.
Beispiele:
- Viele IT-Systeme sind durch Identifikations- und Authentisierungsmechanismen gegen eine unberechtigte Nutzung geschützt, z. B. in Form von Benutzerkennung- und Passwort-Prüfung. Wenn das Passwort allerdings unverschlüsselt über die Leitung geschickt wird, ist es einem Angreifer unter Umständen möglich, dieses auszulesen.
- Um Geld an einem Geldausgabeautomaten abheben zu können, muss die korrekte PIN für die verwendete ec- oder Kreditkarte eingegeben werden. Leider ist der Sichtschutz an diesen Geräten häufig unzureichend, so dass ein Angreifer einem Kunden bei der Eingabe der PIN ohne Mühe über die Schulter schauen kann. Wenn der Angreifer hinterher die Karte stiehlt, kann er damit das Konto plündern.
- Um Zugriffsrechte auf einem PC zu erhalten oder diesen anderweitig zu manipulieren, kann ein Angreifer dem Benutzer ein Trojanisches Pferd schicken, das er als vorgeblich nützliches Programm einer E-Mail beigefügt hat. Neben unmittelbaren Schäden können über Trojanische Pferde vielfältige Informationen nicht nur über den einzelnen Rechner, sondern auch über das lokale Netz ausgespäht werden. Insbesondere verfolgen viele Trojanische Pferde das Ziel, Passwörter oder andere Zugangsdaten auszuspähen.
- In vielen Büros sind die Arbeitsplätze akustisch nicht gut gegeneinander abgeschirmt. Dadurch können Kollegen, aber auch Besucher eventuell Gespräche mithören und dabei Kenntnis von Informationen erlangen, die nicht für sie bestimmt oder sogar vertraulich sind.</t>
        </is>
      </c>
    </row>
    <row r="13" ht="213" customHeight="1">
      <c r="A13" s="20" t="inlineStr">
        <is>
          <t>G 0.15</t>
        </is>
      </c>
      <c r="B13" s="4" t="inlineStr">
        <is>
          <t>Abhören</t>
        </is>
      </c>
      <c r="C13" s="4" t="inlineStr">
        <is>
          <t>Mit Abhören werden gezielte Angriffe auf Kommunikationsverbindungen, Gespräche, Geräuschquellen aller Art oder IT-Systeme zur Informationssammlung bezeichnet. Dies beginnt beim unbemerkten, heimlichen Belauschen eines Gesprächs und reicht bis zu hoch technisierten komplexen Angriffen, um über Funk oder Leitungen gesendete Signale abzufangen, z. B. mit Hilfe von Antennen oder Sensoren.
Nicht nur wegen des geringen Entdeckungsrisikos ist das Abhören von Leitungen oder Funkverbindungen eine nicht zu vernachlässigende Gefährdung der Informationssicherheit. Grundsätzlich gibt es keine abhörsicheren Kabel. Lediglich der erforderliche Aufwand zum Abhören unterscheidet die Kabel. Ob eine Leitung tatsächlich abgehört wird, ist nur mit hohem messtechnischen Aufwand feststellbar.
Besonders kritisch ist die ungeschützte Übertragung von Authentisierungsdaten bei Klartextprotokollen wie HTTP, FTP oder Telnet, da diese durch die klare Strukturierung der Daten leicht automatisch zu analysieren sind.
Der Entschluss, irgendwo Informationen abzuhören, wird im Wesentlichen durch die Frage bestimmt, ob die Informationen den technischen bzw. den finanziellen Aufwand und das Risiko der Entdeckung wert sind. Die Beantwortung dieser Frage ist sehr von den individuellen Möglichkeiten und Interessen des Angreifers abhängig.
Beispiele:
- Bei Telefonaten kann für einen Angreifer nicht nur das Abhören von Gesprächen interessant sein. Auch die Informationen, die bei der Signalisierung übertragen werden, können von einem Angreifer missbraucht werden, z. B. falls durch eine fehlerhafte Einstellung im Endgerät das Passwort bei der Anmeldung im Klartext übertragen wird.
- Bei ungeschützter oder unzureichend geschützter Funkübertragung (z. B. wenn ein WLAN nur mit WEP abgesichert wird), kann ein Angreifer leicht die gesamte Kommunikation abhören.
- E-Mails können während ihres gesamten Weges durch das Netz gelesen werden, wenn sie nicht verschlüsselt sind. Unverschlüsselte E-Mails sollten daher nicht mit klassischen Briefen, sondern mit Postkarten verglichen werden.</t>
        </is>
      </c>
    </row>
    <row r="14" ht="202" customHeight="1">
      <c r="A14" s="20" t="inlineStr">
        <is>
          <t>G 0.16</t>
        </is>
      </c>
      <c r="B14" s="4" t="inlineStr">
        <is>
          <t>Diebstahl von Geräten, Datenträgern oder Dokumenten</t>
        </is>
      </c>
      <c r="C14" s="4" t="inlineStr">
        <is>
          <t>Durch den Diebstahl von Datenträgern, IT-Systemen, Zubehör, Software oder Daten entstehen einerseits Kosten für die Wiederbeschaffung sowie für die Wiederherstellung eines arbeitsfähigen Zustandes, andererseits Verluste aufgrund mangelnder Verfügbarkeit. Wenn durch den Diebstahl vertrauliche Informationen offengelegt werden, kann dies weitere Schäden nach sich ziehen. Neben Servern und anderen teuren IT-Systemen werden auch mobile IT-Systeme, die unauffällig und leicht zu transportieren sind, häufig gestohlen. Es gibt aber auch Fälle, in denen gezielt Datenträger, wie Dokumente oder USB-Sticks, entwendet wurden, um an die darauf gespeicherten vertraulichen Informationen zu gelangen.
Beispiele:
- Im Frühjahr 2000 verschwand ein Notebook aus dem amerikanischen Außenministerium. In einer offiziellen Stellungnahme wurde nicht ausgeschlossen, dass das Gerät vertrauliche Informationen enthalten könnte. Ebenso wenig war bekannt, ob das Gerät kryptographisch oder durch andere Maßnahmen gegen unbefugten Zugriff gesichert war.
- In einem deutschen Bundesamt wurde mehrfach durch die gleichen ungesicherten Fenster eingebrochen. Neben anderen Wertsachen verschwanden auch mobile IT-Systeme. Ob Akten kopiert oder manipuliert wurden, konnte nicht zweifelsfrei ausgeschlossen werden.
- In Großbritannien gab es eine Reihe von Datenpannen, bei denen vertrauliche Unterlagen offengelegt wurden, weil Datenträger gestohlen wurden. In einem Fall wurden bei der britischen Luftwaffe mehrere Computer-Festplatten gestohlen, die sehr persönliche Informationen enthielten, die zur Sicherheitsüberprüfung von Mitarbeitern erfasst worden waren.
- Ein Mitarbeiter eines Call-Centers erstellte, kurz bevor er das Unternehmen verlassen musste, Kopien einer großen Menge von vertraulichen Kundendaten. Nach seinem Ausscheiden aus dem Unternehmen hat er diese Daten dann an Wettbewerber verkauft. Da anschließend Details über den Vorfall an die Presse gelangten, verlor das Call-Center viele wichtige Kunden.</t>
        </is>
      </c>
    </row>
    <row r="15" ht="180" customHeight="1">
      <c r="A15" s="20" t="inlineStr">
        <is>
          <t>G 0.17</t>
        </is>
      </c>
      <c r="B15" s="4" t="inlineStr">
        <is>
          <t>Verlust von Geräten, Datenträgern oder Dokumenten</t>
        </is>
      </c>
      <c r="C15" s="4" t="inlineStr">
        <is>
          <t>Es gibt eine Vielzahl von Ursachen, die zu einem Verlust von Geräten, Datenträgern und Dokumenten führen können. Hierdurch ist unmittelbar die Verfügbarkeit betroffen, es können aber auch vertrauliche Informationen in fremde Hände gelangen, wenn die Datenträger nicht komplett verschlüsselt sind. Durch die Wiederbeschaffung von Geräten oder Datenträgern entstehen Kosten, aber auch, wenn diese wieder auftauchen, können Informationen offengelegt oder unerwünschte Programme aufgespielt worden sein. Besonders mobile Endgeräte und mobile Datenträger können leicht verloren gehen. Auf kleinen Speicherkarten können heute riesige Datenmengen gespeichert werden. Es kommt aber auch immer wieder vor, dass Dokumente in Papierform versehentlich liegen gelassen werden, beispielsweise in Gaststätten oder Verkehrsmitteln.
Beispiele:
- Eine Mitarbeiterin nutzt in der Straßenbahn die Fahrt zum Arbeitsplatz, um einige Unterlagen zu sichten. Als sie hektisch an der Zielhaltestelle aussteigt, lässt sie die Papiere versehentlich auf ihrem Nachbarplatz liegen. Zwar sind die Unterlagen nicht vertraulich, in der Folge müssen jedoch mehrere Unterschriften hochrangiger Führungskräfte erneut eingeholt werden.
- Auf einer Großveranstaltung fällt einem Mitarbeiter beim Suchen in seiner Aktentasche versehentlich und unbemerkt eine Speicherkarte mit vertraulichen Kalkulationen auf den Boden. Der Finder sichtet den Inhalt auf seinem Laptop und verkauft die Informationen an die Konkurrenz.
- Ein Hersteller sendet CDs mit Software-Updates zur Fehlerbehebung per Post an seine Kunden. Einige dieser CDs gehen auf dem Versandweg verloren, ohne dass Absender oder Empfänger darüber informiert werden. In der Folge kommt es bei den betroffenen Kunden zu Fehlfunktionen der Software.</t>
        </is>
      </c>
    </row>
    <row r="16" ht="240" customHeight="1">
      <c r="A16" s="20" t="inlineStr">
        <is>
          <t>G 0.18</t>
        </is>
      </c>
      <c r="B16" s="4" t="inlineStr">
        <is>
          <t>Fehlplanung oder fehlende Anpassung</t>
        </is>
      </c>
      <c r="C16" s="4" t="inlineStr">
        <is>
          <t>Wenn organisatorische Abläufe, die direkt oder indirekt der Informationsverarbeitung dienen, nicht sachgerecht gestaltet sind, kann dies zu Sicherheitsproblemen führen. Obwohl jeder einzelne Prozessschritt korrekt durchgeführt wird, kommt es oft zu Schäden, weil Prozesse insgesamt fehlerhaft definiert sind. Eine weitere mögliche Ursache für Sicherheitsprobleme sind Abhängigkeiten mit anderen Prozessen, die selbst keinen offensichtlichen Bezug zur Informationsverarbeitung haben. Solche Abhängigkeiten können bei der Planung leicht übersehen werden und dadurch Beeinträchtigungen während des Betriebes auslösen. Sicherheitsprobleme können außerdem dadurch entstehen, dass Aufgaben, Rollen oder Verantwortung nicht eindeutig zugewiesen sind. Unter anderem kann es dadurch passieren, dass Abläufe verzögert, Sicherheitsmaßnahmen vernachlässigt oder Regelungen missachtet werden.
Gefahr besteht auch, wenn Geräte, Produkte, Verfahren oder andere Mittel zur Realisierung der Informationsverarbeitung nicht sachgerecht eingesetzt werden. Die Auswahl eines ungeeigneten Produktes oder Schwachstellen beispielsweise in der Anwendungsarchitektur oder im Netzdesign können zu Sicherheitsproblemen führen.
Beispiele:
- Wenn Wartungs- oder Reparaturprozesse nicht auf die fachlichen Anforderungen abgestimmt sind, kann es dadurch zu inakzeptablen Ausfallzeiten kommen.
- Es kann ein erhöhtes Risiko durch Angriffe auf die eigenen IT-Systeme entstehen, wenn sicherheitstechnische Anforderungen bei der Beschaffung von Informationstechnik nicht berücksichtigt werden.
- Wenn benötigtes Verbrauchsmaterial nicht zeitgerecht zur Verfügung gestellt wird, können die davon abhängigen IT-Verfahren ins Stocken geraten.
- Es können Schwachstellen entstehen, wenn bei der Planung eines IT-Verfahrens ungeeignete Übertragungsprotokolle ausgewählt werden.
Die Informationstechnik und das gesamte Umfeld einer Behörde bzw. eines Unternehmens ändern sich ständig. Sei es, dass Mitarbeiter ausscheiden oder hinzukommen, neue Hard- oder Software beschafft wird oder ein Zulieferbetrieb Konkurs anmeldet. Werden die dadurch notwendigen organisatorischen und technischen Anpassungen nicht oder nur ungenügend berücksichtigt, können sich Gefährdungen ergeben.
Beispiele:
- Durch bauliche Änderungen im Gebäude werden bestehende Fluchtwege verändert. Da die Mitarbeiter nicht ausreichend unterrichtet wurden, kann das Gebäude nicht in der erforderlichen Zeit geräumt werden.
- Bei der Übermittlung elektronischer Dokumente wird nicht darauf geachtet, ein für die Empfängerseite lesbares Datenformat zu benutzen.</t>
        </is>
      </c>
    </row>
    <row r="17" ht="235" customHeight="1">
      <c r="A17" s="20" t="inlineStr">
        <is>
          <t>G 0.19</t>
        </is>
      </c>
      <c r="B17" s="4" t="inlineStr">
        <is>
          <t>Offenlegung schützenswerter Informationen</t>
        </is>
      </c>
      <c r="C17" s="4" t="inlineStr">
        <is>
          <t>Vertrauliche Daten und Informationen dürfen nur den zur Kenntnisnahme berechtigten Personen zugänglich sein. Neben der Integrität und der Verfügbarkeit gehört die Vertraulichkeit zu den Grundwerten der Informationssicherheit. Für vertrauliche Informationen (wie Passwörter, personenbezogene Daten, Firmen- oder Amtsgeheimnisse, Entwicklungsdaten) besteht die inhärente Gefahr, dass diese durch technisches Versagen, Unachtsamkeit oder auch durch vorsätzliche Handlungen offengelegt werden. Dabei kann auf diese vertraulichen Informationen an unterschiedlichen Stellen zugegriffen werden, beispielsweise
- auf Speichermedien innerhalb von Rechnern (Festplatten),
- auf austauschbaren Speichermedien (USB-Sticks, CDs oder DVDs),
- in gedruckter Form auf Papier (Ausdrucke, Akten) und
- auf Übertragungswegen während der Datenübertragung.
Auch die Art und Weise, wie Informationen offengelegt werden, kann sehr unterschiedlich sein, zum
Beispiel:
- unbefugtes Auslesen von Dateien,
- unbedachte Weitergabe, z. B. im Zuge von Reparaturaufträgen,
- unzureichende Löschung oder Vernichtung von Datenträgern,
- Diebstahl des Datenträgers und anschließendes Auswerten,
- Abhören von Übertragungsleitungen,
- Infektion von IT-Systemen mit Schadprogrammen,
- Mitlesen am Bildschirm oder Abhören von Gesprächen.
Werden schützenswerte Informationen offengelegt, kann dies schwerwiegende Folgen für eine Institution haben. Unter anderem kann der Verlust der Vertraulichkeit zu folgenden negativen Auswirkungen für eine Institution führen:
- Verstoß gegen Gesetze, zum Beispiel Datenschutz, Bankgeheimnis,
- Negative Innenwirkung, zum Beispiel Demoralisierung der Mitarbeiter,
- Negative Außenwirkung, zum Beispiel Beeinträchtigung der Beziehungen zu Geschäftspartnern, verlorenes Vertrauen von Kunden,
- Finanzielle Auswirkungen, zum Beispiel Schadensersatzansprüche, Bußgelder, Prozesskosten,
- Beeinträchtigung des informationellen Selbstbestimmungsrechtes.
Ein Verlust der Vertraulichkeit wird nicht immer sofort bemerkt. Oft stellt sich erst später heraus, z. B. durch Presseanfragen, dass Unbefugte sich Zugang zu vertraulichen Informationen verschafft haben.
Beispiel:
- Käufer von gebrauchten Rechnern, Festplatten, Mobiltelefonen oder ähnlichen Geräten finden darauf immer wieder höchst vertrauliche Informationen wie Patientendaten oder Kontonummern.</t>
        </is>
      </c>
    </row>
    <row r="18" ht="169" customHeight="1">
      <c r="A18" s="20" t="inlineStr">
        <is>
          <t>G 0.20</t>
        </is>
      </c>
      <c r="B18" s="4" t="inlineStr">
        <is>
          <t>Informationen oder Produkte aus unzuverlässiger Quelle</t>
        </is>
      </c>
      <c r="C18" s="4" t="inlineStr">
        <is>
          <t>Wenn Informationen, Software oder Geräte verwendet werden, die aus unzuverlässigen Quellen stammen oder deren Herkunft und Korrektheit nicht ausreichend geprüft wurden, kann der Einsatz hohe Gefahren mit sich bringen. Dies kann unter anderem dazu führen, dass geschäftsrelevante Informationen auf einer falschen Datenbasis beruhen, dass Berechnungen falsche Ergebnisse liefern oder dass falsche Entscheidungen getroffen werden. Ebenso können aber auch Integrität und Verfügbarkeit von IT-Systemen beeinträchtigt werden.
Beispiele:
- Ein Empfänger kann durch E-Mails, deren Herkunft er nicht geprüft hat, dazu verleitet werden, bestimmte Aktionen durchzuführen, die sich für ihn oder andere nachteilig auswirken. Beispielsweise kann die E-Mail interessante Anhänge oder Links enthalten, die beim Anklicken dazu führen, dass Schadsoftware beim Empfänger installiert wird. Der Absender der E-Mail kann dabei gefälscht oder dem eines bekannten Kommunikationspartners nachgeahmt sein.
- Die Annahme, dass eine Angabe wahr ist, weil es "in der Zeitung steht" oder "im TV ausgestrahlt wurde", ist nicht immer gerechtfertigt. Dadurch können falsche Aussagen in geschäftskritische Berichte eingearbeitet werden.
- Die Zuverlässigkeit von Informationen, die über das Internet verbreitet werden, ist sehr unterschiedlich. Wenn Ausführungen ohne weitere Quellenprüfungen aus dem Internet übernommen werden, können daraus Fehlentscheidungen resultieren.
- Wenn Updates oder Patches aus nicht vertrauenswürdigen Quellen eingespielt werden, kann dies zu unerwünschten Nebenwirkungen führen. Wenn die Herkunft von Software nicht überprüft wird, besteht ein erhöhtes Risiko, dass IT-Systeme mit schädlichem Code infiziert werden.</t>
        </is>
      </c>
    </row>
    <row r="19" ht="169" customHeight="1">
      <c r="A19" s="20" t="inlineStr">
        <is>
          <t>G 0.21</t>
        </is>
      </c>
      <c r="B19" s="4" t="inlineStr">
        <is>
          <t>Manipulation von Hard- oder Software</t>
        </is>
      </c>
      <c r="C19" s="4" t="inlineStr">
        <is>
          <t>Als Manipulation wird jede Form von gezielten, aber heimlichen Eingriffen bezeichnet, um Zielobjekte aller Art unbemerkt zu verändern. Manipulationen an Hard- oder Software können unter anderem aus Rachegefühlen, um einen Schaden mutwillig zu erzeugen, zur Verschaffung persönlicher Vorteile oder zur Bereicherung vorgenommen werden. Im Fokus können dabei Geräte aller Art, Zubehör, Datenträger (z. B. DVDs, USB-Sticks), Applikationen, Datenbanken oder ähnliches stehen.
Manipulationen an Hard- und Software führen nicht immer zu einem unmittelbaren Schaden. Wenn jedoch die damit verarbeiteten Informationen beeinträchtigt werden, kann dies alle Arten von Sicherheitsauswirkungen nach sich ziehen (Verlust von Vertraulichkeit, Integrität oder Verfügbarkeit). Die Manipulationen können dabei umso wirkungsvoller sein, je später sie entdeckt werden, je umfassender die Kenntnisse der Täter sind und je tiefgreifender die Auswirkungen auf einen Arbeitsvorgang sind. Die Auswirkungen reichen von der unerlaubten Einsichtnahme in schützenswerte Daten bis hin zur Zerstörung von Datenträgern oder IT-Systemen. Manipulationen können dadurch auch erhebliche Ausfallzeiten nach sich ziehen.
Beispiele:
- In einem Schweizer Finanzunternehmen hatte ein Mitarbeiter die Einsatzsoftware für bestimmte Finanzdienstleistungen manipuliert. Dadurch war es ihm möglich, sich illegal größere Geldbeträge zu verschaffen.
- Durch Manipulationen an Geldausgabeautomaten ist es Angreifern mehrfach gelungen, die auf Zahlungskarten gespeicherten Daten unerlaubt auszulesen. In Verbindung mit ausgespähten PINs wurden diese Daten dann später missbraucht, um Geld zulasten der Karteninhaber abzuheben.</t>
        </is>
      </c>
    </row>
    <row r="20" ht="147" customHeight="1">
      <c r="A20" s="20" t="inlineStr">
        <is>
          <t>G 0.22</t>
        </is>
      </c>
      <c r="B20" s="4" t="inlineStr">
        <is>
          <t>Manipulation von Informationen</t>
        </is>
      </c>
      <c r="C20" s="4" t="inlineStr">
        <is>
          <t>Informationen können auf vielfältige Weise manipuliert werden, z. B. durch fehlerhaftes oder vorsätzlich falsches Erfassen von Daten, inhaltliche Änderung von Datenbank-Feldern oder von Schriftverkehr. Grundsätzlich betrifft dies nicht nur digitale Informationen, sondern beispielsweise auch Dokumente in Papierform. Ein Täter kann allerdings nur die Informationen manipulieren, auf die er Zugriff hat. Je mehr Zugriffsrechte eine Person auf Dateien und Verzeichnisse von IT-Systemen besitzt bzw. je mehr Zugriffsmöglichkeiten auf Informationen sie hat, desto schwerwiegendere Manipulationen kann sie vornehmen. Falls die Manipulationen nicht frühzeitig erkannt werden, kann der reibungslose Ablauf von Geschäftsprozessen und Fachaufgaben dadurch empfindlich gestört werden.
Archivierte Dokumente stellen meist schützenswerte Informationen dar. Die Manipulation solcher Dokumente ist besonders schwerwiegend, da sie unter Umständen erst nach Jahren bemerkt wird und eine Überprüfung dann oft nicht mehr möglich ist.
Beispiel:
- Eine Mitarbeiterin hat sich über die Beförderung ihrer Zimmergenossin in der Buchhaltung dermaßen geärgert, dass sie sich während einer kurzen Abwesenheit der Kollegin unerlaubt Zugang zu deren Rechner verschafft hat. Hier hat sie durch einige Zahlenänderungen in der Monatsbilanz enormen negativen Einfluss auf das veröffentlichte Jahresergebnis des Unternehmens genommen.</t>
        </is>
      </c>
    </row>
    <row r="21" ht="125" customHeight="1">
      <c r="A21" s="20" t="inlineStr">
        <is>
          <t>G 0.23</t>
        </is>
      </c>
      <c r="B21" s="4" t="inlineStr">
        <is>
          <t>Unbefugtes Eindringen in IT-Systeme</t>
        </is>
      </c>
      <c r="C21" s="4" t="inlineStr">
        <is>
          <t>Grundsätzlich beinhaltet jede Schnittstelle an einem IT-System nicht nur die Möglichkeit, darüber bestimmte Dienste des IT-Systems berechtigt zu nutzen, sondern auch das Risiko, dass darüber unbefugt auf das IT-System zugegriffen wird.
Beispiele:
- Wenn eine Benutzerkennung und das zugehörige Passwort ausgespäht werden, ist eine unberechtigte Nutzung der damit geschützten Anwendungen oder IT-Systeme denkbar.
- Über unzureichend gesicherte Fernwartungszugänge könnten Hacker unerlaubt auf IT-Systeme zugreifen.
- Bei unzureichend gesicherten Schnittstellen von aktiven Netzkomponenten ist es denkbar, dass Angreifer einen unberechtigten Zugang zur Netzkomponente erlangen. Wenn es ihnen außerdem gelingt, die lokalen Sicherheitsmechanismen zu überwinden, also z.B. an administrative Berechtigungen gelangt sind, könnten sie alle Administrationstätigkeiten ausüben.
- Viele IT-Systeme haben Schnittstellen für den Einsatz austauschbarer Datenspeicher, wie z. B. Zusatzspeicherkarten oder USB-Speichermedien. Bei einem unbeaufsichtigten IT-System mit der entsprechenden Hard- und Software besteht die Gefahr, dass hierüber große Datenmengen unbefugt ausgelesen oder Schadprogramme eingeschleust werden können.</t>
        </is>
      </c>
    </row>
    <row r="22" ht="136" customHeight="1">
      <c r="A22" s="20" t="inlineStr">
        <is>
          <t>G 0.24</t>
        </is>
      </c>
      <c r="B22" s="4" t="inlineStr">
        <is>
          <t>Zerstörung von Geräten oder Datenträgern</t>
        </is>
      </c>
      <c r="C22" s="4" t="inlineStr">
        <is>
          <t>Durch Fahrlässigkeit, unsachgemäße Verwendung aber auch durch ungeschulten Umgang kann es zu Zerstörungen an Geräten und Datenträgern kommen, die den Betrieb des IT-Systems empfindlich stören können.
Es besteht außerdem die Gefahr, dass durch die Zerstörung wichtige Informationen verloren gehen, die nicht oder nur mit großem Aufwand rekonstruiert werden können.
Beispiele:
- In einem Unternehmen nutzte ein Innentäter seine Kenntnis darüber, dass ein wichtiger Server empfindlich auf zu hohe Betriebstemperaturen reagiert, und blockierte die Lüftungsschlitze für den Netzteillüfter mit einem hinter dem Server versteckt aufgestellten Gegenstand. Zwei Tage später erlitt die Festplatte im Server einen temperaturbedingten Defekt, und der Server fiel für mehrere Tage aus.
- Ein Mitarbeiter hatte sich über das wiederholte Abstürzen des Systems so stark geärgert, dass er seine Wut an seinem Arbeitsplatzrechner ausließ. Hierbei wurde die Festplatte durch Fußtritte gegen den Rechner so stark beschädigt, dass sie unbrauchbar wurde. Die hier gespeicherten Daten konnten nur teilweise wieder durch ein Backup vom Vortag rekonstruiert werden.
- Durch umgestoßene Kaffeetassen oder beim Blumengießen eindringende Feuchtigkeit können in einem IT-System Kurzschlüsse hervorrufen.</t>
        </is>
      </c>
    </row>
    <row r="23" ht="81" customHeight="1">
      <c r="A23" s="20" t="inlineStr">
        <is>
          <t>G 0.25</t>
        </is>
      </c>
      <c r="B23" s="4" t="inlineStr">
        <is>
          <t>Ausfall von Geräten oder Systemen</t>
        </is>
      </c>
      <c r="C23" s="4" t="inlineStr">
        <is>
          <t>Werden auf einem IT-System zeitkritische Anwendungen betrieben, sind die Folgeschäden nach einem Systemausfall entsprechend hoch, wenn es keine Ausweichmöglichkeiten gibt.
Beispiele:
- Es wird eine Firmware in ein IT-System eingespielt, die nicht für diesen Systemtyp vorgesehen ist. Das IT-System startet daraufhin nicht mehr fehlerfrei und muss vom Hersteller wieder betriebsbereit gemacht werden.
- Bei einem Internet Service Provider (ISP) führte ein Stromversorgungsfehler in einem Speichersystem dazu, dass dieses abgeschaltet wurde. Obwohl der eigentliche Fehler schnell behoben werden konnte, ließen sich die betroffenen IT-Systeme anschließend nicht wieder hochfahren, da Inkonsistenzen im Dateisystem auftraten. Als Folge waren mehrere vom ISP betriebene Webserver tagelang nicht erreichbar.</t>
        </is>
      </c>
    </row>
    <row r="24" ht="202" customHeight="1">
      <c r="A24" s="20" t="inlineStr">
        <is>
          <t>G 0.26</t>
        </is>
      </c>
      <c r="B24" s="4" t="inlineStr">
        <is>
          <t>Fehlfunktion von Geräten oder Systemen</t>
        </is>
      </c>
      <c r="C24" s="4" t="inlineStr">
        <is>
          <t>Geräte und Systeme, die der Informationsverarbeitung dienen, haben heute häufig viele Funktionen und sind deshalb entsprechend komplex aufgebaut. Grundsätzlich betrifft dies sowohl Hardware- als auch Software-Komponenten. Durch die Komplexität gibt es in solchen Komponenten viele unterschiedliche Fehlerquellen. Als Folge kommt es immer wieder dazu, dass Geräte und Systeme nicht wie vorgesehen funktionieren und dadurch Sicherheitsprobleme entstehen.
Ursachen für Fehlfunktionen gibt es viele, zum Beispiel Materialermüdung, Fertigungstoleranzen, konzeptionelle Schwächen, Überschreitung von Grenzwerten, nicht vorgesehene Einsatzbedingungen oder fehlende Wartung. Da es keine perfekten Geräte und Systeme gibt, muss eine gewisse Restwahrscheinlichkeit für Fehlfunktionen ohnehin immer akzeptiert werden.
Durch Fehlfunktionen von Geräten oder Systemen können alle Grundwerte der Informationssicherheit (Vertraulichkeit, Integrität, Verfügbarkeit) beeinträchtigt werden. Hinzu kommt, dass Fehlfunktionen unter Umständen auch über einen längeren Zeitraum unbemerkt bleiben können. Dadurch kann es beispielsweise passieren, dass Berechnungsergebnisse verfälscht und nicht rechtzeitig korrigiert werden.
Beispiele:
- Aufgrund eines verstopften Lüftungsgitters kommt es zur Überhitzung eines Speichersystems, das daraufhin nicht komplett ausfällt, sondern nur sporadische Fehlfunktionen aufweist. Erst einige Wochen später wird bemerkt, dass die gespeicherten Informationen unvollständig sind.
- Eine wissenschaftliche Standard-Anwendung wird genutzt, um eine statistische Analyse für einen vorab erhobenen Datenbestand durchzuführen, der in einer Datenbank gespeichert ist. Laut Dokumentation ist die Anwendung jedoch für das eingesetzte Datenbank-Produkt nicht freigegeben. Die Analyse scheint zwar zu funktionieren, durch Stichproben stellt sich allerdings heraus, dass die berechneten Ergebnisse falsch sind. Als Ursache wurden Kompatibilitätsprobleme zwischen der Anwendung und der Datenbank identifiziert.</t>
        </is>
      </c>
    </row>
    <row r="25" ht="240" customHeight="1">
      <c r="A25" s="20" t="inlineStr">
        <is>
          <t>G 0.27</t>
        </is>
      </c>
      <c r="B25" s="4" t="inlineStr">
        <is>
          <t>Ressourcenmangel</t>
        </is>
      </c>
      <c r="C25" s="4" t="inlineStr">
        <is>
          <t>Wenn die vorhandenen Ressourcen in einem Bereich unzureichend sind, kann es zu Engpässen in der Versorgung mit diesen Ressourcen bis hin zu Überlastungen und Ausfällen kommen. Je nach Art der betroffenen Ressourcen können durch ein kleines Ereignis, dessen Eintritt zudem vorhersehbar war, im Endeffekt eine Vielzahl von Geschäftsprozessen beeinträchtigt werden. Ressourcenmangel kann im IT-Betrieb und bei Kommunikationsverbindungen auftreten, aber auch in anderen Bereichen einer Institution. Werden für bestimmte Aufgaben nur unzureichende personelle, zeitliche und finanzielle Ressourcen zur Verfügung gestellt, kann das vielfältige negative Auswirkungen haben. Es kann beispielsweise passieren, dass die in Projekten notwendigen Rollen nicht mit geeigneten Personen besetzt werden. Wenn Betriebsmittel wie Hard- oder Software nicht mehr ausreichen, um den Anforderungen gerecht zu werden, können Fachaufgaben unter Umständen nicht erfolgreich bearbeitet werden.
Häufig können personelle, zeitliche, finanzielle, technische und sonstige Mängel im Regelbetrieb für einen begrenzten Zeitraum noch ausgeglichen werden. Unter hohem Zeitdruck werden sie jedoch, beispielsweise in Notfall-Situationen, umso deutlicher.
Ressourcen können auch absichtlich überlastet werden, wenn jemand einen intensiven Bedarf an einem Betriebsmittel vorsätzlich generiert und dadurch eine intensive und dauerhafte Störung des Betriebsmittels provoziert, siehe auch G 0.40 Verhinderung von Diensten (Denial of Service).
Beispiele:
- Überlastete Elektroleitungen erhitzen sich, dies kann bei ungünstiger Verlegung zu einem Schwelbrand führen.
- Werden neue Anwendungen mit einem höheren als zum Planungszeitpunkt berücksichtigten Bandbreitenbedarf auf dem Netz betrieben, kann dies zu einem Verlust der Verfügbarkeit des gesamten Netzes führen, wenn die Netzinfrastruktur nicht ausreichend skaliert werden kann.
- Wenn die Administratoren wegen Überlastung die Protokoll-Dateien der von ihnen betreuten IT nur sporadisch kontrollieren, werden eventuell Angriffe nicht zeitnah erkannt.
- Webserver können durch eine hohe Menge zeitgleich eintreffender Anfragen so überlastet werden, dass ein geregelter Zugriff auf Daten fast unmöglich wird.
- Wenn sich ein Unternehmen in einem Insolvenzverfahren befindet, kann es passieren, dass kein Geld für dringend benötigte Ersatzteile vorhanden ist oder dass wichtige Dienstleister nicht bezahlt werden können.</t>
        </is>
      </c>
    </row>
    <row r="26" ht="158" customHeight="1">
      <c r="A26" s="20" t="inlineStr">
        <is>
          <t>G 0.28</t>
        </is>
      </c>
      <c r="B26" s="4" t="inlineStr">
        <is>
          <t>Software-Schwachstellen oder -Fehler</t>
        </is>
      </c>
      <c r="C26" s="4" t="inlineStr">
        <is>
          <t>Für jede Software gilt: je komplexer sie ist, desto häufiger treten Fehler auf. Auch bei intensiven Tests werden meist nicht alle Fehler vor der Auslieferung an die Kunden entdeckt. Werden Software-Fehler nicht rechtzeitig erkannt, können die bei der Anwendung entstehenden Abstürze oder Fehler zu weitreichenden Folgen führen. Beispiele hierfür sind falsche Berechnungsergebnisse, Fehlentscheidungen der Leitungsebene und Verzögerungen beim Ablauf der Geschäftsprozesse.
Durch Software-Schwachstellen oder -Fehler kann es zu schwerwiegenden Sicherheitslücken in einer Anwendung, einem IT-System oder allen damit vernetzten IT-Systemen kommen. Solche Sicherheitslücken können unter Umständen von Angreifern ausgenutzt werden, um Schadsoftware einzuschleusen, unerlaubt Daten auszulesen oder Manipulationen vorzunehmen.
Beispiele:
- Die meisten Warnmeldungen der Computer Emergency Response Teams (CERTs) in den letzten Jahren bezogen sich auf sicherheitsrelevante Programmierfehler. Dies sind Fehler, die bei der Erstellung von Software entstehen und dazu führen, dass diese Software von Angreifern missbraucht werden kann. Ein großer Teil dieser Fehler wurde durch Speicherüberläufe (Buffer Overflow) hervorgerufen.
- Internet-Browser sind heute eine wichtige Software-Komponente auf Clients. Browser werden häufig nicht nur zum Zugriff auf das Internet, sondern auch für interne Web-Anwendungen in Unternehmen und Behörden genutzt. Software-Schwachstellen oder -Fehler in Browsern können deshalb die Informationssicherheit insgesamt besonders stark beeinträchtigen.</t>
        </is>
      </c>
    </row>
    <row r="27" ht="240" customHeight="1">
      <c r="A27" s="20" t="inlineStr">
        <is>
          <t>G 0.29</t>
        </is>
      </c>
      <c r="B27" s="4" t="inlineStr">
        <is>
          <t>Verstoß gegen Gesetze oder Regelungen</t>
        </is>
      </c>
      <c r="C27" s="4" t="inlineStr">
        <is>
          <t>Wenn Informationen, Geschäftsprozesse und IT-Systeme einer Institution unzureichend abgesichert sind (beispielsweise durch ein unzureichendes Sicherheitsmanagement), kann dies zu Verstößen gegen Rechtsvorschriften mit Bezug zur Informationsverarbeitung oder gegen bestehende Verträge mit Geschäftspartnern führen. Welche Gesetze jeweils zu beachten sind, hängt von der Art der Institution bzw. ihrer Geschäftsprozesse und Dienstleistungen ab. Je nachdem, wo sich die Standorte einer Institution befinden, können auch verschiedene nationale Vorschriften zu beachten sein. Folgende Beispiele verdeutlichen dies:
- Der Umgang mit personenbezogenen Daten ist in Deutschland über eine Vielzahl von Vorschriften geregelt. Dazu gehören das Bundesdatenschutzgesetz und die Landesdatenschutzgesetze, aber auch eine Vielzahl bereichsspezifischer Regelungen.
- Die Geschäftsführung eines Unternehmens ist dazu verpflichtet, bei allen Geschäftsprozessen eine angemessene Sorgfalt anzuwenden. Hierzu gehört auch die Beachtung anerkannter Sicherheitsmaßnahmen. In Deutschland gelten verschiedene Rechtsvorschriften wie KonTraG (Gesetz zur Kontrolle und Transparenz im Unternehmensbereich), GmbHG (Gesetz betreffend die Gesellschaften mit beschränkter Haftung) oder AktG (Aktiengesetz), aus denen sich zu Risikomanagement und Informationssicherheit entsprechende Handlungs- und Haftungsverpflichtungen der Geschäftsführung bzw. des Vorstands eines Unternehmens ableiten lassen.
- Die ordnungsmäßige Verarbeitung von buchungsrelevanten Daten ist in verschiedenen Gesetzen und Vorschriften geregelt. In Deutschland sind dies unter anderem das Handelsgesetzbuch (z. B. HGB §§ 238 ff.) und die Abgabenordnung (AO). Die ordnungsmäßige Verarbeitung von Informationen umfasst natürlich deren sichere Verarbeitung. Beides muss in vielen Ländern regelmäßig nachgewiesen werden, beispielsweise durch Wirtschaftsprüfer im Rahmen der Prüfung des Jahresabschlusses. Falls hierbei gravierende Sicherheitsmängel festgestellt werden, kann kein positiver Prüfungsbericht erstellt werden.
- In vielen Branchen (z.B. der Automobil-Industrie) ist es üblich, dass Hersteller ihre Zulieferer zur Einhaltung bestimmter Qualitäts- und Sicherheitsstandards verpflichten. In diesem Zusammenhang werden zunehmend auch Anforderungen an die Informationssicherheit gestellt. Verstößt ein Vertragspartner gegen vertraglich geregelte Sicherheitsanforderungen, kann dies Vertragsstrafen, aber auch Vertragsauflösungen bis hin zum Verlust von Geschäftsbeziehungen nach sich ziehen.
Nur wenige Sicherheitsanforderungen ergeben sich unmittelbar aus Gesetzen. Die Gesetzgebung orientiert sich jedoch im Allgemeinen am Stand der Technik als allgemeine Bewertungsgrundlage für den Grad der erreichbaren Sicherheit. Stehen bei einer Institution die vorhandenen Sicherheitsmaßnahmen in keinem gesunden Verhältnis zu den zu schützenden Werten und dem Stand der Technik, kann dies gravierende Folgen haben.</t>
        </is>
      </c>
    </row>
    <row r="28" ht="169" customHeight="1">
      <c r="A28" s="20" t="inlineStr">
        <is>
          <t>G 0.30</t>
        </is>
      </c>
      <c r="B28" s="4" t="inlineStr">
        <is>
          <t>Unberechtigte Nutzung oder Administration von Geräten und Systemen</t>
        </is>
      </c>
      <c r="C28" s="4" t="inlineStr">
        <is>
          <t>Ohne geeignete Mechanismen zur Zutritts-, Zugriffs- und Zugangskontrolle kann eine unberechtigte Nutzung von Geräten und Systemen praktisch nicht verhindert oder erkannt werden. Bei IT-Systemen ist der grundlegende Mechanismus die Identifikation und Authentisierung von Benutzern. Aber selbst bei IT-Systemen mit einer starken Identifikations- und Authentisierungsfunktion ist eine unberechtigte Nutzung denkbar, wenn die entsprechenden Sicherheitsmerkmale (Passwörter, Chipkarten, Token etc.) in falsche Hände gelangen. Auch bei der Vergabe und Pflege von Berechtigungen können viele Fehler gemacht werden, beispielsweise wenn Berechtigungen zu weitreichend oder an unautorisierte Personen vergeben oder nicht zeitnah aktualisiert werden.
Unbefugte können durch die unberechtigte Nutzung von Geräten und Systemen an vertrauliche Informationen gelangen, Manipulationen vornehmen oder Störungen verursachen.
Ein besonders wichtiger Spezialfall der unberechtigten Nutzung ist die unberechtigte Administration. Wenn Unbefugte die Konfiguration oder die Betriebsparameter von Hardware- oder Software-Komponenten ändern, können daraus schwere Schäden resultieren.
Beispiel:
- Bei der Kontrolle von Protokollierungsdaten stieß ein Netzadministrator auf zunächst unerklärliche Ereignisse, die an verschiedenen Tagen, aber häufig am frühen Morgen und am Nachmittag aufgetreten sind. Bei näherer Untersuchung stellte sich heraus, dass ein WLAN-Router unsicher konfiguriert war. Wartende Personen an der Bushaltestelle vor dem Firmengebäude haben diesen Zugang genutzt, um während der Wartezeit mit ihren mobilen Endgeräten im Internet zu surfen.</t>
        </is>
      </c>
    </row>
    <row r="29" ht="147" customHeight="1">
      <c r="A29" s="20" t="inlineStr">
        <is>
          <t>G 0.31</t>
        </is>
      </c>
      <c r="B29" s="4" t="inlineStr">
        <is>
          <t>Fehlerhafte Nutzung oder Administration von Geräten und Systemen</t>
        </is>
      </c>
      <c r="C29" s="4" t="inlineStr">
        <is>
          <t>Eine fehlerhafte oder nicht ordnungsgemäße Nutzung von Geräten, Systemen und Anwendungen kann deren Sicherheit beeinträchtigen, vor allem, wenn vorhandene Sicherheitsmaßnahmen missachtet oder umgangen werden. Dies führt häufig zu Störungen oder Ausfällen. Je nachdem, welche Arten von Geräten oder Systemen falsch genutzt werden, können aber auch Vertraulichkeit und Integrität von Informationen verletzt werden.
Ein besonders wichtiger Spezialfall der fehlerhaften Nutzung ist die fehlerhafte Administration. Fehler bei der Installation, Konfiguration, Wartung und Pflege von Hardware- oder Software-Komponenten können schwere Schäden nach sich ziehen.
Beispielsweise können zu großzügig vergebene Rechte, leicht zu erratende Passwörter, nicht ausreichend geschützte Datenträger mit Sicherungskopien oder bei vorübergehender Abwesenheit nicht gesperrte Terminals zu Sicherheitsvorfällen führen.
Gleichermaßen können durch die fehlerhafte Bedienung von IT-Systemen oder Anwendungen auch Daten versehentlich gelöscht oder verändert werden. Dadurch könnten aber auch vertrauliche Informationen an die Öffentlichkeit gelangen, beispielsweise wenn Zugriffsrechte falsch gesetzt werden.
Wenn Strom- oder Netzkabel ungeschützt verlegt werden, können sie unbeabsichtigt beschädigt werden, wodurch Verbindungen ausfallen können. Geräteanschlussleitungen können herausgerissen werden, wenn Mitarbeiter oder Besucher darüber stolpern.</t>
        </is>
      </c>
    </row>
    <row r="30" ht="191" customHeight="1">
      <c r="A30" s="20" t="inlineStr">
        <is>
          <t>G 0.32</t>
        </is>
      </c>
      <c r="B30" s="4" t="inlineStr">
        <is>
          <t>Missbrauch von Berechtigungen</t>
        </is>
      </c>
      <c r="C30" s="4" t="inlineStr">
        <is>
          <t>Abhängig von ihren Rollen und Aufgaben erhalten Personen entsprechende Zutritts-, Zugangs- und Zugriffsberechtigungen. Auf diese Weise soll einerseits der Zugang zu Informationen gesteuert und kontrolliert werden, und andererseits soll es den Personen ermöglicht werden, bestimmte Aufgaben zu erledigen. Beispielsweise benötigen Personen oder Gruppen bestimmte Berechtigungen, um Anwendungen ausführen zu können oder Informationen bearbeiten zu können.
Eine missbräuchliche Nutzung von Berechtigungen liegt vor, wenn vorsätzlich recht- oder unrechtmäßig erworbene Möglichkeiten außerhalb des vorgesehenen Rahmens genutzt werden. Ziel dabei ist häufig, sich persönliche Vorteile zu verschaffen oder einer Institution oder bestimmten Personen zu schaden. In nicht wenigen Fällen verfügen Personen aus historischen, systemtechnischen oder anderen Gründen über höhere oder umfangreichere Zutritts-, Zugangs- oder Zugriffsrechte, als sie für ihre Tätigkeit benötigen. Diese Rechte können unter Umständen für Angriffe missbraucht werden.
Beispiele:
- Je feingranularer die Zugriffsrechte auf Informationen gestaltet werden, desto größer ist oft auch der Pflegeaufwand, um diese Berechtigungen auf dem aktuellen Stand zu halten. Es besteht deshalb die Gefahr, dass bei der Vergabe der Zugriffsrechte zu wenig zwischen den unterschiedlichen Rollen differenziert wird und dadurch der Missbrauch der Berechtigungen erleichtert wird.
- Bei verschiedenen Anwendungen werden Zugriffsberechtigungen oder Passwörter in Systembereichen gespeichert, auf die auch andere Benutzer zugreifen können. Dadurch könnten Angreifer die Berechtigungen ändern oder Passwörter auslesen.
- Personen mit zu großzügig vergebenen Berechtigungen könnten versucht sein, auf fremde Dateien zuzugreifen, beispielsweise eine fremde E-Mail einzusehen, weil bestimmte Informationen dringend benötigt werden.</t>
        </is>
      </c>
    </row>
    <row r="31" ht="191" customHeight="1">
      <c r="A31" s="20" t="inlineStr">
        <is>
          <t>G 0.33</t>
        </is>
      </c>
      <c r="B31" s="4" t="inlineStr">
        <is>
          <t>Personalausfall</t>
        </is>
      </c>
      <c r="C31" s="4" t="inlineStr">
        <is>
          <t>Der Ausfall von Personal kann erhebliche Auswirkungen auf eine Institution und deren Geschäftsprozesse haben. Personal kann beispielsweise durch Krankheit, Unfall, Tod oder Streik unvorhergesehen ausfallen. Des weiteren ist auch der vorhersagbare Personalausfall bei Urlaub, Fortbildung oder einer regulären Beendigung des Arbeitsverhältnisses zu berücksichtigen, insbesondere wenn die Restarbeitszeit z. B. durch einen Urlaubsanspruch verkürzt wird. Ein Personalausfall kann auch durch einen internen Wechsel des Arbeitsplatzes verursacht werden.
Beispiele:
- Aufgrund längerer Krankheit blieb der Netzadministrator einer Firma vom Dienst fern. In der betroffenen Firma lief das Netz zunächst fehlerfrei weiter. Nach zwei Wochen jedoch war nach einem Systemabsturz niemand in der Lage, den Fehler zu beheben, da es nur diesen in den Netzbetrieb eingearbeiteten Administrator gab. Dies führte zu einem Ausfall des Netzes über mehrere Tage.
- Während des Urlaubs eines Administrators musste in einer Institution auf die Backup-Medien im Datensicherungstresor zurückgegriffen werden. Der Zugangscode zum Tresor wurde erst kurz zuvor geändert und war nur diesem Administrator bekannt. Erst nach mehreren Tagen konnte die Datenrestaurierung durchgeführt werden, da der Administrator nicht eher im Urlaub erreichbar war.
- Im Falle eine Pandemie fällt nach und nach längerfristig immer mehr Personal aus, sei es durch die Krankheit selbst, durch die notwendige Pflege von Angehörigen oder durch die Betreuung von Kindern. Auch aus Angst vor Ansteckung in öffentlichen Verkehrsmitteln oder in der Institution bleiben einige Mitarbeiter vom Dienst fern. Als Folge können nur noch die notwendigsten Arbeiten erledigt werden. Die erforderliche Wartung der Systeme, sei es der zentrale Server oder die Klimaanlage im Rechenzentrum, ist nicht mehr zu leisten. Nach und nach fallen dadurch immer mehr Systeme aus.</t>
        </is>
      </c>
    </row>
    <row r="32" ht="114" customHeight="1">
      <c r="A32" s="20" t="inlineStr">
        <is>
          <t>G 0.35</t>
        </is>
      </c>
      <c r="B32" s="4" t="inlineStr">
        <is>
          <t>Nötigung, Erpressung oder Korruption</t>
        </is>
      </c>
      <c r="C32" s="4" t="inlineStr">
        <is>
          <t>Nötigung, Erpressung oder Korruption können dazu führen, dass die Sicherheit von Informationen oder Geschäftsprozessen beeinträchtigt wird. Durch Androhung von Gewalt oder anderen Nachteilen kann ein Angreifer beispielsweise versuchen, das Opfer zur Missachtung von Sicherheitsrichtlinien oder zur Umgehung von Sicherheitsmaßnahmen zu bringen (Nötigung).
Anstatt zu drohen, können Angreifer auch gezielt Geld oder andere Vorteile anbieten, um Mitarbeiter oder andere Personen zum Instrument für Sicherheitsverletzungen zu machen (Korruption). Beispielsweise besteht die Gefahr, dass ein bestechlicher Mitarbeiter vertrauliche Dokumente an Unbefugte weiterleitet. Durch Nötigung oder Korruption können grundsätzlich alle Grundwerte der Informationssicherheit beeinträchtigt werden. Angriffe können unter anderem darauf abzielen, vertrauliche Informationen an Unbefugte zu leiten, geschäftskritische Informationen zu manipulieren oder den reibungslosen Ablauf von Geschäftsprozessen zu stören.
Besondere Gefahr besteht, wenn sich solche Angriffe gegen hochrangige Führungskräfte oder Personen in besonderen Vertrauensstellungen richten.</t>
        </is>
      </c>
    </row>
    <row r="33" ht="224" customHeight="1">
      <c r="A33" s="20" t="inlineStr">
        <is>
          <t>G 0.36</t>
        </is>
      </c>
      <c r="B33" s="4" t="inlineStr">
        <is>
          <t>Identitätsdiebstahl</t>
        </is>
      </c>
      <c r="C33" s="4" t="inlineStr">
        <is>
          <t>Beim Identitätsdiebstahl täuscht ein Angreifer eine falsche Identität vor, er benutzt also Informationen über eine andere Person, um in deren Namen aufzutreten. Hierfür werden Daten wie beispielsweise Geburtsdatum, Anschrift, Kreditkarten- oder Kontonummern benutzt, um sich beispielsweise auf fremde Kosten bei einem Internet-Dienstleister anzumelden oder sich auf andere Weise zu bereichern.
Identitätsdiebstahl führt häufig auch direkt oder indirekt zur Rufschädigung, aber verursacht auch einen hohen Zeitaufwand, um die Ursachen aufzuklären und negative Folgen für die Betroffenen abzuwenden. Einige Formen des Identitätsbetrugs werden auch als Maskerade bezeichnet.
Identitätsdiebstahl tritt besonders dort häufig auf, wo die Identitätsprüfung zu nachlässig gehandhabt wird, vor allem, wenn hierauf teure Dienstleistungen basieren.
Eine Person, die über die Identität seines Kommunikationspartners getäuscht wurde, kann leicht dazu gebracht werden, schutzbedürftige Informationen zu offenbaren.
Beispiele:
- Bei verschiedenen E-Mail-Providern und Auktionsplattformen im Internet reichte es zur Anmeldung anfangs, sich einen Phantasienamen auszudenken und diesen mit einer passenden Adresse aus dem Telefonbuch zu unterlegen. Zunächst konnten sich Angreifer auch unter erkennbar ausgedachten Namen anmelden, beispielsweise von Comicfiguren. Als dann schärfere Plausibilitätstests eingeführt wurden, sind hierfür auch Namen, Adressen und Kontonummern von echten Personen verwendet worden. Die Betroffenen haben hiervon erst erfahren, als die ersten Zahlungsaufforderungen bei ihnen eintrafen.
- Die Absender-Adressen von E-Mails lassen sich leicht fälschen. Es passiert immer wieder, dass Anwendern auf diese Weise vorgetäuscht wird, dass eine E-Mail von einem vertrauenswürdigen Kommunikationspartner stammt. Ähnliche Angriffe sind durch die Manipulation der Rufnummernanzeige bei Sprachverbindungen oder durch die Manipulation der Absenderkennung bei Faxverbindungen möglich.
- Ein Angreifer kann durch eine Maskerade versuchen, sich in eine bereits bestehende Verbindung einzuhängen, ohne sich selber authentisieren zu müssen, da dieser Schritt bereits von den originären Kommunikationsteilnehmern durchlaufen wurde.</t>
        </is>
      </c>
    </row>
    <row r="34" ht="158" customHeight="1">
      <c r="A34" s="20" t="inlineStr">
        <is>
          <t>G 0.37</t>
        </is>
      </c>
      <c r="B34" s="4" t="inlineStr">
        <is>
          <t>Abstreiten von Handlungen</t>
        </is>
      </c>
      <c r="C34" s="4" t="inlineStr">
        <is>
          <t>Personen können aus verschiedenen Gründen abstreiten, bestimmte Handlungen begangen zu haben, beispielsweise weil diese Handlungen gegen Anweisungen, Sicherheitsvorgaben oder sogar Gesetze verstoßen. Sie könnten aber auch leugnen, eine Benachrichtigung erhalten zu haben, zum Beispiel weil sie einen Termin vergessen haben. Im Bereich der Informationssicherheit wird daher häufig die Verbindlichkeit hervorgehoben, eine Eigenschaft, über die sichergestellt werden soll, dass erfolgte Handlungen nicht unberechtigt abgestritten werden können. Im englischen Sprachraum wird dafür der Begriff Non-Repudiation (Nichtabstreitbarkeit) verwendet.
Bei Kommunikation wird zusätzlich unterschieden, ob ein Kommunikationsteilnehmer den Nachrichtenempfang ableugnet (Repudiation of Receipt) oder den Versand (Repudiation of Origin). Den Nachrichtenempfang abzuleugnen kann unter anderem bei finanziellen Transaktionen von Bedeutung sein, z. B. wenn jemand bestreitet, eine Rechnung fristgemäß erhalten zu haben. Ebenso kann es passieren, dass ein Kommunikationsteilnehmer den Nachrichtenversand ableugnet, z.B. also eine getätigte Bestellung abstreitet. Nachrichtenversand oder -empfang kann beim Postversand ebenso abgeleugnet werden wie bei Fax- oder E-Mail-Nutzung.
Beispiel:
- Ein dringend benötigtes Ersatzteil wird elektronisch bestellt. Nach einer Woche wird das Fehlen reklamiert, inzwischen sind durch den Produktionsausfall hohe Kosten entstanden. Der Lieferant leugnet, je eine Bestellung erhalten zu haben.</t>
        </is>
      </c>
    </row>
    <row r="35" ht="136" customHeight="1">
      <c r="A35" s="20" t="inlineStr">
        <is>
          <t>G 0.38</t>
        </is>
      </c>
      <c r="B35" s="4" t="inlineStr">
        <is>
          <t>Missbrauch personenbezogener Daten</t>
        </is>
      </c>
      <c r="C35" s="4" t="inlineStr">
        <is>
          <t>Personenbezogene Daten sind fast immer besonders schützenswerte Informationen. Typische Beispiele sind Angaben über persönliche oder sachliche Verhältnisse einer bestimmten oder bestimmbaren natürlichen Person. Wenn der Schutz personenbezogener Daten nicht ausreichend gewährleistet ist, besteht die Gefahr, dass der Betroffene in seiner gesellschaftlichen Stellung oder in seinen wirtschaftlichen Verhältnissen beeinträchtigt wird.
Ein Missbrauch personenbezogener Daten kann beispielsweise vorliegen, wenn eine Institution zu viele personenbezogene Daten sammelt, sie ohne Rechtsgrundlage oder Einwilligung erhoben hat, sie zu einem anderen als dem bei der Erhebung zulässigen Zweck nutzt, personenbezogene Daten zu spät löscht oder unberechtigt weitergibt.
Beispiele:
- Personenbezogene Daten dürfen nur für den Zweck verarbeitet werden, für den sie erhoben oder erstmals gespeichert worden sind. Es ist daher unzulässig, Protokolldateien, in denen die An- und Abmeldung von Benutzern an IT-Systemen ausschließlich für die Zugriffskontrolle festgehalten werden, zur Anwesenheits- und Verhaltenskontrolle zu nutzen.
- Personen, die Zugriff auf personenbezogene Daten haben, könnten diese unbefugt weitergeben. Beispielsweise könnte ein Mitarbeiter am Empfang eines Hotels die Anmeldedaten von Gästen an Werbefirmen verkaufen.</t>
        </is>
      </c>
    </row>
    <row r="36" ht="180" customHeight="1">
      <c r="A36" s="20" t="inlineStr">
        <is>
          <t>G 0.39</t>
        </is>
      </c>
      <c r="B36" s="4" t="inlineStr">
        <is>
          <t>Schadprogramme</t>
        </is>
      </c>
      <c r="C36" s="4" t="inlineStr">
        <is>
          <t>Ein Schadprogramm ist eine Software, die mit dem Ziel entwickelt wurde, unerwünschte und meistens schädliche Funktionen auszuführen. Zu den typischen Arten von Schadprogrammen gehören unter anderem Viren, Würmer und Trojanische Pferde. Schadprogramme werden meist heimlich, ohne Wissen und Einwilligung des Benutzers aktiv.
Schadprogramme bieten heutzutage einem Angreifer umfangreiche Kommunikations- und Steuerungsmöglichkeiten und besitzen eine Vielzahl von Funktionen. Unter anderem können Schadprogramme gezielt Passwörter ausforschen, Systeme fernsteuern, Schutzsoftware deaktivieren und Daten ausspionieren.
Als Schaden ist hier insbesondere der Verlust oder die Verfälschung von Informationen oder Anwendungen von größter Tragweite. Aber auch der Imageverlust und der finanzielle Schaden, der durch Schadprogramme entstehen kann, sind von großer Bedeutung.
Beispiele:
- In der Vergangenheit verbreitete sich das Schadprogramm W32/Bugbear auf zwei Wegen: Es suchte in lokalen Netzen nach Computern mit Freigaben, auf die schreibender Zugriff möglich war, und kopierte sich darauf. Zudem schickte es sich selbst als HTML-E-Mail an Empfänger im E-Mail-Adressbuch von befallenen Computern. Durch einen Fehler in der HTML-Routine bestimmter E-Mail-Programme wurde das Schadprogramm dort beim Öffnen der Nachricht ohne weiteres Zutun des Empfängers ausgeführt.
- Das Schadprogramm W32/Klez verbreitete sich in verschiedenen Varianten. Befallene Computer schickten den Virus an alle Empfänger im E-Mail-Adressbuch des Computers. Hatte dieser Virus einen Computer befallen, verhinderte er durch fortlaufende Manipulationen am Betriebssystem die Installation von Viren-Schutzprogrammen verbreiteter Hersteller und erschwerte so die Desinfektion der befallenen Computer erheblich.</t>
        </is>
      </c>
    </row>
    <row r="37" ht="158" customHeight="1">
      <c r="A37" s="20" t="inlineStr">
        <is>
          <t>G 0.40</t>
        </is>
      </c>
      <c r="B37" s="4" t="inlineStr">
        <is>
          <t>Verhinderung von Diensten (Denial of Service)</t>
        </is>
      </c>
      <c r="C37" s="4" t="inlineStr">
        <is>
          <t>Es gibt eine Vielzahl verschiedener Angriffsformen, die darauf abzielen, die vorgesehene Nutzung bestimmter Dienstleistungen, Funktionen oder Geräte zu verhindern. Der Oberbegriff für solche Angriffe ist "Verhinderung von Diensten" (englisch: "Denial of Service"). Häufig wird auch die Bezeichnung "DoS-Angriff" verwendet.
Solche Angriffe können unter anderem von verärgerten Mitarbeitern oder Kunden, aber auch von Mitbewerbern, Erpressern oder politisch motivierten Tätern ausgehen. Das Ziel der Angriffe können geschäftsrelevante Werte aller Art sein. Typische Ausprägungen von DoS-Angriffen sind
- Störungen von Geschäftsprozessen, z. B. durch Überflutung der Auftragsannahme mit fehlerhaften Bestellungen,
- Beeinträchtigungen der Infrastruktur, z. B. durch Blockieren der Türen der Institution,
- Herbeiführen von IT-Ausfällen, indem z. B. Dienste eines Servers im Netz gezielt überlastet werden.
Diese Art von Angriffen steht häufig im Zusammenhang mit verteilten Ressourcen, indem ein Angreifer diese Ressourcen so stark in Anspruch nimmt, dass sie den eigentlichen Nutzern nicht mehr zur Verfügung stehen. Bei IT-basierten Angriffen können z. B. die folgenden Ressourcen künstlich verknappt werden:
Prozesse, CPU-Zeit, Arbeitsspeicher, Plattenplatz, Übertragungskapazität.
Beispiel:
- Im Frühjahr 2007 fanden über einen längeren Zeitraum starke DoS-Angriffe auf zahlreiche Internet-Angebote in Estland statt. Dadurch kam es in Estland zu erheblichen Beeinträchtigungen bei der Nutzung von Informationsangeboten und Dienstleistungen im Internet.</t>
        </is>
      </c>
    </row>
    <row r="38" ht="191" customHeight="1">
      <c r="A38" s="20" t="inlineStr">
        <is>
          <t>G 0.41</t>
        </is>
      </c>
      <c r="B38" s="4" t="inlineStr">
        <is>
          <t>Sabotage</t>
        </is>
      </c>
      <c r="C38" s="4" t="inlineStr">
        <is>
          <t>Sabotage bezeichnet die mutwillige Manipulation oder Beschädigung von Sachen oder Prozessen mit dem Ziel, dem Opfer dadurch Schaden zuzufügen. Besonders attraktive Ziele können Rechenzentren oder Kommunikationsanbindungen von Behörden bzw. Unternehmen sein, da hier mit relativ geringen Mitteln eine große Wirkung erzielt werden kann.
Die komplexe Infrastruktur eines Rechenzentrums kann durch gezielte Beeinflussung wichtiger Komponenten, gegebenenfalls durch Täter von außen, vor allem aber durch Innentäter, punktuell manipuliert werden, um Betriebsstörungen hervorzurufen. Besonders bedroht sind hierbei nicht ausreichend geschützte gebäudetechnische oder kommunikationstechnische Infrastruktur sowie zentrale Versorgungspunkte, die organisatorisch oder technisch gegebenenfalls auch nicht überwacht werden und für Externe leicht und unbeobachtet zugänglich sind.
Beispiele:
- In einem großen Rechenzentrum führte die Manipulation an der USV zu einem vorübergehenden Totalausfall. Der Täter hatte wiederholt die USV von Hand auf Bypass geschaltet und dann die Hauptstromversorgung des Gebäudes manipuliert. Insgesamt fanden in drei Jahren vier Ausfälle statt. Teilweise kam es sogar zu Hardware-Schäden. Die Betriebsunterbrechungen dauerten zwischen 40 und 130 Minuten.
- Innerhalb eines Rechenzentrums waren auch sanitäre Einrichtungen untergebracht. Durch Verstopfen der Abflüsse und gleichzeitiges Öffnen der Wasserzufuhr drang Wasser in zentrale Technikkomponenten ein. Die auf diese Weise verursachten Schäden führten zu Betriebsunterbrechungen des Produktivsystems.
- Für elektronische Archive stellt Sabotage ein besonderes Risiko dar, da hier meist auf kleinem Raum viele schützenswerte Dokumente verwahrt werden. Dadurch kann unter Umständen durch gezielte, wenig aufwendige Manipulationen ein großer Schaden verursacht werden.</t>
        </is>
      </c>
    </row>
    <row r="39" ht="240" customHeight="1">
      <c r="A39" s="20" t="inlineStr">
        <is>
          <t>G 0.42</t>
        </is>
      </c>
      <c r="B39" s="4" t="inlineStr">
        <is>
          <t>Social Engineering</t>
        </is>
      </c>
      <c r="C39" s="4" t="inlineStr">
        <is>
          <t>Social Engineering ist eine Methode, um unberechtigten Zugang zu Informationen oder IT-Systemen durch soziale Handlungen zu erlangen. Beim Social Engineering werden menschliche Eigenschaften wie z. B. Hilfsbereitschaft, Vertrauen, Angst oder Respekt vor Autorität ausgenutzt. Dadurch können Mitarbeiter so manipuliert werden, dass sie unzulässig handeln. Ein typischer Fall von Angriffen mit Hilfe von Social Engineering ist das Manipulieren von Mitarbeitern per Telefonanruf, bei dem sich der Angreifer z. B. ausgibt als:
- Vorzimmerkraft, deren Vorgesetzter schnell noch etwas erledigen will, aber sein Passwort vergessen hat und es jetzt dringend braucht,
- Administrator, der wegen eines Systemfehlers anruft, da er zur Fehlerbehebung noch das Passwort des Benutzers benötigt.
Wenn kritische Rückfragen kommen, ist der Neugierige angeblich "nur eine Aushilfe" oder eine "wichtige" Persönlichkeit.
Eine weitere Strategie beim systematischen Social Engineering ist der Aufbau einer längeren Beziehung zum Opfer. Durch viele unwichtige Telefonate im Vorfeld kann der Angreifer Wissen sammeln und Vertrauen aufbauen, das er später ausnutzen kann.
Solche Angriffe können auch mehrstufig sein, indem in weiteren Schritten auf Wissen und Techniken aufgebaut wird, die in vorhergehenden Stufen erworben wurden.
Viele Anwender wissen, dass sie Passwörter an niemanden weitergeben dürfen. Social Engineers wissen dies und müssen daher über andere Wege an das gewünschte Ziel gelangen. Beispiele hierfür sind:
- Ein Angreifer kann das Opfer bitten, ihm unbekannte Befehle oder Applikationen auszuführen, z. B. weil dies bei einem IT-Problem helfen soll. Dies kann eine versteckte Anweisung für eine Änderung von Zugriffsrechten sein. So kann der Angreifer an sensible Informationen gelangen.
- Viele Benutzer verwenden zwar starke Passwörter, aber dafür werden diese für mehrere Konten genutzt. Wenn ein Angreifer einen nützlichen Netzdienst (wie ein E-Mail-Adressensystem) betreibt, an dem die Anwender sich authentisieren müssen, kann er an die gewünschten Passwörter und Logins gelangen. Viele Benutzer werden die Anmeldedaten, die sie für diesen Dienst benutzen, auch bei anderen Diensten verwenden.
Wenn sich Angreifer unerlaubt Passwörter oder andere Authentisierungsmerkmale verschaffen, beispielsweise mit Hilfe von Social Engineering, wird dies häufig auch als "Phishing" (Kunstwort aus "Password" und "Fishing") bezeichnet.
Beim Social Engineering tritt der Angreifer nicht immer sichtbar auf. Oft erfährt das Opfer niemals, dass es ausgenutzt wurde. Ist dies erfolgreich, muss der Angreifer nicht mit einer Strafverfolgung rechnen und besitzt außerdem eine Quelle, um später an weitere Informationen zu gelangen.</t>
        </is>
      </c>
    </row>
    <row r="40" ht="202" customHeight="1">
      <c r="A40" s="20" t="inlineStr">
        <is>
          <t>G 0.43</t>
        </is>
      </c>
      <c r="B40" s="4" t="inlineStr">
        <is>
          <t>Einspielen von Nachrichten</t>
        </is>
      </c>
      <c r="C40" s="4" t="inlineStr">
        <is>
          <t>Angreifer senden bei dieser Angriffsform speziell vorbereitete Nachrichten an Systeme oder Personen mit dem Ziel, für sich selbst einen Vorteil oder einen Schaden für das Opfer zu erreichen. Um die Nachrichten geeignet zu konstruieren, nutzen die Angreifer beispielsweise Schnittstellenbeschreibungen, Protokollspezifikationen oder Aufzeichnungen über das Kommunikationsverhalten in der Vergangenheit. Es gibt zwei in der Praxis wichtige Spezialfälle des Einspielens von Nachrichten:
- Bei einer "Replay-Attacke" (Wiedereinspielen von Nachrichten) zeichnen Angreifer gültige Nachrichten auf und spielen diese Information zu einem späteren Zeitpunkt (nahezu) unverändert wieder ein. Es kann auch ausreichen, nur Teile einer Nachricht, wie beispielsweise ein Passwort, zu benutzen, um unbefugt in ein IT-System einzudringen.
- Bei einer "Man-in-the-Middle-Attacke" nimmt der Angreifer unbemerkt eine Vermittlungsposition in der Kommunikation zwischen verschiedenen Teilnehmern ein. In der Regel täuscht er hierzu dem Absender einer Nachricht vor, der eigentliche Empfänger zu sein, und er täuscht dem Empfänger vor, der eigentliche Absender zu sein. Wenn dies gelingt, kann der Angreifer dadurch Nachrichten, die nicht für ihn bestimmt sind, entgegennehmen und vor der Weiterleitung an den eigentlichen Empfänger auswerten und gezielt manipulieren.
Eine Verschlüsselung der Kommunikation bietet keinen Schutz vor Man-in-the-Middle-Attacken, wenn keine sichere Authentisierung der Kommunikationspartner stattfindet.
Beispiele:
- Ein Angreifer zeichnet die Authentisierungsdaten (z. B. Benutzerkennung und Passwort) während des Anmeldevorgangs eines Benutzers auf und verwendet diese Informationen, um sich Zugang zu einem System zu verschaffen. Bei rein statischen Authentisierungsprotokollen kann damit auch ein verschlüsselt übertragenes Passwort benutzt werden, um unbefugt auf ein fremdes System zuzugreifen.
- Um finanziellen Schaden beim Arbeitgeber (Unternehmen oder Behörde) zu verursachen, gibt ein Mitarbeiter eine genehmigte Bestellung mehrmals auf.</t>
        </is>
      </c>
    </row>
    <row r="41" ht="158" customHeight="1">
      <c r="A41" s="20" t="inlineStr">
        <is>
          <t>G 0.44</t>
        </is>
      </c>
      <c r="B41" s="4" t="inlineStr">
        <is>
          <t>Unbefugtes Eindringen in Räumlichkeiten</t>
        </is>
      </c>
      <c r="C41" s="4" t="inlineStr">
        <is>
          <t>Wenn Unbefugte in ein Gebäude oder einzelne Räumlichkeiten eindringen, kann dies verschiedene andere Gefahren nach sich ziehen. Dazu gehören beispielsweise Diebstahl oder Manipulation von Informationen oder IT-Systemen. Bei qualifizierten Angriffen ist die Zeitdauer entscheidend, in der die Täter ungestört ihr Ziel verfolgen können.
Häufig wollen die Täter wertvolle IT-Komponenten oder andere Waren, die leicht veräußert werden können, stehlen. Ziel eines Einbruchs kann es jedoch unter anderem auch sein, an vertrauliche Informationen zu gelangen, Manipulationen vorzunehmen oder Geschäftsprozesse zu stören.
Durch das unbefugte Eindringen in Räumlichkeiten können somit mehrere Arten von Schäden entstehen:
- Schon durch das unbefugte Eindringen können Sachschäden entstehen. Fenster und/oder Türen werden gewaltsam geöffnet und dabei beschädigt, sie müssen repariert oder ersetzt werden.
- Entwendete, beschädigte oder zerstörte Geräte oder Komponenten müssen repariert oder ersetzt werden.
- Es können Schäden durch die Verletzung der Vertraulichkeit, Integrität oder Verfügbarkeit von Informationen oder Anwendungen entstehen.
Beispiele:
- Vandalismus
- Bei einem Einbruch in ein Unternehmen an einem Wochenende wurde nur Bagatellschaden durch Aufhebeln eines Fensters angerichtet, lediglich eine Kaffeekasse und kleinere Einrichtungsgegenstände wurden entwendet. Bei einer Routinekontrolle wurde jedoch später festgestellt, dass ein zentraler Server genau zum Zeitpunkt des Einbruchs geschickt manipuliert wurde.</t>
        </is>
      </c>
    </row>
    <row r="42" ht="202" customHeight="1">
      <c r="A42" s="20" t="inlineStr">
        <is>
          <t>G 0.45</t>
        </is>
      </c>
      <c r="B42" s="4" t="inlineStr">
        <is>
          <t>Datenverlust</t>
        </is>
      </c>
      <c r="C42" s="4" t="inlineStr">
        <is>
          <t>Ein Datenverlust ist ein Ereignis, das dazu führt, dass ein Datenbestand nicht mehr wie erforderlich genutzt werden kann (Verlust der Verfügbarkeit). Eine häufige Form des Datenverlustes ist, dass Daten unbeabsichtigt oder unerlaubt gelöscht werden, zum Beispiel durch Fehlbedienung, Fehlfunktionen, Stromausfälle, Verschmutzung oder Schadsoftware.
Ein Datenverlust kann jedoch auch durch Beschädigung, Verlust oder Diebstahl von Geräten oder Datenträgern entstehen. Dieses Risiko ist bei mobilen Endgeräten und mobilen Datenträgern häufig besonders hoch.
Weiterhin ist zu beachten, dass viele mobile IT-Systeme nicht immer online sind. Die auf diesen Systemen gespeicherten Daten befinden sich daher nicht immer auf dem aktuellsten Stand. Wenn Datenbestände zwischen mobilen IT-Systemen und stationären IT-Systemen synchronisiert werden, kann es durch Unachtsamkeit oder Fehlfunktion zu Datenverlusten kommen.
Beispiele:
- Der PDA fällt aus der Hemdtasche und zerschellt auf den Fliesen, ein Mobiltelefon wird statt der Zeitung vom Hund apportiert, leider mit Folgen. Solche und ähnliche Ereignisse sind die Ursachen von vielen Totalverlusten der Daten mobiler Endgeräte.
- Es gibt Schadprogramme, die gezielt Daten auf infizierten IT-Systemen löschen. Bei einigen Schädlingen wird die Löschfunktion nicht sofort bei der Infektion ausgeführt, sondern erst, wenn ein definiertes Ereignis eintritt, zum Beispiel wenn die Systemuhr ein bestimmtes Datum erreicht.
- Viele Internet-Dienste können genutzt werden, um online Informationen zu speichern. Wenn das Passwort vergessen wird und nicht hinterlegt ist, kann es passieren, dass auf die gespeicherten Informationen nicht mehr zugegriffen werden kann, sofern der Dienstleister kein geeignetes Verfahren zum Zurücksetzen des Passwortes anbietet.
- Festplatten und andere Massenspeichermedien haben nur eine begrenzte Lebensdauer. Wenn keine geeigneten Redundanzmaßnahmen getroffen sind, kann es durch technische Defekte zu Datenverlusten kommen.</t>
        </is>
      </c>
    </row>
    <row r="43" ht="202" customHeight="1">
      <c r="A43" s="20" t="inlineStr">
        <is>
          <t>G 0.46</t>
        </is>
      </c>
      <c r="B43" s="4" t="inlineStr">
        <is>
          <t>Integritätsverlust schützenswerter Informationen</t>
        </is>
      </c>
      <c r="C43" s="4" t="inlineStr">
        <is>
          <t>Die Integrität von Informationen kann durch verschiedene Ursachen beeinträchtigt werden, z. B. durch Manipulationen, Fehlverhalten von Personen, Fehlbedienung von Anwendungen, Fehlfunktionen von Software oder Übermittlungsfehler.
- Durch die Alterung von Datenträgern kann es zu Informationsverlusten kommen.
- Übertragungsfehler: Bei der Datenübertragung kann es zu Übertragungsfehlern kommen.
- Schadprogramme: Durch Schadprogramme können ganze Datenbestände verändert oder zerstört werden.
- Fehleingaben: Durch Fehleingaben kann es zu so nicht gewünschten Transaktionen kommen, die häufig lange Zeit nicht bemerkt werden.
- Angreifer können versuchen, Daten für ihre Zwecke zu manipulieren, z. B. um Zugriff auf weitere IT-Systeme oder Datenbestände zu erlangen.
- Durch Manipulation der Index-Datenbank können elektronische Archive veranlasst werden, gefälschte Dokumente zu archivieren oder wiederzugeben.
Wenn Informationen nicht mehr integer sind, kann es zu einer Vielzahl von Problemen kommen:
- Informationen können im einfachsten Fall nicht mehr gelesen, also weiterverarbeitet werden.
- Daten können versehentlich oder vorsätzlich so verfälscht werden, dass dadurch falsche Informationen weitergegeben werden. Hierdurch können beispielsweise Überweisungen in falscher Höhe oder an den falschen Empfänger ausgelöst werden, die Absenderangaben von E-Mails könnten manipuliert werden oder vieles mehr.
- Wenn verschlüsselte oder komprimierte Datensätze ihre Integrität verlieren (hier reicht die Änderung eines Bits), können sie unter Umständen nicht mehr entschlüsselt bzw. entpackt werden.
- Dasselbe gilt auch für kryptographische Schlüssel, auch hier reicht die Änderung eines Bits, damit die Schlüssel unbrauchbar werden. Dies führt dann ebenfalls dazu, dass Daten nicht mehr entschlüsselt oder auf ihre Authentizität überprüft werden können.
- Dokumente, die in elektronischen Archiven gespeichert sind, verlieren an Beweiskraft, wenn ihre Integrität nicht nachgewiesen werden kann.</t>
        </is>
      </c>
    </row>
    <row r="44" ht="158" customHeight="1">
      <c r="A44" s="20" t="inlineStr">
        <is>
          <t>G 0.47</t>
        </is>
      </c>
      <c r="B44" s="4" t="inlineStr">
        <is>
          <t>Schädliche Seiteneffekte IT-gestützter Angriffe</t>
        </is>
      </c>
      <c r="C44" s="4" t="inlineStr">
        <is>
          <t>IT-gestützte Angriffe können Auswirkungen haben, die
- von den Tätern nicht beabsichtigt sind oder
- nicht die unmittelbar angegriffenen Zielobjekte betreffen oder
- unbeteiligte Dritte schädigen.
Ursächlich hierfür sind die hohe Komplexität und Vernetzung moderner Informationstechnik sowie die Tatsache, dass die Abhängigkeiten der angegriffenen Zielobjekte und der zugehörigen Prozesse in der Regel nicht offenkundig sind.
Dadurch kann es unter anderem dazu kommen, dass der tatsächliche Schutzbedarf von Zielobjekten falsch eingeschätzt wird oder dass die Verantwortlichen für die Zielobjekte kein Eigeninteresse an der Behebung von Mängeln dieser Zielobjekte haben.
Beispiele:
- Auf IT-Systemen installierte Bots, mit denen die Täter verteilte Denial-of-Service-Angriffe (DDoS-Angriffe) durchführen können, stellen für die infizierten IT-Systeme selbst oft keine direkte Gefahr dar, weil sich die DDoS-Angriffe in der Regel gegen IT-Systeme Dritter richten.
- Schwachstellen von IoT-Geräten in WLANs können von Tätern als Einfallstor genutzt werden, um andere wichtigere Geräte im gleichen WLAN anzugreifen. Deshalb müssen solche IoT-Geräte auch dann geschützt werden, wenn sie selbst nur einen geringen Schutzbedarf haben.
- Ransomware-Angriffe auf IT-Systeme können unter Umständen Kettenreaktionen auslösen und damit auch Kritische Infrastrukturen treffen. Dies wiederum könnte zu Versorgungsengpässen der Bevölkerung führen, auch wenn die Täter dies möglicherweise gar nicht beabsichtigt haben.</t>
        </is>
      </c>
    </row>
    <row r="46">
      <c r="A46" s="16" t="inlineStr">
        <is>
          <t>Quelle: BSI, documentation/namespaces/basethreats.csv. Aufgeführt sind nur die in diesem Katalog referenzierten Gefährdungen.</t>
        </is>
      </c>
    </row>
  </sheetData>
  <autoFilter ref="A1:C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30" customWidth="1" min="3" max="3"/>
  </cols>
  <sheetData>
    <row r="1">
      <c r="A1" s="3" t="inlineStr">
        <is>
          <t>Relevanz</t>
        </is>
      </c>
      <c r="C1" s="3" t="inlineStr">
        <is>
          <t>Status</t>
        </is>
      </c>
    </row>
    <row r="2">
      <c r="A2" s="2" t="inlineStr">
        <is>
          <t>Ja</t>
        </is>
      </c>
      <c r="C2" s="2" t="inlineStr">
        <is>
          <t>ja</t>
        </is>
      </c>
    </row>
    <row r="3">
      <c r="A3" s="2" t="inlineStr">
        <is>
          <t>Nein</t>
        </is>
      </c>
      <c r="C3" s="2" t="inlineStr">
        <is>
          <t>nein</t>
        </is>
      </c>
    </row>
    <row r="4">
      <c r="A4" s="2" t="inlineStr">
        <is>
          <t>Nein, in anderem SiKo betrachtet</t>
        </is>
      </c>
      <c r="C4" s="2" t="inlineStr">
        <is>
          <t>teilweise</t>
        </is>
      </c>
    </row>
    <row r="5">
      <c r="C5" s="2" t="inlineStr">
        <is>
          <t>entbehrlich</t>
        </is>
      </c>
    </row>
    <row r="6">
      <c r="C6" s="2" t="inlineStr">
        <is>
          <t>verwiesen</t>
        </is>
      </c>
    </row>
    <row r="7">
      <c r="C7" s="2" t="inlineStr">
        <is>
          <t>zu klären</t>
        </is>
      </c>
    </row>
    <row r="8">
      <c r="C8" s="2" t="inlineStr">
        <is>
          <t>unbearbeitet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2026-08-19T14:31:59Z</dcterms:created>
  <dcterms:modified xsi:type="dcterms:W3CDTF">2026-08-19T14:32:01Z</dcterms:modified>
</cp:coreProperties>
</file>