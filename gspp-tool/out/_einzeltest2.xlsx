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2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Metadaten" sheetId="1" state="visible" r:id="rId3"/>
    <sheet name="Deckblatt" sheetId="2" state="visible" r:id="rId4"/>
    <sheet name="ARCH" sheetId="3" state="visible" r:id="rId5"/>
    <sheet name="Dashboard" sheetId="4" state="visible" r:id="rId6"/>
    <sheet name="Praktiken" sheetId="5" state="visible" r:id="rId7"/>
    <sheet name="ASST" sheetId="6" state="visible" r:id="rId8"/>
    <sheet name="BER" sheetId="7" state="visible" r:id="rId9"/>
    <sheet name="BES" sheetId="8" state="visible" r:id="rId10"/>
    <sheet name="DET" sheetId="9" state="visible" r:id="rId11"/>
    <sheet name="DEV" sheetId="10" state="visible" r:id="rId12"/>
    <sheet name="DLS" sheetId="11" state="visible" r:id="rId13"/>
    <sheet name="GC" sheetId="12" state="visible" r:id="rId14"/>
    <sheet name="GEB" sheetId="13" state="visible" r:id="rId15"/>
    <sheet name="KONF" sheetId="14" state="visible" r:id="rId16"/>
    <sheet name="NOT" sheetId="15" state="visible" r:id="rId17"/>
    <sheet name="PERF" sheetId="16" state="visible" r:id="rId18"/>
    <sheet name="PERS" sheetId="17" state="visible" r:id="rId19"/>
    <sheet name="REA" sheetId="18" state="visible" r:id="rId20"/>
    <sheet name="RISK" sheetId="19" state="visible" r:id="rId21"/>
    <sheet name="SENS" sheetId="20" state="visible" r:id="rId22"/>
    <sheet name="STM" sheetId="21" state="visible" r:id="rId23"/>
    <sheet name="TEST" sheetId="22" state="visible" r:id="rId24"/>
    <sheet name="UMS" sheetId="23" state="visible" r:id="rId25"/>
    <sheet name="VRB" sheetId="24" state="visible" r:id="rId26"/>
    <sheet name="Gefährdungen" sheetId="25" state="visible" r:id="rId27"/>
    <sheet name="Hilfstabelle" sheetId="26" state="hidden" r:id="rId28"/>
  </sheets>
  <definedNames>
    <definedName function="false" hidden="true" localSheetId="2" name="_xlnm._FilterDatabase" vbProcedure="false">ARCH!$A$6:$Y$6</definedName>
    <definedName function="false" hidden="true" localSheetId="5" name="_xlnm._FilterDatabase" vbProcedure="false">ASST!$A$6:$Y$6</definedName>
    <definedName function="false" hidden="true" localSheetId="6" name="_xlnm._FilterDatabase" vbProcedure="false">BER!$A$6:$Y$6</definedName>
    <definedName function="false" hidden="true" localSheetId="7" name="_xlnm._FilterDatabase" vbProcedure="false">BES!$A$6:$Y$6</definedName>
    <definedName function="false" hidden="true" localSheetId="8" name="_xlnm._FilterDatabase" vbProcedure="false">DET!$A$6:$Y$6</definedName>
    <definedName function="false" hidden="true" localSheetId="9" name="_xlnm._FilterDatabase" vbProcedure="false">DEV!$A$6:$Y$6</definedName>
    <definedName function="false" hidden="true" localSheetId="10" name="_xlnm._FilterDatabase" vbProcedure="false">DLS!$A$6:$Y$6</definedName>
    <definedName function="false" hidden="true" localSheetId="11" name="_xlnm._FilterDatabase" vbProcedure="false">GC!$A$6:$Y$6</definedName>
    <definedName function="false" hidden="true" localSheetId="12" name="_xlnm._FilterDatabase" vbProcedure="false">GEB!$A$6:$Y$6</definedName>
    <definedName function="false" hidden="true" localSheetId="24" name="_xlnm._FilterDatabase" vbProcedure="false">Gefährdungen!$A$1:$C$1</definedName>
    <definedName function="false" hidden="true" localSheetId="13" name="_xlnm._FilterDatabase" vbProcedure="false">KONF!$A$6:$Y$6</definedName>
    <definedName function="false" hidden="true" localSheetId="14" name="_xlnm._FilterDatabase" vbProcedure="false">NOT!$A$6:$Y$6</definedName>
    <definedName function="false" hidden="true" localSheetId="15" name="_xlnm._FilterDatabase" vbProcedure="false">PERF!$A$6:$Y$6</definedName>
    <definedName function="false" hidden="true" localSheetId="16" name="_xlnm._FilterDatabase" vbProcedure="false">PERS!$A$6:$Y$6</definedName>
    <definedName function="false" hidden="true" localSheetId="17" name="_xlnm._FilterDatabase" vbProcedure="false">REA!$A$6:$Y$6</definedName>
    <definedName function="false" hidden="true" localSheetId="18" name="_xlnm._FilterDatabase" vbProcedure="false">RISK!$A$6:$Y$6</definedName>
    <definedName function="false" hidden="true" localSheetId="19" name="_xlnm._FilterDatabase" vbProcedure="false">SENS!$A$6:$Y$6</definedName>
    <definedName function="false" hidden="true" localSheetId="20" name="_xlnm._FilterDatabase" vbProcedure="false">STM!$A$6:$Y$6</definedName>
    <definedName function="false" hidden="true" localSheetId="21" name="_xlnm._FilterDatabase" vbProcedure="false">TEST!$A$6:$Y$6</definedName>
    <definedName function="false" hidden="true" localSheetId="22" name="_xlnm._FilterDatabase" vbProcedure="false">UMS!$A$6:$Y$6</definedName>
    <definedName function="false" hidden="true" localSheetId="23" name="_xlnm._FilterDatabase" vbProcedure="false">VRB!$A$6:$Y$6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<sst xmlns="http://schemas.openxmlformats.org/spreadsheetml/2006/main" count="18500" uniqueCount="5529">
  <si>
    <t xml:space="preserve">Herkunftsnachweis</t>
  </si>
  <si>
    <t xml:space="preserve">Quelle</t>
  </si>
  <si>
    <t xml:space="preserve">file:///tmp/cat.json</t>
  </si>
  <si>
    <t xml:space="preserve">Git-Commit (SHA)</t>
  </si>
  <si>
    <t xml:space="preserve">n/a — lokale Quelldatei, SHA-256 ist Versionsanker</t>
  </si>
  <si>
    <t xml:space="preserve">Commit-Datum</t>
  </si>
  <si>
    <t xml:space="preserve">n/a</t>
  </si>
  <si>
    <t xml:space="preserve">SHA-256 der Quelldatei</t>
  </si>
  <si>
    <t xml:space="preserve">db3a1417d7e904315a0886f450129832e19c57324660358c830357349f552332</t>
  </si>
  <si>
    <t xml:space="preserve">Abgerufen am (UTC)</t>
  </si>
  <si>
    <t xml:space="preserve">2026-08-17T14:38:17.443549+00:00</t>
  </si>
  <si>
    <t xml:space="preserve">Katalog</t>
  </si>
  <si>
    <t xml:space="preserve">Katalog-UUID</t>
  </si>
  <si>
    <t xml:space="preserve">bd38cb1f-b4cd-4756-b181-a5568e1d9f45</t>
  </si>
  <si>
    <t xml:space="preserve">Katalog-Version</t>
  </si>
  <si>
    <t xml:space="preserve">2026-07-29T06:42:34.226285+00:00</t>
  </si>
  <si>
    <t xml:space="preserve">Zuletzt geaendert (BSI)</t>
  </si>
  <si>
    <t xml:space="preserve">2026-07-29T06:42:42.582326619Z</t>
  </si>
  <si>
    <t xml:space="preserve">OSCAL-Version</t>
  </si>
  <si>
    <t xml:space="preserve">1.1.3</t>
  </si>
  <si>
    <t xml:space="preserve">Anzahl Anforderungen</t>
  </si>
  <si>
    <t xml:space="preserve">Erzeugung</t>
  </si>
  <si>
    <t xml:space="preserve">Werkzeug-Version</t>
  </si>
  <si>
    <t xml:space="preserve">0.1.0</t>
  </si>
  <si>
    <t xml:space="preserve">Einstufung gemäß Vorgaben der Sicherheitskonzeption</t>
  </si>
  <si>
    <t xml:space="preserve">Dokumententitel</t>
  </si>
  <si>
    <t xml:space="preserve">Praktiken und Grundschutz++-Checks</t>
  </si>
  <si>
    <t xml:space="preserve">Layout</t>
  </si>
  <si>
    <t xml:space="preserve">BSI-Vorlage A.3.4, Kompendium-Edition 2023</t>
  </si>
  <si>
    <t xml:space="preserve">Grundschutz++ (OSCAL), Anwenderkatalog des BSI</t>
  </si>
  <si>
    <t xml:space="preserve">Git-Commit</t>
  </si>
  <si>
    <t xml:space="preserve">Erzeugt am (UTC)</t>
  </si>
  <si>
    <t xml:space="preserve">Werkzeug</t>
  </si>
  <si>
    <t xml:space="preserve">gspp-tool 0.1.0</t>
  </si>
  <si>
    <t xml:space="preserve">Anforderungszeilen</t>
  </si>
  <si>
    <t xml:space="preserve">Teilanforderungen (bewertbar)</t>
  </si>
  <si>
    <t xml:space="preserve">Zuordnung zu IT-Grundschutz 2023</t>
  </si>
  <si>
    <t xml:space="preserve">Offizielles BSI-Mapping (control_layer/Mappings/IT-GS2023-zu-GSpp)</t>
  </si>
  <si>
    <t xml:space="preserve">Abdeckung</t>
  </si>
  <si>
    <t xml:space="preserve">Unvollstaendig, laut BSI noch in Pilotierung - nur ca. 30% der GS++-Anforderungen haben aktuell eine Zuordnung. Leere Spalten 'Alte Anforderung' bedeuten 'noch nicht kartiert', nicht 'keine Beziehung'.</t>
  </si>
  <si>
    <t xml:space="preserve">Spalten ein-/ausblenden</t>
  </si>
  <si>
    <t xml:space="preserve">Bedienung</t>
  </si>
  <si>
    <t xml:space="preserve">Alle 25 Spalten sind beim Öffnen sichtbar. Über den Spaltenköpfen stehen kleine +/− Schaltflächen, mit denen sich zwei Blöcke unabhängig einklappen lassen: 'Zuordnung IT-GS 2023' (Spalten N–O) und 'Guidance' (Spalten P–Y: Erläuterung, Zielobjekte, Dokumentation, Ergebnis, Gefährdungen, Aufwand, vier Schutzziele). Keine Makros nötig.</t>
  </si>
  <si>
    <t xml:space="preserve">Schwerpunkt (Schutzziel)</t>
  </si>
  <si>
    <t xml:space="preserve">Nennt nur Schutzziele mit Wert 2 – also jene, die laut BSI im Zentrum der Anforderung stehen. Leer heißt: kein Schutzziel besonders betont (gilt für rund die Hälfte der Anforderungen). Die Einzelwerte 0/1/2 stehen im Guidance-Block.</t>
  </si>
  <si>
    <t xml:space="preserve">Offene fachliche Annahme</t>
  </si>
  <si>
    <t xml:space="preserve">Spalte 'Schutz'</t>
  </si>
  <si>
    <t xml:space="preserve">GS++ kennt zwei Schutzbedarfsstufen, die 2023er-Vorlage drei Anforderungskategorien. Abgebildet wird: erhöht -&gt; erhöhter Schutzbedarf; normal-SdT + MUSS -&gt; Basis; normal-SdT + SOLLTE/KANN -&gt; Standard. Diese Zuordnung ist nicht vom BSI dokumentiert und fachlich zu bestätigen.</t>
  </si>
  <si>
    <t xml:space="preserve">ARCH</t>
  </si>
  <si>
    <t xml:space="preserve">Architektur</t>
  </si>
  <si>
    <t xml:space="preserve">Zielobjekte</t>
  </si>
  <si>
    <t xml:space="preserve">Zuständig</t>
  </si>
  <si>
    <t xml:space="preserve">Anforderung</t>
  </si>
  <si>
    <t xml:space="preserve">Beschreibung</t>
  </si>
  <si>
    <t xml:space="preserve">Teilanforderung</t>
  </si>
  <si>
    <t xml:space="preserve">Schutz</t>
  </si>
  <si>
    <t xml:space="preserve">Anforderungstext</t>
  </si>
  <si>
    <t xml:space="preserve">Umsetzung</t>
  </si>
  <si>
    <t xml:space="preserve">Nachweis</t>
  </si>
  <si>
    <t xml:space="preserve">Status</t>
  </si>
  <si>
    <t xml:space="preserve">Maßnahme</t>
  </si>
  <si>
    <t xml:space="preserve">Befragte Person</t>
  </si>
  <si>
    <t xml:space="preserve">Prüfende Person</t>
  </si>
  <si>
    <t xml:space="preserve">Datum der Prüfung</t>
  </si>
  <si>
    <t xml:space="preserve">Alte Anforderung (IT-GS 2023)</t>
  </si>
  <si>
    <t xml:space="preserve">Beziehung (IT-GS 2023)</t>
  </si>
  <si>
    <t xml:space="preserve">Erläuterung</t>
  </si>
  <si>
    <t xml:space="preserve">Zielobjekt-Kategorien</t>
  </si>
  <si>
    <t xml:space="preserve">Dokumentation</t>
  </si>
  <si>
    <t xml:space="preserve">Ergebnis</t>
  </si>
  <si>
    <t xml:space="preserve">Gefährdungen</t>
  </si>
  <si>
    <t xml:space="preserve">Aufwand</t>
  </si>
  <si>
    <t xml:space="preserve">Vertraulichkeit</t>
  </si>
  <si>
    <t xml:space="preserve">Integrität</t>
  </si>
  <si>
    <t xml:space="preserve">Verfügbarkeit</t>
  </si>
  <si>
    <t xml:space="preserve">Authentizität</t>
  </si>
  <si>
    <t xml:space="preserve">ARCH.1.1</t>
  </si>
  <si>
    <t xml:space="preserve">Verfahren und Regelungen</t>
  </si>
  <si>
    <t xml:space="preserve">Basis-Anforderungen</t>
  </si>
  <si>
    <t xml:space="preserve">Gesamt:</t>
  </si>
  <si>
    <t xml:space="preserve">APP.3.6.A1-UA.2; INF.14.A13-UA.2; NET.1.1.A1-UA.1; NET.1.1.A13-UA.1; NET.1.1.A16-UA.1; NET.1.1.A17-UA.1; NET.1.1.A2-UA.4; NET.1.1.A2-UA.5; NET.1.1.A25-UA.1; NET.1.1.A3-UA.1; NET.1.1.A3-UA.3; NET.1.2.A1-UA.1; NET.1.2.A11-UA.1; NET.1.2.A11-UA.9; NET.1.2.A12-UA.1; NET.1.2.A14-UA.2; NET.1.2.A15-UA.1; OPS.1.1.1.A15-UA.3</t>
  </si>
  <si>
    <t xml:space="preserve">subset-of; subset-of; subset-of; subset-of; subset-of; subset-of; subset-of; subset-of; subset-of; subset-of; subset-of; subset-of; subset-of; subset-of; subset-of; subset-of; subset-of; subset-of</t>
  </si>
  <si>
    <t xml:space="preserve">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</si>
  <si>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 xml:space="preserve">Verfahren und Regelungen zur Architektur des Netzes und damit verbundener Infrastrukturen</t>
  </si>
  <si>
    <t xml:space="preserve">G 0.18 – Fehlplanung oder fehlende Anpassung; G 0.29 – Verstoß gegen Gesetze oder Regelungen; G 0.30 – Unberechtigte Nutzung oder Administration von Geräten und Systemen</t>
  </si>
  <si>
    <t xml:space="preserve">ARCH.1.1.1</t>
  </si>
  <si>
    <t xml:space="preserve">Architektur MUSS die Verfahren und Regelungen dokumentieren.</t>
  </si>
  <si>
    <t xml:space="preserve">unbearbeitet</t>
  </si>
  <si>
    <t xml:space="preserve">Vertraulichkeit, Integrität</t>
  </si>
  <si>
    <t xml:space="preserve">CON.8.A12-UA.4; INF.12.A10-UA.1; INF.12.A10-UA.2; INF.12.A10-UA.6; INF.12.A10-UA.8; INF.13.A3-UA.4; ISMS.1.A12-UA.6; NET.1.1.A2-UA.1; NET.1.1.A2-UA.3</t>
  </si>
  <si>
    <t xml:space="preserve">subset-of; subset-of; subset-of; subset-of; subset-of; subset-of; subset-of; equivalent-to; subset-of</t>
  </si>
  <si>
    <t xml:space="preserve">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</si>
  <si>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 xml:space="preserve">IT-Betriebskonzept</t>
  </si>
  <si>
    <t xml:space="preserve">die Verfahren und Regelungen</t>
  </si>
  <si>
    <t xml:space="preserve">G 0.18 – Fehlplanung oder fehlende Anpassung; G 0.37 – Abstreiten von Handlungen; G 0.29 – Verstoß gegen Gesetze oder Regelungen</t>
  </si>
  <si>
    <t xml:space="preserve">ARCH.1.1.2</t>
  </si>
  <si>
    <t xml:space="preserve">Architektur MUSS die mit den Verfahren und Regelungen verbundenen Aufgaben zuständigen Personen oder Rollen zuweisen.</t>
  </si>
  <si>
    <t xml:space="preserve">ISMS.1.A6-UA.7; OPS.1.1.1.A1-UA.1; OPS.1.1.1.A1-UA.2; OPS.1.1.1.A19-UA.3; ORP.1.A1-UA.1; ORP.1.A2-UA.1; ORP.1.A4-UA.1</t>
  </si>
  <si>
    <t xml:space="preserve">intersects-with; equivalent-to; intersects-with; subset-of; intersects-with; intersects-with; intersects-with</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</si>
  <si>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</si>
  <si>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Geschäftsverteilungsplan</t>
  </si>
  <si>
    <t xml:space="preserve">die mit den Verfahren und Regelungen verbundenen Aufgaben</t>
  </si>
  <si>
    <t xml:space="preserve">G 0.18 – Fehlplanung oder fehlende Anpassung; G 0.31 – Fehlerhafte Nutzung oder Administration von Geräten und Systemen</t>
  </si>
  <si>
    <t xml:space="preserve">ARCH.1.1.3</t>
  </si>
  <si>
    <t xml:space="preserve">Architektur MUSS die zuständigen Personen oder Rollen über die Verfahren und Regelungen informieren.</t>
  </si>
  <si>
    <t xml:space="preserve">ISMS.1.A8-UA.6; NET.1.2.A11-UA.2; NET.3.2.A1-UA.3; ORP.1.A1-UA.4; ORP.2.A1-UA.2</t>
  </si>
  <si>
    <t xml:space="preserve">subset-of; equivalent-to; subset-of; equivalent-to; equivalent-to</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</si>
  <si>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</si>
  <si>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 xml:space="preserve">die zuständigen Personen oder Rollen über die Verfahren und Regelungen</t>
  </si>
  <si>
    <t xml:space="preserve">G 0.18 – Fehlplanung oder fehlende Anpassung; G 0.29 – Verstoß gegen Gesetze oder Regelungen</t>
  </si>
  <si>
    <t xml:space="preserve">ARCH.1.2</t>
  </si>
  <si>
    <t xml:space="preserve">Regelmäßige Überprüfung</t>
  </si>
  <si>
    <t xml:space="preserve">INF.11.A4-UA.4; INF.13.A4-UA.4; ISMS.1.A11-UA.2; ISMS.1.A7-UA.3; NET.2.2.A1-UA.7; NET.3.2.A1-UA.5; ORP.1.A1-UA.3</t>
  </si>
  <si>
    <t xml:space="preserve">intersects-with; intersects-with; intersects-with; intersects-with; subset-of; subset-of; superset-of</t>
  </si>
  <si>
    <t xml:space="preserve">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</si>
  <si>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 xml:space="preserve">Übungs- und Prüfplan</t>
  </si>
  <si>
    <t xml:space="preserve">G 0.18 – Fehlplanung oder fehlende Anpassung; G 0.29 – Verstoß gegen Gesetze oder Regelungen; G 0.31 – Fehlerhafte Nutzung oder Administration von Geräten und Systemen</t>
  </si>
  <si>
    <t xml:space="preserve">Architektur MUSS die Verfahren und Regelungen regelmäßig und anlassbezogen auf Aktualität überprüfen.</t>
  </si>
  <si>
    <t xml:space="preserve">ARCH.2.1</t>
  </si>
  <si>
    <t xml:space="preserve">Netzsegmente</t>
  </si>
  <si>
    <t xml:space="preserve">Standard-Anforderungen</t>
  </si>
  <si>
    <t xml:space="preserve">APP.4.4.A7-UA.1; INF.14.A13-UA.1; INF.14.A6-UA.1; NET.1.1.A19-UA.1; NET.1.1.A22-UA.1; NET.1.1.A23-UA.1; NET.1.1.A23-UA.3; NET.1.1.A31-UA.1; NET.1.1.A33-UA.1; NET.1.1.A34-UA.1; NET.1.1.A4-UA.1; NET.1.1.A5-UA.1; NET.1.1.A5-UA.4; NET.1.1.A6-UA.1; NET.1.2.A33-UA.1; OPS.1.1.1.A15-UA.3; OPS.1.1.2.A16-UA.2; SYS.1.5.A9-UA.3; SYS.1.5.A9-UA.4; SYS.1.5.A9-UA.5; SYS.2.5.A2-UA.3; SYS.2.6.A4-UA.2; SYS.2.6.A4-UA.3</t>
  </si>
  <si>
    <t xml:space="preserve">subset-of; subset-of; subset-of; subset-of; intersects-with; equivalent-to; subset-of; subset-of; subset-of; subset-of; superset-of; subset-of; subset-of; subset-of; superset-of; subset-of; subset-of; equivalent-to; subset-of; subset-of; subset-of; subset-of; subset-of</t>
  </si>
  <si>
    <t xml:space="preserve">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</si>
  <si>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 xml:space="preserve">Netze</t>
  </si>
  <si>
    <t xml:space="preserve">Netzplan</t>
  </si>
  <si>
    <t xml:space="preserve">eine Unterteilung des internen Netzes in Netzsegmente</t>
  </si>
  <si>
    <t xml:space="preserve">G 0.23 – Unbefugtes Eindringen in IT-Systeme; G 0.19 – Offenlegung schützenswerter Informationen; G 0.30 – Unberechtigte Nutzung oder Administration von Geräten und Systemen; G 0.47 – Schädliche Seiteneffekte IT-gestützter Angriffe</t>
  </si>
  <si>
    <t xml:space="preserve">Architektur für Netze SOLLTE eine Unterteilung des internen Netzes in Netzsegmente unter Berücksichtigung der Anforderungen der Institution und des Schutzbedarfes verankern.</t>
  </si>
  <si>
    <t xml:space="preserve">ARCH.2.2</t>
  </si>
  <si>
    <t xml:space="preserve">Einschränkung von Verbindungen zwischen Segmenten</t>
  </si>
  <si>
    <t xml:space="preserve">APP.4.4.A18-UA.3; INF.10.A6-UA.1; INF.10.A6-UA.3; INF.10.A6-UA.6; INF.14.A11-UA.3; INF.14.A11-UA.5; INF.14.A13-UA.2; NET.1.1.A10-UA.2; NET.1.1.A22-UA.6; NET.1.1.A23-UA.2; NET.1.1.A24-UA.1; NET.1.1.A4-UA.4; NET.1.1.A5-UA.4; NET.1.2.A11-UA.8; NET.3.2.A2-UA.3; NET.3.4.A14-UA.2; NET.3.4.A9-UA.2; OPS.1.1.7.A17-UA.1; SYS.1.5.A15-UA.2; SYS.1.5.A9-UA.4; SYS.4.1.A11-UA.2; SYS.4.4.A5-UA.4</t>
  </si>
  <si>
    <t xml:space="preserve">subset-of; subset-of; subset-of; subset-of; subset-of; subset-of; subset-of; subset-of; superset-of; intersects-with; subset-of; intersects-with; subset-of; superset-of; equivalent-to; intersects-with; subset-of; intersects-with; subset-of; equivalent-to; intersects-with; subset-of</t>
  </si>
  <si>
    <t xml:space="preserve">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</si>
  <si>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 xml:space="preserve">Verbindungen zwischen Netzsegmenten</t>
  </si>
  <si>
    <t xml:space="preserve">G 0.23 – Unbefugtes Eindringen in IT-Systeme; G 0.47 – Schädliche Seiteneffekte IT-gestützter Angriffe; G 0.40 – Verhinderung von Diensten (Denial of Service)</t>
  </si>
  <si>
    <t xml:space="preserve">Architektur für Netze SOLLTE Verbindungen zwischen Netzsegmenten anhand von Kriterien einschränken.</t>
  </si>
  <si>
    <t xml:space="preserve">ARCH.2.2.1</t>
  </si>
  <si>
    <t xml:space="preserve">Architektur für Netze SOLLTE Verbindungen über externe Netzanschlüsse einschränken.</t>
  </si>
  <si>
    <t xml:space="preserve">Vertraulichkeit, Verfügbarkeit</t>
  </si>
  <si>
    <t xml:space="preserve">CON.7.A7-UA.1; IND.2.1.A16-UA.1; INF.10.A6-UA.1; INF.10.A6-UA.3; INF.10.A6-UA.4; INF.10.A6-UA.5; INF.10.A6-UA.6; INF.14.A11-UA.1; INF.14.A11-UA.3; INF.14.A28-UA.2; NET.1.1.A18-UA.1; NET.3.1.A18-UA.2; NET.3.2.A19-UA.1; NET.3.2.A2-UA.3; NET.3.3.A11-UA.1; NET.3.4.A14-UA.2; NET.3.4.A9-UA.2; NET.4.2.A4-UA.2; OPS.1.2.5.A8-UA.4; SYS.1.5.A9-UA.4; SYS.3.2.1.A28-UA.2; SYS.4.1.A11-UA.2; SYS.4.4.A5-UA.4</t>
  </si>
  <si>
    <t xml:space="preserve">subset-of; subset-of; subset-of; subset-of; intersects-with; subset-of; subset-of; subset-of; subset-of; subset-of; superset-of; subset-of; subset-of; subset-of; subset-of; superset-of; subset-of; subset-of; subset-of; superset-of; subset-of; intersects-with; subset-of</t>
  </si>
  <si>
    <t xml:space="preserve">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</si>
  <si>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 xml:space="preserve">Verbindungen über externe Netzanschlüsse</t>
  </si>
  <si>
    <t xml:space="preserve">G 0.14 – Ausspähen von Informationen (Spionage); G 0.23 – Unbefugtes Eindringen in IT-Systeme; G 0.39 – Schadprogramme; G 0.40 – Verhinderung von Diensten (Denial of Service); G 0.9 – Ausfall oder Störung von Kommunikationsnetzen; G 0.47 – Schädliche Seiteneffekte IT-gestützter Angriffe</t>
  </si>
  <si>
    <t xml:space="preserve">ARCH.2.2.2</t>
  </si>
  <si>
    <t xml:space="preserve">Architektur für Netze SOLLTE Verbindungen zwischen Gastnetz und internem Netz einschränken.</t>
  </si>
  <si>
    <t xml:space="preserve">INF.10.A1-UA.4; INF.10.A6-UA.1; INF.10.A6-UA.3; INF.10.A6-UA.4; INF.10.A6-UA.6; NET.1.1.A22-UA.6; NET.1.1.A5-UA.4; NET.3.2.A2-UA.2; NET.3.4.A14-UA.2; NET.3.4.A9-UA.2</t>
  </si>
  <si>
    <t xml:space="preserve">subset-of; equivalent-to; equal-to; intersects-with; subset-of; superset-of; superset-of; intersects-with; intersects-with; intersects-with</t>
  </si>
  <si>
    <t xml:space="preserve">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</si>
  <si>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 xml:space="preserve">Verbindungen zwischen Gastnetz und internem Netz</t>
  </si>
  <si>
    <t xml:space="preserve">G 0.23 – Unbefugtes Eindringen in IT-Systeme</t>
  </si>
  <si>
    <t xml:space="preserve">ARCH.2.2.3</t>
  </si>
  <si>
    <t xml:space="preserve">Architektur für Netze SOLLTE Verbindungen zwischen Hostsystemen und Clients einschränken.</t>
  </si>
  <si>
    <t xml:space="preserve">NET.1.1.A19-UA.1; NET.1.1.A5-UA.1; NET.1.1.A5-UA.2; NET.1.1.A5-UA.3; NET.3.4.A9-UA.2; SYS.1.5.A9-UA.4; SYS.2.1.A23-UA.1; SYS.2.5.A2-UA.3</t>
  </si>
  <si>
    <t xml:space="preserve">equivalent-to; equivalent-to; equivalent-to; intersects-with; subset-of; equivalent-to; intersects-with; equivalent-to</t>
  </si>
  <si>
    <t xml:space="preserve">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</si>
  <si>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 xml:space="preserve">Verbindungen zwischen Hostsystemen und Clients</t>
  </si>
  <si>
    <t xml:space="preserve">G 0.23 – Unbefugtes Eindringen in IT-Systeme; G 0.9 – Ausfall oder Störung von Kommunikationsnetzen; G 0.40 – Verhinderung von Diensten (Denial of Service)</t>
  </si>
  <si>
    <t xml:space="preserve">ARCH.2.2.4</t>
  </si>
  <si>
    <t xml:space="preserve">Anforderungen bei erhöhtem Schutzbedarf</t>
  </si>
  <si>
    <t xml:space="preserve">Architektur für Netze KANN Verbindungen zwischen Daten- und VoIP-Systemen einschränken.</t>
  </si>
  <si>
    <t xml:space="preserve">INF.10.A6-UA.6; NET.4.2.A1-UA.5; NET.4.2.A16-UA.1; NET.4.2.A16-UA.2; NET.4.2.A16-UA.3; NET.4.2.A4-UA.2; NET.4.2.A4-UA.3</t>
  </si>
  <si>
    <t xml:space="preserve">intersects-with; intersects-with; equal-to; intersects-with; equivalent-to; intersects-with; subset-of</t>
  </si>
  <si>
    <t xml:space="preserve">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</si>
  <si>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 xml:space="preserve">Verbindungen zwischen Daten- und VoIP-Systemen</t>
  </si>
  <si>
    <t xml:space="preserve">ARCH.2.2.5</t>
  </si>
  <si>
    <t xml:space="preserve">Architektur für Netze SOLLTE Verbindungen zwischen OT-Systemen und anderen IT-Systemen einschränken.</t>
  </si>
  <si>
    <t xml:space="preserve">IND.1.A8-UA.1; IND.2.4.A1-UA.5; IND.3.2.A12-UA.1; IND.3.2.A5-UA.1; IND.3.2.A7-UA.1; IND.3.2.A7-UA.2; IND.3.2.A7-UA.4; IND.3.2.A8-UA.5; INF.14.A18-UA.1</t>
  </si>
  <si>
    <t xml:space="preserve">subset-of; subset-of; intersects-with; intersects-with; subset-of; subset-of; subset-of; intersects-with; intersects-with</t>
  </si>
  <si>
    <t xml:space="preserve">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</si>
  <si>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 xml:space="preserve">Verbindungen zwischen OT-Systemen und anderen IT-Systemen</t>
  </si>
  <si>
    <t xml:space="preserve">ARCH.2.2.6</t>
  </si>
  <si>
    <t xml:space="preserve">Architektur für Netze SOLLTE eine demilitarisierte Zone installieren.</t>
  </si>
  <si>
    <t xml:space="preserve">APP.3.6.A16-UA.2; IND.1.A16-UA.2; NET.1.1.A10-UA.1; NET.1.1.A10-UA.2; NET.1.1.A10-UA.3; NET.1.1.A4-UA.1</t>
  </si>
  <si>
    <t xml:space="preserve">subset-of; intersects-with; subset-of; subset-of; subset-of; equal-to</t>
  </si>
  <si>
    <t xml:space="preserve">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</si>
  <si>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 xml:space="preserve">eine demilitarisierte Zone</t>
  </si>
  <si>
    <t xml:space="preserve">G 0.23 – Unbefugtes Eindringen in IT-Systeme; G 0.47 – Schädliche Seiteneffekte IT-gestützter Angriffe</t>
  </si>
  <si>
    <t xml:space="preserve">ARCH.2.2.7</t>
  </si>
  <si>
    <t xml:space="preserve">Architektur für Netze SOLLTE ein oder mehrere Management-Netze installieren.</t>
  </si>
  <si>
    <t xml:space="preserve">NET.1.1.A21-UA.5; NET.1.2.A28-UA.2; NET.1.2.A29-UA.1; NET.1.2.A33-UA.1; NET.3.1.A13-UA.1; NET.3.1.A4-UA.4; NET.3.1.A4-UA.5; NET.3.2.A18-UA.1; NET.3.2.A18-UA.3; OPS.1.1.2.A16-UA.2; SYS.1.5.A11-UA.1; SYS.1.5.A5-UA.1; SYS.1.5.A9-UA.3; SYS.1.6.A5-UA.1</t>
  </si>
  <si>
    <t xml:space="preserve">equivalent-to; intersects-with; subset-of; subset-of; subset-of; subset-of; intersects-with; subset-of; intersects-with; equivalent-to; subset-of; intersects-with; superset-of; subset-of</t>
  </si>
  <si>
    <t xml:space="preserve">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</si>
  <si>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 xml:space="preserve">ein oder mehrere Management-Netze</t>
  </si>
  <si>
    <t xml:space="preserve">G 0.30 – Unberechtigte Nutzung oder Administration von Geräten und Systemen; G 0.23 – Unbefugtes Eindringen in IT-Systeme; G 0.32 – Missbrauch von Berechtigungen; G 0.19 – Offenlegung schützenswerter Informationen</t>
  </si>
  <si>
    <t xml:space="preserve">ARCH.2.2.8</t>
  </si>
  <si>
    <t xml:space="preserve">Architektur für Netze SOLLTE Verbindungen zwischen Testumgebungen und Betrieb einschränken.</t>
  </si>
  <si>
    <t xml:space="preserve">CON.8.A7-UA.8; NET.3.4.A9-UA.2; OPS.1.1.3.A9-UA.3; OPS.1.1.6.A13-UA.1; OPS.1.1.6.A13-UA.2; SYS.1.5.A9-UA.4; SYS.1.7.A33-UA.1</t>
  </si>
  <si>
    <t xml:space="preserve">subset-of; intersects-with; subset-of; subset-of; equal-to; superset-of; subset-of</t>
  </si>
  <si>
    <t xml:space="preserve">Entwicklungs-, Staging- und Testumgebungen haben oft geringere Sicherheitsvorkehrungen als Produktivsysteme. Eine saubere Trennung zwischen Test- und Produktivumgebung verhindert Übergriffe auf das Produktivsystem und vermeidet Ressourcenkonflikte.</t>
  </si>
  <si>
    <t xml:space="preserve">Verbindungen zwischen Testumgebungen und Betrieb</t>
  </si>
  <si>
    <t xml:space="preserve">G 0.23 – Unbefugtes Eindringen in IT-Systeme; G 0.26 – Fehlfunktion von Geräten oder Systemen; G 0.20 – Informationen oder Produkte aus unzuverlässiger Quelle; G 0.28 – Software-Schwachstellen oder -Fehler</t>
  </si>
  <si>
    <t xml:space="preserve">ARCH.2.2.9</t>
  </si>
  <si>
    <t xml:space="preserve">Architektur für Netze SOLLTE Verbindungen zwischen IPv4 und IPv6 einschränken.</t>
  </si>
  <si>
    <t xml:space="preserve">NET.1.1.A20-UA.1; NET.3.2.A17-UA.1; NET.3.4.A9-UA.2</t>
  </si>
  <si>
    <t xml:space="preserve">equivalent-to; subset-of; intersects-with</t>
  </si>
  <si>
    <t xml:space="preserve">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</si>
  <si>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 xml:space="preserve">Verbindungen zwischen IPv4 und IPv6</t>
  </si>
  <si>
    <t xml:space="preserve">G 0.23 – Unbefugtes Eindringen in IT-Systeme; G 0.18 – Fehlplanung oder fehlende Anpassung; G 0.39 – Schadprogramme</t>
  </si>
  <si>
    <t xml:space="preserve">ARCH.2.2.10</t>
  </si>
  <si>
    <t xml:space="preserve">Architektur für Netze SOLLTE Verbindungen zwischen Druckern und anderen Systemen einschränken.</t>
  </si>
  <si>
    <t xml:space="preserve">NET.3.4.A9-UA.2; SYS.1.5.A9-UA.4; SYS.4.1.A11-UA.1; SYS.4.1.A11-UA.3; SYS.4.1.A18-UA.3; SYS.4.1.A4-UA.1</t>
  </si>
  <si>
    <t xml:space="preserve">intersects-with; superset-of; subset-of; subset-of; subset-of; intersects-with</t>
  </si>
  <si>
    <t xml:space="preserve">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</si>
  <si>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 xml:space="preserve">Verbindungen zwischen Druckern und anderen Systemen</t>
  </si>
  <si>
    <t xml:space="preserve">G 0.30 – Unberechtigte Nutzung oder Administration von Geräten und Systemen; G 0.18 – Fehlplanung oder fehlende Anpassung; G 0.39 – Schadprogramme</t>
  </si>
  <si>
    <t xml:space="preserve">ARCH.2.2.11</t>
  </si>
  <si>
    <t xml:space="preserve">Architektur für Netze KANN den physischen Zugang auf diese einschränken.</t>
  </si>
  <si>
    <t xml:space="preserve">NET.1.1.A23-UA.4; NET.1.1.A31-UA.1; NET.1.1.A32-UA.1; NET.1.1.A4-UA.1; NET.1.2.A32-UA.1; OPS.1.1.7.A21-UA.1</t>
  </si>
  <si>
    <t xml:space="preserve">intersects-with; subset-of; subset-of; superset-of; subset-of; subset-of</t>
  </si>
  <si>
    <t xml:space="preserve">Obwohl sich eine virtuelle Vernetzung immer größerer Beliebtheit erfreut, können Konfigurationsfehler oder Sicherheitslücken dabei leichter zu einer Umgehung der Netztrennung führen, als wenn die Netze bereits auf physischer Ebene voneinander getrennt werden.</t>
  </si>
  <si>
    <t xml:space="preserve">den physischen Zugang auf diese</t>
  </si>
  <si>
    <t xml:space="preserve">G 0.18 – Fehlplanung oder fehlende Anpassung; G 0.29 – Verstoß gegen Gesetze oder Regelungen; G 0.23 – Unbefugtes Eindringen in IT-Systeme; G 0.9 – Ausfall oder Störung von Kommunikationsnetzen</t>
  </si>
  <si>
    <t xml:space="preserve">ARCH.2.2.12</t>
  </si>
  <si>
    <t xml:space="preserve">Architektur KANN Sprungserver installieren.</t>
  </si>
  <si>
    <t xml:space="preserve">IND.3.2.A7-UA.4; NET.1.2.A21-UA.3; OPS.1.1.7.A26-UA.1; OPS.1.2.5.A25-UA.3</t>
  </si>
  <si>
    <t xml:space="preserve">superset-of; intersects-with; equivalent-to; equivalent-to</t>
  </si>
  <si>
    <t xml:space="preserve">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</si>
  <si>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 xml:space="preserve">Sprungserver</t>
  </si>
  <si>
    <t xml:space="preserve">G 0.23 – Unbefugtes Eindringen in IT-Systeme; G 0.30 – Unberechtigte Nutzung oder Administration von Geräten und Systemen; G 0.15 – Abhören</t>
  </si>
  <si>
    <t xml:space="preserve">ARCH.2.3</t>
  </si>
  <si>
    <t xml:space="preserve">Mikrosegmentierung</t>
  </si>
  <si>
    <t xml:space="preserve">NET.1.1.A4-UA.3; NET.3.4.A9-UA.2; SYS.1.5.A4-UA.2; SYS.1.5.A9-UA.4; SYS.1.6.A5-UA.3</t>
  </si>
  <si>
    <t xml:space="preserve">subset-of; equivalent-to; subset-of; subset-of; equivalent-to</t>
  </si>
  <si>
    <t xml:space="preserve">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</si>
  <si>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 xml:space="preserve">IT-Systeme</t>
  </si>
  <si>
    <t xml:space="preserve">Verbindungen zu allen anderen IT-Systemen</t>
  </si>
  <si>
    <t xml:space="preserve">Architektur für IT-Systeme KANN Verbindungen zu allen anderen IT-Systemen einschränken.</t>
  </si>
  <si>
    <t xml:space="preserve">ARCH.2.4</t>
  </si>
  <si>
    <t xml:space="preserve">Inventar der Netze</t>
  </si>
  <si>
    <t xml:space="preserve">IND.1.A4-UA.6; INF.12.A10-UA.1; NET.1.1.A16-UA.2; NET.1.1.A17-UA.2; NET.1.1.A2-UA.5; NET.1.1.A22-UA.4; NET.1.1.A25-UA.1; NET.1.2.A12-UA.6; NET.1.2.A13-UA.2</t>
  </si>
  <si>
    <t xml:space="preserve">subset-of; subset-of; superset-of; superset-of; equivalent-to; superset-of; intersects-with; subset-of; intersects-with</t>
  </si>
  <si>
    <t xml:space="preserve">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</si>
  <si>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 xml:space="preserve">ein Inventar der Netze</t>
  </si>
  <si>
    <t xml:space="preserve">G 0.18 – Fehlplanung oder fehlende Anpassung; G 0.23 – Unbefugtes Eindringen in IT-Systeme; G 0.30 – Unberechtigte Nutzung oder Administration von Geräten und Systemen</t>
  </si>
  <si>
    <t xml:space="preserve">Architektur SOLLTE ein Inventar der Netze einschließlich interner Segmente, externer Netzanschlüsse und deren Verwendungszweck dokumentieren.</t>
  </si>
  <si>
    <t xml:space="preserve">ARCH.2.5</t>
  </si>
  <si>
    <t xml:space="preserve">IND.1.A4-UA.6; NET.1.1.A13-UA.3; NET.1.1.A2-UA.2; NET.1.1.A2-UA.5; NET.1.1.A25-UA.1</t>
  </si>
  <si>
    <t xml:space="preserve">subset-of; intersects-with; equal-to; subset-of; superset-of</t>
  </si>
  <si>
    <t xml:space="preserve">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</si>
  <si>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 xml:space="preserve">einen Netzplan</t>
  </si>
  <si>
    <t xml:space="preserve">G 0.23 – Unbefugtes Eindringen in IT-Systeme; G 0.30 – Unberechtigte Nutzung oder Administration von Geräten und Systemen; G 0.18 – Fehlplanung oder fehlende Anpassung; G 0.37 – Abstreiten von Handlungen</t>
  </si>
  <si>
    <t xml:space="preserve">Architektur für Netze SOLLTE einen Netzplan dokumentieren.</t>
  </si>
  <si>
    <t xml:space="preserve">ARCH.2.6</t>
  </si>
  <si>
    <t xml:space="preserve">Topologieüberwachung</t>
  </si>
  <si>
    <t xml:space="preserve">NET.1.1.A1-UA.7; NET.1.1.A15-UA.3; NET.1.2.A11-UA.4; NET.2.1.A13-UA.2</t>
  </si>
  <si>
    <t xml:space="preserve">superset-of; equivalent-to; superset-of; subset-of</t>
  </si>
  <si>
    <t xml:space="preserve">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</si>
  <si>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 xml:space="preserve">die Einhaltung der Netzarchitektur</t>
  </si>
  <si>
    <t xml:space="preserve">G 0.19 – Offenlegung schützenswerter Informationen; G 0.30 – Unberechtigte Nutzung oder Administration von Geräten und Systemen; G 0.22 – Manipulation von Informationen; G 0.41 – Sabotage</t>
  </si>
  <si>
    <t xml:space="preserve">Architektur für Netze SOLLTE die Einhaltung der Netzarchitektur regelmäßig überprüfen.</t>
  </si>
  <si>
    <t xml:space="preserve">ARCH.3.1</t>
  </si>
  <si>
    <t xml:space="preserve">Netzabdeckung</t>
  </si>
  <si>
    <t xml:space="preserve">NET.2.1.A13-UA.3; NET.2.1.A4-UA.2</t>
  </si>
  <si>
    <t xml:space="preserve">subset-of; superset-of</t>
  </si>
  <si>
    <t xml:space="preserve">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</si>
  <si>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 xml:space="preserve">WLANs</t>
  </si>
  <si>
    <t xml:space="preserve">die Netzabdeckung</t>
  </si>
  <si>
    <t xml:space="preserve">G 0.18 – Fehlplanung oder fehlende Anpassung; G 0.43 – Einspielen von Nachrichten</t>
  </si>
  <si>
    <t xml:space="preserve">Architektur für WLANs SOLLTE die Netzabdeckung testen.</t>
  </si>
  <si>
    <t xml:space="preserve">ARCH.3.2</t>
  </si>
  <si>
    <t xml:space="preserve">Einschränkung in Sicherheitsbereichen</t>
  </si>
  <si>
    <t xml:space="preserve">NET.2.1.A1-UA.3; NET.2.1.A4-UA.3</t>
  </si>
  <si>
    <t xml:space="preserve">equivalent-to; equivalent-to</t>
  </si>
  <si>
    <t xml:space="preserve">Hierzu gehören beispielsweise abhörsichere Räume oder Serverräume, von denen aus keine Daten ins Internet gesendet werden sollen. Dies kann z.B. durch die Reduktion der Sendeleistung in benachbarten Räumen oder die Isolierung der Räume erfolgen.</t>
  </si>
  <si>
    <t xml:space="preserve">in Sicherheitsbereichen die Ausstrahlung</t>
  </si>
  <si>
    <t xml:space="preserve">G 0.18 – Fehlplanung oder fehlende Anpassung; G 0.16 – Diebstahl von Geräten, Datenträgern oder Dokumenten</t>
  </si>
  <si>
    <t xml:space="preserve">Architektur für WLANs KANN in Sicherheitsbereichen die Ausstrahlung einschränken.</t>
  </si>
  <si>
    <t xml:space="preserve">ARCH.3.3</t>
  </si>
  <si>
    <t xml:space="preserve">SSIDs</t>
  </si>
  <si>
    <t xml:space="preserve">NET.2.1.A5-UA.2</t>
  </si>
  <si>
    <t xml:space="preserve">equivalent-to</t>
  </si>
  <si>
    <t xml:space="preserve">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</si>
  <si>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 xml:space="preserve">institutionsspezifische SSIDs</t>
  </si>
  <si>
    <t xml:space="preserve">G 0.18 – Fehlplanung oder fehlende Anpassung; G 0.23 – Unbefugtes Eindringen in IT-Systeme</t>
  </si>
  <si>
    <t xml:space="preserve">Architektur für WLANs SOLLTE institutionsspezifische SSIDs aktivieren.</t>
  </si>
  <si>
    <t xml:space="preserve">ARCH.3.4</t>
  </si>
  <si>
    <t xml:space="preserve">Verschlüsselte Netzanbindung</t>
  </si>
  <si>
    <t xml:space="preserve">INF.10.A6-UA.4; NET.1.1.A34-UA.3; NET.2.1.A17-UA.1; NET.2.1.A3-UA.1; NET.2.2.A3-UA.3; SYS.2.1.A18-UA.1</t>
  </si>
  <si>
    <t xml:space="preserve">superset-of; superset-of; subset-of; equivalent-to; superset-of; superset-of</t>
  </si>
  <si>
    <t xml:space="preserve">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</si>
  <si>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 xml:space="preserve">Konfigurationshistorie</t>
  </si>
  <si>
    <t xml:space="preserve">die Netzanbindung</t>
  </si>
  <si>
    <t xml:space="preserve">G 0.23 – Unbefugtes Eindringen in IT-Systeme; G 0.15 – Abhören; G 0.43 – Einspielen von Nachrichten</t>
  </si>
  <si>
    <t xml:space="preserve">Architektur für WLANs SOLLTE die Netzanbindung nach einem anerkannten Standard verschlüsseln.</t>
  </si>
  <si>
    <t xml:space="preserve">ARCH.4.1</t>
  </si>
  <si>
    <t xml:space="preserve">Netzzugangskontrolle</t>
  </si>
  <si>
    <t xml:space="preserve">INF.10.A6-UA.2; INF.14.A11-UA.4; NET.3.4.A14-UA.2; NET.3.4.A23-UA.4; NET.3.4.A7-UA.2; NET.3.4.A9-UA.2</t>
  </si>
  <si>
    <t xml:space="preserve">equivalent-to; subset-of; intersects-with; intersects-with; equal-to; superset-of</t>
  </si>
  <si>
    <t xml:space="preserve">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</si>
  <si>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Interne Netzsegmente</t>
  </si>
  <si>
    <t xml:space="preserve">den Zugriff von IT-Systemen auf das Netzsegment</t>
  </si>
  <si>
    <t xml:space="preserve">Architektur für Interne Netzsegmente SOLLTE den Zugriff von IT-Systemen auf das Netzsegment im Einklang mit den zugehörigen Anforderungen des Identitäts- und Berechtigungsmanagements authentifizieren.</t>
  </si>
  <si>
    <t xml:space="preserve">ARCH.4.1.1</t>
  </si>
  <si>
    <t xml:space="preserve">Architektur für Interne Netzsegmente SOLLTE den Zugriff von IT-Systemen auf das Netzsegment anhand dynamischer Kriterien im Einklang mit den zugehörigen Anforderungen des Identitäts- und Berechtigungsmanagements authentifizieren.</t>
  </si>
  <si>
    <t xml:space="preserve">NET.3.1.A21-UA.1; NET.3.4.A19-UA.1; NET.3.4.A9-UA.3; NET.3.4.A9-UA.4</t>
  </si>
  <si>
    <t xml:space="preserve">subset-of; subset-of; subset-of; subset-of</t>
  </si>
  <si>
    <t xml:space="preserve">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</si>
  <si>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G 0.18 – Fehlplanung oder fehlende Anpassung; G 0.36 – Identitätsdiebstahl</t>
  </si>
  <si>
    <t xml:space="preserve">ARCH.4.1.2</t>
  </si>
  <si>
    <t xml:space="preserve">Architektur für Interne Netzsegmente KANN ein Quarantänenetz für nicht authentifizierte IT-Systeme installieren.</t>
  </si>
  <si>
    <t xml:space="preserve">NET.1.1.A4-UA.4</t>
  </si>
  <si>
    <t xml:space="preserve">superset-of</t>
  </si>
  <si>
    <t xml:space="preserve">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</si>
  <si>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 xml:space="preserve">ein Quarantänenetz</t>
  </si>
  <si>
    <t xml:space="preserve">G 0.18 – Fehlplanung oder fehlende Anpassung</t>
  </si>
  <si>
    <t xml:space="preserve">ARCH.4.2</t>
  </si>
  <si>
    <t xml:space="preserve">Autorisiertes Routing</t>
  </si>
  <si>
    <t xml:space="preserve">APP.5.4.A13-UA.1; NET.3.1.A1-UA.2; NET.3.1.A10-UA.2</t>
  </si>
  <si>
    <t xml:space="preserve">subset-of; intersects-with; intersects-with</t>
  </si>
  <si>
    <t xml:space="preserve">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</si>
  <si>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 xml:space="preserve">Routing-Verbindungen</t>
  </si>
  <si>
    <t xml:space="preserve">G 0.18 – Fehlplanung oder fehlende Anpassung; G 0.22 – Manipulation von Informationen</t>
  </si>
  <si>
    <t xml:space="preserve">Architektur für Netze SOLLTE Routing-Verbindungen durch eine zuständige Person oder Rolle autorisieren.</t>
  </si>
  <si>
    <t xml:space="preserve">ARCH.4.3</t>
  </si>
  <si>
    <t xml:space="preserve">Authentifizierung von Routingprotokollen</t>
  </si>
  <si>
    <t xml:space="preserve">NET.3.1.A20-UA.1</t>
  </si>
  <si>
    <t xml:space="preserve">equal-to</t>
  </si>
  <si>
    <t xml:space="preserve">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</si>
  <si>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Änderungen an Routing-Tabellen</t>
  </si>
  <si>
    <t xml:space="preserve">Architektur für Netze SOLLTE Änderungen an Routing-Tabellen im Einklang mit den zugehörigen Anforderungen des Identitäts- und Berechtigungsmanagements authentifizieren.</t>
  </si>
  <si>
    <t xml:space="preserve">ARCH.5.1</t>
  </si>
  <si>
    <t xml:space="preserve">Einschränkung und Inspektion von Verbindungen</t>
  </si>
  <si>
    <t xml:space="preserve">IND.1.A8-UA.2; IND.2.4.A1-UA.5; INF.10.A6-UA.1; INF.10.A6-UA.6; INF.14.A11-UA.1; NET.1.1.A19-UA.2; NET.3.2.A2-UA.2; NET.3.2.A2-UA.3; NET.3.4.A9-UA.2; OPS.1.1.7.A17-UA.1; SYS.1.5.A4-UA.2</t>
  </si>
  <si>
    <t xml:space="preserve">subset-of; subset-of; subset-of; subset-of; subset-of; subset-of; subset-of; subset-of; subset-of; subset-of; subset-of</t>
  </si>
  <si>
    <t xml:space="preserve">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</si>
  <si>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 xml:space="preserve">Firewallregeln</t>
  </si>
  <si>
    <t xml:space="preserve">Verbindungen zwischen IT-Systemen</t>
  </si>
  <si>
    <t xml:space="preserve">G 0.23 – Unbefugtes Eindringen in IT-Systeme; G 0.14 – Ausspähen von Informationen (Spionage); G 0.30 – Unberechtigte Nutzung oder Administration von Geräten und Systemen</t>
  </si>
  <si>
    <t xml:space="preserve">Architektur für Netze SOLLTE Verbindungen zwischen IT-Systemen einschränken.</t>
  </si>
  <si>
    <t xml:space="preserve">ARCH.5.1.1</t>
  </si>
  <si>
    <t xml:space="preserve">Architektur für Netze SOLLTE anfällige Netzwerkprotokolle blockieren.</t>
  </si>
  <si>
    <t xml:space="preserve">NET.3.4.A24-UA.1; OPS.1.2.5.A8-UA.1; SYS.1.9.A17-UA.2; SYS.2.2.3.A9-UA.2</t>
  </si>
  <si>
    <t xml:space="preserve">equivalent-to; equal-to; equivalent-to; equivalent-to</t>
  </si>
  <si>
    <t xml:space="preserve">Anfällig sind Netzprotokolle, wenn sie veraltete oder gar keine Algorithmen zur Verschlüsselung oder Integritätsprüfung verwenden. Hierzu gehören Protokolle wie Telnet, SMB v1, SNMP v1/v2c. Für aktuelle Verschlüsselungsalgorithmen siehe BSI TR 02102.</t>
  </si>
  <si>
    <t xml:space="preserve">anfällige Netzwerkprotokolle</t>
  </si>
  <si>
    <t xml:space="preserve">ARCH.5.1.2</t>
  </si>
  <si>
    <t xml:space="preserve">Architektur für Netze SOLLTE bekannte netzbasierte Angriffsmethoden blockieren.</t>
  </si>
  <si>
    <t xml:space="preserve">NET.1.1.A8-UA.2; NET.3.1.A15-UA.1; NET.3.1.A16-UA.1; NET.3.1.A19-UA.1; NET.3.1.A5-UA.1; NET.3.2.A10-UA.1; NET.3.2.A19-UA.1</t>
  </si>
  <si>
    <t xml:space="preserve">subset-of; subset-of; subset-of; subset-of; subset-of; subset-of; subset-of</t>
  </si>
  <si>
    <t xml:space="preserve">Netzbasierte Angriffe verwenden Netzwerktechnologien (typischerweise auf OSI Layer 2-3), z.B. Fragmentierungsangriffe. Beispiele für mögliche Maßnahmen sind DHCP snooping, ARP/Dynamic ARP Inspection, IP-source guard, BPDU guard, root guard, port-security (sticky MAC).</t>
  </si>
  <si>
    <t xml:space="preserve">bekannte netzbasierte Angriffsmethoden</t>
  </si>
  <si>
    <t xml:space="preserve">G 0.23 – Unbefugtes Eindringen in IT-Systeme; G 0.40 – Verhinderung von Diensten (Denial of Service)</t>
  </si>
  <si>
    <t xml:space="preserve">ARCH.5.1.3</t>
  </si>
  <si>
    <t xml:space="preserve">Architektur für Netze SOLLTE bekannte TCP-basierte Angriffsmethoden blockieren.</t>
  </si>
  <si>
    <t xml:space="preserve">APP.3.2.A18-UA.2; NET.3.1.A17-UA.1; NET.3.2.A19-UA.1; NET.3.2.A19-UA.3; NET.3.2.A3-UA.2; OPS.1.2.5.A20-UA.2</t>
  </si>
  <si>
    <t xml:space="preserve">superset-of; subset-of; subset-of; subset-of; subset-of; subset-of</t>
  </si>
  <si>
    <t xml:space="preserve">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</si>
  <si>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 xml:space="preserve">bekannte TCP-basierte Angriffsmethoden</t>
  </si>
  <si>
    <t xml:space="preserve">ARCH.5.1.4</t>
  </si>
  <si>
    <t xml:space="preserve">Architektur für Netze SOLLTE bekannte UDP-basierte Angriffsmethoden blockieren.</t>
  </si>
  <si>
    <t xml:space="preserve">APP.3.2.A18-UA.2; NET.1.1.A8-UA.2; NET.3.1.A17-UA.1; NET.3.2.A19-UA.1; NET.3.2.A19-UA.2; NET.3.2.A3-UA.4</t>
  </si>
  <si>
    <t xml:space="preserve">intersects-with; superset-of; intersects-with; subset-of; subset-of; equivalent-to</t>
  </si>
  <si>
    <t xml:space="preserve">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</si>
  <si>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 xml:space="preserve">bekannte UDP-basierte Angriffsmethoden</t>
  </si>
  <si>
    <t xml:space="preserve">ARCH.5.1.5</t>
  </si>
  <si>
    <t xml:space="preserve">Architektur für Externe Netzanschlüsse SOLLTE Split Tunneling blockieren.</t>
  </si>
  <si>
    <t xml:space="preserve">INF.10.A6-UA.6; NET.3.3.A10-UA.1; NET.3.3.A11-UA.1</t>
  </si>
  <si>
    <t xml:space="preserve">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</si>
  <si>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 xml:space="preserve">Externe Netzanschlüsse</t>
  </si>
  <si>
    <t xml:space="preserve">Split Tunneling</t>
  </si>
  <si>
    <t xml:space="preserve">G 0.23 – Unbefugtes Eindringen in IT-Systeme; G 0.14 – Ausspähen von Informationen (Spionage)</t>
  </si>
  <si>
    <t xml:space="preserve">ARCH.5.1.6</t>
  </si>
  <si>
    <t xml:space="preserve">Architektur für Externe Netzanschlüsse SOLLTE Verbindungen zu Management-Schnittstellen blockieren.</t>
  </si>
  <si>
    <t xml:space="preserve">NET.1.1.A11-UA.6; NET.1.1.A21-UA.4; NET.1.2.A21-UA.1; NET.3.1.A13-UA.2; NET.3.1.A4-UA.1; NET.3.1.A4-UA.2; NET.3.1.A4-UA.5; NET.3.2.A18-UA.2; NET.3.2.A2-UA.2; NET.3.2.A6-UA.1; OPS.1.1.2.A16-UA.1; OPS.1.2.5.A25-UA.1; SYS.1.5.A5-UA.1</t>
  </si>
  <si>
    <t xml:space="preserve">superset-of; superset-of; subset-of; subset-of; superset-of; equivalent-to; superset-of; subset-of; superset-of; superset-of; intersects-with; subset-of; equivalent-to</t>
  </si>
  <si>
    <t xml:space="preserve">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</si>
  <si>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 xml:space="preserve">Verbindungen zu Management-Schnittstellen</t>
  </si>
  <si>
    <t xml:space="preserve">ARCH.5.1.7</t>
  </si>
  <si>
    <t xml:space="preserve">Architektur für Externe Netzanschlüsse SOLLTE dynamische Routingprotokolle blockieren.</t>
  </si>
  <si>
    <t xml:space="preserve">NET.3.1.A20-UA.3; NET.3.1.A20-UA.5; NET.3.2.A2-UA.2; NET.3.2.A2-UA.3; NET.3.2.A8-UA.1</t>
  </si>
  <si>
    <t xml:space="preserve">intersects-with; subset-of; intersects-with; intersects-with; subset-of</t>
  </si>
  <si>
    <t xml:space="preserve">Dynamische Routingprotokolle könnten versehentlich oder durch Angriffe unerwünschte Verbindungen ermöglichen. An den Übergangen zu externen Netzen sind statische Default-Routen deshalb die bessere Alternative.</t>
  </si>
  <si>
    <t xml:space="preserve">dynamische Routingprotokolle</t>
  </si>
  <si>
    <t xml:space="preserve">G 0.23 – Unbefugtes Eindringen in IT-Systeme; G 0.30 – Unberechtigte Nutzung oder Administration von Geräten und Systemen; G 0.43 – Einspielen von Nachrichten</t>
  </si>
  <si>
    <t xml:space="preserve">ARCH.5.1.8</t>
  </si>
  <si>
    <t xml:space="preserve">Architektur für Externe Netzanschlüsse SOLLTE den Inhalt unverschlüsselter und verschlüsselter Verbindungen basierend auf der Art des Inhalts einschränken.</t>
  </si>
  <si>
    <t xml:space="preserve">DER.1.A10-UA.1; NET.1.1.A12-UA.1; NET.3.2.A16-UA.3; NET.3.2.A16-UA.4; NET.3.2.A20-UA.1; NET.3.2.A21-UA.1; NET.3.2.A28-UA.2; NET.3.2.A28-UA.3; OPS.1.1.7.A17-UA.1; SYS.1.7.A6-UA.5; SYS.3.2.1.A28-UA.3</t>
  </si>
  <si>
    <t xml:space="preserve">subset-of; intersects-with; subset-of; subset-of; subset-of; subset-of; subset-of; intersects-with; intersects-with; intersects-with; intersects-with</t>
  </si>
  <si>
    <t xml:space="preserve">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</si>
  <si>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 xml:space="preserve">den Inhalt unverschlüsselter und verschlüsselter Verbindungen</t>
  </si>
  <si>
    <t xml:space="preserve">G 0.23 – Unbefugtes Eindringen in IT-Systeme; G 0.39 – Schadprogramme; G 0.30 – Unberechtigte Nutzung oder Administration von Geräten und Systemen</t>
  </si>
  <si>
    <t xml:space="preserve">ARCH.5.1.9</t>
  </si>
  <si>
    <t xml:space="preserve">Architektur für Externe Netzanschlüsse SOLLTE unerwünschte Inhalte in DNS-Verbindungen einschränken.</t>
  </si>
  <si>
    <t xml:space="preserve">APP.1.2.A11-UA.3; NET.3.2.A2-UA.3; NET.3.2.A2-UA.5; NET.3.2.A28-UA.3</t>
  </si>
  <si>
    <t xml:space="preserve">intersects-with; intersects-with; intersects-with; intersects-with</t>
  </si>
  <si>
    <t xml:space="preserve">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</si>
  <si>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 xml:space="preserve">unerwünschte Inhalte in DNS-Verbindungen</t>
  </si>
  <si>
    <t xml:space="preserve">G 0.23 – Unbefugtes Eindringen in IT-Systeme; G 0.14 – Ausspähen von Informationen (Spionage); G 0.39 – Schadprogramme</t>
  </si>
  <si>
    <t xml:space="preserve">ARCH.5.1.10</t>
  </si>
  <si>
    <t xml:space="preserve">Architektur für Externe Netzanschlüsse SOLLTE den Zugriff auf Webinhalte anhand von Kriterien einschränken.</t>
  </si>
  <si>
    <t xml:space="preserve">APP.1.2.A7-UA.1; NET.3.2.A28-UA.1; NET.3.2.A28-UA.3; SYS.3.2.1.A28-UA.1; SYS.3.2.1.A28-UA.3</t>
  </si>
  <si>
    <t xml:space="preserve">intersects-with; subset-of; subset-of; subset-of; subset-of</t>
  </si>
  <si>
    <t xml:space="preserve">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</si>
  <si>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 xml:space="preserve">den Zugriff auf Webinhalte</t>
  </si>
  <si>
    <t xml:space="preserve">G 0.39 – Schadprogramme; G 0.28 – Software-Schwachstellen oder -Fehler; G 0.14 – Ausspähen von Informationen (Spionage); G 0.23 – Unbefugtes Eindringen in IT-Systeme</t>
  </si>
  <si>
    <t xml:space="preserve">ARCH.5.1.10.1</t>
  </si>
  <si>
    <t xml:space="preserve">Architektur für Externe Netzanschlüsse SOLLTE bekannte schädliche Inhalte einschränken.</t>
  </si>
  <si>
    <t xml:space="preserve">APP.1.2.A11-UA.1; APP.1.2.A11-UA.3; IND.2.1.A16-UA.1; NET.3.2.A28-UA.3; NET.3.4.A15-UA.3</t>
  </si>
  <si>
    <t xml:space="preserve">subset-of; equal-to; superset-of; subset-of; intersects-with</t>
  </si>
  <si>
    <t xml:space="preserve">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</si>
  <si>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 xml:space="preserve">bekannte schädliche Inhalte</t>
  </si>
  <si>
    <t xml:space="preserve">ARCH.5.1.10.2</t>
  </si>
  <si>
    <t xml:space="preserve">Architektur für Externe Netzanschlüsse SOLLTE bekannte illegale Inhalte einschränken.</t>
  </si>
  <si>
    <t xml:space="preserve">APP.1.2.A11-UA.1; APP.1.2.A11-UA.3; NET.3.2.A28-UA.3</t>
  </si>
  <si>
    <t xml:space="preserve">intersects-with; superset-of; intersects-with</t>
  </si>
  <si>
    <t xml:space="preserve">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</si>
  <si>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 xml:space="preserve">bekannte illegale Inhalte</t>
  </si>
  <si>
    <t xml:space="preserve">ARCH.5.1.10.3</t>
  </si>
  <si>
    <t xml:space="preserve">Architektur für Externe Netzanschlüsse SOLLTE Speicherdienste einschränken.</t>
  </si>
  <si>
    <t xml:space="preserve">NET.3.4.A14-UA.2; SYS.2.1.A24-UA.1</t>
  </si>
  <si>
    <t xml:space="preserve">intersects-with; superset-of</t>
  </si>
  <si>
    <t xml:space="preserve">Ausnahmen können sinnvoll sein, wenn es nach den Geschäftsprozessen erforderlich ist, die Daten öffentlich zur Verfügung zu stellen oder diese mit anderen Institutionen über den Speicherdienst auszutauschen.</t>
  </si>
  <si>
    <t xml:space="preserve">Speicherdienste</t>
  </si>
  <si>
    <t xml:space="preserve">ARCH.5.1.11</t>
  </si>
  <si>
    <t xml:space="preserve">Architektur für Externe Netzanschlüsse SOLLTE eine P-A-P-Struktur für eingehende und ausgehende Verbindungen installieren.</t>
  </si>
  <si>
    <t xml:space="preserve">APP.3.6.A16-UA.1; NET.1.1.A18-UA.1; NET.1.1.A18-UA.10; NET.1.1.A18-UA.2; NET.1.1.A4-UA.7; NET.3.2.A16-UA.1; NET.3.2.A16-UA.3; NET.3.2.A16-UA.4</t>
  </si>
  <si>
    <t xml:space="preserve">subset-of; superset-of; subset-of; subset-of; superset-of; equal-to; subset-of; subset-of</t>
  </si>
  <si>
    <t xml:space="preserve">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</si>
  <si>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 xml:space="preserve">eine P-A-P-Struktur</t>
  </si>
  <si>
    <t xml:space="preserve">G 0.19 – Offenlegung schützenswerter Informationen; G 0.30 – Unberechtigte Nutzung oder Administration von Geräten und Systemen; G 0.40 – Verhinderung von Diensten (Denial of Service)</t>
  </si>
  <si>
    <t xml:space="preserve">ARCH.5.1.12</t>
  </si>
  <si>
    <t xml:space="preserve">Architektur für Netze KANN Verbindungen zwischen IT-Systemen anhand dynamischer Kriterien einschränken.</t>
  </si>
  <si>
    <t xml:space="preserve">NET.3.2.A2-UA.4; NET.3.4.A9-UA.2</t>
  </si>
  <si>
    <t xml:space="preserve">intersects-with; subset-of</t>
  </si>
  <si>
    <t xml:space="preserve">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</si>
  <si>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 xml:space="preserve">G 0.19 – Offenlegung schützenswerter Informationen; G 0.30 – Unberechtigte Nutzung oder Administration von Geräten und Systemen</t>
  </si>
  <si>
    <t xml:space="preserve">ARCH.5.1.13</t>
  </si>
  <si>
    <t xml:space="preserve">Architektur für Externe Netzanschlüsse KANN für die Filterung diverse Produkte unterschiedlicher Hersteller für eingehende und ausgehende Verbindungen installieren.</t>
  </si>
  <si>
    <t xml:space="preserve">NET.3.2.A27-UA.1</t>
  </si>
  <si>
    <t xml:space="preserve">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</si>
  <si>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 xml:space="preserve">für die Filterung diverse Produkte unterschiedlicher Hersteller</t>
  </si>
  <si>
    <t xml:space="preserve">ARCH.5.2</t>
  </si>
  <si>
    <t xml:space="preserve">Blockieren direkter öffentlicher Verbindungen</t>
  </si>
  <si>
    <t xml:space="preserve">CON.11.1.A16-UA.6; INF.10.A6-UA.6; NET.1.1.A8-UA.2; NET.3.2.A2-UA.2; NET.3.2.A2-UA.3; NET.3.2.A2-UA.5; SYS.2.1.A31-UA.2</t>
  </si>
  <si>
    <t xml:space="preserve">subset-of; intersects-with; equivalent-to; intersects-with; equal-to; equivalent-to; equivalent-to</t>
  </si>
  <si>
    <t xml:space="preserve">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</si>
  <si>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 xml:space="preserve">direkte Verbindungen von diesen ins öffentliche Netz</t>
  </si>
  <si>
    <t xml:space="preserve">Architektur für IT-Systeme SOLLTE direkte Verbindungen von diesen ins öffentliche Netz blockieren.</t>
  </si>
  <si>
    <t xml:space="preserve">ARCH.6.1</t>
  </si>
  <si>
    <t xml:space="preserve">Kontrollierte Verbindungsführung</t>
  </si>
  <si>
    <t xml:space="preserve">INF.14.A28-UA.2; NET.3.1.A4-UA.5; NET.3.2.A2-UA.2; NET.3.2.A2-UA.3; NET.3.3.A11-UA.1</t>
  </si>
  <si>
    <t xml:space="preserve">subset-of; subset-of; subset-of; subset-of; subset-of</t>
  </si>
  <si>
    <t xml:space="preserve">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</si>
  <si>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 xml:space="preserve">eine {{physisch oder logisch}} kontrollierte Verbindungsführung</t>
  </si>
  <si>
    <t xml:space="preserve">Architektur für Externe Netzanschlüsse KANN eine physisch oder logisch kontrollierte Verbindungsführung für Weitverkehrsverbindungen aktivieren.</t>
  </si>
  <si>
    <t xml:space="preserve">ARCH.6.2</t>
  </si>
  <si>
    <t xml:space="preserve">Verschlüsselung von Weiterverkehrsverbindungen</t>
  </si>
  <si>
    <t xml:space="preserve">APP.3.1.A11-UA.2; APP.3.2.A11-UA.1; NET.1.1.A34-UA.3; OPS.1.2.5.A3-UA.4; OPS.1.2.5.A3-UA.5; OPS.1.2.5.A8-UA.4</t>
  </si>
  <si>
    <t xml:space="preserve">equivalent-to; superset-of; superset-of; subset-of; subset-of; subset-of</t>
  </si>
  <si>
    <t xml:space="preserve">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</si>
  <si>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 xml:space="preserve">Verbindungen ins Weitverkehrsnetz</t>
  </si>
  <si>
    <t xml:space="preserve">G 0.15 – Abhören; G 0.14 – Ausspähen von Informationen (Spionage); G 0.18 – Fehlplanung oder fehlende Anpassung</t>
  </si>
  <si>
    <t xml:space="preserve">Architektur für Externe Netzanschlüsse SOLLTE Verbindungen ins Weitverkehrsnetz nach einem anerkannten Standard verschlüsseln.</t>
  </si>
  <si>
    <t xml:space="preserve">ARCH.7.1</t>
  </si>
  <si>
    <t xml:space="preserve">Dedizierte Hostsysteme für Server</t>
  </si>
  <si>
    <t xml:space="preserve">APP.3.2.A1-UA.4; APP.3.6.A11-UA.2; APP.4.4.A15-UA.1; NET.3.4.A23-UA.3; SYS.1.1.A16-UA.3; SYS.1.1.A30-UA.1; SYS.1.6.A11-UA.1; SYS.2.1.A23-UA.1</t>
  </si>
  <si>
    <t xml:space="preserve">equivalent-to; subset-of; subset-of; subset-of; subset-of; subset-of; subset-of; intersects-with</t>
  </si>
  <si>
    <t xml:space="preserve">„Serverdienste“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</si>
  <si>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 xml:space="preserve">Anwendungen</t>
  </si>
  <si>
    <t xml:space="preserve">Serverdienste ausschließlich auf für die Anwendung dedizierten {{virtuellen oder physischen}} Hostsystemen</t>
  </si>
  <si>
    <t xml:space="preserve">G 0.25 – Ausfall von Geräten oder Systemen; G 0.28 – Software-Schwachstellen oder -Fehler; G 0.23 – Unbefugtes Eindringen in IT-Systeme</t>
  </si>
  <si>
    <t xml:space="preserve">Architektur für Anwendungen SOLLTE Serverdienste ausschließlich auf für die Anwendung dedizierten virtuellen oder physischen Hostsystemen platzieren.</t>
  </si>
  <si>
    <t xml:space="preserve">ARCH.7.2</t>
  </si>
  <si>
    <t xml:space="preserve">Dedizierte Hardware</t>
  </si>
  <si>
    <t xml:space="preserve">APP.3.6.A11-UA.2; SYS.2.5.A4-UA.2</t>
  </si>
  <si>
    <t xml:space="preserve">subset-of; subset-of</t>
  </si>
  <si>
    <t xml:space="preserve">Um die Verfügbarkeit ausreichender Ressourcen sicherzustellen und zyklische Abhängigkeiten zu vermeiden (z.B. einen VM-Host, dessen Domain Controller auf ihm selbst virtualisiert wird).</t>
  </si>
  <si>
    <t xml:space="preserve">Hostsysteme</t>
  </si>
  <si>
    <t xml:space="preserve">diese auf dedizierter Hardware</t>
  </si>
  <si>
    <t xml:space="preserve">G 0.27 – Ressourcenmangel; G 0.18 – Fehlplanung oder fehlende Anpassung</t>
  </si>
  <si>
    <t xml:space="preserve">Architektur für Hostsysteme KANN diese auf dedizierter Hardware platzieren.</t>
  </si>
  <si>
    <t xml:space="preserve">ARCH.7.3</t>
  </si>
  <si>
    <t xml:space="preserve">Entwicklungs- und Testumgebungen</t>
  </si>
  <si>
    <t xml:space="preserve">APP.4.4.A1-UA.1; CON.8.A7-UA.8; OPS.1.1.6.A13-UA.1; OPS.1.1.6.A13-UA.2; SYS.1.5.A10-UA.4; SYS.1.7.A33-UA.1</t>
  </si>
  <si>
    <t xml:space="preserve">intersects-with; subset-of; equivalent-to; equivalent-to; equal-to; subset-of</t>
  </si>
  <si>
    <t xml:space="preserve">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</si>
  <si>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 xml:space="preserve">Virtualisierungslösungen</t>
  </si>
  <si>
    <t xml:space="preserve">Entwicklungs- und Testumgebungen nicht auf produktiven Hostsystemen</t>
  </si>
  <si>
    <t xml:space="preserve">G 0.18 – Fehlplanung oder fehlende Anpassung; G 0.46 – Integritätsverlust schützenswerter Informationen; G 0.19 – Offenlegung schützenswerter Informationen</t>
  </si>
  <si>
    <t xml:space="preserve">Architektur für Virtualisierungslösungen SOLLTE Entwicklungs- und Testumgebungen nicht auf produktiven Hostsystemen platzieren.</t>
  </si>
  <si>
    <t xml:space="preserve">ARCH.8.1</t>
  </si>
  <si>
    <t xml:space="preserve">Redundanz im Kernnetz</t>
  </si>
  <si>
    <t xml:space="preserve">NET.1.1.A16-UA.2; NET.1.1.A17-UA.2; NET.1.1.A29-UA.1; NET.1.1.A29-UA.3; NET.3.1.A26-UA.2; SYS.1.1.A28-UA.3</t>
  </si>
  <si>
    <t xml:space="preserve">superset-of; superset-of; equivalent-to; superset-of; equal-to; superset-of</t>
  </si>
  <si>
    <t xml:space="preserve">Ziel hierbei ist es, dass beim Ausfall eines Systems oder einer Systemkomponente die Netzanbindung stets weiterhin funktionsfähig bleibt (Single-Point-of-Failure).</t>
  </si>
  <si>
    <t xml:space="preserve">für das Kernnetz redundante Netzkomponenten</t>
  </si>
  <si>
    <t xml:space="preserve">G 0.25 – Ausfall von Geräten oder Systemen; G 0.11 – Ausfall oder Störung von Dienstleistern; G 0.9 – Ausfall oder Störung von Kommunikationsnetzen; G 0.18 – Fehlplanung oder fehlende Anpassung</t>
  </si>
  <si>
    <t xml:space="preserve">Architektur für Netze SOLLTE für das Kernnetz redundante Netzkomponenten installieren.</t>
  </si>
  <si>
    <t xml:space="preserve">ARCH.8.2</t>
  </si>
  <si>
    <t xml:space="preserve">Redundante TK-Anbindung</t>
  </si>
  <si>
    <t xml:space="preserve">APP.5.4.A11-UA.3; NET.1.1.A29-UA.1; NET.4.1.A19-UA.1; NET.4.1.A19-UA.2</t>
  </si>
  <si>
    <t xml:space="preserve">superset-of; superset-of; equal-to; intersects-with</t>
  </si>
  <si>
    <t xml:space="preserve">Telekommunikationsanbindungen sind z.B. SIP-Trunks zum öffentlichen Telefonnetz (PSTN). Für weitere Details siehe „Kompendium für organisationsinterne Telekommunikationssysteme mit erhöhtem Schutzbedarf".</t>
  </si>
  <si>
    <t xml:space="preserve">redundante TK-Anbindungen</t>
  </si>
  <si>
    <t xml:space="preserve">G 0.9 – Ausfall oder Störung von Kommunikationsnetzen; G 0.27 – Ressourcenmangel; G 0.25 – Ausfall von Geräten oder Systemen; G 0.11 – Ausfall oder Störung von Dienstleistern</t>
  </si>
  <si>
    <t xml:space="preserve">Architektur für Externe Netzanschlüsse KANN redundante TK-Anbindungen für eingehende und ausgehende Verbindungen installieren.</t>
  </si>
  <si>
    <t xml:space="preserve">ARCH.8.3</t>
  </si>
  <si>
    <t xml:space="preserve">Redundante Server</t>
  </si>
  <si>
    <t xml:space="preserve">APP.3.2.A15-UA.1; APP.3.2.A15-UA.2; APP.3.6.A2-UA.1; APP.3.6.A2-UA.2; APP.5.3.A11-UA.1; NET.1.1.A28-UA.2; NET.1.1.A29-UA.1; NET.1.2.A30-UA.2; OPS.1.1.7.A20-UA.2; SYS.1.1.A15-UA.1; SYS.1.1.A25-UA.3; SYS.1.1.A28-UA.1; SYS.1.1.A28-UA.3; SYS.1.9.A21-UA.2; SYS.2.5.A18-UA.3; SYS.2.6.A15-UA.1</t>
  </si>
  <si>
    <t xml:space="preserve">subset-of; subset-of; subset-of; subset-of; subset-of; superset-of; subset-of; subset-of; subset-of; intersects-with; subset-of; intersects-with; intersects-with; subset-of; subset-of; superset-of</t>
  </si>
  <si>
    <t xml:space="preserve">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</si>
  <si>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 xml:space="preserve">für die Funktionsfähigkeit der Anwendung erforderliche Hostsysteme redundant</t>
  </si>
  <si>
    <t xml:space="preserve">G 0.25 – Ausfall von Geräten oder Systemen; G 0.9 – Ausfall oder Störung von Kommunikationsnetzen; G 0.40 – Verhinderung von Diensten (Denial of Service); G 0.27 – Ressourcenmangel</t>
  </si>
  <si>
    <t xml:space="preserve">Architektur für Anwendungen KANN für die Funktionsfähigkeit der Anwendung erforderliche Hostsysteme redundant installieren.</t>
  </si>
  <si>
    <t xml:space="preserve">ARCH.9.1</t>
  </si>
  <si>
    <t xml:space="preserve">Dimensionierung der Netzanbindung</t>
  </si>
  <si>
    <t xml:space="preserve">INF.12.A17-UA.3; INF.12.A5-UA.1; NET.4.2.A1-UA.6; SYS.1.9.A6-UA.2; SYS.2.5.A2-UA.1</t>
  </si>
  <si>
    <t xml:space="preserve">superset-of; superset-of; equivalent-to; subset-of; subset-of</t>
  </si>
  <si>
    <t xml:space="preserve">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</si>
  <si>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 xml:space="preserve">eine bedarfsgerechte Netzanbindung</t>
  </si>
  <si>
    <t xml:space="preserve">G 0.18 – Fehlplanung oder fehlende Anpassung; G 0.27 – Ressourcenmangel</t>
  </si>
  <si>
    <t xml:space="preserve">Architektur für Netze SOLLTE eine bedarfsgerechte Netzanbindung installieren.</t>
  </si>
  <si>
    <t xml:space="preserve">ARCH.9.2</t>
  </si>
  <si>
    <t xml:space="preserve">Lastverteilung</t>
  </si>
  <si>
    <t xml:space="preserve">SYS.1.1.A28-UA.1; SYS.2.6.A12-UA.2</t>
  </si>
  <si>
    <t xml:space="preserve">superset-of; subset-of</t>
  </si>
  <si>
    <t xml:space="preserve">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</si>
  <si>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 xml:space="preserve">eine {{netzbasierte oder serverbasierte}} automatische Lastverteilung</t>
  </si>
  <si>
    <t xml:space="preserve">Architektur für Anwendungen KANN eine netzbasierte oder serverbasierte automatische Lastverteilung aktivieren.</t>
  </si>
  <si>
    <t xml:space="preserve">ARCH.9.3</t>
  </si>
  <si>
    <t xml:space="preserve">Automatische Skalierung</t>
  </si>
  <si>
    <t xml:space="preserve">APP.4.3.A11-UA.4</t>
  </si>
  <si>
    <t xml:space="preserve">intersects-with</t>
  </si>
  <si>
    <t xml:space="preserve">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</si>
  <si>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 xml:space="preserve">eine automatische Skalierung der von der Anwendung verwendeten Computerinstanzen</t>
  </si>
  <si>
    <t xml:space="preserve">G 0.27 – Ressourcenmangel</t>
  </si>
  <si>
    <t xml:space="preserve">Architektur für Anwendungen KANN eine automatische Skalierung der von der Anwendung verwendeten Computerinstanzen anhand von Schwellwerten aktivieren.</t>
  </si>
  <si>
    <t xml:space="preserve">ARCH.9.4</t>
  </si>
  <si>
    <t xml:space="preserve">Content Delivery Network</t>
  </si>
  <si>
    <t xml:space="preserve">NET.3.1.A17-UA.1; SYS.1.1.A25-UA.3; SYS.1.1.A28-UA.1</t>
  </si>
  <si>
    <t xml:space="preserve">intersects-with; superset-of; superset-of</t>
  </si>
  <si>
    <t xml:space="preserve">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</si>
  <si>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 xml:space="preserve">ein Content Delivery Network</t>
  </si>
  <si>
    <t xml:space="preserve">G 0.18 – Fehlplanung oder fehlende Anpassung; G 0.27 – Ressourcenmangel; G 0.25 – Ausfall von Geräten oder Systemen</t>
  </si>
  <si>
    <t xml:space="preserve">Architektur für Anwendungen KANN ein Content Delivery Network installieren.</t>
  </si>
  <si>
    <t xml:space="preserve">ARCH.9.5</t>
  </si>
  <si>
    <t xml:space="preserve">Schutz gegen volumetrische DoS-Angriffe</t>
  </si>
  <si>
    <t xml:space="preserve">APP.3.2.A18-UA.2; APP.5.3.A2-UA.7; CON.10.A17-UA.1; NET.1.1.A30-UA.1; NET.1.1.A30-UA.2; NET.3.1.A17-UA.1; OPS.1.2.5.A20-UA.2</t>
  </si>
  <si>
    <t xml:space="preserve">subset-of; equivalent-to; intersects-with; subset-of; subset-of; subset-of; subset-of</t>
  </si>
  <si>
    <t xml:space="preserve">Volumetrische Angriffe können z.B. durch die Verwendung von Anycast-DNS, Upstream Rate Limiting, On-Premise- oder Cloud-Scrubbing, BGP FlowSpec-Filter, Auto-Null-Routing oder Remotely Triggered Blackholing abgewehrt werden.</t>
  </si>
  <si>
    <t xml:space="preserve">Schutzmaßnahmen gegen volumetrische DoS-Angriffe</t>
  </si>
  <si>
    <t xml:space="preserve">G 0.27 – Ressourcenmangel; G 0.40 – Verhinderung von Diensten (Denial of Service); G 0.25 – Ausfall von Geräten oder Systemen</t>
  </si>
  <si>
    <t xml:space="preserve">Architektur für Netze KANN Schutzmaßnahmen gegen volumetrische DoS-Angriffe aktivieren.</t>
  </si>
  <si>
    <t xml:space="preserve">Status Bearbeitung</t>
  </si>
  <si>
    <t xml:space="preserve">Anzahl</t>
  </si>
  <si>
    <t xml:space="preserve">Relevante Praktiken</t>
  </si>
  <si>
    <t xml:space="preserve">Abgeschlossene Praktiken</t>
  </si>
  <si>
    <t xml:space="preserve">Begonnene Praktiken</t>
  </si>
  <si>
    <t xml:space="preserve">Status Umsetzung</t>
  </si>
  <si>
    <t xml:space="preserve">Teilanforderungen: ja</t>
  </si>
  <si>
    <t xml:space="preserve">Teilanforderungen: nein</t>
  </si>
  <si>
    <t xml:space="preserve">Teilanforderungen: teilweise</t>
  </si>
  <si>
    <t xml:space="preserve">Teilanforderungen: entbehrlich</t>
  </si>
  <si>
    <t xml:space="preserve">Teilanforderungen: verwiesen</t>
  </si>
  <si>
    <t xml:space="preserve">Teilanforderungen: zu klären</t>
  </si>
  <si>
    <t xml:space="preserve">Teilanforderungen: unbearbeitet</t>
  </si>
  <si>
    <t xml:space="preserve">Erreichte Punkte je Schutzziel</t>
  </si>
  <si>
    <t xml:space="preserve">Punkte</t>
  </si>
  <si>
    <t xml:space="preserve">Punkte = Summe der Schutzzielwerte (0–2) aller Teilanforderungen mit Status "ja". Entbehrliche und verwiesene Anforderungen zählen nicht mit.</t>
  </si>
  <si>
    <t xml:space="preserve">Praktik</t>
  </si>
  <si>
    <t xml:space="preserve">Titel</t>
  </si>
  <si>
    <t xml:space="preserve">Relevanz</t>
  </si>
  <si>
    <t xml:space="preserve">Zielobjekt</t>
  </si>
  <si>
    <t xml:space="preserve">Begründung</t>
  </si>
  <si>
    <t xml:space="preserve">Umsetzungsstand (%)</t>
  </si>
  <si>
    <t xml:space="preserve">Bearbeitungsstand (%)</t>
  </si>
  <si>
    <t xml:space="preserve">ja</t>
  </si>
  <si>
    <t xml:space="preserve">nein</t>
  </si>
  <si>
    <t xml:space="preserve">teilweise</t>
  </si>
  <si>
    <t xml:space="preserve">entbehrlich</t>
  </si>
  <si>
    <t xml:space="preserve">verwiesen</t>
  </si>
  <si>
    <t xml:space="preserve">zu klären</t>
  </si>
  <si>
    <t xml:space="preserve">Punkte Vertraulichkeit</t>
  </si>
  <si>
    <t xml:space="preserve">Punkte Integrität</t>
  </si>
  <si>
    <t xml:space="preserve">Punkte Verfügbarkeit</t>
  </si>
  <si>
    <t xml:space="preserve">Punkte Authentizität</t>
  </si>
  <si>
    <t xml:space="preserve">Kommentar</t>
  </si>
  <si>
    <t xml:space="preserve">ASST</t>
  </si>
  <si>
    <t xml:space="preserve">Informationen und Assets</t>
  </si>
  <si>
    <t xml:space="preserve">Ja</t>
  </si>
  <si>
    <t xml:space="preserve">BER</t>
  </si>
  <si>
    <t xml:space="preserve">Berechtigung</t>
  </si>
  <si>
    <t xml:space="preserve">BES</t>
  </si>
  <si>
    <t xml:space="preserve">Beschaffungsmanagement</t>
  </si>
  <si>
    <t xml:space="preserve">DET</t>
  </si>
  <si>
    <t xml:space="preserve">Detektion</t>
  </si>
  <si>
    <t xml:space="preserve">DEV</t>
  </si>
  <si>
    <t xml:space="preserve">Entwicklung</t>
  </si>
  <si>
    <t xml:space="preserve">DLS</t>
  </si>
  <si>
    <t xml:space="preserve">Dienstleistersteuerung</t>
  </si>
  <si>
    <t xml:space="preserve">GC</t>
  </si>
  <si>
    <t xml:space="preserve">Governance und Compliance</t>
  </si>
  <si>
    <t xml:space="preserve">GEB</t>
  </si>
  <si>
    <t xml:space="preserve">Gebäudemanagement</t>
  </si>
  <si>
    <t xml:space="preserve">KONF</t>
  </si>
  <si>
    <t xml:space="preserve">Konfiguration</t>
  </si>
  <si>
    <t xml:space="preserve">NOT</t>
  </si>
  <si>
    <t xml:space="preserve">Notfallplanung</t>
  </si>
  <si>
    <t xml:space="preserve">PERF</t>
  </si>
  <si>
    <t xml:space="preserve">Monitoring-Evaluation</t>
  </si>
  <si>
    <t xml:space="preserve">PERS</t>
  </si>
  <si>
    <t xml:space="preserve">Personal</t>
  </si>
  <si>
    <t xml:space="preserve">REA</t>
  </si>
  <si>
    <t xml:space="preserve">Sicherheitsvorfallsbehandlung</t>
  </si>
  <si>
    <t xml:space="preserve">RISK</t>
  </si>
  <si>
    <t xml:space="preserve">Risikomanagement</t>
  </si>
  <si>
    <t xml:space="preserve">SENS</t>
  </si>
  <si>
    <t xml:space="preserve">Sensibilisierung</t>
  </si>
  <si>
    <t xml:space="preserve">STM</t>
  </si>
  <si>
    <t xml:space="preserve">Strukturmodellierung</t>
  </si>
  <si>
    <t xml:space="preserve">TEST</t>
  </si>
  <si>
    <t xml:space="preserve">Änderungen und Tests</t>
  </si>
  <si>
    <t xml:space="preserve">UMS</t>
  </si>
  <si>
    <t xml:space="preserve">VRB</t>
  </si>
  <si>
    <t xml:space="preserve">Verbesserung</t>
  </si>
  <si>
    <t xml:space="preserve">Nur Praktiken mit Relevanz = "Ja" werden im Dashboard gezählt. Die Zähler beziehen sich auf Teilanforderungen, nicht auf Sammelzeilen.</t>
  </si>
  <si>
    <t xml:space="preserve">ASST.1.1</t>
  </si>
  <si>
    <t xml:space="preserve">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</si>
  <si>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 xml:space="preserve">Verfahren und Regelungen zum Management von Informationen und damit verbundener Assets</t>
  </si>
  <si>
    <t xml:space="preserve">G 0.18 – Fehlplanung oder fehlende Anpassung; G 0.19 – Offenlegung schützenswerter Informationen</t>
  </si>
  <si>
    <t xml:space="preserve">ASST.1.1.1</t>
  </si>
  <si>
    <t xml:space="preserve">Informationen und Assets MUSS die Verfahren und Regelungen dokumentieren.</t>
  </si>
  <si>
    <t xml:space="preserve">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</si>
  <si>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 xml:space="preserve">G 0.18 – Fehlplanung oder fehlende Anpassung; G 0.37 – Abstreiten von Handlungen</t>
  </si>
  <si>
    <t xml:space="preserve">ASST.1.1.2</t>
  </si>
  <si>
    <t xml:space="preserve">Informationen und Assets MUSS die mit den Verfahren und Regelungen verbundenen Aufgaben zuständigen Personen oder Rollen zuweisen.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</si>
  <si>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</si>
  <si>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ASST.1.1.3</t>
  </si>
  <si>
    <t xml:space="preserve">Informationen und Assets MUSS die zuständigen Personen oder Rollen über die Verfahren und Regelungen informieren.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</si>
  <si>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</si>
  <si>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 xml:space="preserve">ASST.1.2</t>
  </si>
  <si>
    <t xml:space="preserve">Informationen und Assets MUSS die Verfahren und Regelungen regelmäßig und anlassbezogen auf Aktualität überprüfen.</t>
  </si>
  <si>
    <t xml:space="preserve">ASST.2.1</t>
  </si>
  <si>
    <t xml:space="preserve">Inventar der Informationen</t>
  </si>
  <si>
    <t xml:space="preserve">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</si>
  <si>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 xml:space="preserve">Inventar Informationen</t>
  </si>
  <si>
    <t xml:space="preserve">ein Inventar der Informationen und damit verbundener Assets</t>
  </si>
  <si>
    <t xml:space="preserve">G 0.18 – Fehlplanung oder fehlende Anpassung; G 0.16 – Diebstahl von Geräten, Datenträgern oder Dokumenten; G 0.17 – Verlust von Geräten, Datenträgern oder Dokumenten; G 0.45 – Datenverlust</t>
  </si>
  <si>
    <t xml:space="preserve">Informationen und Assets SOLLTE ein Inventar der Informationen und damit verbundener Assets dokumentieren.</t>
  </si>
  <si>
    <t xml:space="preserve">ASST.2.1.1</t>
  </si>
  <si>
    <t xml:space="preserve">Informationen und Assets für Daten SOLLTE die Zuständigkeit für deren Verarbeitung einer zuständigen Person oder Rolle zuweisen.</t>
  </si>
  <si>
    <t xml:space="preserve">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</si>
  <si>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 xml:space="preserve">Daten</t>
  </si>
  <si>
    <t xml:space="preserve">die Zuständigkeit für deren Verarbeitung</t>
  </si>
  <si>
    <t xml:space="preserve">ASST.2.2</t>
  </si>
  <si>
    <t xml:space="preserve">Inventar der Systeme</t>
  </si>
  <si>
    <t xml:space="preserve">IND.1.A4-UA.2</t>
  </si>
  <si>
    <t xml:space="preserve">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</si>
  <si>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 xml:space="preserve">Inventar IT-Systeme</t>
  </si>
  <si>
    <t xml:space="preserve">ein Inventar der IT-Systeme</t>
  </si>
  <si>
    <t xml:space="preserve">G 0.16 – Diebstahl von Geräten, Datenträgern oder Dokumenten; G 0.18 – Fehlplanung oder fehlende Anpassung; G 0.17 – Verlust von Geräten, Datenträgern oder Dokumenten; G 0.45 – Datenverlust</t>
  </si>
  <si>
    <t xml:space="preserve">Informationen und Assets SOLLTE ein Inventar der IT-Systeme einschließlich Identifikationsbezeichnung und letztem bekannten Verbleib dokumentieren.</t>
  </si>
  <si>
    <t xml:space="preserve">ASST.2.2.1</t>
  </si>
  <si>
    <t xml:space="preserve">Informationen und Assets für Netze SOLLTE das Aufdecken unautorisierter IT-Systeme verankern.</t>
  </si>
  <si>
    <t xml:space="preserve">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</si>
  <si>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 xml:space="preserve">das Aufdecken unautorisierter IT-Systeme</t>
  </si>
  <si>
    <t xml:space="preserve">ASST.2.3</t>
  </si>
  <si>
    <t xml:space="preserve">Inventar der Anwendungen</t>
  </si>
  <si>
    <t xml:space="preserve">IND.1.A4-UA.2; IND.1.A4-UA.3</t>
  </si>
  <si>
    <t xml:space="preserve">intersects-with; intersects-with</t>
  </si>
  <si>
    <t xml:space="preserve">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</si>
  <si>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 xml:space="preserve">Inventar Anwendungen</t>
  </si>
  <si>
    <t xml:space="preserve">ein Inventar der Anwendungen</t>
  </si>
  <si>
    <t xml:space="preserve">Informationen und Assets SOLLTE ein Inventar der Anwendungen einschließlich Produktname, Versionsstand, Herkunft und Lizenzierung dokumentieren.</t>
  </si>
  <si>
    <t xml:space="preserve">ASST.2.3.1</t>
  </si>
  <si>
    <t xml:space="preserve">Informationen und Assets für IT-Systeme SOLLTE die Nutzung von Anwendungen auf diesen durch eine zuständige Person oder Rolle autorisieren.</t>
  </si>
  <si>
    <t xml:space="preserve">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</si>
  <si>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 xml:space="preserve">die Nutzung von Anwendungen auf diesen</t>
  </si>
  <si>
    <t xml:space="preserve">ASST.2.3.2</t>
  </si>
  <si>
    <t xml:space="preserve">Informationen und Assets für Anwendungen SOLLTE die Software Bill of Materials (SBOM) dokumentieren.</t>
  </si>
  <si>
    <t xml:space="preserve">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</si>
  <si>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 xml:space="preserve">die Software Bill of Materials (SBOM)</t>
  </si>
  <si>
    <t xml:space="preserve">ASST.2.3.2.1</t>
  </si>
  <si>
    <t xml:space="preserve">Informationen und Assets KANN die Aktualität des Inventars der Anwendungen durch ein automatisiertes Verfahren regelmäßig oder bei Änderungen überprüfen.</t>
  </si>
  <si>
    <t xml:space="preserve">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</si>
  <si>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 xml:space="preserve">die Aktualität des Inventars der Anwendungen durch ein automatisiertes Verfahren</t>
  </si>
  <si>
    <t xml:space="preserve">ASST.2.4</t>
  </si>
  <si>
    <t xml:space="preserve">Klassifizierung</t>
  </si>
  <si>
    <t xml:space="preserve">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</si>
  <si>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 xml:space="preserve">diese einer Schutzbedarfsklasse</t>
  </si>
  <si>
    <t xml:space="preserve">G 0.18 – Fehlplanung oder fehlende Anpassung; G 0.19 – Offenlegung schützenswerter Informationen; G 0.16 – Diebstahl von Geräten, Datenträgern oder Dokumenten; G 0.17 – Verlust von Geräten, Datenträgern oder Dokumenten</t>
  </si>
  <si>
    <t xml:space="preserve">Informationen und Assets für Daten SOLLTE diese einer Schutzbedarfsklasse zuweisen.</t>
  </si>
  <si>
    <t xml:space="preserve">ASST.3.1</t>
  </si>
  <si>
    <t xml:space="preserve">Nutzungsvereinbarungen</t>
  </si>
  <si>
    <t xml:space="preserve">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</si>
  <si>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 xml:space="preserve">Nutzende</t>
  </si>
  <si>
    <t xml:space="preserve">Arbeitsanweisung</t>
  </si>
  <si>
    <t xml:space="preserve">diese zu den Regelungen der Nutzung von Informationen und anderen Assets</t>
  </si>
  <si>
    <t xml:space="preserve">Informationen und Assets für Nutzende SOLLTE diese zu den Regelungen der Nutzung von Informationen und anderen Assets anweisen.</t>
  </si>
  <si>
    <t xml:space="preserve">ASST.3.1.1</t>
  </si>
  <si>
    <t xml:space="preserve">Informationen und Assets für Nutzende SOLLTE zur Weitergabe von Informationen nur bei Erforderlichkeit anweisen.</t>
  </si>
  <si>
    <t xml:space="preserve">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</si>
  <si>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 xml:space="preserve">zur Weitergabe von Informationen nur bei Erforderlichkeit</t>
  </si>
  <si>
    <t xml:space="preserve">ASST.3.2</t>
  </si>
  <si>
    <t xml:space="preserve">Entfernung nicht erforderlicher Rest- oder Zusatzdaten</t>
  </si>
  <si>
    <t xml:space="preserve">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</si>
  <si>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 xml:space="preserve">die Entfernung nicht erforderlicher Rest- oder Zusatzdaten</t>
  </si>
  <si>
    <t xml:space="preserve">Informationen und Assets für Daten SOLLTE die Entfernung nicht erforderlicher Rest- oder Zusatzdaten verankern.</t>
  </si>
  <si>
    <t xml:space="preserve">ASST.3.3</t>
  </si>
  <si>
    <t xml:space="preserve">Kennzeichnung</t>
  </si>
  <si>
    <t xml:space="preserve">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</si>
  <si>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 xml:space="preserve">die Kennzeichnung von Informationen</t>
  </si>
  <si>
    <t xml:space="preserve">G 0.19 – Offenlegung schützenswerter Informationen</t>
  </si>
  <si>
    <t xml:space="preserve">Informationen und Assets SOLLTE die Kennzeichnung von Informationen verankern.</t>
  </si>
  <si>
    <t xml:space="preserve">ASST.3.4</t>
  </si>
  <si>
    <t xml:space="preserve">Kennzeichnung ohne vertrauliche Daten</t>
  </si>
  <si>
    <t xml:space="preserve">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</si>
  <si>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 xml:space="preserve">Informationen und Assets für IT-Systeme SOLLTE Kennzeichnung ohne vertrauliche Daten verankern.</t>
  </si>
  <si>
    <t xml:space="preserve">ASST.3.5</t>
  </si>
  <si>
    <t xml:space="preserve">Tainting</t>
  </si>
  <si>
    <t xml:space="preserve">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</si>
  <si>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 xml:space="preserve">eine Markierung durch eingebettete Daten oder Funktionen zur Wiedererkennung</t>
  </si>
  <si>
    <t xml:space="preserve">Informationen und Assets für Daten KANN eine Markierung durch eingebettete Daten oder Funktionen zur Wiedererkennung zuweisen.</t>
  </si>
  <si>
    <t xml:space="preserve">ASST.3.6</t>
  </si>
  <si>
    <t xml:space="preserve">Verifikation</t>
  </si>
  <si>
    <t xml:space="preserve">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</si>
  <si>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 xml:space="preserve">Informationen</t>
  </si>
  <si>
    <t xml:space="preserve">die Korrektheit</t>
  </si>
  <si>
    <t xml:space="preserve">Informationen und Assets für Informationen KANN die Korrektheit anhand anderer Informationsquellen testen.</t>
  </si>
  <si>
    <t xml:space="preserve">ASST.3.7</t>
  </si>
  <si>
    <t xml:space="preserve">Pseudonymisierung</t>
  </si>
  <si>
    <t xml:space="preserve">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</si>
  <si>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 xml:space="preserve">die Pseudonymisierung</t>
  </si>
  <si>
    <t xml:space="preserve">Informationen und Assets für Informationen KANN die Pseudonymisierung vor der Weitergabe verankern.</t>
  </si>
  <si>
    <t xml:space="preserve">ASST.3.8</t>
  </si>
  <si>
    <t xml:space="preserve">Anonymisierung</t>
  </si>
  <si>
    <t xml:space="preserve">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</si>
  <si>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 xml:space="preserve">die Anonymisierung</t>
  </si>
  <si>
    <t xml:space="preserve">Informationen und Assets für Informationen KANN die Anonymisierung vor der Weitergabe verankern.</t>
  </si>
  <si>
    <t xml:space="preserve">ASST.3.9</t>
  </si>
  <si>
    <t xml:space="preserve">Aktualisierung</t>
  </si>
  <si>
    <t xml:space="preserve">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</si>
  <si>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 xml:space="preserve">deren Aktualisierung</t>
  </si>
  <si>
    <t xml:space="preserve">Informationen und Assets für Daten KANN deren Aktualisierung verankern.</t>
  </si>
  <si>
    <t xml:space="preserve">ASST.3.10</t>
  </si>
  <si>
    <t xml:space="preserve">Autorisierung von Datenlokationen</t>
  </si>
  <si>
    <t xml:space="preserve">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</si>
  <si>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 xml:space="preserve">Datenlokationen</t>
  </si>
  <si>
    <t xml:space="preserve">Informationen und Assets für Daten SOLLTE Datenlokationen durch eine zuständige Person oder Rolle autorisieren.</t>
  </si>
  <si>
    <t xml:space="preserve">ASST.3.11</t>
  </si>
  <si>
    <t xml:space="preserve">Autorisierung von Systemen</t>
  </si>
  <si>
    <t xml:space="preserve">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</si>
  <si>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 xml:space="preserve">für die Informationsverarbeitung verwendete Systeme</t>
  </si>
  <si>
    <t xml:space="preserve">G 0.18 – Fehlplanung oder fehlende Anpassung; G 0.30 – Unberechtigte Nutzung oder Administration von Geräten und Systemen</t>
  </si>
  <si>
    <t xml:space="preserve">Informationen und Assets für Daten SOLLTE für die Informationsverarbeitung verwendete Systeme durch eine zuständige Person oder Rolle autorisieren.</t>
  </si>
  <si>
    <t xml:space="preserve">ASST.3.11.1</t>
  </si>
  <si>
    <t xml:space="preserve">Informationen und Assets für Daten SOLLTE auch Peripheriegeräte autorisieren.</t>
  </si>
  <si>
    <t xml:space="preserve">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</si>
  <si>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 xml:space="preserve">auch Peripheriegeräte</t>
  </si>
  <si>
    <t xml:space="preserve">ASST.3.12</t>
  </si>
  <si>
    <t xml:space="preserve">Autorisierung von Personen oder Institutionen</t>
  </si>
  <si>
    <t xml:space="preserve">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</si>
  <si>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 xml:space="preserve">den Zugriff von Personen oder Institutionen</t>
  </si>
  <si>
    <t xml:space="preserve">Informationen und Assets für Daten SOLLTE den Zugriff von Personen oder Institutionen im Einklang mit den zugehörigen Anforderungen zum Identitäts- und Berechtigungsmanagement autorisieren.</t>
  </si>
  <si>
    <t xml:space="preserve">ASST.3.13</t>
  </si>
  <si>
    <t xml:space="preserve">Lagerung physischer Assets</t>
  </si>
  <si>
    <t xml:space="preserve">Lagerung meint hier die Aufbewahrung nicht an Nutzende ausgegebener physischer Assets. Die Lagerung kann in verschlossenen Lagerräumen, Schränken oder bei Dienstleistern erfolgen.</t>
  </si>
  <si>
    <t xml:space="preserve">Administrierende</t>
  </si>
  <si>
    <t xml:space="preserve">zur Lagerung physischer Assets</t>
  </si>
  <si>
    <t xml:space="preserve">Informationen und Assets für Administrierende SOLLTE zur Lagerung physischer Assets in einem dazu vorgesehenen Lager anweisen.</t>
  </si>
  <si>
    <t xml:space="preserve">ASST.3.14</t>
  </si>
  <si>
    <t xml:space="preserve">Reserve physischer Assets</t>
  </si>
  <si>
    <t xml:space="preserve">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</si>
  <si>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 xml:space="preserve">eine Reserve physischer Assets</t>
  </si>
  <si>
    <t xml:space="preserve">Informationen und Assets SOLLTE eine Reserve physischer Assets verankern.</t>
  </si>
  <si>
    <t xml:space="preserve">ASST.3.15</t>
  </si>
  <si>
    <t xml:space="preserve">Ausleihe physischer Assets</t>
  </si>
  <si>
    <t xml:space="preserve">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</si>
  <si>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 xml:space="preserve">einen ausreichenden Ausleihbestand</t>
  </si>
  <si>
    <t xml:space="preserve">Informationen und Assets KANN einen ausreichenden Ausleihbestand verankern.</t>
  </si>
  <si>
    <t xml:space="preserve">ASST.4.1</t>
  </si>
  <si>
    <t xml:space="preserve">Autorisierung von Schnittstellen</t>
  </si>
  <si>
    <t xml:space="preserve">Schnittstellen können hier sowohl physikalisch (z.B. Briefversand, regelmäßige Meetings an einem geschützten Ort) als auch virtuell (API, verschlüsselter Cloudspeicher) sein.</t>
  </si>
  <si>
    <t xml:space="preserve">Schnittstellen, über die Informationen ausgetauscht werden,</t>
  </si>
  <si>
    <t xml:space="preserve">G 0.19 – Offenlegung schützenswerter Informationen; G 0.43 – Einspielen von Nachrichten; G 0.15 – Abhören</t>
  </si>
  <si>
    <t xml:space="preserve">Informationen und Assets für Daten KANN Schnittstellen, über die Informationen ausgetauscht werden, durch eine zuständige Person oder Rolle autorisieren.</t>
  </si>
  <si>
    <t xml:space="preserve">ASST.4.2</t>
  </si>
  <si>
    <t xml:space="preserve">Vertraulichkeit und Integrität beim Transport</t>
  </si>
  <si>
    <t xml:space="preserve">CON.10.A7-UA.1; IND.2.1.A2-UA.2</t>
  </si>
  <si>
    <t xml:space="preserve">intersects-with; equivalent-to</t>
  </si>
  <si>
    <t xml:space="preserve">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</si>
  <si>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 xml:space="preserve">G 0.19 – Offenlegung schützenswerter Informationen; G 0.18 – Fehlplanung oder fehlende Anpassung; G 0.43 – Einspielen von Nachrichten; G 0.15 – Abhören</t>
  </si>
  <si>
    <t xml:space="preserve">Informationen und Assets für Daten SOLLTE Vertraulichkeit und Integrität beim Transport verankern.</t>
  </si>
  <si>
    <t xml:space="preserve">ASST.4.3</t>
  </si>
  <si>
    <t xml:space="preserve">Autorisierung von Veröffentlichungen</t>
  </si>
  <si>
    <t xml:space="preserve">„Veröffentlichungen“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</si>
  <si>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 xml:space="preserve">Veröffentlichungen</t>
  </si>
  <si>
    <t xml:space="preserve">Informationen und Assets SOLLTE Veröffentlichungen durch eine zuständige Person oder Rolle autorisieren.</t>
  </si>
  <si>
    <t xml:space="preserve">ASST.4.4</t>
  </si>
  <si>
    <t xml:space="preserve">Nachweis des Zugangs</t>
  </si>
  <si>
    <t xml:space="preserve">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</si>
  <si>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 xml:space="preserve">Audit Log</t>
  </si>
  <si>
    <t xml:space="preserve">einen Nachweis des Zugangs</t>
  </si>
  <si>
    <t xml:space="preserve">Informationen und Assets für Daten KANN einen Nachweis des Zugangs protokollieren.</t>
  </si>
  <si>
    <t xml:space="preserve">ASST.4.5</t>
  </si>
  <si>
    <t xml:space="preserve">Vereinbarungen zum Austausch</t>
  </si>
  <si>
    <t xml:space="preserve">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</si>
  <si>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 xml:space="preserve">Verträge</t>
  </si>
  <si>
    <t xml:space="preserve">Regelungen zum Transfer</t>
  </si>
  <si>
    <t xml:space="preserve">Informationen und Assets für Daten SOLLTE Regelungen zum Transfer verankern.</t>
  </si>
  <si>
    <t xml:space="preserve">ASST.5.1</t>
  </si>
  <si>
    <t xml:space="preserve">Wartungsbedarf dokumentieren</t>
  </si>
  <si>
    <t xml:space="preserve">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</si>
  <si>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 xml:space="preserve">Betriebshandbuch</t>
  </si>
  <si>
    <t xml:space="preserve">den Wartungsbedarf</t>
  </si>
  <si>
    <t xml:space="preserve">G 0.31 – Fehlerhafte Nutzung oder Administration von Geräten und Systemen; G 0.21 – Manipulation von Hard- oder Software; G 0.25 – Ausfall von Geräten oder Systemen; G 0.28 – Software-Schwachstellen oder -Fehler</t>
  </si>
  <si>
    <t xml:space="preserve">Informationen und Assets für IT-Systeme SOLLTE den Wartungsbedarf für Systemkomponenten und die zum Betrieb erforderliche Infrastruktur dokumentieren.</t>
  </si>
  <si>
    <t xml:space="preserve">ASST.5.2</t>
  </si>
  <si>
    <t xml:space="preserve">Geregelte Wartungen</t>
  </si>
  <si>
    <t xml:space="preserve">OPS.1.1.1.A19-UA.1</t>
  </si>
  <si>
    <t xml:space="preserve">„Wartung“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</si>
  <si>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 xml:space="preserve">die Wartung</t>
  </si>
  <si>
    <t xml:space="preserve">G 0.31 – Fehlerhafte Nutzung oder Administration von Geräten und Systemen; G 0.25 – Ausfall von Geräten oder Systemen; G 0.28 – Software-Schwachstellen oder -Fehler; G 0.21 – Manipulation von Hard- oder Software</t>
  </si>
  <si>
    <t xml:space="preserve">Informationen und Assets für IT-Systeme SOLLTE die Wartung regelmäßig oder prädiktiv ausführen.</t>
  </si>
  <si>
    <t xml:space="preserve">ASST.5.3</t>
  </si>
  <si>
    <t xml:space="preserve">Autorisierung von Wartungen</t>
  </si>
  <si>
    <t xml:space="preserve">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</si>
  <si>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 xml:space="preserve">Wartungen</t>
  </si>
  <si>
    <t xml:space="preserve">G 0.31 – Fehlerhafte Nutzung oder Administration von Geräten und Systemen; G 0.25 – Ausfall von Geräten oder Systemen; G 0.21 – Manipulation von Hard- oder Software; G 0.28 – Software-Schwachstellen oder -Fehler</t>
  </si>
  <si>
    <t xml:space="preserve">Informationen und Assets für IT-Systeme KANN Wartungen durch eine zuständige Person oder Rolle autorisieren.</t>
  </si>
  <si>
    <t xml:space="preserve">ASST.5.4</t>
  </si>
  <si>
    <t xml:space="preserve">Behandlung als Änderungen und Tests</t>
  </si>
  <si>
    <t xml:space="preserve">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</si>
  <si>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 xml:space="preserve">zur Wartung erforderliche Änderungen</t>
  </si>
  <si>
    <t xml:space="preserve">G 0.28 – Software-Schwachstellen oder -Fehler; G 0.31 – Fehlerhafte Nutzung oder Administration von Geräten und Systemen; G 0.25 – Ausfall von Geräten oder Systemen; G 0.26 – Fehlfunktion von Geräten oder Systemen</t>
  </si>
  <si>
    <t xml:space="preserve">Informationen und Assets für IT-Systeme SOLLTE zur Wartung erforderliche Änderungen im Einklang mit den Verfahren und Regelungen zum Management von Änderungen verankern.</t>
  </si>
  <si>
    <t xml:space="preserve">ASST.5.5</t>
  </si>
  <si>
    <t xml:space="preserve">Wartungsfenster</t>
  </si>
  <si>
    <t xml:space="preserve">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</si>
  <si>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 xml:space="preserve">bei voraussichtlichen Verfügbarkeiteinschränkungen durch bevorstehende Wartungen die Nutzenden</t>
  </si>
  <si>
    <t xml:space="preserve">Informationen und Assets für IT-Systeme SOLLTE bei voraussichtlichen Verfügbarkeiteinschränkungen durch bevorstehende Wartungen die Nutzenden über Dauer und Umfang der Einschränkungen informieren.</t>
  </si>
  <si>
    <t xml:space="preserve">ASST.5.6</t>
  </si>
  <si>
    <t xml:space="preserve">Wartung durch Externe</t>
  </si>
  <si>
    <t xml:space="preserve">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</si>
  <si>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 xml:space="preserve">Mitarbeitende</t>
  </si>
  <si>
    <t xml:space="preserve">bei Wartungen, die von Externen ohne Sicherheitsüberprüfung vorgenommen werden,</t>
  </si>
  <si>
    <t xml:space="preserve">Informationen und Assets für Mitarbeitende KANN bei Wartungen, die von Externen ohne Sicherheitsüberprüfung vorgenommen werden, zur Beaufsichtigung durch internes Personal anweisen.</t>
  </si>
  <si>
    <t xml:space="preserve">ASST.5.7</t>
  </si>
  <si>
    <t xml:space="preserve">Dokumentation von Wartungen</t>
  </si>
  <si>
    <t xml:space="preserve">OPS.1.1.1.A19-UA.4</t>
  </si>
  <si>
    <t xml:space="preserve">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</si>
  <si>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 xml:space="preserve">G 0.31 – Fehlerhafte Nutzung oder Administration von Geräten und Systemen; G 0.37 – Abstreiten von Handlungen; G 0.18 – Fehlplanung oder fehlende Anpassung; G 0.25 – Ausfall von Geräten oder Systemen</t>
  </si>
  <si>
    <t xml:space="preserve">Informationen und Assets für IT-Systeme SOLLTE Wartungen mit Asset, Anlass, Zeitpunkt, Beteiligten, durchgefürten Maßnahmen und Ergebnissen dokumentieren.</t>
  </si>
  <si>
    <t xml:space="preserve">ASST.6.1</t>
  </si>
  <si>
    <t xml:space="preserve">Abhandenkommen</t>
  </si>
  <si>
    <t xml:space="preserve">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</si>
  <si>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 xml:space="preserve">eine Vorgehensweise beim Abhandenkommen von Assets</t>
  </si>
  <si>
    <t xml:space="preserve">Informationen und Assets SOLLTE eine Vorgehensweise beim Abhandenkommen von Assets verankern.</t>
  </si>
  <si>
    <t xml:space="preserve">ASST.6.2</t>
  </si>
  <si>
    <t xml:space="preserve">Rückkehr abhandengekommener Assets</t>
  </si>
  <si>
    <t xml:space="preserve">"Abhandengekommene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</si>
  <si>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 xml:space="preserve">eine Vorgehensweise bei Rückkehr von abhandengekommenen Assets</t>
  </si>
  <si>
    <t xml:space="preserve">Informationen und Assets SOLLTE eine Vorgehensweise bei Rückkehr von abhandengekommenen Assets verankern.</t>
  </si>
  <si>
    <t xml:space="preserve">ASST.6.3</t>
  </si>
  <si>
    <t xml:space="preserve">Konformitätsprüfung</t>
  </si>
  <si>
    <t xml:space="preserve">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</si>
  <si>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 xml:space="preserve">bei Rücknahme die Konformität mit den einschlägigen Anforderungen</t>
  </si>
  <si>
    <t xml:space="preserve">Informationen und Assets für IT-Systeme KANN bei Rücknahme die Konformität mit den einschlägigen Anforderungen testen.</t>
  </si>
  <si>
    <t xml:space="preserve">ASST.6.4</t>
  </si>
  <si>
    <t xml:space="preserve">Zurücksetzen auf Ausgangszustand</t>
  </si>
  <si>
    <t xml:space="preserve">INF.10.A9-UA.1</t>
  </si>
  <si>
    <t xml:space="preserve">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</si>
  <si>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 xml:space="preserve">bei Rücknahme das Zurücksetzen in einen definierten Ausgangszustand</t>
  </si>
  <si>
    <t xml:space="preserve">Informationen und Assets für IT-Systeme SOLLTE bei Rücknahme das Zurücksetzen in einen definierten Ausgangszustand ausführen.</t>
  </si>
  <si>
    <t xml:space="preserve">ASST.7.1</t>
  </si>
  <si>
    <t xml:space="preserve">Nicht mehr benötigte Anwendungen</t>
  </si>
  <si>
    <t xml:space="preserve">„Nicht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</si>
  <si>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 xml:space="preserve">eine Deinstallation nicht mehr benötigter Anwendungsinstanzen</t>
  </si>
  <si>
    <t xml:space="preserve">G 0.19 – Offenlegung schützenswerter Informationen; G 0.45 – Datenverlust; G 0.16 – Diebstahl von Geräten, Datenträgern oder Dokumenten; G 0.38 – Missbrauch personenbezogener Daten</t>
  </si>
  <si>
    <t xml:space="preserve">Informationen und Assets für Anwendungen SOLLTE eine Deinstallation nicht mehr benötigter Anwendungsinstanzen verankern.</t>
  </si>
  <si>
    <t xml:space="preserve">ASST.7.2</t>
  </si>
  <si>
    <t xml:space="preserve">Aufbewahrungs- und Löschfristen</t>
  </si>
  <si>
    <t xml:space="preserve">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</si>
  <si>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 xml:space="preserve">die Aufbewahrung</t>
  </si>
  <si>
    <t xml:space="preserve">G 0.45 – Datenverlust; G 0.38 – Missbrauch personenbezogener Daten; G 0.19 – Offenlegung schützenswerter Informationen; G 0.18 – Fehlplanung oder fehlende Anpassung</t>
  </si>
  <si>
    <t xml:space="preserve">Informationen und Assets für Daten SOLLTE die Aufbewahrung für eine bestimmte Frist verankern.</t>
  </si>
  <si>
    <t xml:space="preserve">ASST.7.2.1</t>
  </si>
  <si>
    <t xml:space="preserve">Informationen und Assets für Daten KANN die langfristige Archivierung mindestens für eine bestimmte Frist verankern.</t>
  </si>
  <si>
    <t xml:space="preserve">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</si>
  <si>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 xml:space="preserve">die langfristige Archivierung</t>
  </si>
  <si>
    <t xml:space="preserve">G 0.45 – Datenverlust; G 0.19 – Offenlegung schützenswerter Informationen; G 0.16 – Diebstahl von Geräten, Datenträgern oder Dokumenten; G 0.38 – Missbrauch personenbezogener Daten</t>
  </si>
  <si>
    <t xml:space="preserve">ASST.7.3</t>
  </si>
  <si>
    <t xml:space="preserve">Geregeltes Löschen oder Vernichten</t>
  </si>
  <si>
    <t xml:space="preserve">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</si>
  <si>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 xml:space="preserve">diese bei Erreichen der Aufbewahrungs- und Löschfrist</t>
  </si>
  <si>
    <t xml:space="preserve">G 0.19 – Offenlegung schützenswerter Informationen; G 0.16 – Diebstahl von Geräten, Datenträgern oder Dokumenten; G 0.45 – Datenverlust; G 0.38 – Missbrauch personenbezogener Daten</t>
  </si>
  <si>
    <t xml:space="preserve">Informationen und Assets für Daten SOLLTE diese bei Erreichen der Aufbewahrungs- und Löschfrist durch kryptografisches löschen, überschreiben oder vernichten des Speichermediums löschen.</t>
  </si>
  <si>
    <t xml:space="preserve">ASST.7.3.1</t>
  </si>
  <si>
    <t xml:space="preserve">Informationen und Assets für Daten SOLLTE ein standardisiertes Verfahren zur Vernichtung bei Veräußerung nach einem anerkannten Standard gemäß einer Sicherheitsstufe verankern.</t>
  </si>
  <si>
    <t xml:space="preserve">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</si>
  <si>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 xml:space="preserve">ein standardisiertes Verfahren zur Vernichtung bei Veräußerung</t>
  </si>
  <si>
    <t xml:space="preserve">ASST.7.3.2</t>
  </si>
  <si>
    <t xml:space="preserve">Informationen und Assets für Daten SOLLTE ein Verfahren zur endgültigen Löschung verankern.</t>
  </si>
  <si>
    <t xml:space="preserve">APP.1.4.A12-UA.1</t>
  </si>
  <si>
    <t xml:space="preserve">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</si>
  <si>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 xml:space="preserve">ein Verfahren zur endgültigen Löschung</t>
  </si>
  <si>
    <t xml:space="preserve">ASST.7.3.3</t>
  </si>
  <si>
    <t xml:space="preserve">Informationen und Assets für Daten KANN die Daten durch eine vom BSI zugelassene Löschanwendung löschen.</t>
  </si>
  <si>
    <t xml:space="preserve">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</si>
  <si>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die Daten durch {{eine vom BSI zugelassene Löschanwendung}}</t>
  </si>
  <si>
    <t xml:space="preserve">ASST.7.4</t>
  </si>
  <si>
    <t xml:space="preserve">Wiederherstelltest</t>
  </si>
  <si>
    <t xml:space="preserve">Der Test kann mit Software oder Hardware, die vermeintlich gelöschte Daten von Speichermedien wiederherstellen kann, durchgeführt werden. Bei vernichteten Speichermedien ist der Test entbehrlich.</t>
  </si>
  <si>
    <t xml:space="preserve">den Erfolg des Löschvorgangs</t>
  </si>
  <si>
    <t xml:space="preserve">Informationen und Assets für Daten KANN den Erfolg des Löschvorgangs testen.</t>
  </si>
  <si>
    <t xml:space="preserve">ASST.7.5</t>
  </si>
  <si>
    <t xml:space="preserve">Vernichtungseinrichtungen</t>
  </si>
  <si>
    <t xml:space="preserve">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</si>
  <si>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 xml:space="preserve">Standorte</t>
  </si>
  <si>
    <t xml:space="preserve">an allen Standorten, an denen körperliche Dokumente verarbeitet werden, Vernichtungseinrichtungen</t>
  </si>
  <si>
    <t xml:space="preserve">Informationen und Assets für Standorte KANN an allen Standorten, an denen körperliche Dokumente verarbeitet werden, Vernichtungseinrichtungen vor dem Zugriff unbefugter geschützt installieren.</t>
  </si>
  <si>
    <t xml:space="preserve">ASST.7.6</t>
  </si>
  <si>
    <t xml:space="preserve">Autorisierung von Veräußerungen</t>
  </si>
  <si>
    <t xml:space="preserve">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</si>
  <si>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 xml:space="preserve">Veräußerungen von Assets</t>
  </si>
  <si>
    <t xml:space="preserve">Informationen und Assets SOLLTE Veräußerungen von Assets durch eine zuständige Person oder Rolle autorisieren.</t>
  </si>
  <si>
    <t xml:space="preserve">ASST.7.7</t>
  </si>
  <si>
    <t xml:space="preserve">Beschriftungen entfernen</t>
  </si>
  <si>
    <t xml:space="preserve">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</si>
  <si>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 xml:space="preserve">alle der Institution zuzuordnenden Beschriftungen</t>
  </si>
  <si>
    <t xml:space="preserve">Informationen und Assets SOLLTE alle der Institution zuzuordnenden Beschriftungen vor der Veräußerung von Assets löschen.</t>
  </si>
  <si>
    <t xml:space="preserve">BER.1.1</t>
  </si>
  <si>
    <t xml:space="preserve">APP.2.2.A1-UA.2</t>
  </si>
  <si>
    <t xml:space="preserve">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</si>
  <si>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 xml:space="preserve">Inventar Berechtigungen</t>
  </si>
  <si>
    <t xml:space="preserve">Verfahren und Regelungen zum Identitäts- und Berechtigungsmanagement</t>
  </si>
  <si>
    <t xml:space="preserve">BER.1.1.1</t>
  </si>
  <si>
    <t xml:space="preserve">Berechtigung MUSS die Verfahren und Regelungen dokumentieren.</t>
  </si>
  <si>
    <t xml:space="preserve">Prozess Identitäts- und Berechtigungsmanagement</t>
  </si>
  <si>
    <t xml:space="preserve">BER.1.1.2</t>
  </si>
  <si>
    <t xml:space="preserve">Berechtigung MUSS die mit den Verfahren und Regelungen verbundenen Aufgaben zuständigen Personen oder Rollen zuweisen.</t>
  </si>
  <si>
    <t xml:space="preserve">BER.1.1.3</t>
  </si>
  <si>
    <t xml:space="preserve">Berechtigung MUSS die zuständigen Personen oder Rollen über die Verfahren und Regelungen informieren.</t>
  </si>
  <si>
    <t xml:space="preserve">BER.1.2</t>
  </si>
  <si>
    <t xml:space="preserve">Prüfplan</t>
  </si>
  <si>
    <t xml:space="preserve">Berechtigung MUSS die Verfahren und Regelungen regelmäßig und anlassbezogen auf Aktualität überprüfen.</t>
  </si>
  <si>
    <t xml:space="preserve">BER.1.3</t>
  </si>
  <si>
    <t xml:space="preserve">Inventar Authentifizierungs- und Autorisierungssysteme</t>
  </si>
  <si>
    <t xml:space="preserve">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</si>
  <si>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 xml:space="preserve">Inventar Berechtigungssysteme</t>
  </si>
  <si>
    <t xml:space="preserve">ein Inventar der Systeme zur Authentifizierung und Autorisierung</t>
  </si>
  <si>
    <t xml:space="preserve">Berechtigung SOLLTE ein Inventar der Systeme zur Authentifizierung und Autorisierung dokumentieren.</t>
  </si>
  <si>
    <t xml:space="preserve">BER.1.4</t>
  </si>
  <si>
    <t xml:space="preserve">Inventar der Berechtigungen</t>
  </si>
  <si>
    <t xml:space="preserve">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</si>
  <si>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 xml:space="preserve">ein Inventar der Berechtigungen</t>
  </si>
  <si>
    <t xml:space="preserve">Berechtigung SOLLTE ein Inventar der Berechtigungen mit Personen, Identitäten, Zugangskonten, Berechtigungen und deren jeweiliger Zuordnung dokumentieren.</t>
  </si>
  <si>
    <t xml:space="preserve">BER.2.1</t>
  </si>
  <si>
    <t xml:space="preserve">Person-Identität</t>
  </si>
  <si>
    <t xml:space="preserve">Hier wird eine Identität ("muellera") genau einer natürlichen Person ("Andrea Müller") zugewiesen, oder einem IT-System ("pc02348" zu "pc02348.our.domain").</t>
  </si>
  <si>
    <t xml:space="preserve">eine eindeutige Identität zu genau einer natürlichen Person oder einem IT-System</t>
  </si>
  <si>
    <t xml:space="preserve">G 0.36 – Identitätsdiebstahl; G 0.30 – Unberechtigte Nutzung oder Administration von Geräten und Systemen; G 0.32 – Missbrauch von Berechtigungen</t>
  </si>
  <si>
    <t xml:space="preserve">Berechtigung SOLLTE eine eindeutige Identität zu genau einer natürlichen Person oder einem IT-System zuweisen.</t>
  </si>
  <si>
    <t xml:space="preserve">BER.2.2</t>
  </si>
  <si>
    <t xml:space="preserve">Einschränkung</t>
  </si>
  <si>
    <t xml:space="preserve">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</si>
  <si>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 xml:space="preserve">die Einrichtung, Änderung oder Löschung einer Identität</t>
  </si>
  <si>
    <t xml:space="preserve">Berechtigung SOLLTE die Einrichtung, Änderung oder Löschung einer Identität einschränken.</t>
  </si>
  <si>
    <t xml:space="preserve">BER.2.3</t>
  </si>
  <si>
    <t xml:space="preserve">Stammdatenprüfung</t>
  </si>
  <si>
    <t xml:space="preserve">Allgemeine Stammdaten können z.B. sein: Unterlagen der Personalabteilung, Ergebnisse von Netzwerkscans für IT-Systeme, CMDB. Der Abgleich kann auch automatisiert vorgenommen werden.</t>
  </si>
  <si>
    <t xml:space="preserve">Stammdaten einer Identität anhand allgemeiner Stammdaten</t>
  </si>
  <si>
    <t xml:space="preserve">Berechtigung SOLLTE Stammdaten einer Identität anhand allgemeiner Stammdaten regelmäßig überprüfen.</t>
  </si>
  <si>
    <t xml:space="preserve">BER.2.4</t>
  </si>
  <si>
    <t xml:space="preserve">Protokollierung von Stammdatenänderungen</t>
  </si>
  <si>
    <t xml:space="preserve">Zu einem Ereignisprotokoll gehört der Zeitpunkt, das Zugangskonto, sowie welche Änderungen vorgenommen wurden.</t>
  </si>
  <si>
    <t xml:space="preserve">Änderungen von Identitäts-Stammdaten</t>
  </si>
  <si>
    <t xml:space="preserve">G 0.36 – Identitätsdiebstahl; G 0.30 – Unberechtigte Nutzung oder Administration von Geräten und Systemen; G 0.32 – Missbrauch von Berechtigungen; G 0.37 – Abstreiten von Handlungen</t>
  </si>
  <si>
    <t xml:space="preserve">Berechtigung SOLLTE Änderungen von Identitäts-Stammdaten protokollieren.</t>
  </si>
  <si>
    <t xml:space="preserve">BER.2.5</t>
  </si>
  <si>
    <t xml:space="preserve">Deaktivierung bei Weggang</t>
  </si>
  <si>
    <t xml:space="preserve">ORP.2.A2-UA.4</t>
  </si>
  <si>
    <t xml:space="preserve">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</si>
  <si>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 xml:space="preserve">die zugeordnete Identität</t>
  </si>
  <si>
    <t xml:space="preserve">Berechtigung SOLLTE die zugeordnete Identität bei Weggang von Nutzenden deaktivieren.</t>
  </si>
  <si>
    <t xml:space="preserve">BER.2.6</t>
  </si>
  <si>
    <t xml:space="preserve">Löschen nach Fristablauf</t>
  </si>
  <si>
    <t xml:space="preserve">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</si>
  <si>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nicht mehr benötigte Identitäten</t>
  </si>
  <si>
    <t xml:space="preserve">Berechtigung SOLLTE nicht mehr benötigte Identitäten nach Ablauf der Löschfristen löschen.</t>
  </si>
  <si>
    <t xml:space="preserve">BER.3.1</t>
  </si>
  <si>
    <t xml:space="preserve">Zentrales Management</t>
  </si>
  <si>
    <t xml:space="preserve">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</si>
  <si>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 xml:space="preserve">ein zentrales Managementsystem für Zugangskonten</t>
  </si>
  <si>
    <t xml:space="preserve">Berechtigung SOLLTE ein zentrales Managementsystem für Zugangskonten installieren.</t>
  </si>
  <si>
    <t xml:space="preserve">BER.3.2</t>
  </si>
  <si>
    <t xml:space="preserve">Autorisierung neuer Zugangskonten</t>
  </si>
  <si>
    <t xml:space="preserve">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</si>
  <si>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 xml:space="preserve">die Einrichtung von Zugangskonten</t>
  </si>
  <si>
    <t xml:space="preserve">Berechtigung SOLLTE die Einrichtung von Zugangskonten durch bestimmte Personen oder Rollen autorisieren.</t>
  </si>
  <si>
    <t xml:space="preserve">BER.3.3</t>
  </si>
  <si>
    <t xml:space="preserve">Einschränkung des Managements</t>
  </si>
  <si>
    <t xml:space="preserve">Management meint hier Aktionen wie z.B. das Erstellen oder Ändern von Metadaten oder Berechtigungen oder die Löschung des Zugangskontos.</t>
  </si>
  <si>
    <t xml:space="preserve">das Management von Zugangskonten</t>
  </si>
  <si>
    <t xml:space="preserve">Berechtigung SOLLTE das Management von Zugangskonten auf Administrierende einschränken.</t>
  </si>
  <si>
    <t xml:space="preserve">BER.3.4</t>
  </si>
  <si>
    <t xml:space="preserve">Protokollierung von Änderungen</t>
  </si>
  <si>
    <t xml:space="preserve">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</si>
  <si>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 xml:space="preserve">Aktionen an Zugangskonten</t>
  </si>
  <si>
    <t xml:space="preserve">Berechtigung SOLLTE Aktionen an Zugangskonten revisionsfähig protokollieren.</t>
  </si>
  <si>
    <t xml:space="preserve">BER.3.5</t>
  </si>
  <si>
    <t xml:space="preserve">Identität-Zugangskonto</t>
  </si>
  <si>
    <t xml:space="preserve">APP.2.2.A22-UA.1</t>
  </si>
  <si>
    <t xml:space="preserve">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</si>
  <si>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 xml:space="preserve">ein Zugangskonto zu genau einer Identität</t>
  </si>
  <si>
    <t xml:space="preserve">Berechtigung SOLLTE ein Zugangskonto zu genau einer Identität zuweisen.</t>
  </si>
  <si>
    <t xml:space="preserve">BER.3.6</t>
  </si>
  <si>
    <t xml:space="preserve">Privilegierte Zugangskonten</t>
  </si>
  <si>
    <t xml:space="preserve">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</si>
  <si>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 xml:space="preserve">separate Zugangskonten für administrative Tätigkeiten (Administrationskonten)</t>
  </si>
  <si>
    <t xml:space="preserve">Berechtigung für Administrierende SOLLTE separate Zugangskonten für administrative Tätigkeiten (Administrationskonten) verankern.</t>
  </si>
  <si>
    <t xml:space="preserve">BER.3.7</t>
  </si>
  <si>
    <t xml:space="preserve">Single-Sign-On</t>
  </si>
  <si>
    <t xml:space="preserve">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</si>
  <si>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 xml:space="preserve">die Anmeldung über einen zentralen Identitätsprovider</t>
  </si>
  <si>
    <t xml:space="preserve">Berechtigung für Anwendungen SOLLTE die Anmeldung über einen zentralen Identitätsprovider aktivieren.</t>
  </si>
  <si>
    <t xml:space="preserve">BER.3.8</t>
  </si>
  <si>
    <t xml:space="preserve">Hinweise bei Anmeldefehlern</t>
  </si>
  <si>
    <t xml:space="preserve">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</si>
  <si>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 xml:space="preserve">Hinweise darauf, ob ein Zugangskonto existiert</t>
  </si>
  <si>
    <t xml:space="preserve">Berechtigung für Anwendungen SOLLTE Hinweise darauf, ob ein Zugangskonto existiert bei erfolglosen Anmeldeversuchen deaktivieren.</t>
  </si>
  <si>
    <t xml:space="preserve">BER.3.9</t>
  </si>
  <si>
    <t xml:space="preserve">Ereignisgesteuerte Deaktivierung</t>
  </si>
  <si>
    <t xml:space="preserve">APP.3.1.A1-UA.4</t>
  </si>
  <si>
    <t xml:space="preserve">Ungenutzte Zugangskonten stellen ein unnötiges Risiko für unberechtigte Zugriffe dar. Werden sie z.B. bei längerer Inaktivität, bei Personalweggang oder bei Verletzung von Richtlinien unverzüglich deaktiviert, so vermindert sich das Risiko eines Missbrauchs erheblich.</t>
  </si>
  <si>
    <t xml:space="preserve">Ergebnisprotokoll</t>
  </si>
  <si>
    <t xml:space="preserve">Zugangskonten</t>
  </si>
  <si>
    <t xml:space="preserve">Berechtigung SOLLTE Zugangskonten ereignisgesteuert deaktivieren.</t>
  </si>
  <si>
    <t xml:space="preserve">BER.3.10</t>
  </si>
  <si>
    <t xml:space="preserve">Anmeldeversuchsgrenze am System</t>
  </si>
  <si>
    <t xml:space="preserve">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</si>
  <si>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 xml:space="preserve">weitere Anmeldeversuche nach Erreichen von {{einem maximalen Schwellwert an}} fehlgeschlagenen Versuchen</t>
  </si>
  <si>
    <t xml:space="preserve">Berechtigung für IT-Systeme SOLLTE weitere Anmeldeversuche nach Erreichen von einem maximalen Schwellwert an fehlgeschlagenen Versuchen vorübergehend blockieren.</t>
  </si>
  <si>
    <t xml:space="preserve">BER.3.11</t>
  </si>
  <si>
    <t xml:space="preserve">Anmeldeversuchsgrenze an der Anwendung</t>
  </si>
  <si>
    <t xml:space="preserve">SYS.2.1.A1-UA.2; SYS.2.1.A1-UA.3</t>
  </si>
  <si>
    <t xml:space="preserve">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</si>
  <si>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 xml:space="preserve">Berechtigung für Anwendungen SOLLTE weitere Anmeldeversuche nach Erreichen von einem maximalen Schwellwert an fehlgeschlagenen Versuchen vorübergehend blockieren.</t>
  </si>
  <si>
    <t xml:space="preserve">BER.3.12</t>
  </si>
  <si>
    <t xml:space="preserve">Systemsperre bei Inaktivität</t>
  </si>
  <si>
    <t xml:space="preserve">Kann durch eine Bildschirmsperre oder Abmeldung (Automatic Session Locking) umgesetzt werden. Eine längere Inaktivität kann z.B. 5-15 Minuten lang sein. Verwendet das System keine eigene Authentifizierung, so ist auch diese Anforderung entbehrlich.</t>
  </si>
  <si>
    <t xml:space="preserve">eine Sperre bei Inaktivität</t>
  </si>
  <si>
    <t xml:space="preserve">Berechtigung für IT-Systeme SOLLTE eine Sperre bei Inaktivität nach einer Frist aktivieren.</t>
  </si>
  <si>
    <t xml:space="preserve">BER.3.13</t>
  </si>
  <si>
    <t xml:space="preserve">Sperre der Anwendung bei Inaktivität</t>
  </si>
  <si>
    <t xml:space="preserve">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</si>
  <si>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 xml:space="preserve">Berechtigung für Anwendungen SOLLTE eine Sperre bei Inaktivität nach einer Frist aktivieren.</t>
  </si>
  <si>
    <t xml:space="preserve">BER.3.14</t>
  </si>
  <si>
    <t xml:space="preserve">Kein Recycling von Zugängen</t>
  </si>
  <si>
    <t xml:space="preserve">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</si>
  <si>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 xml:space="preserve">die Wiederverwendung von Zugangskonten</t>
  </si>
  <si>
    <t xml:space="preserve">G 0.30 – Unberechtigte Nutzung oder Administration von Geräten und Systemen; G 0.32 – Missbrauch von Berechtigungen; G 0.36 – Identitätsdiebstahl</t>
  </si>
  <si>
    <t xml:space="preserve">Berechtigung SOLLTE die Wiederverwendung von Zugangskonten für einen bestimmten Zeitraum blockieren.</t>
  </si>
  <si>
    <t xml:space="preserve">BER.3.15</t>
  </si>
  <si>
    <t xml:space="preserve">Zugang löschen nach Fristablauf</t>
  </si>
  <si>
    <t xml:space="preserve">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</si>
  <si>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nicht mehr benötigte Zugangskonten</t>
  </si>
  <si>
    <t xml:space="preserve">Berechtigung SOLLTE nicht mehr benötigte Zugangskonten nach Ablauf der Löschfristen löschen.</t>
  </si>
  <si>
    <t xml:space="preserve">BER.3.16</t>
  </si>
  <si>
    <t xml:space="preserve">Keine Gruppenkonten</t>
  </si>
  <si>
    <t xml:space="preserve">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</si>
  <si>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 xml:space="preserve">Gruppenkonten im Regelbetrieb</t>
  </si>
  <si>
    <t xml:space="preserve">Berechtigung SOLLTE Gruppenkonten im Regelbetrieb untersagen.</t>
  </si>
  <si>
    <t xml:space="preserve">BER.3.17</t>
  </si>
  <si>
    <t xml:space="preserve">Gruppenkonten - MFA</t>
  </si>
  <si>
    <t xml:space="preserve">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</si>
  <si>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 xml:space="preserve">für Gruppenkonten die Mehr-Faktor-Authentisierung</t>
  </si>
  <si>
    <t xml:space="preserve">Berechtigung SOLLTE für Gruppenkonten die Mehr-Faktor-Authentisierung aktivieren.</t>
  </si>
  <si>
    <t xml:space="preserve">BER.3.18</t>
  </si>
  <si>
    <t xml:space="preserve">Gruppenkonten - Wechsel dokumentieren</t>
  </si>
  <si>
    <t xml:space="preserve">Es kann z.B. anhand von Dienst- oder Anwesenheitsplänen nachvollzogen werden, wer wann theoretisch Zugriff gehabt haben könnte. Werden keine Gruppenkonten verwendet, so ist die Anforderung entbehrlich.</t>
  </si>
  <si>
    <t xml:space="preserve">für Gruppenkonten die Identitäten, welche die Möglichkeit zum Zugriff haben,</t>
  </si>
  <si>
    <t xml:space="preserve">Berechtigung SOLLTE für Gruppenkonten die Identitäten, welche die Möglichkeit zum Zugriff haben, zum Wechselzeitpunkt dokumentieren.</t>
  </si>
  <si>
    <t xml:space="preserve">BER.3.19</t>
  </si>
  <si>
    <t xml:space="preserve">Gruppenkonten - Passwortwechsel bei Weggang</t>
  </si>
  <si>
    <t xml:space="preserve">Gruppenkonten werden von mehreren Nutzenden (z.B. Schichtdienst) verwendet. Verlassen Nutzende die Institution oder Wechseln das Tätigkeitsfeld und das Passwort des Gruppenkontos wird nicht gewechselt, so besteht die Gefahr, dass das Gruppenkonto unberechtigt verwendet wird.</t>
  </si>
  <si>
    <t xml:space="preserve">für Gruppenkonten die Änderung von Zugangsdaten</t>
  </si>
  <si>
    <t xml:space="preserve">Berechtigung SOLLTE für Gruppenkonten die Änderung von Zugangsdaten bei Weggang von Nutzenden ausführen.</t>
  </si>
  <si>
    <t xml:space="preserve">BER.3.20</t>
  </si>
  <si>
    <t xml:space="preserve">Zwischenspeicherung von Zugangsdaten</t>
  </si>
  <si>
    <t xml:space="preserve">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</si>
  <si>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 xml:space="preserve">die Zwischenspeicherung der Zugangsdaten</t>
  </si>
  <si>
    <t xml:space="preserve">Berechtigung für IT-Systeme SOLLTE die Zwischenspeicherung der Zugangsdaten von Nutzern deaktivieren.</t>
  </si>
  <si>
    <t xml:space="preserve">BER.3.21</t>
  </si>
  <si>
    <t xml:space="preserve">Dienstekonten</t>
  </si>
  <si>
    <t xml:space="preserve">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</si>
  <si>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 xml:space="preserve">eine automatische Verwaltung der Zugangsdaten</t>
  </si>
  <si>
    <t xml:space="preserve">Berechtigung für Hostsysteme SOLLTE eine automatische Verwaltung der Zugangsdaten von Dienste-Konten aktivieren.</t>
  </si>
  <si>
    <t xml:space="preserve">BER.3.22</t>
  </si>
  <si>
    <t xml:space="preserve">Notfallzugang</t>
  </si>
  <si>
    <t xml:space="preserve">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</si>
  <si>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 xml:space="preserve">Notfallzugangskonten</t>
  </si>
  <si>
    <t xml:space="preserve">Berechtigung KANN Notfallzugangskonten installieren.</t>
  </si>
  <si>
    <t xml:space="preserve">BER.3.23</t>
  </si>
  <si>
    <t xml:space="preserve">Notfallzugang Verzeichnisdienst</t>
  </si>
  <si>
    <t xml:space="preserve">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</si>
  <si>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 xml:space="preserve">Verzeichnisdienste</t>
  </si>
  <si>
    <t xml:space="preserve">ein Notfallzugangskonto</t>
  </si>
  <si>
    <t xml:space="preserve">Berechtigung für Verzeichnisdienste SOLLTE ein Notfallzugangskonto installieren.</t>
  </si>
  <si>
    <t xml:space="preserve">BER.3.24</t>
  </si>
  <si>
    <t xml:space="preserve">Alternative Authentifizierung am IT-System</t>
  </si>
  <si>
    <t xml:space="preserve">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</si>
  <si>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 xml:space="preserve">Anwendungsdokumentation</t>
  </si>
  <si>
    <t xml:space="preserve">ein ebenso vertrauenswürdiges, alternatives Verfahren zur Authentifizierung</t>
  </si>
  <si>
    <t xml:space="preserve">G 0.36 – Identitätsdiebstahl; G 0.30 – Unberechtigte Nutzung oder Administration von Geräten und Systemen</t>
  </si>
  <si>
    <t xml:space="preserve">Berechtigung für IT-Systeme KANN ein ebenso vertrauenswürdiges, alternatives Verfahren zur Authentifizierung verankern.</t>
  </si>
  <si>
    <t xml:space="preserve">BER.3.25</t>
  </si>
  <si>
    <t xml:space="preserve">Alternative Authentifizierung an der Anwendung</t>
  </si>
  <si>
    <t xml:space="preserve">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</si>
  <si>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 xml:space="preserve">Berechtigung für Anwendungen KANN ein ebenso vertrauenswürdiges, alternatives Verfahren zur Authentifizierung verankern.</t>
  </si>
  <si>
    <t xml:space="preserve">BER.4.1</t>
  </si>
  <si>
    <t xml:space="preserve">Prinzip der geringsten Berechtigungen</t>
  </si>
  <si>
    <t xml:space="preserve">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</si>
  <si>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 xml:space="preserve">die Vergabe von Berechtigungen nach dem Prinzip der geringsten Berechtigungen</t>
  </si>
  <si>
    <t xml:space="preserve">G 0.36 – Identitätsdiebstahl; G 0.30 – Unberechtigte Nutzung oder Administration von Geräten und Systemen; G 0.32 – Missbrauch von Berechtigungen; G 0.18 – Fehlplanung oder fehlende Anpassung</t>
  </si>
  <si>
    <t xml:space="preserve">Berechtigung SOLLTE die Vergabe von Berechtigungen nach dem Prinzip der geringsten Berechtigungen einschränken.</t>
  </si>
  <si>
    <t xml:space="preserve">BER.4.1.1</t>
  </si>
  <si>
    <t xml:space="preserve">Berechtigung SOLLTE Berechtigungen rollenbasiert zuweisen.</t>
  </si>
  <si>
    <t xml:space="preserve">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</si>
  <si>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 xml:space="preserve">Berechtigungen rollenbasiert</t>
  </si>
  <si>
    <t xml:space="preserve">BER.4.1.2</t>
  </si>
  <si>
    <t xml:space="preserve">Berechtigung KANN die Berechtigung zum Zeitpunkt des Zugriffs für besonders kritische Ressourcen oder Zugänge aktivieren.</t>
  </si>
  <si>
    <t xml:space="preserve">„JIT‑/JEA‑Berechtigungen“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</si>
  <si>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 xml:space="preserve">die Berechtigung zum Zeitpunkt des Zugriffs</t>
  </si>
  <si>
    <t xml:space="preserve">G 0.32 – Missbrauch von Berechtigungen; G 0.30 – Unberechtigte Nutzung oder Administration von Geräten und Systemen; G 0.36 – Identitätsdiebstahl</t>
  </si>
  <si>
    <t xml:space="preserve">BER.4.2</t>
  </si>
  <si>
    <t xml:space="preserve">Autorisierung von Berechtigungen</t>
  </si>
  <si>
    <t xml:space="preserve">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</si>
  <si>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 xml:space="preserve">die Zuweisung von Berechtigungen</t>
  </si>
  <si>
    <t xml:space="preserve">Berechtigung SOLLTE die Zuweisung von Berechtigungen durch bestimmte Personen oder Rollen autorisieren.</t>
  </si>
  <si>
    <t xml:space="preserve">BER.4.3</t>
  </si>
  <si>
    <t xml:space="preserve">Begründung von Berechtigungen</t>
  </si>
  <si>
    <t xml:space="preserve">Zweck ist die Nachvollziehbarkeit der Vergabe von Berechtigungen. Die Dokumentation kann z.B. mit einem Identity-Access-Management oder Personalmanagementsystem automatisiert werden.</t>
  </si>
  <si>
    <t xml:space="preserve">die Vergabe von Berechtigungen und Änderungen an Berechtigungen</t>
  </si>
  <si>
    <t xml:space="preserve">Berechtigung SOLLTE die Vergabe von Berechtigungen und Änderungen an Berechtigungen mit einer Begründung dokumentieren.</t>
  </si>
  <si>
    <t xml:space="preserve">BER.4.4</t>
  </si>
  <si>
    <t xml:space="preserve">Überprüfung von Berechtigungen</t>
  </si>
  <si>
    <t xml:space="preserve">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</si>
  <si>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 xml:space="preserve">vergebene Berechtigungen</t>
  </si>
  <si>
    <t xml:space="preserve">Berechtigung SOLLTE vergebene Berechtigungen regelmäßig auf Erforderlichkeit überprüfen.</t>
  </si>
  <si>
    <t xml:space="preserve">BER.4.4.1</t>
  </si>
  <si>
    <t xml:space="preserve">Berechtigung SOLLTE dokumentierte und tatsächlich vergebene Berechtigungen regelmäßig auf Übereinstimmung überprüfen.</t>
  </si>
  <si>
    <t xml:space="preserve">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</si>
  <si>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 xml:space="preserve">dokumentierte und tatsächlich vergebene Berechtigungen</t>
  </si>
  <si>
    <t xml:space="preserve">BER.4.5</t>
  </si>
  <si>
    <t xml:space="preserve">Systemfunktionen ohne Authentifizierung</t>
  </si>
  <si>
    <t xml:space="preserve">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</si>
  <si>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 xml:space="preserve">Systemdokumentation</t>
  </si>
  <si>
    <t xml:space="preserve">Funktionen, auf die ohne vorherige Authentifizierung zugegriffen werden kann,</t>
  </si>
  <si>
    <t xml:space="preserve">Berechtigung für IT-Systeme SOLLTE Funktionen, auf die ohne vorherige Authentifizierung zugegriffen werden kann, dokumentieren.</t>
  </si>
  <si>
    <t xml:space="preserve">BER.4.6</t>
  </si>
  <si>
    <t xml:space="preserve">Anwendungsfunktionen ohne Authentifizierung</t>
  </si>
  <si>
    <t xml:space="preserve">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</si>
  <si>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 xml:space="preserve">Berechtigung für Anwendungen SOLLTE Funktionen, auf die ohne vorherige Authentifizierung zugegriffen werden kann, dokumentieren.</t>
  </si>
  <si>
    <t xml:space="preserve">BER.4.7</t>
  </si>
  <si>
    <t xml:space="preserve">IT-System-Zugangskonto</t>
  </si>
  <si>
    <t xml:space="preserve">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</si>
  <si>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 xml:space="preserve">diese genau einem Zugangskonto</t>
  </si>
  <si>
    <t xml:space="preserve">Berechtigung für IT-Systeme KANN diese genau einem Zugangskonto zuweisen.</t>
  </si>
  <si>
    <t xml:space="preserve">BER.4.8</t>
  </si>
  <si>
    <t xml:space="preserve">Entzug von Berechtigungen</t>
  </si>
  <si>
    <t xml:space="preserve">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</si>
  <si>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 xml:space="preserve">eine Vorgehensweise zum Entzug von Berechtigungen</t>
  </si>
  <si>
    <t xml:space="preserve">Berechtigung SOLLTE eine Vorgehensweise zum Entzug von Berechtigungen verankern.</t>
  </si>
  <si>
    <t xml:space="preserve">BER.5.1</t>
  </si>
  <si>
    <t xml:space="preserve">Vorgehensweise zur Ausgabe</t>
  </si>
  <si>
    <t xml:space="preserve">APP.4.2.A14-UA.2</t>
  </si>
  <si>
    <t xml:space="preserve">subset-of</t>
  </si>
  <si>
    <t xml:space="preserve">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</si>
  <si>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 xml:space="preserve">eine Vorgehensweise zur initialen Ausgabe von Authentifizierungsmitteln</t>
  </si>
  <si>
    <t xml:space="preserve">G 0.36 – Identitätsdiebstahl</t>
  </si>
  <si>
    <t xml:space="preserve">Berechtigung SOLLTE eine Vorgehensweise zur initialen Ausgabe von Authentifizierungsmitteln verankern.</t>
  </si>
  <si>
    <t xml:space="preserve">BER.5.1.1</t>
  </si>
  <si>
    <t xml:space="preserve">Berechtigung SOLLTE vor der Verteilung von Authentifizierungsmitteln die Identität authentifizieren.</t>
  </si>
  <si>
    <t xml:space="preserve">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</si>
  <si>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 xml:space="preserve">vor der Verteilung von Authentifizierungsmitteln die Identität</t>
  </si>
  <si>
    <t xml:space="preserve">BER.5.2</t>
  </si>
  <si>
    <t xml:space="preserve">Vorgehensweise zur Zurücksetzung</t>
  </si>
  <si>
    <t xml:space="preserve">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</si>
  <si>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 xml:space="preserve">eine Vorgehensweise zur Zurücksetzung von Authentifizierungsmitteln</t>
  </si>
  <si>
    <t xml:space="preserve">Berechtigung SOLLTE eine Vorgehensweise zur Zurücksetzung von Authentifizierungsmitteln verankern.</t>
  </si>
  <si>
    <t xml:space="preserve">BER.5.3</t>
  </si>
  <si>
    <t xml:space="preserve">Vorgehensweise zum Widerruf</t>
  </si>
  <si>
    <t xml:space="preserve">APP.2.2.A23-UA.1; APP.4.2.A14-UA.1</t>
  </si>
  <si>
    <t xml:space="preserve">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</si>
  <si>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 xml:space="preserve">eine Vorgehensweise zum Widerruf von Authentifizierungsmitteln</t>
  </si>
  <si>
    <t xml:space="preserve">Berechtigung SOLLTE eine Vorgehensweise zum Widerruf von Authentifizierungsmitteln verankern.</t>
  </si>
  <si>
    <t xml:space="preserve">BER.5.4</t>
  </si>
  <si>
    <t xml:space="preserve">Nur etablierte Kryptographie</t>
  </si>
  <si>
    <t xml:space="preserve">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</si>
  <si>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 xml:space="preserve">bei kryptografischen Authentifizierungsmitteln die ausschließliche Verwendung etablierter kryptografischer Algorithmen</t>
  </si>
  <si>
    <t xml:space="preserve">Berechtigung SOLLTE bei kryptografischen Authentifizierungsmitteln die ausschließliche Verwendung etablierter kryptografischer Algorithmen nach einem oder mehreren anerkannten Standards verankern.</t>
  </si>
  <si>
    <t xml:space="preserve">BER.5.5</t>
  </si>
  <si>
    <t xml:space="preserve">Deaktivierung einfacher Biometrie auf IT-Systemen</t>
  </si>
  <si>
    <t xml:space="preserve">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</si>
  <si>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 xml:space="preserve">die Authentifizierung nur anhand von Biometrie</t>
  </si>
  <si>
    <t xml:space="preserve">Berechtigung für IT-Systeme SOLLTE die Authentifizierung nur anhand von Biometrie deaktivieren.</t>
  </si>
  <si>
    <t xml:space="preserve">BER.5.6</t>
  </si>
  <si>
    <t xml:space="preserve">Vorkonfigurierte Authentisierungsmittel von IT-Systemen</t>
  </si>
  <si>
    <t xml:space="preserve">Herstellerseitige Standardkonten und Default-Passwörter stellen ein beliebtes Eingangstor für Angreifer dar. Achten Sie hierbei nicht nur auf Passwörter, sondern auch auf andere Zugangsmittel wie Hardware-Zugangstoken, Zertifikate oder physische Zugangskontrollsysteme.</t>
  </si>
  <si>
    <t xml:space="preserve">vorkonfigurierte Authentisierungsmittel</t>
  </si>
  <si>
    <t xml:space="preserve">Berechtigung für IT-Systeme SOLLTE vorkonfigurierte Authentisierungsmittel deaktivieren.</t>
  </si>
  <si>
    <t xml:space="preserve">BER.5.7</t>
  </si>
  <si>
    <t xml:space="preserve">Vorkonfigurierte Authentisierungsmittel von Anwendungen</t>
  </si>
  <si>
    <t xml:space="preserve">Berechtigung für Anwendungen SOLLTE vorkonfigurierte Authentisierungsmittel deaktivieren.</t>
  </si>
  <si>
    <t xml:space="preserve">BER.5.8</t>
  </si>
  <si>
    <t xml:space="preserve">Mehr-Faktor-Authentisierung am Perimeter</t>
  </si>
  <si>
    <t xml:space="preserve">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</si>
  <si>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 xml:space="preserve">Anwendungen, Externe Netzanschlüsse</t>
  </si>
  <si>
    <t xml:space="preserve">Phishing-resistente Mehr-Faktor-Authentisierung</t>
  </si>
  <si>
    <t xml:space="preserve">G 0.36 – Identitätsdiebstahl; G 0.30 – Unberechtigte Nutzung oder Administration von Geräten und Systemen; G 0.42 – Social Engineering</t>
  </si>
  <si>
    <t xml:space="preserve">Berechtigung für Anwendungen von Externe Netzanschlüssen SOLLTE Phishing-resistente Mehr-Faktor-Authentisierung für alle Schnittstellen, auf die von Extern zugegriffen werden könnte, aktivieren.</t>
  </si>
  <si>
    <t xml:space="preserve">BER.5.9</t>
  </si>
  <si>
    <t xml:space="preserve">Mehr-Faktor-Authentisierung für weitreichende Berechtigungen</t>
  </si>
  <si>
    <t xml:space="preserve">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</si>
  <si>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 xml:space="preserve">Mehr-Faktor-Authentisierung</t>
  </si>
  <si>
    <t xml:space="preserve">Berechtigung SOLLTE Mehr-Faktor-Authentisierung für weitreichende Berechtigungen aktivieren.</t>
  </si>
  <si>
    <t xml:space="preserve">BER.5.10</t>
  </si>
  <si>
    <t xml:space="preserve">Zugriffsbeschränkung pro IT-System</t>
  </si>
  <si>
    <t xml:space="preserve">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</si>
  <si>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 xml:space="preserve">den lesenden und schreibenden Zugriff auf Authentifizierungsmittel</t>
  </si>
  <si>
    <t xml:space="preserve">Berechtigung für IT-Systeme SOLLTE den lesenden und schreibenden Zugriff auf Authentifizierungsmittel einschränken.</t>
  </si>
  <si>
    <t xml:space="preserve">BER.5.11</t>
  </si>
  <si>
    <t xml:space="preserve">Zugriffsbeschränkung pro Anwendung</t>
  </si>
  <si>
    <t xml:space="preserve">Integrität, Authentizität</t>
  </si>
  <si>
    <t xml:space="preserve">Berechtigung für Anwendungen SOLLTE den lesenden und schreibenden Zugriff auf Authentifizierungsmittel einschränken.</t>
  </si>
  <si>
    <t xml:space="preserve">BER.5.12</t>
  </si>
  <si>
    <t xml:space="preserve">Zugang nur durch zwei Personen</t>
  </si>
  <si>
    <t xml:space="preserve">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</si>
  <si>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 xml:space="preserve">die Aufteilung von Authentisierungsmitteln auf mehrere Personen</t>
  </si>
  <si>
    <t xml:space="preserve">Berechtigung KANN die Aufteilung von Authentisierungsmitteln auf mehrere Personen verankern.</t>
  </si>
  <si>
    <t xml:space="preserve">BER.5.13</t>
  </si>
  <si>
    <t xml:space="preserve">Identitätsüberprüfung</t>
  </si>
  <si>
    <t xml:space="preserve">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</si>
  <si>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 xml:space="preserve">vor dem Zurücksetzen von Berechtigungsmitteln eine Identitätsüberprüfung</t>
  </si>
  <si>
    <t xml:space="preserve">Berechtigung SOLLTE vor dem Zurücksetzen von Berechtigungsmitteln eine Identitätsüberprüfung verankern.</t>
  </si>
  <si>
    <t xml:space="preserve">BER.5.14</t>
  </si>
  <si>
    <t xml:space="preserve">Kompromittierte Authentifizierungsmittel</t>
  </si>
  <si>
    <t xml:space="preserve">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</si>
  <si>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 xml:space="preserve">die Sperrung kompromittierter Authentifizierungsmittel</t>
  </si>
  <si>
    <t xml:space="preserve">Berechtigung SOLLTE die Sperrung kompromittierter Authentifizierungsmittel verankern.</t>
  </si>
  <si>
    <t xml:space="preserve">BER.6.1</t>
  </si>
  <si>
    <t xml:space="preserve">Passwortmanager</t>
  </si>
  <si>
    <t xml:space="preserve">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</si>
  <si>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 xml:space="preserve">einen Passwortmanager</t>
  </si>
  <si>
    <t xml:space="preserve">Berechtigung für Nutzende SOLLTE einen Passwortmanager installieren.</t>
  </si>
  <si>
    <t xml:space="preserve">BER.6.2</t>
  </si>
  <si>
    <t xml:space="preserve">Blockieren von Passwort Recycling</t>
  </si>
  <si>
    <t xml:space="preserve">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</si>
  <si>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 xml:space="preserve">die Wiederverwendung von Passwörtern</t>
  </si>
  <si>
    <t xml:space="preserve">Berechtigung für Nutzende SOLLTE die Wiederverwendung von Passwörtern blockieren.</t>
  </si>
  <si>
    <t xml:space="preserve">BER.6.3</t>
  </si>
  <si>
    <t xml:space="preserve">Trivialpasswörter</t>
  </si>
  <si>
    <t xml:space="preserve">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</si>
  <si>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 xml:space="preserve">die Verwendung von Trivialpassworten</t>
  </si>
  <si>
    <t xml:space="preserve">Berechtigung für Nutzende SOLLTE die Verwendung von Trivialpassworten blockieren.</t>
  </si>
  <si>
    <t xml:space="preserve">BER.6.4</t>
  </si>
  <si>
    <t xml:space="preserve">Kriterien für die Qualität von Passwörtern</t>
  </si>
  <si>
    <t xml:space="preserve">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</si>
  <si>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 xml:space="preserve">Berechtigung SOLLTE Kriterien für die Qualität von Passwörtern anhand von Lebensdauer und Angriffsmöglichkeiten verankern.</t>
  </si>
  <si>
    <t xml:space="preserve">BER.6.5</t>
  </si>
  <si>
    <t xml:space="preserve">Anlassbezogene Passwortwechsel</t>
  </si>
  <si>
    <t xml:space="preserve">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</si>
  <si>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 xml:space="preserve">einen Passwortwechsel</t>
  </si>
  <si>
    <t xml:space="preserve">Berechtigung SOLLTE einen Passwortwechsel ausschließlich anlassbezogen ausführen.</t>
  </si>
  <si>
    <t xml:space="preserve">BER.6.6</t>
  </si>
  <si>
    <t xml:space="preserve">Monitoring von Zugangsdaten</t>
  </si>
  <si>
    <t xml:space="preserve">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</si>
  <si>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 xml:space="preserve">Detektions-Konzept</t>
  </si>
  <si>
    <t xml:space="preserve">Zugangsdaten auf Kompromittierung</t>
  </si>
  <si>
    <t xml:space="preserve">G 0.36 – Identitätsdiebstahl; G 0.30 – Unberechtigte Nutzung oder Administration von Geräten und Systemen; G 0.18 – Fehlplanung oder fehlende Anpassung; G 0.47 – Schädliche Seiteneffekte IT-gestützter Angriffe</t>
  </si>
  <si>
    <t xml:space="preserve">Berechtigung SOLLTE Zugangsdaten auf Kompromittierung durch einen automatisierten Mechanismus überwachen.</t>
  </si>
  <si>
    <t xml:space="preserve">BER.7.1</t>
  </si>
  <si>
    <t xml:space="preserve">Etablierte Algorithmen bei der Schlüsselerzeugung</t>
  </si>
  <si>
    <t xml:space="preserve">CON.1.A1-UA.1</t>
  </si>
  <si>
    <t xml:space="preserve">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</si>
  <si>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 xml:space="preserve">die ausschließliche Verwendung etablierter kryptografischer Algorithmen</t>
  </si>
  <si>
    <t xml:space="preserve">Berechtigung SOLLTE die ausschließliche Verwendung etablierter kryptografischer Algorithmen bei der Schlüsselerzeugung nach einem anerkannten Standard verankern.</t>
  </si>
  <si>
    <t xml:space="preserve">BER.7.2</t>
  </si>
  <si>
    <t xml:space="preserve">Schlüssellänge</t>
  </si>
  <si>
    <t xml:space="preserve">Für die Sicherheit von Schlüsseln wie Passwörter oder PINs ist die Länge von Bedeutung. Für Details siehe BSI TR-02102.</t>
  </si>
  <si>
    <t xml:space="preserve">Verzeichnis öffentlicher Schlüssel</t>
  </si>
  <si>
    <t xml:space="preserve">die Schlüssellängen</t>
  </si>
  <si>
    <t xml:space="preserve">Berechtigung SOLLTE die Schlüssellängen nach einem anerkannten Standard bei der Schlüsselerzeugung zuweisen.</t>
  </si>
  <si>
    <t xml:space="preserve">BER.7.3</t>
  </si>
  <si>
    <t xml:space="preserve">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</si>
  <si>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 xml:space="preserve">zu jedem öffentlichen Schlüssel die dazugehörige Identität, das Ablaufdatum, den Nutzungszweck, die Schlüsselart und den Algorithmus</t>
  </si>
  <si>
    <t xml:space="preserve">Berechtigung SOLLTE zu jedem öffentlichen Schlüssel die dazugehörige Identität, das Ablaufdatum, den Nutzungszweck, die Schlüsselart und den Algorithmus bei der Schlüsselbeglaubigung dokumentieren.</t>
  </si>
  <si>
    <t xml:space="preserve">BER.7.4</t>
  </si>
  <si>
    <t xml:space="preserve">Erzeugung auf sicheren IT-Systemen</t>
  </si>
  <si>
    <t xml:space="preserve">Wird ein Schlüssel auf einem System erzeugt, dass einen geringeren Schutz bietet als auf dem späteren Einsatzsystem, dann könnte der Schlüssel bereits kompromittiert sein.</t>
  </si>
  <si>
    <t xml:space="preserve">die Verwendung eines IT-Systems, welches mindestens dasselbe Schutzniveau bietet, für das der Schlüssel eingesetzt werden soll,</t>
  </si>
  <si>
    <t xml:space="preserve">Berechtigung SOLLTE die Verwendung eines IT-Systems, welches mindestens dasselbe Schutzniveau bietet, für das der Schlüssel eingesetzt werden soll, bei der Schlüsselerzeugung verankern.</t>
  </si>
  <si>
    <t xml:space="preserve">BER.7.5</t>
  </si>
  <si>
    <t xml:space="preserve">Kriterien für die Qualität von Zufallszahlen</t>
  </si>
  <si>
    <t xml:space="preserve">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</si>
  <si>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 xml:space="preserve">{{Kriterien}} für die Qualität von Zufallszahlen</t>
  </si>
  <si>
    <t xml:space="preserve">Berechtigung SOLLTE Kriterien für die Qualität von Zufallszahlen bei der Schlüsselerzeugung verankern.</t>
  </si>
  <si>
    <t xml:space="preserve">BER.7.6</t>
  </si>
  <si>
    <t xml:space="preserve">Etablierte Algorithmen beim Transport</t>
  </si>
  <si>
    <t xml:space="preserve">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</si>
  <si>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 xml:space="preserve">Berechtigung SOLLTE die ausschließliche Verwendung etablierter kryptografischer Algorithmen beim Transport geheimer Schlüssel verankern.</t>
  </si>
  <si>
    <t xml:space="preserve">BER.7.7</t>
  </si>
  <si>
    <t xml:space="preserve">Kein Transport privater Schlüssel</t>
  </si>
  <si>
    <t xml:space="preserve">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</si>
  <si>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 xml:space="preserve">den Export privater Schlüssel</t>
  </si>
  <si>
    <t xml:space="preserve">Berechtigung KANN den Export privater Schlüssel durch eine zuständige Person oder Rolle autorisieren.</t>
  </si>
  <si>
    <t xml:space="preserve">BER.7.8</t>
  </si>
  <si>
    <t xml:space="preserve">Etablierte Algorithmen bei der Schlüsselnutzung</t>
  </si>
  <si>
    <t xml:space="preserve">CON.1.A1-UA.2</t>
  </si>
  <si>
    <t xml:space="preserve">Aktuelle etablierte Algorithmen sind in BSI TR-02102 zu finden. Für weitere Details zur Implementierung siehe Detailspezifikation kryptografischer Abläufe und Mechanismen des BSI.</t>
  </si>
  <si>
    <t xml:space="preserve">die ausschließliche Verwendung etablierter Algorithmen</t>
  </si>
  <si>
    <t xml:space="preserve">Berechtigung SOLLTE die ausschließliche Verwendung etablierter Algorithmen bei der Schlüsselnutzung verankern.</t>
  </si>
  <si>
    <t xml:space="preserve">BER.7.9</t>
  </si>
  <si>
    <t xml:space="preserve">Zweckbindung</t>
  </si>
  <si>
    <t xml:space="preserve">Zweckbindung bedeutet, dass der Schlüssel ausschließlich zu dem im Verzeichnis öffentlicher Schlüssel festgelegten Nutzungszweck verwendet werden darf. Die Zweckbindung gilt insbesondere auch für den privaten Schlüssel.</t>
  </si>
  <si>
    <t xml:space="preserve">Verstöße gegen die Zweckbindung</t>
  </si>
  <si>
    <t xml:space="preserve">Berechtigung SOLLTE Verstöße gegen die Zweckbindung bei der Schlüsselnutzung untersagen.</t>
  </si>
  <si>
    <t xml:space="preserve">BER.7.10</t>
  </si>
  <si>
    <t xml:space="preserve">Abgelaufene Schlüssel</t>
  </si>
  <si>
    <t xml:space="preserve">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</si>
  <si>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 xml:space="preserve">die Nutzung des Schlüssels zur Verschlüsselung oder Signierung</t>
  </si>
  <si>
    <t xml:space="preserve">G 0.36 – Identitätsdiebstahl; G 0.19 – Offenlegung schützenswerter Informationen; G 0.22 – Manipulation von Informationen</t>
  </si>
  <si>
    <t xml:space="preserve">Berechtigung SOLLTE die Nutzung des Schlüssels zur Verschlüsselung oder Signierung nach Ablauf der Nutzungszeit untersagen.</t>
  </si>
  <si>
    <t xml:space="preserve">BER.7.11</t>
  </si>
  <si>
    <t xml:space="preserve">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</si>
  <si>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 xml:space="preserve">die Verifikation der Integrität geheimer Schlüssel</t>
  </si>
  <si>
    <t xml:space="preserve">Berechtigung SOLLTE die Verifikation der Integrität geheimer Schlüssel vor jeder Nutzung verankern.</t>
  </si>
  <si>
    <t xml:space="preserve">BER.7.12</t>
  </si>
  <si>
    <t xml:space="preserve">Für die Implementierung genügt es, wenn die eingesetzten IT-Produkte bereits so entwickelt oder beschafft worden sind, dass sie die Prüfung automatisiert durchführen.</t>
  </si>
  <si>
    <t xml:space="preserve">die Verifikation der Authentizität öffentlicher Schlüssel</t>
  </si>
  <si>
    <t xml:space="preserve">Berechtigung SOLLTE die Verifikation der Authentizität öffentlicher Schlüssel vor jeder Nutzung verankern.</t>
  </si>
  <si>
    <t xml:space="preserve">BER.7.13</t>
  </si>
  <si>
    <t xml:space="preserve">Gültigkeit</t>
  </si>
  <si>
    <t xml:space="preserve">Die Gültigkeit ergibt sich aus Nutzungszeit und Revocation-Status. Für die Implementierung genügt es, wenn die eingesetzten IT-Produkte bereits so entwickelt oder beschafft worden sind, dass sie die Prüfung automatisiert durchführen.</t>
  </si>
  <si>
    <t xml:space="preserve">die Verifikation der Gültigkeit des Schlüssels</t>
  </si>
  <si>
    <t xml:space="preserve">Berechtigung SOLLTE die Verifikation der Gültigkeit des Schlüssels vor jeder Nutzung verankern.</t>
  </si>
  <si>
    <t xml:space="preserve">BER.7.14</t>
  </si>
  <si>
    <t xml:space="preserve">Schlüssel vor Ablauf prüfen</t>
  </si>
  <si>
    <t xml:space="preserve">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</si>
  <si>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 xml:space="preserve">Schlüssel auf das baldige Auslaufen der Nutzungszeit</t>
  </si>
  <si>
    <t xml:space="preserve">G 0.19 – Offenlegung schützenswerter Informationen; G 0.22 – Manipulation von Informationen; G 0.36 – Identitätsdiebstahl</t>
  </si>
  <si>
    <t xml:space="preserve">Berechtigung SOLLTE Schlüssel auf das baldige Auslaufen der Nutzungszeit regelmäßig überprüfen.</t>
  </si>
  <si>
    <t xml:space="preserve">BER.7.15</t>
  </si>
  <si>
    <t xml:space="preserve">Vorgehensweise nach Nutzung</t>
  </si>
  <si>
    <t xml:space="preserve">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</si>
  <si>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 xml:space="preserve">eine Vorgehensweise zur Außerbetriebnahme geheimer Schlüssel</t>
  </si>
  <si>
    <t xml:space="preserve">Berechtigung SOLLTE eine Vorgehensweise zur Außerbetriebnahme geheimer Schlüssel , sobald sie nicht mehr benötigt werden, verankern.</t>
  </si>
  <si>
    <t xml:space="preserve">BER.7.16</t>
  </si>
  <si>
    <t xml:space="preserve">Vorgaben für die Schlüsselbeglaubigung</t>
  </si>
  <si>
    <t xml:space="preserve">Je nach Umfang der Beglaubigungstätigkeit gehören hierzu z.B. Algorithmen, Zweckbindung, Nutzungsdauer, sowie prozessuale Vorgaben für Speicherung, Beantragung, Revocation, Erneuerung und Verfügbarkeit. Für Details siehe IETF RFC 3647.</t>
  </si>
  <si>
    <t xml:space="preserve">Berechtigung SOLLTE Vorgaben für die Schlüsselbeglaubigung verankern.</t>
  </si>
  <si>
    <t xml:space="preserve">BER.7.16.1</t>
  </si>
  <si>
    <t xml:space="preserve">Berechtigung SOLLTE die Beglaubigung von Schlüsseln einer zuständigen Person oder Rolle zuweisen.</t>
  </si>
  <si>
    <t xml:space="preserve">Die Beglaubigung von Schlüsseln ist technisch komplex. Gleichzeitig hängt von ihr die Vertrauensstellung von Systemen und Anwendungen im Informationsverbund ab. Daher ist es sinnvoll diese Aufgabe konkret bestimmten Personen oder Rollen zuzuweisen.</t>
  </si>
  <si>
    <t xml:space="preserve">die Beglaubigung von Schlüsseln</t>
  </si>
  <si>
    <t xml:space="preserve">BER.7.16.2</t>
  </si>
  <si>
    <t xml:space="preserve">Berechtigung SOLLTE den Schlüssel anhand der Vorgaben für die Schlüsselbeglaubigung bei Beantragung einer Beglaubigung testen.</t>
  </si>
  <si>
    <t xml:space="preserve">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</si>
  <si>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 xml:space="preserve">den Schlüssel anhand der Vorgaben für die Schlüsselbeglaubigung</t>
  </si>
  <si>
    <t xml:space="preserve">BER.7.16.3</t>
  </si>
  <si>
    <t xml:space="preserve">Berechtigung SOLLTE den Schlüssel anhand der Vorgaben für die Schlüsselbeglaubigung bei Erneuerung einer Beglaubigung testen.</t>
  </si>
  <si>
    <t xml:space="preserve">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</si>
  <si>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 xml:space="preserve">BER.7.16.4</t>
  </si>
  <si>
    <t xml:space="preserve">Berechtigung SOLLTE den Schlüssel anhand der Vorgaben für die Schlüsselbeglaubigung bei Revocation einer Beglaubigung testen.</t>
  </si>
  <si>
    <t xml:space="preserve">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</si>
  <si>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 xml:space="preserve">BER.7.16.5</t>
  </si>
  <si>
    <t xml:space="preserve">Berechtigung SOLLTE den Beglaubigungsstatus des Schlüssels im Verzeichnis öffentlicher Schlüssel dokumentieren.</t>
  </si>
  <si>
    <t xml:space="preserve">Der Beglaubigungsstatus erfasst, ob der Schlüssel von der Beglaubigungs- oder Zertifizierungsstelle der Institution beglaubigt wurde.</t>
  </si>
  <si>
    <t xml:space="preserve">den Beglaubigungsstatus des Schlüssels im Verzeichnis öffentlicher Schlüssel</t>
  </si>
  <si>
    <t xml:space="preserve">BER.7.16.6</t>
  </si>
  <si>
    <t xml:space="preserve">Berechtigung SOLLTE den Revocationstatus des Schlüssels im Verzeichnis öffentlicher Schlüssel dokumentieren.</t>
  </si>
  <si>
    <t xml:space="preserve">Der Revocationsstatus des Schlüsseln erfasst, ob der Schlüssel zurückgezogen wurde, etwa weil er aufgrund einer Kompromittierung nicht mehr sicher verwendet werden kann.</t>
  </si>
  <si>
    <t xml:space="preserve">den Revocationstatus des Schlüssels im Verzeichnis öffentlicher Schlüssel</t>
  </si>
  <si>
    <t xml:space="preserve">BES.1.1</t>
  </si>
  <si>
    <t xml:space="preserve">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</si>
  <si>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 xml:space="preserve">Prozess Beschaffung</t>
  </si>
  <si>
    <t xml:space="preserve">Verfahren und Regelungen zur Beschaffung von IT-Produkten und Dienstleistungen</t>
  </si>
  <si>
    <t xml:space="preserve">BES.1.1.1</t>
  </si>
  <si>
    <t xml:space="preserve">Beschaffungsmanagement MUSS die Verfahren und Regelungen dokumentieren.</t>
  </si>
  <si>
    <t xml:space="preserve">BES.1.1.2</t>
  </si>
  <si>
    <t xml:space="preserve">Beschaffungsmanagement MUSS die mit den Verfahren und Regelungen verbundenen Aufgaben zuständigen Personen oder Rollen zuweisen.</t>
  </si>
  <si>
    <t xml:space="preserve">BES.1.1.3</t>
  </si>
  <si>
    <t xml:space="preserve">Beschaffungsmanagement MUSS die zuständigen Personen oder Rollen über die Verfahren und Regelungen informieren.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</si>
  <si>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</si>
  <si>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 xml:space="preserve">BES.1.2</t>
  </si>
  <si>
    <t xml:space="preserve">Beschaffungsmanagement MUSS die Verfahren und Regelungen regelmäßig und anlassbezogen auf Aktualität überprüfen.</t>
  </si>
  <si>
    <t xml:space="preserve">BES.1.3</t>
  </si>
  <si>
    <t xml:space="preserve">Lieferanten- und Dienstleisterverzeichnis</t>
  </si>
  <si>
    <t xml:space="preserve">Direkte Zulieferer sind hier alle Vertragspartner, von denen IT-Produkte bezogen werden. Dienstleister sind alle Vertragspartner, die schützenswerte Informationen des Informationsverbundes verarbeiten.</t>
  </si>
  <si>
    <t xml:space="preserve">Einkäufe</t>
  </si>
  <si>
    <t xml:space="preserve">Liste der Hersteller und Dienstleister</t>
  </si>
  <si>
    <t xml:space="preserve">alle direkten Zulieferer und Dienstleister</t>
  </si>
  <si>
    <t xml:space="preserve">Beschaffungsmanagement für Einkäufe SOLLTE alle direkten Zulieferer und Dienstleister inklusive der jeweiligen Kontaktdaten und den bezogenen Lieferungen dokumentieren.</t>
  </si>
  <si>
    <t xml:space="preserve">BES.1.3.1</t>
  </si>
  <si>
    <t xml:space="preserve">Beschaffungsmanagement für Einkäufe KANN die gesamte Lieferkette inklusive der jeweiligen Unterauftragnehmer und deren Kontaktdaten dokumentieren.</t>
  </si>
  <si>
    <t xml:space="preserve">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</si>
  <si>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 xml:space="preserve">die gesamte Lieferkette</t>
  </si>
  <si>
    <t xml:space="preserve">BES.1.4</t>
  </si>
  <si>
    <t xml:space="preserve">Outsourcing-Strategie</t>
  </si>
  <si>
    <t xml:space="preserve">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</si>
  <si>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 xml:space="preserve">Outsourcing</t>
  </si>
  <si>
    <t xml:space="preserve">Outsourcing Strategie</t>
  </si>
  <si>
    <t xml:space="preserve">eine Strategie</t>
  </si>
  <si>
    <t xml:space="preserve">G 0.11 – Ausfall oder Störung von Dienstleistern</t>
  </si>
  <si>
    <t xml:space="preserve">Beschaffungsmanagement für Outsourcing SOLLTE eine Strategie mit Zielen, Chancen und Risiken des Outsourcings verankern.</t>
  </si>
  <si>
    <t xml:space="preserve">BES.1.4.1</t>
  </si>
  <si>
    <t xml:space="preserve">Beschaffungsmanagement für Outsourcing SOLLTE die Strategie durch die Institutionsleitung autorisieren.</t>
  </si>
  <si>
    <t xml:space="preserve">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</si>
  <si>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 xml:space="preserve">die Strategie</t>
  </si>
  <si>
    <t xml:space="preserve">BES.1.5</t>
  </si>
  <si>
    <t xml:space="preserve">Autorisierung des Bereitstellungsmodells</t>
  </si>
  <si>
    <t xml:space="preserve">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</si>
  <si>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 xml:space="preserve">Cloud-Dienste</t>
  </si>
  <si>
    <t xml:space="preserve">Beschaffungskriterien</t>
  </si>
  <si>
    <t xml:space="preserve">für jeden Cloud-Dienst das Bereitstellungsmodell</t>
  </si>
  <si>
    <t xml:space="preserve">Beschaffungsmanagement für Cloud-Dienste SOLLTE für jeden Cloud-Dienst das Bereitstellungsmodell durch eine zuständige Person oder Rolle autorisieren.</t>
  </si>
  <si>
    <t xml:space="preserve">BES.1.6</t>
  </si>
  <si>
    <t xml:space="preserve">Dokumentation des Bereitstellungsmodells</t>
  </si>
  <si>
    <t xml:space="preserve">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</si>
  <si>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 xml:space="preserve">für jeden Cloud-Dienst das gewünschte Bereitstellungsmodell</t>
  </si>
  <si>
    <t xml:space="preserve">Beschaffungsmanagement für Cloud-Dienste SOLLTE für jeden Cloud-Dienst das gewünschte Bereitstellungsmodell mit Ausführung der geteilten Verantwortlichkeiten dokumentieren.</t>
  </si>
  <si>
    <t xml:space="preserve">BES.1.7</t>
  </si>
  <si>
    <t xml:space="preserve">Vereinbarung der geteilten Verantwortung</t>
  </si>
  <si>
    <t xml:space="preserve">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</si>
  <si>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 xml:space="preserve">für jeden Cloud-Dienst mit dem Anbieter die geteilte Verantwortung</t>
  </si>
  <si>
    <t xml:space="preserve">Beschaffungsmanagement für Cloud-Dienste SOLLTE für jeden Cloud-Dienst mit dem Anbieter die geteilte Verantwortung vereinbaren.</t>
  </si>
  <si>
    <t xml:space="preserve">BES.2.1</t>
  </si>
  <si>
    <t xml:space="preserve">Erfassung des Bedarfes</t>
  </si>
  <si>
    <t xml:space="preserve">Dies umfasst sowohl Bedürfnisse für eine sichere Funktionalität als auch nicht-funktionalen Bedarf wie Datensicherung und Einbindung in das Monitoring.</t>
  </si>
  <si>
    <t xml:space="preserve">den Bedarf</t>
  </si>
  <si>
    <t xml:space="preserve">Beschaffungsmanagement für Einkäufe SOLLTE den Bedarf anhand einer Leistungsbeschreibung oder einer Umsetzungsstrategie dokumentieren.</t>
  </si>
  <si>
    <t xml:space="preserve">BES.2.1.1</t>
  </si>
  <si>
    <t xml:space="preserve">Beschaffungsmanagement für IT-Produkte SOLLTE den Verwendungszweck dokumentieren.</t>
  </si>
  <si>
    <t xml:space="preserve">Relevant kann hierbei beispielsweise sein, ob es verschiedene Einsatzszenarien (z.B. Innen- und Außendienst) gibt.</t>
  </si>
  <si>
    <t xml:space="preserve">IT-Produkte</t>
  </si>
  <si>
    <t xml:space="preserve">den Verwendungszweck</t>
  </si>
  <si>
    <t xml:space="preserve">BES.2.1.2</t>
  </si>
  <si>
    <t xml:space="preserve">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</si>
  <si>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 xml:space="preserve">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</si>
  <si>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 xml:space="preserve">Geschäftsprozesse</t>
  </si>
  <si>
    <t xml:space="preserve">Geschäftsprozessprofile für (Teil-)Prozesse, die ausgelagert werden,</t>
  </si>
  <si>
    <t xml:space="preserve">BES.2.1.3</t>
  </si>
  <si>
    <t xml:space="preserve">Beschaffungsmanagement für IT-Produkte SOLLTE Systemvoraussetzungen dokumentieren.</t>
  </si>
  <si>
    <t xml:space="preserve">Hierzu können sowohl Hardwareparameter gehören (z.B. 8 GB RAM, TPM 2.0), als auch Voraussetzungen an Betriebssysteme (z.B. Lauffähigkeit nur auf bestimmten Betriebssystemen oder bei Unterstützung bestimmter Funktionen), auf denen der Einsatz geplant ist.</t>
  </si>
  <si>
    <t xml:space="preserve">Systemvoraussetzungen</t>
  </si>
  <si>
    <t xml:space="preserve">BES.2.1.4</t>
  </si>
  <si>
    <t xml:space="preserve">Beschaffungsmanagement für Einkäufe SOLLTE den Bedarf für die Kompatibilität mit der bestehenden Infrastruktur dokumentieren.</t>
  </si>
  <si>
    <t xml:space="preserve">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</si>
  <si>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 xml:space="preserve">den Bedarf für die Kompatibilität mit der bestehenden Infrastruktur</t>
  </si>
  <si>
    <t xml:space="preserve">BES.2.1.4.1</t>
  </si>
  <si>
    <t xml:space="preserve">Beschaffungsmanagement für Einkäufe SOLLTE den Bedarf für die Kompatibilität im Hinblick auf Schnittstellen dokumentieren.</t>
  </si>
  <si>
    <t xml:space="preserve">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</si>
  <si>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 xml:space="preserve">den Bedarf für die Kompatibilität</t>
  </si>
  <si>
    <t xml:space="preserve">BES.2.1.4.2</t>
  </si>
  <si>
    <t xml:space="preserve">Beschaffungsmanagement für Einkäufe SOLLTE den Bedarf für die Kompatibilität im Hinblick auf die Netzanbindung dokumentieren.</t>
  </si>
  <si>
    <t xml:space="preserve">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</si>
  <si>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 xml:space="preserve">BES.2.1.4.3</t>
  </si>
  <si>
    <t xml:space="preserve">Beschaffungsmanagement für Einkäufe SOLLTE den Bedarf für die Kompatibilität im Hinblick auf das Administrationsmodell dokumentieren.</t>
  </si>
  <si>
    <t xml:space="preserve">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</si>
  <si>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 xml:space="preserve">G 0.37 – Abstreiten von Handlungen</t>
  </si>
  <si>
    <t xml:space="preserve">BES.2.1.4.4</t>
  </si>
  <si>
    <t xml:space="preserve">Beschaffungsmanagement für Einkäufe SOLLTE den Bedarf für die Kompatibilität im Hinblick auf das Datenmanagementmodell dokumentieren.</t>
  </si>
  <si>
    <t xml:space="preserve">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</si>
  <si>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 xml:space="preserve">BES.2.1.5</t>
  </si>
  <si>
    <t xml:space="preserve">Beschaffungsmanagement für IT-Produkte SOLLTE für den geplanten Einsatzzeitraum erforderliche Lizenzen dokumentieren.</t>
  </si>
  <si>
    <t xml:space="preserve">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</si>
  <si>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 xml:space="preserve">für den geplanten Einsatzzeitraum erforderliche Lizenzen</t>
  </si>
  <si>
    <t xml:space="preserve">BES.2.1.6</t>
  </si>
  <si>
    <t xml:space="preserve">Beschaffungsmanagement für IT-Produkte SOLLTE den Bedarf an Support- und Wartungsverträgen basierend auf dem Schutzbedarf für Verfügbarkeit dokumentieren.</t>
  </si>
  <si>
    <t xml:space="preserve">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</si>
  <si>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 xml:space="preserve">den Bedarf an Support- und Wartungsverträgen</t>
  </si>
  <si>
    <t xml:space="preserve">BES.2.2</t>
  </si>
  <si>
    <t xml:space="preserve">Dokumentation des Rechtsraums und der Datenlokation</t>
  </si>
  <si>
    <t xml:space="preserve">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</si>
  <si>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 xml:space="preserve">Rechtsraum und Datenlokation</t>
  </si>
  <si>
    <t xml:space="preserve">Beschaffungsmanagement für Cloud-Dienste SOLLTE Rechtsraum und Datenlokation dokumentieren.</t>
  </si>
  <si>
    <t xml:space="preserve">BES.2.3</t>
  </si>
  <si>
    <t xml:space="preserve">Vereinbarung des Rechtsraums und der Datenlokation</t>
  </si>
  <si>
    <t xml:space="preserve">Rechtsraum und Datenlokation mit dem Anbieter</t>
  </si>
  <si>
    <t xml:space="preserve">Beschaffungsmanagement für Cloud-Dienste KANN Rechtsraum und Datenlokation mit dem Anbieter vereinbaren.</t>
  </si>
  <si>
    <t xml:space="preserve">BES.2.4</t>
  </si>
  <si>
    <t xml:space="preserve">Anhörung Nutzender</t>
  </si>
  <si>
    <t xml:space="preserve">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</si>
  <si>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 xml:space="preserve">Beschaffungsmanagement für Einkäufe SOLLTE Nutzende bei der Bedarfserfassung anhören.</t>
  </si>
  <si>
    <t xml:space="preserve">BES.2.5</t>
  </si>
  <si>
    <t xml:space="preserve">Anhörung Administrierender</t>
  </si>
  <si>
    <t xml:space="preserve">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</si>
  <si>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 xml:space="preserve">Beschaffungsmanagement für Einkäufe SOLLTE Administrierende bei der Bedarfserfassung anhören.</t>
  </si>
  <si>
    <t xml:space="preserve">BES.2.6</t>
  </si>
  <si>
    <t xml:space="preserve">Outsourcing auf Grundlage der Geschäftsprozessprofile</t>
  </si>
  <si>
    <t xml:space="preserve">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</si>
  <si>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 xml:space="preserve">Outsourcingverträge auf Grundlage der Geschäftsprozessprofile</t>
  </si>
  <si>
    <t xml:space="preserve">Beschaffungsmanagement für Outsourcing KANN Outsourcingverträge auf Grundlage der Geschäftsprozessprofile durch die Leitung autorisieren.</t>
  </si>
  <si>
    <t xml:space="preserve">BES.3.1</t>
  </si>
  <si>
    <t xml:space="preserve">Klassifizierung von Lieferantenbeziehungen</t>
  </si>
  <si>
    <t xml:space="preserve">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</si>
  <si>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 xml:space="preserve">Lieferantenbeziehungen einer Klasse</t>
  </si>
  <si>
    <t xml:space="preserve">Beschaffungsmanagement für Einkäufe SOLLTE Lieferantenbeziehungen einer Klasse zuweisen.</t>
  </si>
  <si>
    <t xml:space="preserve">BES.3.2</t>
  </si>
  <si>
    <t xml:space="preserve">Auswahlkriterien</t>
  </si>
  <si>
    <t xml:space="preserve">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</si>
  <si>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 xml:space="preserve">die Auswahl von Lieferanten</t>
  </si>
  <si>
    <t xml:space="preserve">Beschaffungsmanagement für Einkäufe SOLLTE die Auswahl von Lieferanten anhand von Kriterien zu ihrer Verlässlichkeit verankern.</t>
  </si>
  <si>
    <t xml:space="preserve">BES.3.2.1</t>
  </si>
  <si>
    <t xml:space="preserve">Beschaffungsmanagement für Einkäufe KANN die Auswahl von Lieferanten anhand von Zertifikaten, Testaten oder Vergleichbarem verankern.</t>
  </si>
  <si>
    <t xml:space="preserve">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</si>
  <si>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 xml:space="preserve">BES.3.2.2</t>
  </si>
  <si>
    <t xml:space="preserve">Beschaffungsmanagement für Einkäufe KANN die Auswahl von Lieferanten anhand ihrer Fähigkeit, ihre Bezugsquellen zu diversifizieren und die Bindung an bestimmte Lieferanten zu begrenzen, verankern.</t>
  </si>
  <si>
    <t xml:space="preserve">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</si>
  <si>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 xml:space="preserve">BES.3.3</t>
  </si>
  <si>
    <t xml:space="preserve">Unzuverlässige Lieferanten</t>
  </si>
  <si>
    <t xml:space="preserve">APP.6.A3-UA.2</t>
  </si>
  <si>
    <t xml:space="preserve">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</si>
  <si>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 xml:space="preserve">die Beschaffung aus einer unbekannten oder unzuverlässigen Quelle</t>
  </si>
  <si>
    <t xml:space="preserve">Beschaffungsmanagement für Einkäufe SOLLTE die Beschaffung aus einer unbekannten oder unzuverlässigen Quelle untersagen.</t>
  </si>
  <si>
    <t xml:space="preserve">BES.4.1</t>
  </si>
  <si>
    <t xml:space="preserve">Klassifizierung von Beschaffungsvorhaben</t>
  </si>
  <si>
    <t xml:space="preserve">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</si>
  <si>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 xml:space="preserve">dem Beschaffungsvorhaben eine Klasse</t>
  </si>
  <si>
    <t xml:space="preserve">G 0.20 – Informationen oder Produkte aus unzuverlässiger Quelle</t>
  </si>
  <si>
    <t xml:space="preserve">Beschaffungsmanagement für Einkäufe SOLLTE dem Beschaffungsvorhaben eine Klasse zuweisen.</t>
  </si>
  <si>
    <t xml:space="preserve">BES.4.2</t>
  </si>
  <si>
    <t xml:space="preserve">Dokumentation der Beschaffungskriterien</t>
  </si>
  <si>
    <t xml:space="preserve">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</si>
  <si>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 xml:space="preserve">{{Kriterien}} für die Beschaffung</t>
  </si>
  <si>
    <t xml:space="preserve">G 0.20 – Informationen oder Produkte aus unzuverlässiger Quelle; G 0.18 – Fehlplanung oder fehlende Anpassung; G 0.37 – Abstreiten von Handlungen</t>
  </si>
  <si>
    <t xml:space="preserve">Beschaffungsmanagement für Einkäufe SOLLTE Kriterien für die Beschaffung dokumentieren.</t>
  </si>
  <si>
    <t xml:space="preserve">BES.4.3</t>
  </si>
  <si>
    <t xml:space="preserve">Beschaffung anhand der Kriterien</t>
  </si>
  <si>
    <t xml:space="preserve">APP.6.A3-UA.1</t>
  </si>
  <si>
    <t xml:space="preserve">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</si>
  <si>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 xml:space="preserve">die Beschaffung</t>
  </si>
  <si>
    <t xml:space="preserve">Beschaffungsmanagement für Einkäufe SOLLTE die Beschaffung anhand der festgelegten Kriterien verankern.</t>
  </si>
  <si>
    <t xml:space="preserve">BES.4.4</t>
  </si>
  <si>
    <t xml:space="preserve">Vertragsvorlage für Outsourcing</t>
  </si>
  <si>
    <t xml:space="preserve">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</si>
  <si>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 xml:space="preserve">Kriterien für Outsourcing-Dienstleistungen in einer standardisierten Richtlinie für Verträge</t>
  </si>
  <si>
    <t xml:space="preserve">Beschaffungsmanagement für Outsourcing SOLLTE Kriterien für Outsourcing-Dienstleistungen in einer standardisierten Richtlinie für Verträge dokumentieren.</t>
  </si>
  <si>
    <t xml:space="preserve">BES.4.5</t>
  </si>
  <si>
    <t xml:space="preserve">Security by Design</t>
  </si>
  <si>
    <t xml:space="preserve">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</si>
  <si>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 xml:space="preserve">Beschaffungsmanagement für Einkäufe SOLLTE Security by Design vereinbaren.</t>
  </si>
  <si>
    <t xml:space="preserve">BES.4.5.1</t>
  </si>
  <si>
    <t xml:space="preserve">Beschaffungsmanagement für IT-Produkte KANN Nachweise zur Entwicklung nach einem Sicherheitslebenszyklus vereinbaren.</t>
  </si>
  <si>
    <t xml:space="preserve">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</si>
  <si>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 xml:space="preserve">Nachweise zur Entwicklung nach einem Sicherheitslebenszyklus</t>
  </si>
  <si>
    <t xml:space="preserve">BES.4.5.2</t>
  </si>
  <si>
    <t xml:space="preserve">Beschaffungsmanagement für Outsourcing KANN eine festgelegte Mandantentrennung vereinbaren.</t>
  </si>
  <si>
    <t xml:space="preserve">APP.4.6.A20-UA.1</t>
  </si>
  <si>
    <t xml:space="preserve">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</si>
  <si>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 xml:space="preserve">eine festgelegte Mandantentrennung</t>
  </si>
  <si>
    <t xml:space="preserve">G 0.20 – Informationen oder Produkte aus unzuverlässiger Quelle; G 0.14 – Ausspähen von Informationen (Spionage); G 0.19 – Offenlegung schützenswerter Informationen; G 0.29 – Verstoß gegen Gesetze oder Regelungen</t>
  </si>
  <si>
    <t xml:space="preserve">BES.4.6</t>
  </si>
  <si>
    <t xml:space="preserve">Security by Default</t>
  </si>
  <si>
    <t xml:space="preserve">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</si>
  <si>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 xml:space="preserve">G 0.20 – Informationen oder Produkte aus unzuverlässiger Quelle; G 0.22 – Manipulation von Informationen; G 0.23 – Unbefugtes Eindringen in IT-Systeme</t>
  </si>
  <si>
    <t xml:space="preserve">Beschaffungsmanagement für Einkäufe SOLLTE Security by Default vereinbaren.</t>
  </si>
  <si>
    <t xml:space="preserve">BES.4.6.1</t>
  </si>
  <si>
    <t xml:space="preserve">Beschaffungsmanagement für Dienstleistungen SOLLTE eine Authentifizierung vor dem Zugriff auf schützenswerte Informationen oder Dienste vereinbaren.</t>
  </si>
  <si>
    <t xml:space="preserve">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</si>
  <si>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 xml:space="preserve">Dienstleistungen</t>
  </si>
  <si>
    <t xml:space="preserve">eine Authentifizierung</t>
  </si>
  <si>
    <t xml:space="preserve">G 0.20 – Informationen oder Produkte aus unzuverlässiger Quelle; G 0.21 – Manipulation von Hard- oder Software; G 0.22 – Manipulation von Informationen</t>
  </si>
  <si>
    <t xml:space="preserve">BES.4.6.2</t>
  </si>
  <si>
    <t xml:space="preserve">Beschaffungsmanagement für Outsourcing SOLLTE die Verschlüsselung schützenswerter Informationen durch den Anbieter vereinbaren.</t>
  </si>
  <si>
    <t xml:space="preserve">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</si>
  <si>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 xml:space="preserve">die Verschlüsselung schützenswerter Informationen</t>
  </si>
  <si>
    <t xml:space="preserve">BES.4.6.3</t>
  </si>
  <si>
    <t xml:space="preserve">Beschaffungsmanagement für IT-Produkte KANN Schutzmechanismen gegen Manipulationen auf dem Lieferweg vereinbaren.</t>
  </si>
  <si>
    <t xml:space="preserve">Bei physischen Produkten können hierfür Siegel oder schwer fälschbare Kennzeichnungen verwendet werden, während bei Software und Daten kryptographische Prüfsummen oder digitale Signaturen eingesetzt werden können.</t>
  </si>
  <si>
    <t xml:space="preserve">Schutzmechanismen gegen Manipulationen auf dem Lieferweg</t>
  </si>
  <si>
    <t xml:space="preserve">G 0.21 – Manipulation von Hard- oder Software; G 0.22 – Manipulation von Informationen; G 0.20 – Informationen oder Produkte aus unzuverlässiger Quelle</t>
  </si>
  <si>
    <t xml:space="preserve">BES.4.7</t>
  </si>
  <si>
    <t xml:space="preserve">ISMS beim Dienstleister</t>
  </si>
  <si>
    <t xml:space="preserve">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</si>
  <si>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 xml:space="preserve">ein Managementsystem für Informationssicherheit (ISMS)</t>
  </si>
  <si>
    <t xml:space="preserve">G 0.20 – Informationen oder Produkte aus unzuverlässiger Quelle; G 0.11 – Ausfall oder Störung von Dienstleistern; G 0.25 – Ausfall von Geräten oder Systemen</t>
  </si>
  <si>
    <t xml:space="preserve">Beschaffungsmanagement für Outsourcing SOLLTE ein Managementsystem für Informationssicherheit (ISMS) vereinbaren.</t>
  </si>
  <si>
    <t xml:space="preserve">BES.4.8</t>
  </si>
  <si>
    <t xml:space="preserve">Konformitätsnachweise</t>
  </si>
  <si>
    <t xml:space="preserve">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</si>
  <si>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 xml:space="preserve">Nachweise des Lieferanten zur Erfüllung der Sicherheitskriterien</t>
  </si>
  <si>
    <t xml:space="preserve">Beschaffungsmanagement für Einkäufe SOLLTE Nachweise des Lieferanten zur Erfüllung der Sicherheitskriterien vereinbaren.</t>
  </si>
  <si>
    <t xml:space="preserve">BES.4.8.1</t>
  </si>
  <si>
    <t xml:space="preserve">Beschaffungsmanagement für Einkäufe KANN ein Zertifikat oder Testat nach einem passenden Sicherheitsstandard vereinbaren.</t>
  </si>
  <si>
    <t xml:space="preserve">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</si>
  <si>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 xml:space="preserve">ein Zertifikat oder Testat</t>
  </si>
  <si>
    <t xml:space="preserve">BES.4.8.2</t>
  </si>
  <si>
    <t xml:space="preserve">Beschaffungsmanagement für Cloud-Dienste SOLLTE einen Konformitätsnachweis durch Dritte vereinbaren.</t>
  </si>
  <si>
    <t xml:space="preserve">Beispielsweise durch ein C5 Testat. Hierbei ist zu prüfen, ob der Geltungsbereich und der Schutzbedarf die genutzten Clouddienste erfasst (Auswertung des Nachweises). Dies gilt auch für Subdienstleister.</t>
  </si>
  <si>
    <t xml:space="preserve">einen Konformitätsnachweis durch Dritte</t>
  </si>
  <si>
    <t xml:space="preserve">G 0.20 – Informationen oder Produkte aus unzuverlässiger Quelle; G 0.18 – Fehlplanung oder fehlende Anpassung</t>
  </si>
  <si>
    <t xml:space="preserve">BES.4.8.3</t>
  </si>
  <si>
    <t xml:space="preserve">Beschaffungsmanagement für Outsourcing KANN eine IT-Grundschutz-Analyse der potenziell zu nutzenden Infrastruktur des Dienstleisters vereinbaren.</t>
  </si>
  <si>
    <t xml:space="preserve">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</si>
  <si>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 xml:space="preserve">eine IT-Grundschutz-Analyse der potenziell zu nutzenden Infrastruktur des Dienstleisters</t>
  </si>
  <si>
    <t xml:space="preserve">BES.4.8.4</t>
  </si>
  <si>
    <t xml:space="preserve">Beschaffungsmanagement für Outsourcing KANN eine Offenlegung der Risikoanalyse aus dem ISMS des Dienstleisters, soweit eine Risikoanalyse nach IT-Grundschutz-Vorgehensweise notwendig ist, vereinbaren.</t>
  </si>
  <si>
    <t xml:space="preserve">Eine Offenlegung ist hierzu nur erforderlich, soweit die Informationen für die Risikoanalyse des Auftraggebers erforderlich sind.</t>
  </si>
  <si>
    <t xml:space="preserve">eine Offenlegung der Risikoanalyse aus dem ISMS des Dienstleisters, soweit eine Risikoanalyse nach IT-Grundschutz-Vorgehensweise notwendig ist,</t>
  </si>
  <si>
    <t xml:space="preserve">BES.4.9</t>
  </si>
  <si>
    <t xml:space="preserve">Sicherheitsüberprüfung (extern)</t>
  </si>
  <si>
    <t xml:space="preserve">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</si>
  <si>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 xml:space="preserve">Sicherheitsüberprüfungen für Personen, die vom Lieferanten mit der Vertragsdurchführung beauftragt werden,</t>
  </si>
  <si>
    <t xml:space="preserve">Beschaffungsmanagement für Einkäufe KANN Sicherheitsüberprüfungen für Personen, die vom Lieferanten mit der Vertragsdurchführung beauftragt werden, vereinbaren.</t>
  </si>
  <si>
    <t xml:space="preserve">BES.5.1</t>
  </si>
  <si>
    <t xml:space="preserve">Kompetenzen</t>
  </si>
  <si>
    <t xml:space="preserve">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</si>
  <si>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 xml:space="preserve">Kompetenzen in Informationssicherheit, die von den Mitarbeitern des Lieferanten verlangt werden,</t>
  </si>
  <si>
    <t xml:space="preserve">Beschaffungsmanagement für Dienstleistungen SOLLTE Kompetenzen in Informationssicherheit, die von den Mitarbeitern des Lieferanten verlangt werden, vereinbaren.</t>
  </si>
  <si>
    <t xml:space="preserve">BES.5.2</t>
  </si>
  <si>
    <t xml:space="preserve">Service Level Agreement</t>
  </si>
  <si>
    <t xml:space="preserve">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</si>
  <si>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 xml:space="preserve">die Einhaltung einer bestimmten Dienstgüte</t>
  </si>
  <si>
    <t xml:space="preserve">Beschaffungsmanagement für Outsourcing SOLLTE die Einhaltung einer bestimmten Dienstgüte anhand von Kriterien vereinbaren.</t>
  </si>
  <si>
    <t xml:space="preserve">BES.5.3</t>
  </si>
  <si>
    <t xml:space="preserve">Compliance-Verpflichtungen</t>
  </si>
  <si>
    <t xml:space="preserve">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</si>
  <si>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 xml:space="preserve">die Übereinstimmung mit Compliance-Verpflichtungen</t>
  </si>
  <si>
    <t xml:space="preserve">Beschaffungsmanagement für Einkäufe SOLLTE die Übereinstimmung mit Compliance-Verpflichtungen vereinbaren.</t>
  </si>
  <si>
    <t xml:space="preserve">BES.5.4</t>
  </si>
  <si>
    <t xml:space="preserve">Informationssicherheitskontrollmechanismen</t>
  </si>
  <si>
    <t xml:space="preserve">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</si>
  <si>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 xml:space="preserve">Beschaffungsmanagement für Einkäufe SOLLTE Informationssicherheitskontrollmechanismen vereinbaren.</t>
  </si>
  <si>
    <t xml:space="preserve">BES.5.5</t>
  </si>
  <si>
    <t xml:space="preserve">Nutzungsregelungen</t>
  </si>
  <si>
    <t xml:space="preserve">Hierzu zählen z.B. Zugriffsregelungen und Regelungen darüber unter welchen Bedingungen (Ort, Zeit, etc.) Daten genutzt werden dürfen. Darüber hinaus gehören auch Regelungen dazu, wann eine Nutzung aus Sicht der Institution explizit nicht akzeptabel ist.</t>
  </si>
  <si>
    <t xml:space="preserve">Regelungen zur Nutzung der Daten und damit verbundenen Assets</t>
  </si>
  <si>
    <t xml:space="preserve">Beschaffungsmanagement für Dienstleistungen SOLLTE Regelungen zur Nutzung der Daten und damit verbundenen Assets vereinbaren.</t>
  </si>
  <si>
    <t xml:space="preserve">BES.5.5.1</t>
  </si>
  <si>
    <t xml:space="preserve">Beschaffungsmanagement für Dienstleistungen KANN die Verarbeitung von Daten ausschließlich an von der Institution erlaubten Datenlokationen vereinbaren.</t>
  </si>
  <si>
    <t xml:space="preserve">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</si>
  <si>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 xml:space="preserve">die Verarbeitung von Daten ausschließlich an von der Institution erlaubten Datenlokationen</t>
  </si>
  <si>
    <t xml:space="preserve">BES.5.5.2</t>
  </si>
  <si>
    <t xml:space="preserve">Beschaffungsmanagement für Dienstleistungen SOLLTE Regelungen zur Autorisierung der Zugriffsberechtigung für Personal des Lieferanten anhand von Kriterien vereinbaren.</t>
  </si>
  <si>
    <t xml:space="preserve">Dies kann beispielsweise durch eine explizite Liste der Personen oder Rollen des Zulieferers, welche berechtigt sind, die Informationen der Institution und andere zugehörige Vermögenswerte zu nutzen, umgesetzt werden.</t>
  </si>
  <si>
    <t xml:space="preserve">Regelungen zur Autorisierung der Zugriffsberechtigung für Personal des Lieferanten</t>
  </si>
  <si>
    <t xml:space="preserve">BES.5.6</t>
  </si>
  <si>
    <t xml:space="preserve">Vergabe von Unteraufträgen</t>
  </si>
  <si>
    <t xml:space="preserve">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</si>
  <si>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 xml:space="preserve">Regelungen für die Vergabe von Unteraufträgen</t>
  </si>
  <si>
    <t xml:space="preserve">Beschaffungsmanagement für Einkäufe SOLLTE Regelungen für die Vergabe von Unteraufträgen vereinbaren.</t>
  </si>
  <si>
    <t xml:space="preserve">BES.5.6.1</t>
  </si>
  <si>
    <t xml:space="preserve">Beschaffungsmanagement für Einkäufe SOLLTE die Weitergabe der Beschaffungskriterien an Unterauftragnehmer vereinbaren.</t>
  </si>
  <si>
    <t xml:space="preserve">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</si>
  <si>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 xml:space="preserve">die Weitergabe der Beschaffungskriterien an Unterauftragnehmer</t>
  </si>
  <si>
    <t xml:space="preserve">BES.5.6.2</t>
  </si>
  <si>
    <t xml:space="preserve">Beschaffungsmanagement für Einkäufe KANN die Autorisierung von Unterauftragnehmern durch den Auftraggeber vereinbaren.</t>
  </si>
  <si>
    <t xml:space="preserve">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</si>
  <si>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 xml:space="preserve">die Autorisierung von Unterauftragnehmern durch den Auftraggeber</t>
  </si>
  <si>
    <t xml:space="preserve">BES.5.6.3</t>
  </si>
  <si>
    <t xml:space="preserve">Beschaffungsmanagement für IT-Produkte KANN die Nachverfolgbarkeit der gesamten Lieferkette bis zum Hersteller für kritische Komponenten vereinbaren.</t>
  </si>
  <si>
    <t xml:space="preserve">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</si>
  <si>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 xml:space="preserve">die Nachverfolgbarkeit der gesamten Lieferkette bis zum Hersteller</t>
  </si>
  <si>
    <t xml:space="preserve">BES.5.7</t>
  </si>
  <si>
    <t xml:space="preserve">Schulung</t>
  </si>
  <si>
    <t xml:space="preserve">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</si>
  <si>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 xml:space="preserve">eine Schulung zur Nutzung gelieferter Sicherheitsmechanismen</t>
  </si>
  <si>
    <t xml:space="preserve">Beschaffungsmanagement für Einkäufe KANN eine Schulung zur Nutzung gelieferter Sicherheitsmechanismen vereinbaren.</t>
  </si>
  <si>
    <t xml:space="preserve">BES.5.8</t>
  </si>
  <si>
    <t xml:space="preserve">Rechte für geistges Eigentum</t>
  </si>
  <si>
    <t xml:space="preserve">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</si>
  <si>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 xml:space="preserve">für geistiges Eigentum, das während der Vertragslaufzeit entwickelt wird, die Eigentumsrechte</t>
  </si>
  <si>
    <t xml:space="preserve">Beschaffungsmanagement für Dienstleistungen SOLLTE für geistiges Eigentum, das während der Vertragslaufzeit entwickelt wird, die Eigentumsrechte vereinbaren.</t>
  </si>
  <si>
    <t xml:space="preserve">BES.5.9</t>
  </si>
  <si>
    <t xml:space="preserve">Umgang mit Änderungen</t>
  </si>
  <si>
    <t xml:space="preserve">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</si>
  <si>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 xml:space="preserve">Regelungen für den Umgang mit Änderungen</t>
  </si>
  <si>
    <t xml:space="preserve">Beschaffungsmanagement für Dienstleistungen SOLLTE Regelungen für den Umgang mit Änderungen vereinbaren.</t>
  </si>
  <si>
    <t xml:space="preserve">BES.5.9.1</t>
  </si>
  <si>
    <t xml:space="preserve">Beschaffungsmanagement für Dienstleistungen KANN die Autorisierung von Änderungen durch den Auftraggeber vereinbaren.</t>
  </si>
  <si>
    <t xml:space="preserve">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</si>
  <si>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 xml:space="preserve">die Autorisierung von Änderungen durch den Auftraggeber</t>
  </si>
  <si>
    <t xml:space="preserve">BES.5.10</t>
  </si>
  <si>
    <t xml:space="preserve">Behandlung von Vorfällen</t>
  </si>
  <si>
    <t xml:space="preserve">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</si>
  <si>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 xml:space="preserve">Regelungen für die Behandlung von Vorfällen</t>
  </si>
  <si>
    <t xml:space="preserve">Beschaffungsmanagement für Einkäufe SOLLTE Regelungen für die Behandlung von Vorfällen vereinbaren.</t>
  </si>
  <si>
    <t xml:space="preserve">BES.5.10.1</t>
  </si>
  <si>
    <t xml:space="preserve">Beschaffungsmanagement für Einkäufe SOLLTE die Erreichbarkeit des Lieferanten über bestimmte Meldewege vereinbaren.</t>
  </si>
  <si>
    <t xml:space="preserve">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</si>
  <si>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 xml:space="preserve">die Erreichbarkeit des Lieferanten über bestimmte Meldewege</t>
  </si>
  <si>
    <t xml:space="preserve">BES.5.10.2</t>
  </si>
  <si>
    <t xml:space="preserve">Beschaffungsmanagement für Einkäufe SOLLTE eine Verpflichtung zur unverzüglichen Information des Auftraggebers über ihn betreffende Vorfälle vereinbaren.</t>
  </si>
  <si>
    <t xml:space="preserve">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</si>
  <si>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 xml:space="preserve">eine Verpflichtung zur unverzüglichen Information des Auftraggebers über ihn betreffende Vorfälle</t>
  </si>
  <si>
    <t xml:space="preserve">BES.5.10.3</t>
  </si>
  <si>
    <t xml:space="preserve">Beschaffungsmanagement für Einkäufe SOLLTE eine Verpflichtung für Lieferanten, die den Auftraggeber betreffende Schwachstelle zeitnah zu beheben, vereinbaren.</t>
  </si>
  <si>
    <t xml:space="preserve">Die Verpflichtung bezieht sich hierbei auf die gesamte Lebensdauer der Dienstleistungen oder Produkte. Je nach Vertrag kann die Behebung von Schwachstellen z.B. durch Sicherheitsupdates oder den Austausch von Komponenten gewährleistet werden.</t>
  </si>
  <si>
    <t xml:space="preserve">eine Verpflichtung für Lieferanten, die den Auftraggeber betreffende Schwachstelle zeitnah zu beheben,</t>
  </si>
  <si>
    <t xml:space="preserve">BES.5.10.3.1</t>
  </si>
  <si>
    <t xml:space="preserve">Beschaffungsmanagement für IT-Produkte KANN einen Schwachstellenmeldeprozess nach einem anerkannten Standard vereinbaren.</t>
  </si>
  <si>
    <t xml:space="preserve">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</si>
  <si>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 xml:space="preserve">einen Schwachstellenmeldeprozess</t>
  </si>
  <si>
    <t xml:space="preserve">BES.5.10.4</t>
  </si>
  <si>
    <t xml:space="preserve">Beschaffungsmanagement für Einkäufe KANN Prozesse zur Lösung von Konflikten zwischen den Vertragsparteien vereinbaren.</t>
  </si>
  <si>
    <t xml:space="preserve">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</si>
  <si>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 xml:space="preserve">Prozesse zur Lösung von Konflikten zwischen den Vertragsparteien</t>
  </si>
  <si>
    <t xml:space="preserve">BES.5.10.5</t>
  </si>
  <si>
    <t xml:space="preserve">Beschaffungsmanagement für Einkäufe KANN Abhilfemaßnahmen für den Fall von Verstößen durch den Lieferanten vereinbaren.</t>
  </si>
  <si>
    <t xml:space="preserve">Hierzu können Abhilfemaßnahmen wie die Abschaltung angreifbarer Systeme, die Information betroffener Personen sowie Entschädigungen für die betroffene Institution oder betroffene Dritte in einer festgelegten Höhe gehören.</t>
  </si>
  <si>
    <t xml:space="preserve">Abhilfemaßnahmen</t>
  </si>
  <si>
    <t xml:space="preserve">BES.5.11</t>
  </si>
  <si>
    <t xml:space="preserve">Recht auf Audit</t>
  </si>
  <si>
    <t xml:space="preserve">Je nach Vereinbarung kann die Umsetzung durch ein vom Auftraggeber durchgeführtes Audit, eine Revision (Second Party Audit) oder eine Auditierung durch Dritte (Third Party Audit), z.B. im Rahmen einer Zertifizierung, erfolgen.</t>
  </si>
  <si>
    <t xml:space="preserve">ein Recht des Auftraggebers zur Überprüfung der Sicherheitsprozesse und -maßnahmen,</t>
  </si>
  <si>
    <t xml:space="preserve">G 0.29 – Verstoß gegen Gesetze oder Regelungen; G 0.20 – Informationen oder Produkte aus unzuverlässiger Quelle; G 0.18 – Fehlplanung oder fehlende Anpassung; G 0.37 – Abstreiten von Handlungen</t>
  </si>
  <si>
    <t xml:space="preserve">Beschaffungsmanagement für Outsourcing SOLLTE ein Recht des Auftraggebers zur Überprüfung der Sicherheitsprozesse und -maßnahmen, die im Zusammenhang mit dem Vertrag stehen, vereinbaren.</t>
  </si>
  <si>
    <t xml:space="preserve">BES.5.12</t>
  </si>
  <si>
    <t xml:space="preserve">Informationspflichten</t>
  </si>
  <si>
    <t xml:space="preserve">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</si>
  <si>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 xml:space="preserve">eine Pflicht des Lieferanten, den Auftraggeber regelmäßig über die Wirksamkeit der Sicherheitsmaßnahmen zu informieren,</t>
  </si>
  <si>
    <t xml:space="preserve">Beschaffungsmanagement für Dienstleistungen SOLLTE eine Pflicht des Lieferanten, den Auftraggeber regelmäßig über die Wirksamkeit der Sicherheitsmaßnahmen zu informieren, vereinbaren.</t>
  </si>
  <si>
    <t xml:space="preserve">BES.5.13</t>
  </si>
  <si>
    <t xml:space="preserve">Bereitstellung von Datensicherungen</t>
  </si>
  <si>
    <t xml:space="preserve">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</si>
  <si>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 xml:space="preserve">eine Verpflichtung des Lieferanten, Sicherungskopien regelmäßig bereitzustellen,</t>
  </si>
  <si>
    <t xml:space="preserve">Beschaffungsmanagement für Dienstleistungen SOLLTE eine Verpflichtung des Lieferanten, Sicherungskopien regelmäßig bereitzustellen, vereinbaren.</t>
  </si>
  <si>
    <t xml:space="preserve">BES.5.13.1</t>
  </si>
  <si>
    <t xml:space="preserve">Beschaffungsmanagement für Outsourcing KANN die Bereitstellung der beim Dienstleister verarbeiteten Daten in einem standardisierten Format vereinbaren.</t>
  </si>
  <si>
    <t xml:space="preserve">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</si>
  <si>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 xml:space="preserve">die Bereitstellung der beim Dienstleister verarbeiteten Daten in einem standardisierten Format</t>
  </si>
  <si>
    <t xml:space="preserve">G 0.20 – Informationen oder Produkte aus unzuverlässiger Quelle; G 0.25 – Ausfall von Geräten oder Systemen</t>
  </si>
  <si>
    <t xml:space="preserve">BES.5.14</t>
  </si>
  <si>
    <t xml:space="preserve">Löschregeln</t>
  </si>
  <si>
    <t xml:space="preserve">Compliance-Verpflichtungen werden in der Praktik GC ermittelt. Die Umsetzung kann z.B. durch individuelle vertragliche Festlegung oder durch die Auswahl eines Dienstleisters, dessen Löschregelungen im Einklang mit den Compliance-Verpflichtungen stehen, erfolgen.</t>
  </si>
  <si>
    <t xml:space="preserve">die Löschung von Daten während der Vertragslaufzeit im Einklang mit den Compliance-Verpflichtungen der Institution</t>
  </si>
  <si>
    <t xml:space="preserve">Beschaffungsmanagement für Outsourcing SOLLTE die Löschung von Daten während der Vertragslaufzeit im Einklang mit den Compliance-Verpflichtungen der Institution vereinbaren.</t>
  </si>
  <si>
    <t xml:space="preserve">BES.6.1</t>
  </si>
  <si>
    <t xml:space="preserve">Entziehung der Zugangsberechtigungen</t>
  </si>
  <si>
    <t xml:space="preserve">„Zugangsberechtigungen“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</si>
  <si>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 xml:space="preserve">die Entziehung der für den Vertrag relevanten Zugangsberechtigungen</t>
  </si>
  <si>
    <t xml:space="preserve">Beschaffungsmanagement für Dienstleistungen SOLLTE die Entziehung der für den Vertrag relevanten Zugangsberechtigungen für den Fall einer Kündigung vereinbaren.</t>
  </si>
  <si>
    <t xml:space="preserve">BES.6.2</t>
  </si>
  <si>
    <t xml:space="preserve">Löschung von Daten</t>
  </si>
  <si>
    <t xml:space="preserve">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</si>
  <si>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 xml:space="preserve">die Löschung aller beim Dienstleister vorhandenen Daten</t>
  </si>
  <si>
    <t xml:space="preserve">Beschaffungsmanagement für Dienstleistungen SOLLTE die Löschung aller beim Dienstleister vorhandenen Daten für den Fall einer Kündigung vereinbaren.</t>
  </si>
  <si>
    <t xml:space="preserve">BES.6.2.1</t>
  </si>
  <si>
    <t xml:space="preserve">Beschaffungsmanagement für Dienstleistungen KANN ein Verfahren zur nicht wiederherstellbaren Löschung für den Fall einer Kündigung vereinbaren.</t>
  </si>
  <si>
    <t xml:space="preserve">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</si>
  <si>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 xml:space="preserve">ein Verfahren zur nicht wiederherstellbaren Löschung</t>
  </si>
  <si>
    <t xml:space="preserve">BES.6.3</t>
  </si>
  <si>
    <t xml:space="preserve">Übertragbarkeit von Daten</t>
  </si>
  <si>
    <t xml:space="preserve">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</si>
  <si>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 xml:space="preserve">die Übertragbarkeit von Daten, Konfigurationen und der Funktionalität</t>
  </si>
  <si>
    <t xml:space="preserve">Beschaffungsmanagement für Dienstleistungen SOLLTE die Übertragbarkeit von Daten, Konfigurationen und der Funktionalität für den Fall einer Kündigung vereinbaren.</t>
  </si>
  <si>
    <t xml:space="preserve">BES.6.4</t>
  </si>
  <si>
    <t xml:space="preserve">Übertragung von Supportdienstleistungen</t>
  </si>
  <si>
    <t xml:space="preserve">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</si>
  <si>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 xml:space="preserve">die Übergabe der Supportdienstleistungen</t>
  </si>
  <si>
    <t xml:space="preserve">Beschaffungsmanagement für Dienstleistungen KANN die Übergabe der Supportdienstleistungen für den Fall einer Kündigung vereinbaren.</t>
  </si>
  <si>
    <t xml:space="preserve">BES.6.5</t>
  </si>
  <si>
    <t xml:space="preserve">Behandlung aufzubewahrender Aufzeichnungen</t>
  </si>
  <si>
    <t xml:space="preserve">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</si>
  <si>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 xml:space="preserve">Kontrollmechanismen zur Behandlung aufzubewahrender Aufzeichnungen</t>
  </si>
  <si>
    <t xml:space="preserve">Beschaffungsmanagement für Dienstleistungen SOLLTE Kontrollmechanismen zur Behandlung aufzubewahrender Aufzeichnungen für den Fall einer Kündigung vereinbaren.</t>
  </si>
  <si>
    <t xml:space="preserve">BES.6.6</t>
  </si>
  <si>
    <t xml:space="preserve">Rückgewähr von Assets</t>
  </si>
  <si>
    <t xml:space="preserve">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</si>
  <si>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 xml:space="preserve">die Rückgewähr von Assets</t>
  </si>
  <si>
    <t xml:space="preserve">Beschaffungsmanagement für Dienstleistungen SOLLTE die Rückgewähr von Assets für den Fall einer Kündigung vereinbaren.</t>
  </si>
  <si>
    <t xml:space="preserve">BES.7.1</t>
  </si>
  <si>
    <t xml:space="preserve">Eingangskontrolle</t>
  </si>
  <si>
    <t xml:space="preserve">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</si>
  <si>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 xml:space="preserve">Abnahmeprotokoll</t>
  </si>
  <si>
    <t xml:space="preserve">erbrachte oder gelieferte Leistungen</t>
  </si>
  <si>
    <t xml:space="preserve">G 0.26 – Fehlfunktion von Geräten oder Systemen; G 0.18 – Fehlplanung oder fehlende Anpassung</t>
  </si>
  <si>
    <t xml:space="preserve">Beschaffungsmanagement für Einkäufe SOLLTE erbrachte oder gelieferte Leistungen anhand von Kriterien zur Akzeptanz vor der ersten Verwendung testen.</t>
  </si>
  <si>
    <t xml:space="preserve">BES.7.1.1</t>
  </si>
  <si>
    <t xml:space="preserve">Beschaffungsmanagement für Outsourcing SOLLTE die Kompatibilität des Dienstes mit dem Informationsverbund im Hinblick auf die Schnittstellen, die Netzanbindung, das Administrationsmodell und das Datenmanagementmodell testen.</t>
  </si>
  <si>
    <t xml:space="preserve">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</si>
  <si>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 xml:space="preserve">die Kompatibilität des Dienstes mit dem Informationsverbund</t>
  </si>
  <si>
    <t xml:space="preserve">G 0.26 – Fehlfunktion von Geräten oder Systemen; G 0.18 – Fehlplanung oder fehlende Anpassung; G 0.28 – Software-Schwachstellen oder -Fehler</t>
  </si>
  <si>
    <t xml:space="preserve">BES.7.1.2</t>
  </si>
  <si>
    <t xml:space="preserve">Beschaffungsmanagement für Outsourcing SOLLTE die Umsetzung der geforderten Beschaffungskriterien für die Netzanbindung vor der Netzanbindung testen.</t>
  </si>
  <si>
    <t xml:space="preserve">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</si>
  <si>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 xml:space="preserve">die Umsetzung der geforderten Beschaffungskriterien für die Netzanbindung</t>
  </si>
  <si>
    <t xml:space="preserve">BES.7.2</t>
  </si>
  <si>
    <t xml:space="preserve">Prozesse vor Netzanbindung</t>
  </si>
  <si>
    <t xml:space="preserve">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</si>
  <si>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 xml:space="preserve">vor Anbindung des Datennetzes der Nutzenden an das Datennetz der Anbietenden alle sicherheitsrelevanten Maßnahmen</t>
  </si>
  <si>
    <t xml:space="preserve">G 0.18 – Fehlplanung oder fehlende Anpassung; G 0.26 – Fehlfunktion von Geräten oder Systemen; G 0.28 – Software-Schwachstellen oder -Fehler</t>
  </si>
  <si>
    <t xml:space="preserve">Beschaffungsmanagement für Outsourcing SOLLTE vor Anbindung des Datennetzes der Nutzenden an das Datennetz der Anbietenden alle sicherheitsrelevanten Maßnahmen im Einklang mit den Regelungen und Verfahren des Managementsystems verankern.</t>
  </si>
  <si>
    <t xml:space="preserve">BES.7.3</t>
  </si>
  <si>
    <t xml:space="preserve">Anhörung Prozessbeteiligter</t>
  </si>
  <si>
    <t xml:space="preserve">Je nach Prozess können hierzu z.B. IT-Betriebspersonal oder Cybersicherheitsexperten der Institution oder von weiteren Dienstleistern, oder die Rechtsabteilung gehören.</t>
  </si>
  <si>
    <t xml:space="preserve">alle am ausgelagerten Prozess beteiligten Mitarbeiter oder Rollen</t>
  </si>
  <si>
    <t xml:space="preserve">G 0.18 – Fehlplanung oder fehlende Anpassung; G 0.26 – Fehlfunktion von Geräten oder Systemen</t>
  </si>
  <si>
    <t xml:space="preserve">Beschaffungsmanagement für Outsourcing SOLLTE alle am ausgelagerten Prozess beteiligten Mitarbeiter oder Rollen anhören.</t>
  </si>
  <si>
    <t xml:space="preserve">BES.7.4</t>
  </si>
  <si>
    <t xml:space="preserve">Vollständigkeit der Unterlagen</t>
  </si>
  <si>
    <t xml:space="preserve">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</si>
  <si>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 xml:space="preserve">Informationen, die für eine bestimmungsgemäße Verwendung im Informationsverbund erforderlich sind,</t>
  </si>
  <si>
    <t xml:space="preserve">Beschaffungsmanagement für Einkäufe SOLLTE Informationen, die für eine bestimmungsgemäße Verwendung im Informationsverbund erforderlich sind, dokumentieren.</t>
  </si>
  <si>
    <t xml:space="preserve">BES.7.4.1</t>
  </si>
  <si>
    <t xml:space="preserve">Beschaffungsmanagement für IT-Produkte SOLLTE eine Beschreibung der Sicherheitsarchitektur dokumentieren.</t>
  </si>
  <si>
    <t xml:space="preserve">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</si>
  <si>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 xml:space="preserve">eine Beschreibung der Sicherheitsarchitektur</t>
  </si>
  <si>
    <t xml:space="preserve">BES.7.4.2</t>
  </si>
  <si>
    <t xml:space="preserve">Beschaffungsmanagement für IT-Produkte SOLLTE eine Beschreibung der gelieferten Sicherheitsmechanismen dokumentieren.</t>
  </si>
  <si>
    <t xml:space="preserve">Hierzu zählt z.B. eine Information des Herstellers, dass die Verschlüsselung nach BSI TR-02102 erfolgt.</t>
  </si>
  <si>
    <t xml:space="preserve">eine Beschreibung der gelieferten Sicherheitsmechanismen</t>
  </si>
  <si>
    <t xml:space="preserve">BES.7.4.3</t>
  </si>
  <si>
    <t xml:space="preserve">Beschaffungsmanagement für IT-Produkte SOLLTE eine vom Hersteller oder Lieferanten für den sicheren Betrieb empfohlene Konfiguration dokumentieren.</t>
  </si>
  <si>
    <t xml:space="preserve">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</si>
  <si>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 xml:space="preserve">eine vom Hersteller oder Lieferanten für den sicheren Betrieb empfohlene Konfiguration</t>
  </si>
  <si>
    <t xml:space="preserve">G 0.28 – Software-Schwachstellen oder -Fehler; G 0.31 – Fehlerhafte Nutzung oder Administration von Geräten und Systemen; G 0.26 – Fehlfunktion von Geräten oder Systemen; G 0.18 – Fehlplanung oder fehlende Anpassung</t>
  </si>
  <si>
    <t xml:space="preserve">BES.7.4.4</t>
  </si>
  <si>
    <t xml:space="preserve">Beschaffungsmanagement für Einkäufe SOLLTE eine Beschreibung der verwendeten Hardware- und Softwarekomponenten dokumentieren.</t>
  </si>
  <si>
    <t xml:space="preserve">Hierzu zählen Angaben zum Hersteller und der Leistungsfähigkeit und Zusammensetzung der verbauten Hardware- und Softwarekomponenten. Für die Softwarekomponenten kann die Beschreibung standardisiert nach BSI TR-03183-2 erfolgen.</t>
  </si>
  <si>
    <t xml:space="preserve">eine Beschreibung der verwendeten Hardware- und Softwarekomponenten</t>
  </si>
  <si>
    <t xml:space="preserve">G 0.18 – Fehlplanung oder fehlende Anpassung; G 0.26 – Fehlfunktion von Geräten oder Systemen; G 0.37 – Abstreiten von Handlungen</t>
  </si>
  <si>
    <t xml:space="preserve">BES.7.4.4.1</t>
  </si>
  <si>
    <t xml:space="preserve">Beschaffungsmanagement für IT-Produkte KANN für jede gelieferte Software die entsprechende Software Bill of Materials (SBOM) nach einem anerkannten Standard dokumentieren.</t>
  </si>
  <si>
    <t xml:space="preserve">Je nach Produkt können hierzu auch die Firmware, das Betriebssystem oder mehrere Softwarebestandteile einer Anwendung gehören. Ein anerkannter Standard für SBOM ist die BSI TR-03183-2.</t>
  </si>
  <si>
    <t xml:space="preserve">für jede gelieferte Software die entsprechende Software Bill of Materials (SBOM)</t>
  </si>
  <si>
    <t xml:space="preserve">BES.7.4.5</t>
  </si>
  <si>
    <t xml:space="preserve">Beschaffungsmanagement für IT-Produkte SOLLTE eine Liste der Internetserver, mit denen das IT-Produkt von sich aus Verbindung aufnimmt, mit Zweck der Verbindung, Zieladresse(n), Port-Nummern dokumentieren.</t>
  </si>
  <si>
    <t xml:space="preserve">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</si>
  <si>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 xml:space="preserve">eine Liste der Internetserver, mit denen das IT-Produkt von sich aus Verbindung aufnimmt,</t>
  </si>
  <si>
    <t xml:space="preserve">BES.7.4.6</t>
  </si>
  <si>
    <t xml:space="preserve">Beschaffungsmanagement für Dienstleistungen SOLLTE die Verteilung der Zuständigkeiten und deren Abgrenzung dokumentieren.</t>
  </si>
  <si>
    <t xml:space="preserve">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</si>
  <si>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 xml:space="preserve">Auslagerungsregister</t>
  </si>
  <si>
    <t xml:space="preserve">die Verteilung der Zuständigkeiten und deren Abgrenzung</t>
  </si>
  <si>
    <t xml:space="preserve">BES.7.4.7</t>
  </si>
  <si>
    <t xml:space="preserve">Beschaffungsmanagement für Dienstleistungen SOLLTE die organisatorischen Schnittstellen des Dienstleisters dokumentieren.</t>
  </si>
  <si>
    <t xml:space="preserve">Beispielsweise Meldewege für Notfälle, Sicherheitsvorfälle, Eskalationsstufen.</t>
  </si>
  <si>
    <t xml:space="preserve">die organisatorischen Schnittstellen des Dienstleisters</t>
  </si>
  <si>
    <t xml:space="preserve">BES.7.4.8</t>
  </si>
  <si>
    <t xml:space="preserve">Beschaffungsmanagement für Dienstleistungen SOLLTE die vom Dienstleister bereitgestellten technischen Schnittstellen und deren Sicherheitsfunktionalität dokumentieren.</t>
  </si>
  <si>
    <t xml:space="preserve">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</si>
  <si>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 xml:space="preserve">die vom Dienstleister bereitgestellten technischen Schnittstellen und deren Sicherheitsfunktionalität</t>
  </si>
  <si>
    <t xml:space="preserve">BES.7.4.9</t>
  </si>
  <si>
    <t xml:space="preserve">Beschaffungsmanagement für Outsourcing SOLLTE Informationen über den Dienstleister, die Kritikalität des Prozesses, abgeschlossene Verträge und Vereinbarungen sowie Zeitpunkt und Inhalt von Änderungen an den Vereinbarungen nach Vertragsschluss dokumentieren.</t>
  </si>
  <si>
    <t xml:space="preserve">Hierzu genügt ein zentrales Auslagerungsregister, welches zu allen ausgelagerten Prozessen die geforderten Informationen enthält. Als Angaben zum Dienstleister gehören dessen Unternehmensbezeichnung und Erreichbarkeiten.</t>
  </si>
  <si>
    <t xml:space="preserve">Informationen über den Dienstleister, die Kritikalität des Prozesses, abgeschlossene Verträge und Vereinbarungen sowie Zeitpunkt und Inhalt von Änderungen an den Vereinbarungen</t>
  </si>
  <si>
    <t xml:space="preserve">BES.7.4.10</t>
  </si>
  <si>
    <t xml:space="preserve">Beschaffungsmanagement für Cloud-Dienste SOLLTE für jeden geplanten oder genutzten Cloud-Dienst ein Serviceprofil mit dem Namen des Services und des Anbieters dokumentieren.</t>
  </si>
  <si>
    <t xml:space="preserve">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</si>
  <si>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 xml:space="preserve">für jeden geplanten oder genutzten Cloud-Dienst ein Serviceprofil</t>
  </si>
  <si>
    <t xml:space="preserve">BES.7.4.11</t>
  </si>
  <si>
    <t xml:space="preserve">Beschaffungsmanagement für Outsourcing KANN die beim Dienstleister implementierten Maßnahmen zur Mandantentrennung nach Vertragsschluss dokumentieren.</t>
  </si>
  <si>
    <t xml:space="preserve">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</si>
  <si>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 xml:space="preserve">die beim Dienstleister implementierten Maßnahmen zur Mandantentrennung</t>
  </si>
  <si>
    <t xml:space="preserve">BES.7.4.12</t>
  </si>
  <si>
    <t xml:space="preserve">Beschaffungsmanagement für Cloud-Dienste KANN für jede gelieferte Software-as-a-Service (SaaS) die entsprechende Software Bill of Materials (SBOM) nach einem anerkannten Standard dokumentieren.</t>
  </si>
  <si>
    <t xml:space="preserve">Ein anerkannter Standard für SBOM ist die BSI TR-03183-2.</t>
  </si>
  <si>
    <t xml:space="preserve">für jede gelieferte Software-as-a-Service (SaaS) die entsprechende Software Bill of Materials (SBOM)</t>
  </si>
  <si>
    <t xml:space="preserve">BES.8.1</t>
  </si>
  <si>
    <t xml:space="preserve">Bereithaltung alternativer Lieferanten</t>
  </si>
  <si>
    <t xml:space="preserve">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</si>
  <si>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 xml:space="preserve">die Bereithaltung alternativer Lieferanten</t>
  </si>
  <si>
    <t xml:space="preserve">G 0.18 – Fehlplanung oder fehlende Anpassung; G 0.25 – Ausfall von Geräten oder Systemen</t>
  </si>
  <si>
    <t xml:space="preserve">Beschaffungsmanagement für Einkäufe KANN die Bereithaltung alternativer Lieferanten verankern.</t>
  </si>
  <si>
    <t xml:space="preserve">BES.8.2</t>
  </si>
  <si>
    <t xml:space="preserve">Verfahren zur Übertragung von Geschäftsprozessen</t>
  </si>
  <si>
    <t xml:space="preserve">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</si>
  <si>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 xml:space="preserve">Beschaffungsmanagement für Outsourcing KANN Verfahren zur Übertragung von Geschäftsprozessen für den Fall einer geplanten oder ungeplanten Beendigung des Vertrages verankern.</t>
  </si>
  <si>
    <t xml:space="preserve">BES.8.3</t>
  </si>
  <si>
    <t xml:space="preserve">Ressourcensouveränität</t>
  </si>
  <si>
    <t xml:space="preserve">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</si>
  <si>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 xml:space="preserve">ausreichende interne Ressourcen</t>
  </si>
  <si>
    <t xml:space="preserve">Beschaffungsmanagement für Outsourcing KANN ausreichende interne Ressourcen für den Fall einer geplanten oder ungeplanten Beendigung des Vertrages zuweisen.</t>
  </si>
  <si>
    <t xml:space="preserve">BES.8.4</t>
  </si>
  <si>
    <t xml:space="preserve">Individuelle Implementierung kritischer Komponenten</t>
  </si>
  <si>
    <t xml:space="preserve">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</si>
  <si>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 xml:space="preserve">eine eigens für die Institution entwickelte Implementierung kritischer Komponenten</t>
  </si>
  <si>
    <t xml:space="preserve">Beschaffungsmanagement für IT-Produkte KANN eine eigens für die Institution entwickelte Implementierung kritischer Komponenten vereinbaren.</t>
  </si>
  <si>
    <t xml:space="preserve">BES.8.5</t>
  </si>
  <si>
    <t xml:space="preserve">Treuhand</t>
  </si>
  <si>
    <t xml:space="preserve">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</si>
  <si>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 xml:space="preserve">ESCROW- bzw. Treuhandverträge</t>
  </si>
  <si>
    <t xml:space="preserve">Beschaffungsmanagement für Dienstleistungen KANN ESCROW- bzw. Treuhandverträge vereinbaren.</t>
  </si>
  <si>
    <t xml:space="preserve">DET.1.1</t>
  </si>
  <si>
    <t xml:space="preserve">DER.1.A1-UA.1; DER.1.A1-UA.2; IND.1.A10-UA.6</t>
  </si>
  <si>
    <t xml:space="preserve">intersects-with; subset-of; subset-of</t>
  </si>
  <si>
    <t xml:space="preserve">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</si>
  <si>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 xml:space="preserve">Verfahren und Regelungen zur Detektion von Sicherheitsvorfällen</t>
  </si>
  <si>
    <t xml:space="preserve">DET.1.1.1</t>
  </si>
  <si>
    <t xml:space="preserve">Detektion MUSS die Verfahren und Regelungen dokumentieren.</t>
  </si>
  <si>
    <t xml:space="preserve">DET.1.1.2</t>
  </si>
  <si>
    <t xml:space="preserve">Detektion MUSS die mit den Verfahren und Regelungen verbundenen Aufgaben zuständigen Personen oder Rollen zuweisen.</t>
  </si>
  <si>
    <t xml:space="preserve">DET.1.1.3</t>
  </si>
  <si>
    <t xml:space="preserve">Detektion MUSS die zuständigen Personen oder Rollen über die Verfahren und Regelungen informieren.</t>
  </si>
  <si>
    <t xml:space="preserve">DER.1.A1-UA.3; SYS.4.3.A1-UA.1</t>
  </si>
  <si>
    <t xml:space="preserve">DET.1.2</t>
  </si>
  <si>
    <t xml:space="preserve">DER.1.A1-UA.5</t>
  </si>
  <si>
    <t xml:space="preserve">G 0.18 – Fehlplanung oder fehlende Anpassung; G 0.27 – Ressourcenmangel; G 0.29 – Verstoß gegen Gesetze oder Regelungen</t>
  </si>
  <si>
    <t xml:space="preserve">Detektion MUSS die Verfahren und Regelungen regelmäßig und anlassbezogen auf Aktualität überprüfen.</t>
  </si>
  <si>
    <t xml:space="preserve">DET.2.1</t>
  </si>
  <si>
    <t xml:space="preserve">Meldeverfahren</t>
  </si>
  <si>
    <t xml:space="preserve">DER.1.A3-UA.1; DER.2.1.A9-UA.2; DER.2.1.A9-UA.5; IND.1.A10-UA.6</t>
  </si>
  <si>
    <t xml:space="preserve">intersects-with; subset-of; equivalent-to; superset-of</t>
  </si>
  <si>
    <t xml:space="preserve">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</si>
  <si>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 xml:space="preserve">ein Meldeverfahren</t>
  </si>
  <si>
    <t xml:space="preserve">G 0.18 – Fehlplanung oder fehlende Anpassung; G 0.29 – Verstoß gegen Gesetze oder Regelungen; G 0.20 – Informationen oder Produkte aus unzuverlässiger Quelle; G 0.47 – Schädliche Seiteneffekte IT-gestützter Angriffe</t>
  </si>
  <si>
    <t xml:space="preserve">Detektion SOLLTE ein Meldeverfahren verankern.</t>
  </si>
  <si>
    <t xml:space="preserve">DET.2.1.1</t>
  </si>
  <si>
    <t xml:space="preserve">Detektion SOLLTE Regelungen für Sofortmaßnahmen durch Nutzende verankern.</t>
  </si>
  <si>
    <t xml:space="preserve">IND.1.A10-UA.6</t>
  </si>
  <si>
    <t xml:space="preserve">Beispiele für Sofortmaßnahmen sind der sofortige Stopp weiterer Tätigkeiten an betroffenen Systemen, die Dokumentation von Beobachtungen oder zu meldende Informationen (W-Fragen). Hierfür kann die IT-Notfallkarte „Verhalten bei IT-Notfällen“ des BSI genutzt werden.</t>
  </si>
  <si>
    <t xml:space="preserve">Regelungen für Sofortmaßnahmen durch Nutzende</t>
  </si>
  <si>
    <t xml:space="preserve">G 0.39 – Schadprogramme; G 0.41 – Sabotage; G 0.47 – Schädliche Seiteneffekte IT-gestützter Angriffe; G 0.25 – Ausfall von Geräten oder Systemen</t>
  </si>
  <si>
    <t xml:space="preserve">DET.2.1.2</t>
  </si>
  <si>
    <t xml:space="preserve">Detektion SOLLTE Meldeformulare für Vorfallsmeldungen installieren.</t>
  </si>
  <si>
    <t xml:space="preserve">APP.3.2.A20-UA.3; DER.2.1.A20-UA.1</t>
  </si>
  <si>
    <t xml:space="preserve">Die Angabe des Meldezeitpunktes oder der Name des Meldenden, kann auch durch ein Formular automatisch ausgefüllt werden.</t>
  </si>
  <si>
    <t xml:space="preserve">Meldeformulare</t>
  </si>
  <si>
    <t xml:space="preserve">G 0.39 – Schadprogramme; G 0.41 – Sabotage; G 0.47 – Schädliche Seiteneffekte IT-gestützter Angriffe</t>
  </si>
  <si>
    <t xml:space="preserve">DET.2.1.3</t>
  </si>
  <si>
    <t xml:space="preserve">Detektion SOLLTE ein Verfahren für Rückmeldungen verankern.</t>
  </si>
  <si>
    <t xml:space="preserve">DER.2.1.A9-UA.5</t>
  </si>
  <si>
    <t xml:space="preserve">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</si>
  <si>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 xml:space="preserve">ein Verfahren für Rückmeldungen</t>
  </si>
  <si>
    <t xml:space="preserve">G 0.29 – Verstoß gegen Gesetze oder Regelungen; G 0.18 – Fehlplanung oder fehlende Anpassung; G 0.33 – Personalausfall; G 0.47 – Schädliche Seiteneffekte IT-gestützter Angriffe</t>
  </si>
  <si>
    <t xml:space="preserve">DET.2.2</t>
  </si>
  <si>
    <t xml:space="preserve">Security Operations Center</t>
  </si>
  <si>
    <t xml:space="preserve">DER.2.1.A20-UA.1; DER.2.1.A20-UA.4; DER.2.1.A21-UA.6; DER.2.1.A21-UA.8; DER.2.1.A21-UA.9</t>
  </si>
  <si>
    <t xml:space="preserve">subset-of; intersects-with; subset-of; subset-of; subset-of</t>
  </si>
  <si>
    <t xml:space="preserve">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</si>
  <si>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 xml:space="preserve">die Erkennung, Beurteilung und initiale Behandlung von Vorfällen</t>
  </si>
  <si>
    <t xml:space="preserve">G 0.29 – Verstoß gegen Gesetze oder Regelungen; G 0.18 – Fehlplanung oder fehlende Anpassung; G 0.33 – Personalausfall; G 0.20 – Informationen oder Produkte aus unzuverlässiger Quelle</t>
  </si>
  <si>
    <t xml:space="preserve">Detektion KANN die Erkennung, Beurteilung und initiale Behandlung von Vorfällen dediziertem Personal zuweisen.</t>
  </si>
  <si>
    <t xml:space="preserve">DET.2.3</t>
  </si>
  <si>
    <t xml:space="preserve">Ständiger Bereitschaftsdienst</t>
  </si>
  <si>
    <t xml:space="preserve">DER.1.A6-UA.4; DER.2.1.A20-UA.2</t>
  </si>
  <si>
    <t xml:space="preserve">superset-of; intersects-with</t>
  </si>
  <si>
    <t xml:space="preserve">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</si>
  <si>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 xml:space="preserve">einen ständigen Bereitschaftsdienst</t>
  </si>
  <si>
    <t xml:space="preserve">G 0.27 – Ressourcenmangel; G 0.23 – Unbefugtes Eindringen in IT-Systeme; G 0.41 – Sabotage; G 0.47 – Schädliche Seiteneffekte IT-gestützter Angriffe</t>
  </si>
  <si>
    <t xml:space="preserve">Detektion KANN einen ständigen Bereitschaftsdienst verankern.</t>
  </si>
  <si>
    <t xml:space="preserve">DET.3.1</t>
  </si>
  <si>
    <t xml:space="preserve">Protokollierung sicherheitsrelevanter Ereignisse</t>
  </si>
  <si>
    <t xml:space="preserve">DER.1.A5-UA.1; IND.1.A10-UA.1; IND.1.A10-UA.2; IND.1.A10-UA.3; INF.13.A21-UA.1; INF.13.A21-UA.2; NET.1.2.A26-UA.1; NET.1.2.A7-UA.1; NET.3.4.A16-UA.2; OPS.1.1.5.A3-UA.1; SYS.1.1.A10-UA.1; SYS.4.4.A18-UA.1</t>
  </si>
  <si>
    <t xml:space="preserve">intersects-with; subset-of; superset-of; intersects-with; subset-of; equal-to; subset-of; subset-of; subset-of; superset-of; superset-of; subset-of</t>
  </si>
  <si>
    <t xml:space="preserve">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</si>
  <si>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 xml:space="preserve">Sicherheitsrelevante Ereignisse</t>
  </si>
  <si>
    <t xml:space="preserve">G 0.37 – Abstreiten von Handlungen; G 0.32 – Missbrauch von Berechtigungen; G 0.29 – Verstoß gegen Gesetze oder Regelungen</t>
  </si>
  <si>
    <t xml:space="preserve">Detektion für Anwendungen SOLLTE Sicherheitsrelevante Ereignisse mindestens für eine bestimmte Frist protokollieren.</t>
  </si>
  <si>
    <t xml:space="preserve">DET.3.1.1</t>
  </si>
  <si>
    <t xml:space="preserve">Detektion für IT-Systeme SOLLTE Authentifizierungen bei Erfolg und Fehlschlag protokollieren.</t>
  </si>
  <si>
    <t xml:space="preserve">APP.3.2.A4-UA.1; NET.1.2.A7-UA.1; SYS.1.1.A10-UA.1</t>
  </si>
  <si>
    <t xml:space="preserve">Relevant sind dabei z.B. die lokale Anmeldung, Anmeldung und Zugriffe auf Schnittstellen des Systems über das Netz, oder auch die physische Authentifizierung an einem Zutrittskontrollsystem.</t>
  </si>
  <si>
    <t xml:space="preserve">Authentifizierungen</t>
  </si>
  <si>
    <t xml:space="preserve">G 0.37 – Abstreiten von Handlungen; G 0.27 – Ressourcenmangel; G 0.23 – Unbefugtes Eindringen in IT-Systeme</t>
  </si>
  <si>
    <t xml:space="preserve">DET.3.1.2</t>
  </si>
  <si>
    <t xml:space="preserve">Detektion für IT-Systeme SOLLTE ausgeführte Kommandozeilenbefehle protokollieren.</t>
  </si>
  <si>
    <t xml:space="preserve">SYS.1.2.3.A7-UA.1; SYS.2.2.3.A22-UA.2; SYS.2.3.A1-UA.2</t>
  </si>
  <si>
    <t xml:space="preserve">subset-of; subset-of; subset-of</t>
  </si>
  <si>
    <t xml:space="preserve">Angreifer nutzen Kommandozeilenfunktionen wie Bash oder Windows PowerShell, um mit Bordmitteln schädliche Befehle auszuführen. Hier sind vor allem Living-off-the-Land-Binaries (LOLBins) und Nutzlasten (Malware Payloads) zu nennen.</t>
  </si>
  <si>
    <t xml:space="preserve">ausgeführte Kommandozeilenbefehle</t>
  </si>
  <si>
    <t xml:space="preserve">G 0.31 – Fehlerhafte Nutzung oder Administration von Geräten und Systemen; G 0.32 – Missbrauch von Berechtigungen; G 0.30 – Unberechtigte Nutzung oder Administration von Geräten und Systemen</t>
  </si>
  <si>
    <t xml:space="preserve">DET.3.1.3</t>
  </si>
  <si>
    <t xml:space="preserve">Detektion für IT-Systeme SOLLTE das Anschließen von Peripheriegeräten protokollieren.</t>
  </si>
  <si>
    <t xml:space="preserve">IND.1.A10-UA.3; OPS.1.1.5.A3-UA.1; OPS.1.1.5.A6-UA.3; SYS.1.1.A10-UA.1; SYS.1.9.A13-UA.2</t>
  </si>
  <si>
    <t xml:space="preserve">superset-of; superset-of; superset-of; superset-of; intersects-with</t>
  </si>
  <si>
    <t xml:space="preserve">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</si>
  <si>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 xml:space="preserve">das Anschließen von Peripheriegeräten</t>
  </si>
  <si>
    <t xml:space="preserve">G 0.37 – Abstreiten von Handlungen; G 0.18 – Fehlplanung oder fehlende Anpassung; G 0.23 – Unbefugtes Eindringen in IT-Systeme</t>
  </si>
  <si>
    <t xml:space="preserve">DET.3.1.4</t>
  </si>
  <si>
    <t xml:space="preserve">Detektion für IT-Systeme SOLLTE Fehlermeldungen des Systems protokollieren.</t>
  </si>
  <si>
    <t xml:space="preserve">APP.3.2.A4-UA.1; APP.3.3.A14-UA.1; NET.1.2.A26-UA.3; NET.3.1.A7-UA.1; OPS.1.1.7.A15-UA.5; SYS.1.1.A10-UA.1</t>
  </si>
  <si>
    <t xml:space="preserve">superset-of; intersects-with; intersects-with; intersects-with; superset-of; superset-of</t>
  </si>
  <si>
    <t xml:space="preserve">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</si>
  <si>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 xml:space="preserve">Fehlermeldungen des Systems</t>
  </si>
  <si>
    <t xml:space="preserve">G 0.37 – Abstreiten von Handlungen; G 0.23 – Unbefugtes Eindringen in IT-Systeme; G 0.26 – Fehlfunktion von Geräten oder Systemen; G 0.18 – Fehlplanung oder fehlende Anpassung</t>
  </si>
  <si>
    <t xml:space="preserve">DET.3.1.5</t>
  </si>
  <si>
    <t xml:space="preserve">Detektion für IT-Systeme KANN Störungen der Netzerreichbarkeit protokollieren.</t>
  </si>
  <si>
    <t xml:space="preserve">NET.1.2.A26-UA.3; NET.1.2.A7-UA.1; NET.3.1.A7-UA.1; OPS.1.1.5.A3-UA.1; SYS.1.1.A10-UA.1</t>
  </si>
  <si>
    <t xml:space="preserve">intersects-with; superset-of; intersects-with; intersects-with; superset-of</t>
  </si>
  <si>
    <t xml:space="preserve">Eine Störung der Netzerreichbarkeit kann ein Indiz für Überlastungen, Fehler oder Angriffe im Netz sein. Wann eine Störung vorliegt, kann anhand von Schwellwerten, z.B. durch das Ausbleiben eines regelmäßigen Heartbeat-Paketes, getestet werden.</t>
  </si>
  <si>
    <t xml:space="preserve">Störungen der Netzerreichbarkeit</t>
  </si>
  <si>
    <t xml:space="preserve">G 0.37 – Abstreiten von Handlungen; G 0.23 – Unbefugtes Eindringen in IT-Systeme; G 0.29 – Verstoß gegen Gesetze oder Regelungen</t>
  </si>
  <si>
    <t xml:space="preserve">DET.3.1.6</t>
  </si>
  <si>
    <t xml:space="preserve">Detektion für IT-Systeme KANN bestimmte systemspezifische Ereignisse protokollieren.</t>
  </si>
  <si>
    <t xml:space="preserve">DER.1.A15-UA.3; OPS.1.1.5.A11-UA.1; SYS.1.9.A13-UA.2</t>
  </si>
  <si>
    <t xml:space="preserve">superset-of; equivalent-to; subset-of</t>
  </si>
  <si>
    <t xml:space="preserve">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</si>
  <si>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 xml:space="preserve">{{bestimmte systemspezifische Ereignisse}}</t>
  </si>
  <si>
    <t xml:space="preserve">DET.3.1.7</t>
  </si>
  <si>
    <t xml:space="preserve">Detektion für Anwendungen SOLLTE zu jedem sicherheitsrelevanten Ereignis mindestens Zeitpunkt, die Quelle und das Zielobjekt protokollieren.</t>
  </si>
  <si>
    <t xml:space="preserve">INF.13.A21-UA.4; NET.3.2.A9-UA.3; OPS.1.1.5.A1-UA.3</t>
  </si>
  <si>
    <t xml:space="preserve">subset-of; subset-of; superset-of</t>
  </si>
  <si>
    <t xml:space="preserve">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</si>
  <si>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 xml:space="preserve">zu jedem sicherheitsrelevanten Ereignis</t>
  </si>
  <si>
    <t xml:space="preserve">G 0.37 – Abstreiten von Handlungen; G 0.18 – Fehlplanung oder fehlende Anpassung</t>
  </si>
  <si>
    <t xml:space="preserve">DET.3.1.8</t>
  </si>
  <si>
    <t xml:space="preserve">Detektion für Anwendungen SOLLTE privilegierte Ereignisse einschließlich der Aktivierung, Deaktivierung oder Blockierung privilegierter Funktionen protokollieren.</t>
  </si>
  <si>
    <t xml:space="preserve">IND.1.A15-UA.3; SYS.1.1.A10-UA.1; SYS.1.9.A13-UA.2; SYS.2.5.A16-UA.2; SYS.4.3.A3-UA.1</t>
  </si>
  <si>
    <t xml:space="preserve">equivalent-to; superset-of; intersects-with; intersects-with; subset-of</t>
  </si>
  <si>
    <t xml:space="preserve">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</si>
  <si>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 xml:space="preserve">privilegierte Ereignisse</t>
  </si>
  <si>
    <t xml:space="preserve">DET.3.1.9</t>
  </si>
  <si>
    <t xml:space="preserve">Detektion für Anwendungen SOLLTE Fehlermeldungen der Anwendung protokollieren.</t>
  </si>
  <si>
    <t xml:space="preserve">APP.3.2.A4-UA.1; CON.10.A13-UA.2; DER.1.A5-UA.1; NET.1.2.A7-UA.1; SYS.1.1.A10-UA.1</t>
  </si>
  <si>
    <t xml:space="preserve">superset-of; intersects-with; superset-of; superset-of; intersects-with</t>
  </si>
  <si>
    <t xml:space="preserve">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</si>
  <si>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 xml:space="preserve">Fehlermeldungen der Anwendung</t>
  </si>
  <si>
    <t xml:space="preserve">G 0.37 – Abstreiten von Handlungen; G 0.23 – Unbefugtes Eindringen in IT-Systeme; G 0.32 – Missbrauch von Berechtigungen</t>
  </si>
  <si>
    <t xml:space="preserve">DET.3.1.10</t>
  </si>
  <si>
    <t xml:space="preserve">Detektion für Anwendungen KANN eine Nutzungsstatistik protokollieren.</t>
  </si>
  <si>
    <t xml:space="preserve">APP.3.2.A4-UA.1; APP.3.6.A15-UA.3; DER.1.A13-UA.2; OPS.1.1.5.A11-UA.1</t>
  </si>
  <si>
    <t xml:space="preserve">subset-of; subset-of; subset-of; superset-of</t>
  </si>
  <si>
    <t xml:space="preserve">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</si>
  <si>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 xml:space="preserve">eine Nutzungsstatistik</t>
  </si>
  <si>
    <t xml:space="preserve">G 0.37 – Abstreiten von Handlungen; G 0.23 – Unbefugtes Eindringen in IT-Systeme; G 0.29 – Verstoß gegen Gesetze oder Regelungen; G 0.27 – Ressourcenmangel</t>
  </si>
  <si>
    <t xml:space="preserve">DET.3.1.11</t>
  </si>
  <si>
    <t xml:space="preserve">Detektion für Anwendungen KANN bestimmte anwendungsspezifische Ereignisse protokollieren.</t>
  </si>
  <si>
    <t xml:space="preserve">OPS.1.1.2.A18-UA.1; OPS.1.1.5.A1-UA.4; OPS.1.1.5.A11-UA.1</t>
  </si>
  <si>
    <t xml:space="preserve">subset-of; intersects-with; superset-of</t>
  </si>
  <si>
    <t xml:space="preserve">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</si>
  <si>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 xml:space="preserve">{{bestimmte anwendungsspezifische Ereignisse}}</t>
  </si>
  <si>
    <t xml:space="preserve">G 0.37 – Abstreiten von Handlungen; G 0.23 – Unbefugtes Eindringen in IT-Systeme; G 0.32 – Missbrauch von Berechtigungen; G 0.46 – Integritätsverlust schützenswerter Informationen</t>
  </si>
  <si>
    <t xml:space="preserve">DET.3.1.12</t>
  </si>
  <si>
    <t xml:space="preserve">Detektion für Daten KANN die Verarbeitung von Daten protokollieren.</t>
  </si>
  <si>
    <t xml:space="preserve">APP.3.2.A4-UA.1; IND.1.A10-UA.3; INF.13.A21-UA.4; NET.4.1.A5-UA.2; OPS.1.1.5.A11-UA.1; SYS.1.1.A10-UA.1</t>
  </si>
  <si>
    <t xml:space="preserve">intersects-with; superset-of; intersects-with; superset-of; superset-of; superset-of</t>
  </si>
  <si>
    <t xml:space="preserve">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</si>
  <si>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 xml:space="preserve">die Verarbeitung von Daten</t>
  </si>
  <si>
    <t xml:space="preserve">DET.3.2</t>
  </si>
  <si>
    <t xml:space="preserve">Integration von Cloud-Diensten</t>
  </si>
  <si>
    <t xml:space="preserve">APP.1.4.A8-UA.3; APP.5.4.A4-UA.5; DER.2.2.A9-UA.1; OPS.1.1.5.A9-UA.1</t>
  </si>
  <si>
    <t xml:space="preserve">subset-of; intersects-with; intersects-with; superset-of</t>
  </si>
  <si>
    <t xml:space="preserve">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</si>
  <si>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 xml:space="preserve">Ereignisse in der Cloud</t>
  </si>
  <si>
    <t xml:space="preserve">G 0.14 – Ausspähen von Informationen (Spionage); G 0.23 – Unbefugtes Eindringen in IT-Systeme; G 0.18 – Fehlplanung oder fehlende Anpassung</t>
  </si>
  <si>
    <t xml:space="preserve">Detektion für Cloud-Dienste KANN Ereignisse in der Cloud im Audit Log der Institution protokollieren.</t>
  </si>
  <si>
    <t xml:space="preserve">DET.3.3</t>
  </si>
  <si>
    <t xml:space="preserve">Filterung nicht benötigter Inhalte</t>
  </si>
  <si>
    <t xml:space="preserve">APP.3.3.A14-UA.2; OPS.1.2.2.A8-UA.3</t>
  </si>
  <si>
    <t xml:space="preserve">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</si>
  <si>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 xml:space="preserve">die Protokollierung nicht benötigter Inhalte</t>
  </si>
  <si>
    <t xml:space="preserve">G 0.37 – Abstreiten von Handlungen; G 0.26 – Fehlfunktion von Geräten oder Systemen; G 0.18 – Fehlplanung oder fehlende Anpassung; G 0.46 – Integritätsverlust schützenswerter Informationen</t>
  </si>
  <si>
    <t xml:space="preserve">Detektion KANN die Protokollierung nicht benötigter Inhalte anhand von Kriterien einschränken.</t>
  </si>
  <si>
    <t xml:space="preserve">DET.3.4</t>
  </si>
  <si>
    <t xml:space="preserve">Speicherkapazität</t>
  </si>
  <si>
    <t xml:space="preserve">IND.1.A15-UA.4; NET.1.2.A35-UA.1; OPS.1.1.2.A28-UA.3; OPS.1.1.5.A10-UA.1; OPS.1.1.5.A5-UA.5; OPS.1.1.5.A9-UA.6; SYS.4.5.A11-UA.1; SYS.4.5.A11-UA.2</t>
  </si>
  <si>
    <t xml:space="preserve">subset-of; equivalent-to; subset-of; subset-of; equivalent-to; subset-of; subset-of; subset-of</t>
  </si>
  <si>
    <t xml:space="preserve">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</si>
  <si>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 xml:space="preserve">den für die Protokollierung zur Verfügung stehenden Speicherplatz</t>
  </si>
  <si>
    <t xml:space="preserve">G 0.37 – Abstreiten von Handlungen; G 0.32 – Missbrauch von Berechtigungen; G 0.46 – Integritätsverlust schützenswerter Informationen</t>
  </si>
  <si>
    <t xml:space="preserve">Detektion SOLLTE den für die Protokollierung zur Verfügung stehenden Speicherplatz bei Erreichen eines bestimmten Schwellwertes oder regelmäßig überprüfen.</t>
  </si>
  <si>
    <t xml:space="preserve">DET.3.5</t>
  </si>
  <si>
    <t xml:space="preserve">Revisionssicherheit</t>
  </si>
  <si>
    <t xml:space="preserve">DER.2.2.A14-UA.1; DER.2.2.A5-UA.1; NET.1.2.A35-UA.1</t>
  </si>
  <si>
    <t xml:space="preserve">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</si>
  <si>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 xml:space="preserve">Änderungen am Audit Log</t>
  </si>
  <si>
    <t xml:space="preserve">Detektion SOLLTE Änderungen am Audit Log revisionssicher dokumentieren.</t>
  </si>
  <si>
    <t xml:space="preserve">DET.3.6</t>
  </si>
  <si>
    <t xml:space="preserve">Unbestreitbarkeit</t>
  </si>
  <si>
    <t xml:space="preserve">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</si>
  <si>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 xml:space="preserve">Nachweise für den Zusammenhang {{bestimter Ereignisse}} mit {{einer bestimmten Person oder Rolle}}</t>
  </si>
  <si>
    <t xml:space="preserve">Detektion für Daten KANN Nachweise für den Zusammenhang bestimter Ereignisse mit einer bestimmten Person oder Rolle dokumentieren.</t>
  </si>
  <si>
    <t xml:space="preserve">DET.4.1</t>
  </si>
  <si>
    <t xml:space="preserve">Überwachung der Protokollierung</t>
  </si>
  <si>
    <t xml:space="preserve">APP.4.2.A32-UA.1; DER.1.A14-UA.2; DER.1.A6-UA.1; IND.1.A10-UA.2; OPS.1.1.5.A3-UA.4</t>
  </si>
  <si>
    <t xml:space="preserve">subset-of; intersects-with; superset-of; superset-of; superset-of</t>
  </si>
  <si>
    <t xml:space="preserve">Zu den Kriterien kann beispielsweise die Aktivierung oder Deaktkvierung des Loggings auf Systemen, sowie die Datenmenge eingehender Logs in einem bestimmten Zeitraum gehören.</t>
  </si>
  <si>
    <t xml:space="preserve">die Funktionsfähigkeit der Protokollierung</t>
  </si>
  <si>
    <t xml:space="preserve">G 0.32 – Missbrauch von Berechtigungen; G 0.37 – Abstreiten von Handlungen; G 0.27 – Ressourcenmangel</t>
  </si>
  <si>
    <t xml:space="preserve">Detektion SOLLTE die Funktionsfähigkeit der Protokollierung überwachen.</t>
  </si>
  <si>
    <t xml:space="preserve">DET.4.2</t>
  </si>
  <si>
    <t xml:space="preserve">Automatische Angriffserkennung</t>
  </si>
  <si>
    <t xml:space="preserve">DER.1.A17-UA.1; DER.1.A17-UA.2; SYS.1.1.A27-UA.1; SYS.1.9.A19-UA.3; SYS.2.5.A17-UA.3; SYS.4.4.A17-UA.1</t>
  </si>
  <si>
    <t xml:space="preserve">superset-of; equivalent-to; subset-of; superset-of; superset-of; subset-of</t>
  </si>
  <si>
    <t xml:space="preserve">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</si>
  <si>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 xml:space="preserve">diese auf Anzeichen für Angriffe</t>
  </si>
  <si>
    <t xml:space="preserve">G 0.39 – Schadprogramme; G 0.23 – Unbefugtes Eindringen in IT-Systeme; G 0.32 – Missbrauch von Berechtigungen</t>
  </si>
  <si>
    <t xml:space="preserve">Detektion für IT-Systeme SOLLTE diese auf Anzeichen für Angriffe durch einen automatisierten Mechanismus überwachen.</t>
  </si>
  <si>
    <t xml:space="preserve">DET.4.3</t>
  </si>
  <si>
    <t xml:space="preserve">Überwachung der Angriffserkennung</t>
  </si>
  <si>
    <t xml:space="preserve">NET.3.2.A23-UA.2</t>
  </si>
  <si>
    <t xml:space="preserve">Hierzu gehört insbesondere die Aktivierung oder Deaktivierung der Angriffserkennung, oder das Stoppen zugehöriger Dienste.</t>
  </si>
  <si>
    <t xml:space="preserve">die Funktionsfähigkeit der automatisierten Angriffserkennung</t>
  </si>
  <si>
    <t xml:space="preserve">G 0.39 – Schadprogramme; G 0.32 – Missbrauch von Berechtigungen; G 0.28 – Software-Schwachstellen oder -Fehler</t>
  </si>
  <si>
    <t xml:space="preserve">Detektion SOLLTE die Funktionsfähigkeit der automatisierten Angriffserkennung überwachen.</t>
  </si>
  <si>
    <t xml:space="preserve">DET.4.4</t>
  </si>
  <si>
    <t xml:space="preserve">Änderungen an Sicherheitsrichtlinien</t>
  </si>
  <si>
    <t xml:space="preserve">APP.4.2.A30-UA.1; NET.3.2.A23-UA.2; NET.3.4.A12-UA.5; SYS.1.1.A10-UA.1</t>
  </si>
  <si>
    <t xml:space="preserve">subset-of; subset-of; intersects-with; superset-of</t>
  </si>
  <si>
    <t xml:space="preserve">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</si>
  <si>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 xml:space="preserve">Detektion SOLLTE Änderungen an Sicherheitsrichtlinien einschließlich deren Aktivierung oder Deaktivierung überwachen.</t>
  </si>
  <si>
    <t xml:space="preserve">DET.4.5</t>
  </si>
  <si>
    <t xml:space="preserve">Unerwünschte Datenabflüsse</t>
  </si>
  <si>
    <t xml:space="preserve">NET.1.1.A35-UA.1; SYS.1.1.A10-UA.1</t>
  </si>
  <si>
    <t xml:space="preserve">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</si>
  <si>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 xml:space="preserve">unerwünschte Datenabflüsse</t>
  </si>
  <si>
    <t xml:space="preserve">G 0.37 – Abstreiten von Handlungen; G 0.19 – Offenlegung schützenswerter Informationen</t>
  </si>
  <si>
    <t xml:space="preserve">Detektion KANN unerwünschte Datenabflüsse überwachen.</t>
  </si>
  <si>
    <t xml:space="preserve">DET.4.6</t>
  </si>
  <si>
    <t xml:space="preserve">Anomale Nutzung der Anwendung</t>
  </si>
  <si>
    <t xml:space="preserve">APP.4.3.A20-UA.5; CON.10.A6-UA.1; OPS.1.1.7.A25-UA.3; SYS.1.6.A24-UA.2; SYS.2.5.A17-UA.3</t>
  </si>
  <si>
    <t xml:space="preserve">subset-of; intersects-with; subset-of; intersects-with; equivalent-to</t>
  </si>
  <si>
    <t xml:space="preserve">Beispiele sind massenhafte Downloads von Dateiservern oder Cloud-Diensten, Datenbankabfragen die eine ungewöhnlich hohe Menge von Daten oder Einträgen, die unerreichbar sein sollen, zurückliefern, oder automatische E-Mail-Weiterleitungen an externe Domains.</t>
  </si>
  <si>
    <t xml:space="preserve">die Nutzung der Anwendung auf Anomalien</t>
  </si>
  <si>
    <t xml:space="preserve">G 0.32 – Missbrauch von Berechtigungen; G 0.28 – Software-Schwachstellen oder -Fehler; G 0.23 – Unbefugtes Eindringen in IT-Systeme</t>
  </si>
  <si>
    <t xml:space="preserve">Detektion für Anwendungen KANN die Nutzung der Anwendung auf Anomalien überwachen.</t>
  </si>
  <si>
    <t xml:space="preserve">DET.4.6.1</t>
  </si>
  <si>
    <t xml:space="preserve">Detektion für Verzeichnisdienste KANN das Verhalten von Zugangskonten überwachen.</t>
  </si>
  <si>
    <t xml:space="preserve">OPS.1.1.7.A25-UA.3; SYS.2.1.A45-UA.1</t>
  </si>
  <si>
    <t xml:space="preserve">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</si>
  <si>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 xml:space="preserve">das Verhalten von Zugangskonten</t>
  </si>
  <si>
    <t xml:space="preserve">G 0.32 – Missbrauch von Berechtigungen; G 0.39 – Schadprogramme; G 0.37 – Abstreiten von Handlungen</t>
  </si>
  <si>
    <t xml:space="preserve">DET.4.7</t>
  </si>
  <si>
    <t xml:space="preserve">Auslaufen von Domains</t>
  </si>
  <si>
    <t xml:space="preserve">APP.3.6.A7-UA.1; APP.3.6.A8-UA.1</t>
  </si>
  <si>
    <t xml:space="preserve">superset-of; superset-of</t>
  </si>
  <si>
    <t xml:space="preserve">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</si>
  <si>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 xml:space="preserve">Webserver</t>
  </si>
  <si>
    <t xml:space="preserve">das Auslaufen von Domains</t>
  </si>
  <si>
    <t xml:space="preserve">G 0.25 – Ausfall von Geräten oder Systemen; G 0.26 – Fehlfunktion von Geräten oder Systemen; G 0.27 – Ressourcenmangel</t>
  </si>
  <si>
    <t xml:space="preserve">Detektion für Webserver KANN das Auslaufen von Domains überwachen.</t>
  </si>
  <si>
    <t xml:space="preserve">DET.4.8</t>
  </si>
  <si>
    <t xml:space="preserve">Ausstellung neuer HTTPS-Zertifikate</t>
  </si>
  <si>
    <t xml:space="preserve">„Rechtzeitige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</si>
  <si>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 xml:space="preserve">die rechtzeitige Ausstellung neuer HTTPS-Zertifikate für Hostsysteme, die im Internet erreichbar sind,</t>
  </si>
  <si>
    <t xml:space="preserve">G 0.15 – Abhören</t>
  </si>
  <si>
    <t xml:space="preserve">Detektion für Webserver KANN die rechtzeitige Ausstellung neuer HTTPS-Zertifikate für Hostsysteme, die im Internet erreichbar sind, überwachen.</t>
  </si>
  <si>
    <t xml:space="preserve">DET.4.9</t>
  </si>
  <si>
    <t xml:space="preserve">Manipulations-Checkup</t>
  </si>
  <si>
    <t xml:space="preserve">CON.1.A20-UA.1; IND.1.A17-UA.2; SYS.1.1.A27-UA.4; SYS.4.3.A16-UA.2</t>
  </si>
  <si>
    <t xml:space="preserve">subset-of; intersects-with; intersects-with; intersects-with</t>
  </si>
  <si>
    <t xml:space="preserve">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</si>
  <si>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 xml:space="preserve">das System auf Manipulationsversuche</t>
  </si>
  <si>
    <t xml:space="preserve">G 0.23 – Unbefugtes Eindringen in IT-Systeme; G 0.39 – Schadprogramme; G 0.32 – Missbrauch von Berechtigungen; G 0.41 – Sabotage</t>
  </si>
  <si>
    <t xml:space="preserve">Detektion für IT-Systeme KANN das System auf Manipulationsversuche regelmäßig überprüfen.</t>
  </si>
  <si>
    <t xml:space="preserve">DET.4.10</t>
  </si>
  <si>
    <t xml:space="preserve">Host-basierte Köder</t>
  </si>
  <si>
    <t xml:space="preserve">SYS.1.1.A27-UA.1</t>
  </si>
  <si>
    <t xml:space="preserve">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</si>
  <si>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 xml:space="preserve">G 0.21 – Manipulation von Hard- oder Software; G 0.23 – Unbefugtes Eindringen in IT-Systeme; G 0.40 – Verhinderung von Diensten (Denial of Service); G 0.32 – Missbrauch von Berechtigungen</t>
  </si>
  <si>
    <t xml:space="preserve">Detektion für IT-Systeme KANN Host-basierte Köder installieren.</t>
  </si>
  <si>
    <t xml:space="preserve">DET.4.11</t>
  </si>
  <si>
    <t xml:space="preserve">Anomalien in Netzen und am Perimeter</t>
  </si>
  <si>
    <t xml:space="preserve">DER.1.A9-UA.1; DER.1.A9-UA.4; NET.2.1.A13-UA.5; NET.3.1.A15-UA.1; SYS.2.5.A17-UA.3</t>
  </si>
  <si>
    <t xml:space="preserve">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</si>
  <si>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 xml:space="preserve">den Netzwerkverkehr auf Anomalien</t>
  </si>
  <si>
    <t xml:space="preserve">G 0.23 – Unbefugtes Eindringen in IT-Systeme; G 0.39 – Schadprogramme; G 0.32 – Missbrauch von Berechtigungen</t>
  </si>
  <si>
    <t xml:space="preserve">Detektion für Netze SOLLTE den Netzwerkverkehr auf Anomalien überwachen.</t>
  </si>
  <si>
    <t xml:space="preserve">DET.4.11.1</t>
  </si>
  <si>
    <t xml:space="preserve">Detektion für Externe Netzanschlüsse KANN Authentifizierungsversuche auf unauthorisierte Verbindungen regelmäßig überprüfen.</t>
  </si>
  <si>
    <t xml:space="preserve">NET.1.2.A7-UA.1; NET.3.2.A2-UA.2; NET.3.3.A5-UA.1</t>
  </si>
  <si>
    <t xml:space="preserve">superset-of; superset-of; superset-of</t>
  </si>
  <si>
    <t xml:space="preserve">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</si>
  <si>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 xml:space="preserve">Authentifizierungsversuche auf unauthorisierte Verbindungen</t>
  </si>
  <si>
    <t xml:space="preserve">G 0.23 – Unbefugtes Eindringen in IT-Systeme; G 0.32 – Missbrauch von Berechtigungen</t>
  </si>
  <si>
    <t xml:space="preserve">DET.4.11.2</t>
  </si>
  <si>
    <t xml:space="preserve">Detektion für Netze KANN Netzwerk-Honeypots installieren.</t>
  </si>
  <si>
    <t xml:space="preserve">DER.1.A9-UA.4</t>
  </si>
  <si>
    <t xml:space="preserve">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</si>
  <si>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 xml:space="preserve">Netzwerk-Honeypots</t>
  </si>
  <si>
    <t xml:space="preserve">G 0.23 – Unbefugtes Eindringen in IT-Systeme; G 0.39 – Schadprogramme</t>
  </si>
  <si>
    <t xml:space="preserve">DET.4.11.3</t>
  </si>
  <si>
    <t xml:space="preserve">Detektion für Netze KANN auf kritische Netzverkehrsflüsse anhand von Kriterien überwachen.</t>
  </si>
  <si>
    <t xml:space="preserve">DER.1.A9-UA.1; NET.3.2.A9-UA.1</t>
  </si>
  <si>
    <t xml:space="preserve">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</si>
  <si>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 xml:space="preserve">auf kritische Netzverkehrsflüsse</t>
  </si>
  <si>
    <t xml:space="preserve">G 0.23 – Unbefugtes Eindringen in IT-Systeme; G 0.39 – Schadprogramme; G 0.37 – Abstreiten von Handlungen</t>
  </si>
  <si>
    <t xml:space="preserve">DET.4.12</t>
  </si>
  <si>
    <t xml:space="preserve">Monitoring der Netzverfügbarkeit</t>
  </si>
  <si>
    <t xml:space="preserve">NET.1.2.A25-UA.1; NET.1.2.A26-UA.3; OPS.1.1.1.A9-UA.4</t>
  </si>
  <si>
    <t xml:space="preserve">equivalent-to; superset-of; superset-of</t>
  </si>
  <si>
    <t xml:space="preserve">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</si>
  <si>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 xml:space="preserve">die Verfügbarkeit des Netzes</t>
  </si>
  <si>
    <t xml:space="preserve">G 0.23 – Unbefugtes Eindringen in IT-Systeme; G 0.25 – Ausfall von Geräten oder Systemen; G 0.26 – Fehlfunktion von Geräten oder Systemen; G 0.27 – Ressourcenmangel</t>
  </si>
  <si>
    <t xml:space="preserve">Detektion für Netze SOLLTE die Verfügbarkeit des Netzes anhand von Schwellwerten überwachen.</t>
  </si>
  <si>
    <t xml:space="preserve">DET.4.12.1</t>
  </si>
  <si>
    <t xml:space="preserve">Detektion für Netze SOLLTE die Auslastung des Netzes anhand von Schwellwerten überwachen.</t>
  </si>
  <si>
    <t xml:space="preserve">NET.1.2.A25-UA.1; NET.1.2.A25-UA.2</t>
  </si>
  <si>
    <t xml:space="preserve">equivalent-to; subset-of</t>
  </si>
  <si>
    <t xml:space="preserve">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</si>
  <si>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 xml:space="preserve">die Auslastung des Netzes</t>
  </si>
  <si>
    <t xml:space="preserve">G 0.25 – Ausfall von Geräten oder Systemen; G 0.26 – Fehlfunktion von Geräten oder Systemen; G 0.27 – Ressourcenmangel; G 0.18 – Fehlplanung oder fehlende Anpassung</t>
  </si>
  <si>
    <t xml:space="preserve">DET.4.13</t>
  </si>
  <si>
    <t xml:space="preserve">Verfügbarkeit des Hostsystems</t>
  </si>
  <si>
    <t xml:space="preserve">APP.3.2.A18-UA.1; APP.4.2.A9-UA.3; OPS.1.1.7.A15-UA.2; SYS.1.1.A23-UA.2; SYS.1.5.A17-UA.1; SYS.1.9.A14-UA.2</t>
  </si>
  <si>
    <t xml:space="preserve">intersects-with; intersects-with; intersects-with; equivalent-to; intersects-with; intersects-with</t>
  </si>
  <si>
    <t xml:space="preserve">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</si>
  <si>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 xml:space="preserve">die Netzerreichbarkeit</t>
  </si>
  <si>
    <t xml:space="preserve">G 0.25 – Ausfall von Geräten oder Systemen; G 0.27 – Ressourcenmangel; G 0.18 – Fehlplanung oder fehlende Anpassung; G 0.23 – Unbefugtes Eindringen in IT-Systeme</t>
  </si>
  <si>
    <t xml:space="preserve">Detektion für Hostsysteme SOLLTE die Netzerreichbarkeit anhand von Schwellwerten überwachen.</t>
  </si>
  <si>
    <t xml:space="preserve">DET.4.14</t>
  </si>
  <si>
    <t xml:space="preserve">Verfügbarkeit der Anwendung</t>
  </si>
  <si>
    <t xml:space="preserve">APP.3.2.A18-UA.1; APP.4.2.A9-UA.3; APP.5.4.A11-UA.4; OPS.1.1.7.A15-UA.2; SYS.1.1.A23-UA.1; SYS.1.9.A14-UA.2</t>
  </si>
  <si>
    <t xml:space="preserve">subset-of; subset-of; intersects-with; superset-of; intersects-with; subset-of</t>
  </si>
  <si>
    <t xml:space="preserve">Dabei wird die Erreichbarkeit des Dienstes der Anwendung selbst, z.B. auf den bereitstellenden Servern, nicht nur die Erreichbarkeit des Systems überwacht.</t>
  </si>
  <si>
    <t xml:space="preserve">Detektion für Anwendungen SOLLTE die Netzerreichbarkeit anhand von Schwellwerten überwachen.</t>
  </si>
  <si>
    <t xml:space="preserve">DET.4.15</t>
  </si>
  <si>
    <t xml:space="preserve">Ressourcenauslastung von Hostsystemen</t>
  </si>
  <si>
    <t xml:space="preserve">APP.3.6.A7-UA.2; OPS.1.1.7.A15-UA.2; OPS.1.2.2.A12-UA.1; SYS.1.5.A17-UA.2; SYS.1.7.A16-UA.2; SYS.1.9.A14-UA.2; SYS.2.5.A15-UA.2; SYS.2.6.A10-UA.2</t>
  </si>
  <si>
    <t xml:space="preserve">subset-of; superset-of; subset-of; subset-of; intersects-with; subset-of; subset-of; subset-of</t>
  </si>
  <si>
    <t xml:space="preserve">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</si>
  <si>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 xml:space="preserve">die Ressourcenauslastung</t>
  </si>
  <si>
    <t xml:space="preserve">G 0.25 – Ausfall von Geräten oder Systemen; G 0.27 – Ressourcenmangel; G 0.18 – Fehlplanung oder fehlende Anpassung</t>
  </si>
  <si>
    <t xml:space="preserve">Detektion für Hostsysteme SOLLTE die Ressourcenauslastung anhand von Schwellwerten überwachen.</t>
  </si>
  <si>
    <t xml:space="preserve">DET.4.16</t>
  </si>
  <si>
    <t xml:space="preserve">Ressourcenauslastung der Server-Dienste</t>
  </si>
  <si>
    <t xml:space="preserve">APP.3.6.A7-UA.2; SYS.1.1.A23-UA.1; SYS.1.1.A23-UA.2</t>
  </si>
  <si>
    <t xml:space="preserve">subset-of; superset-of; superset-of</t>
  </si>
  <si>
    <t xml:space="preserve">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</si>
  <si>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 xml:space="preserve">die Ressourcenauslastung der für die Anwendung verwendeten Server-Dienste</t>
  </si>
  <si>
    <t xml:space="preserve">G 0.27 – Ressourcenmangel; G 0.25 – Ausfall von Geräten oder Systemen; G 0.18 – Fehlplanung oder fehlende Anpassung</t>
  </si>
  <si>
    <t xml:space="preserve">Detektion für Anwendungen KANN die Ressourcenauslastung der für die Anwendung verwendeten Server-Dienste anhand von Schwellwerten überwachen.</t>
  </si>
  <si>
    <t xml:space="preserve">DET.4.17</t>
  </si>
  <si>
    <t xml:space="preserve">Anwendungsbasiertes Kapazitätsmanagement</t>
  </si>
  <si>
    <t xml:space="preserve">OPS.1.1.7.A15-UA.2; OPS.3.2.A14-UA.1; SYS.1.1.A23-UA.1</t>
  </si>
  <si>
    <t xml:space="preserve">intersects-with; intersects-with; intersects-with</t>
  </si>
  <si>
    <t xml:space="preserve">Hierbei kann nicht nur die aktuelle Auslastung einzelner Server, sondern die Auslastung der Anwendung insgesamt, auch über einen längeren Zeitverlauf inklusive Lastspitzen und Durchschnittswerten, betrachtet werden.</t>
  </si>
  <si>
    <t xml:space="preserve">die Ressourcenauslastung systemübergreifend</t>
  </si>
  <si>
    <t xml:space="preserve">Detektion für Anwendungen KANN die Ressourcenauslastung systemübergreifend anhand von Schwellwerten überwachen.</t>
  </si>
  <si>
    <t xml:space="preserve">DET.4.18</t>
  </si>
  <si>
    <t xml:space="preserve">Öffentliche Blocklisten</t>
  </si>
  <si>
    <t xml:space="preserve">APP.5.3.A12-UA.1</t>
  </si>
  <si>
    <t xml:space="preserve">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</si>
  <si>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 xml:space="preserve">E-Mail</t>
  </si>
  <si>
    <t xml:space="preserve">öffentliche Blocklisten auf Einträge für eigene E-Mail-Server</t>
  </si>
  <si>
    <t xml:space="preserve">G 0.25 – Ausfall von Geräten oder Systemen</t>
  </si>
  <si>
    <t xml:space="preserve">Detektion für E-Mail KANN öffentliche Blocklisten auf Einträge für eigene E-Mail-Server regelmäßig überprüfen.</t>
  </si>
  <si>
    <t xml:space="preserve">DET.4.19</t>
  </si>
  <si>
    <t xml:space="preserve">Unautorisierte Sendeanlagen</t>
  </si>
  <si>
    <t xml:space="preserve">NET.2.1.A13-UA.2; NET.2.1.A18-UA.1; SYS.3.3.A15-UA.2</t>
  </si>
  <si>
    <t xml:space="preserve">subset-of; equivalent-to; intersects-with</t>
  </si>
  <si>
    <t xml:space="preserve">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</si>
  <si>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 xml:space="preserve">Räume</t>
  </si>
  <si>
    <t xml:space="preserve">diesen nach unautorisierten Sendeanlagen</t>
  </si>
  <si>
    <t xml:space="preserve">G 0.23 – Unbefugtes Eindringen in IT-Systeme; G 0.43 – Einspielen von Nachrichten; G 0.25 – Ausfall von Geräten oder Systemen</t>
  </si>
  <si>
    <t xml:space="preserve">Detektion für Räume KANN diesen nach unautorisierten Sendeanlagen durch einen automatisierten Mechanismus überwachen.</t>
  </si>
  <si>
    <t xml:space="preserve">DET.5.1</t>
  </si>
  <si>
    <t xml:space="preserve">Zeitnahes Schwachstellenmanagement</t>
  </si>
  <si>
    <t xml:space="preserve">CON.1.A15-UA.2; IND.1.A12-UA.2; INF.13.A23-UA.4; OPS.1.1.1.A10-UA.1; OPS.1.1.1.A10-UA.2; OPS.1.1.1.A10-UA.3; OPS.1.1.1.A20-UA.1</t>
  </si>
  <si>
    <t xml:space="preserve">intersects-with; subset-of; subset-of; subset-of; subset-of; superset-of; subset-of</t>
  </si>
  <si>
    <t xml:space="preserve">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</si>
  <si>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 xml:space="preserve">Schwachstellenregister</t>
  </si>
  <si>
    <t xml:space="preserve">Verfahren und Regelungen zur Erkennung und Behandlung von Schwachstellen</t>
  </si>
  <si>
    <t xml:space="preserve">G 0.23 – Unbefugtes Eindringen in IT-Systeme; G 0.39 – Schadprogramme; G 0.18 – Fehlplanung oder fehlende Anpassung</t>
  </si>
  <si>
    <t xml:space="preserve">Detektion SOLLTE Verfahren und Regelungen zur Erkennung und Behandlung von Schwachstellen verankern.</t>
  </si>
  <si>
    <t xml:space="preserve">DET.5.1.1</t>
  </si>
  <si>
    <t xml:space="preserve">Detektion KANN erkannte Schwachstellen anhand von risikobasierten Kriterien innerhalb einer Frist überprüfen.</t>
  </si>
  <si>
    <t xml:space="preserve">OPS.1.1.1.A10-UA.4; OPS.1.1.1.A22-UA.3</t>
  </si>
  <si>
    <t xml:space="preserve">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</si>
  <si>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 xml:space="preserve">erkannte Schwachstellen</t>
  </si>
  <si>
    <t xml:space="preserve">G 0.28 – Software-Schwachstellen oder -Fehler; G 0.23 – Unbefugtes Eindringen in IT-Systeme; G 0.18 – Fehlplanung oder fehlende Anpassung</t>
  </si>
  <si>
    <t xml:space="preserve">DET.5.2</t>
  </si>
  <si>
    <t xml:space="preserve">IND.1.A12-UA.2; OPS.1.1.1.A10-UA.1; OPS.1.1.1.A20-UA.4</t>
  </si>
  <si>
    <t xml:space="preserve">intersects-with; equivalent-to; subset-of</t>
  </si>
  <si>
    <t xml:space="preserve">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</si>
  <si>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 xml:space="preserve">Schwachstellen bei Entdeckung</t>
  </si>
  <si>
    <t xml:space="preserve">Detektion SOLLTE Schwachstellen bei Entdeckung inklusive betroffener Komponenten, Kritikalität und Status dokumentieren.</t>
  </si>
  <si>
    <t xml:space="preserve">DET.5.3</t>
  </si>
  <si>
    <t xml:space="preserve">Schwachstellenscans</t>
  </si>
  <si>
    <t xml:space="preserve">IND.1.A12-UA.2; INF.13.A23-UA.4; INF.13.A23-UA.5; OPS.1.1.1.A20-UA.2; OPS.1.1.1.A22-UA.1</t>
  </si>
  <si>
    <t xml:space="preserve">superset-of; subset-of; subset-of; equivalent-to; equivalent-to</t>
  </si>
  <si>
    <t xml:space="preserve">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</si>
  <si>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 xml:space="preserve">eine Vorgehensweise zum Scan nach Schwachstellen</t>
  </si>
  <si>
    <t xml:space="preserve">Detektion SOLLTE eine Vorgehensweise zum Scan nach Schwachstellen einschließlich deren Auswertung und Behandlung verankern.</t>
  </si>
  <si>
    <t xml:space="preserve">DET.5.3.1</t>
  </si>
  <si>
    <t xml:space="preserve">Detektion SOLLTE kritische Scans durch zuständige Personen oder Rollen autorisieren.</t>
  </si>
  <si>
    <t xml:space="preserve">INF.13.A23-UA.4; INF.13.A23-UA.5; INF.13.A23-UA.6; INF.13.A23-UA.8; ORP.5.A5-UA.1</t>
  </si>
  <si>
    <t xml:space="preserve">intersects-with; intersects-with; intersects-with; subset-of; superset-of</t>
  </si>
  <si>
    <t xml:space="preserve">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</si>
  <si>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 xml:space="preserve">kritische Scans</t>
  </si>
  <si>
    <t xml:space="preserve">G 0.39 – Schadprogramme; G 0.18 – Fehlplanung oder fehlende Anpassung</t>
  </si>
  <si>
    <t xml:space="preserve">DET.5.3.2</t>
  </si>
  <si>
    <t xml:space="preserve">Detektion KANN Schwachstellen anhand eines Abgleichs mehrerer Scans miteinander überprüfen.</t>
  </si>
  <si>
    <t xml:space="preserve">INF.13.A23-UA.4; INF.13.A23-UA.5; SYS.1.1.A24-UA.1</t>
  </si>
  <si>
    <t xml:space="preserve">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</si>
  <si>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 xml:space="preserve">Schwachstellen anhand eines Abgleichs mehrerer Scans miteinander</t>
  </si>
  <si>
    <t xml:space="preserve">G 0.28 – Software-Schwachstellen oder -Fehler; G 0.23 – Unbefugtes Eindringen in IT-Systeme</t>
  </si>
  <si>
    <t xml:space="preserve">DET.5.3.3</t>
  </si>
  <si>
    <t xml:space="preserve">Detektion KANN Schwachstellen in öffentlich erreichbaren Systemen oder Anwendungen anhand bekannter Anzeichen im Audit Log testen.</t>
  </si>
  <si>
    <t xml:space="preserve">APP.4.3.A20-UA.5; IND.1.A12-UA.2; IND.1.A12-UA.5</t>
  </si>
  <si>
    <t xml:space="preserve">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</si>
  <si>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 xml:space="preserve">Schwachstellen in öffentlich erreichbaren Systemen oder Anwendungen</t>
  </si>
  <si>
    <t xml:space="preserve">G 0.28 – Software-Schwachstellen oder -Fehler; G 0.18 – Fehlplanung oder fehlende Anpassung; G 0.23 – Unbefugtes Eindringen in IT-Systeme</t>
  </si>
  <si>
    <t xml:space="preserve">DET.5.4</t>
  </si>
  <si>
    <t xml:space="preserve">Regelmäßige Penetrationstests</t>
  </si>
  <si>
    <t xml:space="preserve">APP.1.4.A15-UA.3; NET.3.2.A24-UA.2; OPS.1.1.1.A20-UA.2; OPS.1.1.1.A23-UA.1; OPS.1.1.6.A14-UA.1; SYS.1.1.A24-UA.1</t>
  </si>
  <si>
    <t xml:space="preserve">subset-of; intersects-with; superset-of; equivalent-to; superset-of; subset-of</t>
  </si>
  <si>
    <t xml:space="preserve">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</si>
  <si>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 xml:space="preserve">die tatsächliche Abwehrfähigkeit</t>
  </si>
  <si>
    <t xml:space="preserve">Detektion für IT-Systeme KANN die tatsächliche Abwehrfähigkeit nach einer anerkannten Vorgehensweise regelmäßig überprüfen.</t>
  </si>
  <si>
    <t xml:space="preserve">DET.5.5</t>
  </si>
  <si>
    <t xml:space="preserve">Red Teaming</t>
  </si>
  <si>
    <t xml:space="preserve">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</si>
  <si>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 xml:space="preserve">G 0.23 – Unbefugtes Eindringen in IT-Systeme; G 0.39 – Schadprogramme; G 0.28 – Software-Schwachstellen oder -Fehler</t>
  </si>
  <si>
    <t xml:space="preserve">Detektion für IT-Systeme KANN die tatsächliche Abwehrfähigkeit regelmäßig durch unabhängig agierende Sicherheitsexperten überprüfen.</t>
  </si>
  <si>
    <t xml:space="preserve">DET.5.6</t>
  </si>
  <si>
    <t xml:space="preserve">Threat Hunting</t>
  </si>
  <si>
    <t xml:space="preserve">APP.4.3.A20-UA.5; DER.2.1.A21-UA.7</t>
  </si>
  <si>
    <t xml:space="preserve">subset-of; intersects-with</t>
  </si>
  <si>
    <t xml:space="preserve">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</si>
  <si>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 xml:space="preserve">den Informationsverbund durch Sicherheitsexperten auf Anzeichen für Angriffe</t>
  </si>
  <si>
    <t xml:space="preserve">Detektion KANN den Informationsverbund durch Sicherheitsexperten auf Anzeichen für Angriffe regelmäßig überprüfen.</t>
  </si>
  <si>
    <t xml:space="preserve">DET.5.7</t>
  </si>
  <si>
    <t xml:space="preserve">Analyse verdeckter Kanäle</t>
  </si>
  <si>
    <t xml:space="preserve">SYS.2.1.A45-UA.1; SYS.4.3.A18-UA.1</t>
  </si>
  <si>
    <t xml:space="preserve">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</si>
  <si>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 xml:space="preserve">den Informationsverbund auf verdeckte Kommunikationskanäle</t>
  </si>
  <si>
    <t xml:space="preserve">G 0.39 – Schadprogramme</t>
  </si>
  <si>
    <t xml:space="preserve">Detektion KANN den Informationsverbund auf verdeckte Kommunikationskanäle bei Sicherheitsvorfällen mit verdeckten Kanälen und regelmäßig überprüfen.</t>
  </si>
  <si>
    <t xml:space="preserve">DET.5.8</t>
  </si>
  <si>
    <t xml:space="preserve">Bedrohungsanalyse</t>
  </si>
  <si>
    <t xml:space="preserve">CON.8.A21-UA.2; DER.1.A12-UA.1; DER.1.A12-UA.4</t>
  </si>
  <si>
    <t xml:space="preserve">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</si>
  <si>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 xml:space="preserve">verfügbare Informationen zu Bedrohungen, die für den Informationsverbund relevant sind,</t>
  </si>
  <si>
    <t xml:space="preserve">G 0.29 – Verstoß gegen Gesetze oder Regelungen; G 0.18 – Fehlplanung oder fehlende Anpassung</t>
  </si>
  <si>
    <t xml:space="preserve">Detektion SOLLTE verfügbare Informationen zu Bedrohungen, die für den Informationsverbund relevant sind, regelmäßig überprüfen.</t>
  </si>
  <si>
    <t xml:space="preserve">DET.5.8.1</t>
  </si>
  <si>
    <t xml:space="preserve">Detektion KANN öffentliche Quellen auf Hinweise zu eigenen Schwachstellen anhand von Kriterien zur Suche regelmäßig überprüfen.</t>
  </si>
  <si>
    <t xml:space="preserve">DER.1.A12-UA.1; DER.1.A12-UA.3; IND.1.A12-UA.4</t>
  </si>
  <si>
    <t xml:space="preserve">equivalent-to; subset-of; subset-of</t>
  </si>
  <si>
    <t xml:space="preserve">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</si>
  <si>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 xml:space="preserve">öffentliche Quellen auf Hinweise zu eigenen Schwachstellen</t>
  </si>
  <si>
    <t xml:space="preserve">G 0.29 – Verstoß gegen Gesetze oder Regelungen; G 0.18 – Fehlplanung oder fehlende Anpassung; G 0.28 – Software-Schwachstellen oder -Fehler; G 0.23 – Unbefugtes Eindringen in IT-Systeme</t>
  </si>
  <si>
    <t xml:space="preserve">DET.5.8.1.1</t>
  </si>
  <si>
    <t xml:space="preserve">Detektion KANN öffentliche Quellen automatisiert auf Hinweise zur unautorisierten Veröffentlichung vertraulicher Daten überwachen.</t>
  </si>
  <si>
    <t xml:space="preserve">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</si>
  <si>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 xml:space="preserve">öffentliche Quellen automatisiert auf Hinweise zur unautorisierten Veröffentlichung vertraulicher Daten</t>
  </si>
  <si>
    <t xml:space="preserve">G 0.29 – Verstoß gegen Gesetze oder Regelungen</t>
  </si>
  <si>
    <t xml:space="preserve">DET.5.9</t>
  </si>
  <si>
    <t xml:space="preserve">Externe Schwachstellenmeldungen</t>
  </si>
  <si>
    <t xml:space="preserve">APP.3.2.A20-UA.3; APP.3.2.A20-UA.4</t>
  </si>
  <si>
    <t xml:space="preserve">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</si>
  <si>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 xml:space="preserve">eine Vorgehensweise zur Entgegennahme und Behandlung von externen Schwachstellenmeldungen</t>
  </si>
  <si>
    <t xml:space="preserve">Detektion SOLLTE eine Vorgehensweise zur Entgegennahme und Behandlung von externen Schwachstellenmeldungen verankern.</t>
  </si>
  <si>
    <t xml:space="preserve">DET.5.9.1</t>
  </si>
  <si>
    <t xml:space="preserve">Detektion KANN ein Bonusprogramm für externe Schwachstellenmeldungen verankern.</t>
  </si>
  <si>
    <t xml:space="preserve">APP.3.2.A20-UA.4</t>
  </si>
  <si>
    <t xml:space="preserve">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</si>
  <si>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 xml:space="preserve">ein Bonusprogramm für externe Schwachstellenmeldungen</t>
  </si>
  <si>
    <t xml:space="preserve">DET.5.10</t>
  </si>
  <si>
    <t xml:space="preserve">Zeitnahes Patchmanagement</t>
  </si>
  <si>
    <t xml:space="preserve">APP.4.2.A30-UA.2; CON.8.A8-UA.1; OPS.1.1.3.A1-UA.2; OPS.1.1.3.A15-UA.2; SYS.2.1.A3-UA.2</t>
  </si>
  <si>
    <t xml:space="preserve">subset-of; subset-of; superset-of; superset-of; subset-of</t>
  </si>
  <si>
    <t xml:space="preserve">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</si>
  <si>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 xml:space="preserve">ein zeitnahes Patchmanagement</t>
  </si>
  <si>
    <t xml:space="preserve">Detektion SOLLTE ein zeitnahes Patchmanagement verankern.</t>
  </si>
  <si>
    <t xml:space="preserve">DET.5.10.1</t>
  </si>
  <si>
    <t xml:space="preserve">Detektion SOLLTE zuverlässige Bezugsquellen für Patches autorisieren.</t>
  </si>
  <si>
    <t xml:space="preserve">APP.6.A3-UA.3; OPS.1.1.3.A10-UA.5</t>
  </si>
  <si>
    <t xml:space="preserve">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</si>
  <si>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 xml:space="preserve">zuverlässige Bezugsquellen für Patches</t>
  </si>
  <si>
    <t xml:space="preserve">G 0.28 – Software-Schwachstellen oder -Fehler; G 0.20 – Informationen oder Produkte aus unzuverlässiger Quelle</t>
  </si>
  <si>
    <t xml:space="preserve">DET.5.10.2</t>
  </si>
  <si>
    <t xml:space="preserve">Detektion für IT-Systeme SOLLTE den Patchstatus durch einen automatisierten Mechanismus überwachen.</t>
  </si>
  <si>
    <t xml:space="preserve">APP.4.2.A30-UA.2; OPS.1.1.7.A22-UA.4</t>
  </si>
  <si>
    <t xml:space="preserve">equivalent-to; intersects-with</t>
  </si>
  <si>
    <t xml:space="preserve">Der Patchsstatus des Informationsverbundes kann dabei durch Kennzahlen bestimmt werden, z.B. durchschnittliche Zeit bis zum Patch (Mean Time To Patch), Prozentsatz aktuell gepatchter Assets, Anzahl offener/geschlossener Ausnahmen.</t>
  </si>
  <si>
    <t xml:space="preserve">den Patchstatus</t>
  </si>
  <si>
    <t xml:space="preserve">G 0.30 – Unberechtigte Nutzung oder Administration von Geräten und Systemen; G 0.21 – Manipulation von Hard- oder Software; G 0.23 – Unbefugtes Eindringen in IT-Systeme; G 0.39 – Schadprogramme</t>
  </si>
  <si>
    <t xml:space="preserve">DET.5.10.3</t>
  </si>
  <si>
    <t xml:space="preserve">Detektion für Anwendungen KANN den Patchstatus durch einen automatisierten Mechanismus überwachen.</t>
  </si>
  <si>
    <t xml:space="preserve">APP.4.2.A30-UA.2; OPS.1.1.3.A15-UA.6; OPS.1.1.7.A22-UA.4; SYS.2.1.A3-UA.2</t>
  </si>
  <si>
    <t xml:space="preserve">superset-of; superset-of; intersects-with; intersects-with</t>
  </si>
  <si>
    <t xml:space="preserve">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</si>
  <si>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 xml:space="preserve">G 0.28 – Software-Schwachstellen oder -Fehler; G 0.23 – Unbefugtes Eindringen in IT-Systeme; G 0.39 – Schadprogramme</t>
  </si>
  <si>
    <t xml:space="preserve">DET.5.10.4</t>
  </si>
  <si>
    <t xml:space="preserve">Detektion SOLLTE Patches vor der Installation auf Integrität testen.</t>
  </si>
  <si>
    <t xml:space="preserve">APP.6.A4-UA.7; IND.2.1.A20-UA.1; IND.2.7.A12-UA.1; OPS.1.1.3.A10-UA.3</t>
  </si>
  <si>
    <t xml:space="preserve">superset-of; subset-of; intersects-with; superset-of</t>
  </si>
  <si>
    <t xml:space="preserve">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</si>
  <si>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 xml:space="preserve">Patches vor der Installation auf Integrität</t>
  </si>
  <si>
    <t xml:space="preserve">G 0.28 – Software-Schwachstellen oder -Fehler; G 0.23 – Unbefugtes Eindringen in IT-Systeme; G 0.39 – Schadprogramme; G 0.20 – Informationen oder Produkte aus unzuverlässiger Quelle</t>
  </si>
  <si>
    <t xml:space="preserve">DET.5.10.5</t>
  </si>
  <si>
    <t xml:space="preserve">Detektion KANN Patches entsprechend der Anforderungen der Praktik „Änderungen und Tests“ ausführen.</t>
  </si>
  <si>
    <t xml:space="preserve">OPS.1.1.3.A1-UA.4; OPS.1.1.3.A13-UA.1; OPS.1.1.3.A14-UA.1; OPS.1.1.3.A15-UA.3</t>
  </si>
  <si>
    <t xml:space="preserve">Stellt sicher, dass Patches zusammen mit anderen Änderungen geprüft werden und trennt zwischen „Routine“- und „Notfall“-Änderungen.</t>
  </si>
  <si>
    <t xml:space="preserve">Patches entsprechend der Anforderungen der Praktik „Änderungen und Tests“</t>
  </si>
  <si>
    <t xml:space="preserve">G 0.39 – Schadprogramme; G 0.28 – Software-Schwachstellen oder -Fehler; G 0.18 – Fehlplanung oder fehlende Anpassung</t>
  </si>
  <si>
    <t xml:space="preserve">DET.6.1</t>
  </si>
  <si>
    <t xml:space="preserve">Beurteilung von Ereignissen</t>
  </si>
  <si>
    <t xml:space="preserve">DER.2.1.A11-UA.1</t>
  </si>
  <si>
    <t xml:space="preserve">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</si>
  <si>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 xml:space="preserve">ein Verfahren zur Beurteilung von sicherheitsrelevanten Ereignissen</t>
  </si>
  <si>
    <t xml:space="preserve">G 0.39 – Schadprogramme; G 0.23 – Unbefugtes Eindringen in IT-Systeme; G 0.18 – Fehlplanung oder fehlende Anpassung</t>
  </si>
  <si>
    <t xml:space="preserve">Detektion SOLLTE ein Verfahren zur Beurteilung von sicherheitsrelevanten Ereignissen anhand von Kriterien verankern.</t>
  </si>
  <si>
    <t xml:space="preserve">DET.6.1.1</t>
  </si>
  <si>
    <t xml:space="preserve">Detektion SOLLTE kritische Vorfälle anhand von Kriterien durch einen automatisierten Mechanismus protokollieren.</t>
  </si>
  <si>
    <t xml:space="preserve">DER.1.A15-UA.3</t>
  </si>
  <si>
    <t xml:space="preserve">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</si>
  <si>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 xml:space="preserve">kritische Vorfälle</t>
  </si>
  <si>
    <t xml:space="preserve">G 0.39 – Schadprogramme; G 0.23 – Unbefugtes Eindringen in IT-Systeme</t>
  </si>
  <si>
    <t xml:space="preserve">DET.6.1.2</t>
  </si>
  <si>
    <t xml:space="preserve">Detektion SOLLTE bei sicherheitskritischen Ereignissen eine Alarmierung von für die Vorfallsbehandlung zuständigen Personen oder Rollen durch einen automatisierten Mechanismus ausführen.</t>
  </si>
  <si>
    <t xml:space="preserve">DER.1.A15-UA.7; DER.1.A17-UA.1; NET.3.2.A23-UA.3; NET.3.2.A23-UA.4; OPS.1.1.7.A25-UA.3</t>
  </si>
  <si>
    <t xml:space="preserve">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</si>
  <si>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 xml:space="preserve">bei sicherheitskritischen Ereignissen eine Alarmierung von {{für die Vorfallsbehandlung zuständigen Personen oder Rollen}}</t>
  </si>
  <si>
    <t xml:space="preserve">G 0.25 – Ausfall von Geräten oder Systemen; G 0.29 – Verstoß gegen Gesetze oder Regelungen; G 0.27 – Ressourcenmangel</t>
  </si>
  <si>
    <t xml:space="preserve">DET.6.1.3</t>
  </si>
  <si>
    <t xml:space="preserve">Detektion KANN Analyseergebnisse dokumentieren.</t>
  </si>
  <si>
    <t xml:space="preserve">IND.1.A10-UA.6; ISMS.1.A13-UA.2; NET.2.2.A4-UA.4</t>
  </si>
  <si>
    <t xml:space="preserve">superset-of; superset-of; subset-of</t>
  </si>
  <si>
    <t xml:space="preserve">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</si>
  <si>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 xml:space="preserve">Analyseergebnisse</t>
  </si>
  <si>
    <t xml:space="preserve">G 0.39 – Schadprogramme; G 0.18 – Fehlplanung oder fehlende Anpassung; G 0.37 – Abstreiten von Handlungen</t>
  </si>
  <si>
    <t xml:space="preserve">DET.6.2</t>
  </si>
  <si>
    <t xml:space="preserve">Beurteilung von Eingängen</t>
  </si>
  <si>
    <t xml:space="preserve">APP.1.1.A3-UA.4; OPS.1.1.4.A13-UA.1</t>
  </si>
  <si>
    <t xml:space="preserve">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</si>
  <si>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 xml:space="preserve">ein Verfahren zur Beurteilung von Datei-Eingängen</t>
  </si>
  <si>
    <t xml:space="preserve">G 0.18 – Fehlplanung oder fehlende Anpassung; G 0.39 – Schadprogramme; G 0.23 – Unbefugtes Eindringen in IT-Systeme</t>
  </si>
  <si>
    <t xml:space="preserve">Detektion SOLLTE ein Verfahren zur Beurteilung von Datei-Eingängen verankern.</t>
  </si>
  <si>
    <t xml:space="preserve">DET.6.2.1</t>
  </si>
  <si>
    <t xml:space="preserve">Detektion KANN verdächtige Dateien in einer isolierten Umgebung mindestens anhand von aufgebauten Netzverbindungen, Systemaufrufen und Dateizugriffen testen.</t>
  </si>
  <si>
    <t xml:space="preserve">OPS.1.1.4.A10-UA.1; OPS.1.1.4.A13-UA.1; OPS.2.3.A25-UA.1; OPS.2.3.A25-UA.2; OPS.2.3.A25-UA.3</t>
  </si>
  <si>
    <t xml:space="preserve">equivalent-to; equivalent-to; subset-of; subset-of; subset-of</t>
  </si>
  <si>
    <t xml:space="preserve">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</si>
  <si>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 xml:space="preserve">verdächtige Dateien in einer isolierten Umgebung</t>
  </si>
  <si>
    <t xml:space="preserve">G 0.23 – Unbefugtes Eindringen in IT-Systeme; G 0.39 – Schadprogramme; G 0.22 – Manipulation von Informationen; G 0.19 – Offenlegung schützenswerter Informationen</t>
  </si>
  <si>
    <t xml:space="preserve">DET.6.2.2</t>
  </si>
  <si>
    <t xml:space="preserve">Detektion KANN Datenträgerschleusen installieren.</t>
  </si>
  <si>
    <t xml:space="preserve">OPS.1.1.4.A12-UA.1; SYS.2.1.A24-UA.3; SYS.4.5.A16-UA.1</t>
  </si>
  <si>
    <t xml:space="preserve">equivalent-to; intersects-with; equivalent-to</t>
  </si>
  <si>
    <t xml:space="preserve">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</si>
  <si>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 xml:space="preserve">Datenträgerschleusen</t>
  </si>
  <si>
    <t xml:space="preserve">G 0.39 – Schadprogramme; G 0.23 – Unbefugtes Eindringen in IT-Systeme; G 0.21 – Manipulation von Hard- oder Software; G 0.14 – Ausspähen von Informationen (Spionage)</t>
  </si>
  <si>
    <t xml:space="preserve">DEV.1.1</t>
  </si>
  <si>
    <t xml:space="preserve">APP.7.A2-UA.1; APP.7.A2-UA.2; APP.7.A3-UA.1; APP.7.A4-UA.1; CON.8.A2-UA.1</t>
  </si>
  <si>
    <t xml:space="preserve">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</si>
  <si>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 xml:space="preserve">Verfahren und Regelungen zur Entwicklung von IT-Produkten</t>
  </si>
  <si>
    <t xml:space="preserve">DEV.1.1.1</t>
  </si>
  <si>
    <t xml:space="preserve">Entwicklung MUSS die Verfahren und Regelungen dokumentieren.</t>
  </si>
  <si>
    <t xml:space="preserve">G 0.18 – Fehlplanung oder fehlende Anpassung; G 0.37 – Abstreiten von Handlungen; G 0.29 – Verstoß gegen Gesetze oder Regelungen; G 0.31 – Fehlerhafte Nutzung oder Administration von Geräten und Systemen</t>
  </si>
  <si>
    <t xml:space="preserve">DEV.1.1.2</t>
  </si>
  <si>
    <t xml:space="preserve">Entwicklung MUSS die mit den Verfahren und Regelungen verbundenen Aufgaben zuständigen Personen oder Rollen zuweisen.</t>
  </si>
  <si>
    <t xml:space="preserve">DEV.1.1.3</t>
  </si>
  <si>
    <t xml:space="preserve">Entwicklung MUSS die zuständigen Personen oder Rollen über die Verfahren und Regelungen informieren.</t>
  </si>
  <si>
    <t xml:space="preserve">DEV.1.2</t>
  </si>
  <si>
    <t xml:space="preserve">Entwicklung MUSS die Verfahren und Regelungen regelmäßig und anlassbezogen auf Aktualität überprüfen.</t>
  </si>
  <si>
    <t xml:space="preserve">DEV.2.1</t>
  </si>
  <si>
    <t xml:space="preserve">Security by Design Architektur</t>
  </si>
  <si>
    <t xml:space="preserve">APP.3.1.A8-UA.1; APP.6.A6-UA.1; CON.8.A21-UA.1; CON.8.A22-UA.1; CON.8.A22-UA.2; CON.8.A22-UA.3; CON.8.A5-UA.1</t>
  </si>
  <si>
    <t xml:space="preserve">intersects-with; subset-of; subset-of; subset-of; subset-of; subset-of; superset-of</t>
  </si>
  <si>
    <t xml:space="preserve">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</si>
  <si>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 xml:space="preserve">Entwicklungsdokumentation</t>
  </si>
  <si>
    <t xml:space="preserve">die Architektur nach dem Prinzip "Security by Design"</t>
  </si>
  <si>
    <t xml:space="preserve">G 0.28 – Software-Schwachstellen oder -Fehler; G 0.46 – Integritätsverlust schützenswerter Informationen; G 0.18 – Fehlplanung oder fehlende Anpassung</t>
  </si>
  <si>
    <t xml:space="preserve">Entwicklung SOLLTE die Architektur nach dem Prinzip "Security by Design" verankern.</t>
  </si>
  <si>
    <t xml:space="preserve">DEV.2.2</t>
  </si>
  <si>
    <t xml:space="preserve">Dokumentation der (Software-)Architektur</t>
  </si>
  <si>
    <t xml:space="preserve">APP.1.1.A10-UA.6; APP.3.1.A8-UA.2; APP.7.A6-UA.1; CON.10.A11-UA.1; CON.10.A11-UA.2; CON.10.A11-UA.3; CON.10.A11-UA.4; CON.8.A12-UA.1; CON.8.A12-UA.3; CON.8.A12-UA.4; CON.8.A12-UA.5; CON.8.A22-UA.2; IND.1.A20-UA.1; IND.1.A4-UA.2</t>
  </si>
  <si>
    <t xml:space="preserve">intersects-with; intersects-with; intersects-with; subset-of; intersects-with; intersects-with; intersects-with; intersects-with; intersects-with; superset-of; intersects-with; intersects-with; intersects-with; intersects-with</t>
  </si>
  <si>
    <t xml:space="preserve">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</si>
  <si>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 xml:space="preserve">die Architektur</t>
  </si>
  <si>
    <t xml:space="preserve">Entwicklung für Anwendungen SOLLTE die Architektur dokumentieren.</t>
  </si>
  <si>
    <t xml:space="preserve">DEV.2.3</t>
  </si>
  <si>
    <t xml:space="preserve">Ausführbarkeit mit minimalen Rechten</t>
  </si>
  <si>
    <t xml:space="preserve">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</si>
  <si>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 xml:space="preserve">Freigabeplan</t>
  </si>
  <si>
    <t xml:space="preserve">die fehlerfreie Ausführung mit den geringst möglichen Berechtigungen</t>
  </si>
  <si>
    <t xml:space="preserve">G 0.28 – Software-Schwachstellen oder -Fehler; G 0.32 – Missbrauch von Berechtigungen; G 0.21 – Manipulation von Hard- oder Software</t>
  </si>
  <si>
    <t xml:space="preserve">Entwicklung für Anwendungen SOLLTE die fehlerfreie Ausführung mit den geringst möglichen Berechtigungen verankern.</t>
  </si>
  <si>
    <t xml:space="preserve">DEV.2.4</t>
  </si>
  <si>
    <t xml:space="preserve">Einschränkung Zugriffs auf Quellcode</t>
  </si>
  <si>
    <t xml:space="preserve">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</si>
  <si>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 xml:space="preserve">den schreibenden Zugriff auf Quellcode</t>
  </si>
  <si>
    <t xml:space="preserve">G 0.22 – Manipulation von Informationen; G 0.46 – Integritätsverlust schützenswerter Informationen</t>
  </si>
  <si>
    <t xml:space="preserve">Entwicklung SOLLTE den schreibenden Zugriff auf Quellcode einschränken.</t>
  </si>
  <si>
    <t xml:space="preserve">DEV.2.5</t>
  </si>
  <si>
    <t xml:space="preserve">Einschränkung des Zugriffs auf Zugangsdaten</t>
  </si>
  <si>
    <t xml:space="preserve">Vertraulichkeit, Integrität, Authentizität</t>
  </si>
  <si>
    <t xml:space="preserve">APP.4.2.A13-UA.3</t>
  </si>
  <si>
    <t xml:space="preserve">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</si>
  <si>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 xml:space="preserve">den lesenden und schreibenden Zugriff auf Zugangsdaten</t>
  </si>
  <si>
    <t xml:space="preserve">G 0.28 – Software-Schwachstellen oder -Fehler; G 0.21 – Manipulation von Hard- oder Software; G 0.22 – Manipulation von Informationen; G 0.19 – Offenlegung schützenswerter Informationen</t>
  </si>
  <si>
    <t xml:space="preserve">Entwicklung für Anwendungen SOLLTE den lesenden und schreibenden Zugriff auf Zugangsdaten einschränken.</t>
  </si>
  <si>
    <t xml:space="preserve">DEV.2.6</t>
  </si>
  <si>
    <t xml:space="preserve">Widerstandsfähigkeit gegen gängige Angriffsmuster</t>
  </si>
  <si>
    <t xml:space="preserve">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</si>
  <si>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 xml:space="preserve">Schutzfunktionen gegen gängige Angriffsmuster</t>
  </si>
  <si>
    <t xml:space="preserve">G 0.28 – Software-Schwachstellen oder -Fehler; G 0.21 – Manipulation von Hard- oder Software; G 0.22 – Manipulation von Informationen; G 0.46 – Integritätsverlust schützenswerter Informationen</t>
  </si>
  <si>
    <t xml:space="preserve">Entwicklung für Anwendungen SOLLTE Schutzfunktionen gegen gängige Angriffsmuster installieren.</t>
  </si>
  <si>
    <t xml:space="preserve">DEV.2.6.1</t>
  </si>
  <si>
    <t xml:space="preserve">Entwicklung für Anwendungen SOLLTE Eingabedaten auf eingeschleuste Befehle testen.</t>
  </si>
  <si>
    <t xml:space="preserve">CON.10.A8-UA.1</t>
  </si>
  <si>
    <t xml:space="preserve">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</si>
  <si>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 xml:space="preserve">Eingabedaten</t>
  </si>
  <si>
    <t xml:space="preserve">G 0.28 – Software-Schwachstellen oder -Fehler</t>
  </si>
  <si>
    <t xml:space="preserve">DEV.2.6.2</t>
  </si>
  <si>
    <t xml:space="preserve">Entwicklung für Anwendungen SOLLTE eine Ausgabekodierung ausführen.</t>
  </si>
  <si>
    <t xml:space="preserve">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</si>
  <si>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 xml:space="preserve">eine Ausgabekodierung</t>
  </si>
  <si>
    <t xml:space="preserve">DEV.3.1</t>
  </si>
  <si>
    <t xml:space="preserve">Replay-Angriffe</t>
  </si>
  <si>
    <t xml:space="preserve">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</si>
  <si>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 xml:space="preserve">G 0.43 – Einspielen von Nachrichten</t>
  </si>
  <si>
    <t xml:space="preserve">Entwicklung für Anwendungen SOLLTE Replay-Angriffe blockieren.</t>
  </si>
  <si>
    <t xml:space="preserve">DEV.3.2</t>
  </si>
  <si>
    <t xml:space="preserve">Routinen zur Fehlerbehandlung</t>
  </si>
  <si>
    <t xml:space="preserve">APP.3.2.A12-UA.5; APP.3.3.A14-UA.1</t>
  </si>
  <si>
    <t xml:space="preserve">Behandeln Sie Fehler (Exceptions) möglichst nahe an der Quelle (z.B. Buffer Overflows, fehlende Dateien) und sehen sie eine Routine vor, die unerwartete Fehler abfängt. Geben Sie passende Fehlermeldungen aus und protokollieren Sie Fehler.</t>
  </si>
  <si>
    <t xml:space="preserve">spezifische und allgemeine Routinen zur Fehlerbehandlung</t>
  </si>
  <si>
    <t xml:space="preserve">G 0.28 – Software-Schwachstellen oder -Fehler; G 0.21 – Manipulation von Hard- oder Software</t>
  </si>
  <si>
    <t xml:space="preserve">Entwicklung für Anwendungen SOLLTE spezifische und allgemeine Routinen zur Fehlerbehandlung ausführen.</t>
  </si>
  <si>
    <t xml:space="preserve">DEV.3.3</t>
  </si>
  <si>
    <t xml:space="preserve">Deaktivierung der Ausgabe schützenswerter Daten durch Fehlermeldungen</t>
  </si>
  <si>
    <t xml:space="preserve">Werden sensible Daten in Fehlermeldungen oder Log-Einträgen verwendet, kommt es leicht zur Offenlegung dieser Informationen gegenüber Unbefugten. Hierzu gehören auch Hinweise auf das Vorhandensein oder Nicht-Vorhandensein eines Nutzendenkontos.</t>
  </si>
  <si>
    <t xml:space="preserve">die Ausgabe schützenswerter Daten durch Fehlermeldungen</t>
  </si>
  <si>
    <t xml:space="preserve">G 0.28 – Software-Schwachstellen oder -Fehler; G 0.19 – Offenlegung schützenswerter Informationen</t>
  </si>
  <si>
    <t xml:space="preserve">Entwicklung für Anwendungen SOLLTE die Ausgabe schützenswerter Daten durch Fehlermeldungen deaktivieren.</t>
  </si>
  <si>
    <t xml:space="preserve">DEV.3.4</t>
  </si>
  <si>
    <t xml:space="preserve">Passwort-Hashing</t>
  </si>
  <si>
    <t xml:space="preserve">APP.3.1.A14-UA.2; CON.8.A5-UA.9</t>
  </si>
  <si>
    <t xml:space="preserve">Ziel ist der Schutz vor Angriffen, welche Passwörter beim Transport oder aus dem Speicher auslesen und sich hiermit anmelden. Dies kann durch Hash und Salt gemäß BSI TR-02102 vermieden werden.</t>
  </si>
  <si>
    <t xml:space="preserve">das Hashing von Passwörtern, die zur Authentifizierung an der Anwendung verwendet werden</t>
  </si>
  <si>
    <t xml:space="preserve">Entwicklung für Anwendungen SOLLTE das Hashing von Passwörtern, die zur Authentifizierung an der Anwendung verwendet werden vor der Verarbeitung oder Speicherung aktivieren.</t>
  </si>
  <si>
    <t xml:space="preserve">DEV.4.1</t>
  </si>
  <si>
    <t xml:space="preserve">Nutzerinformation bei kritischen Ereignissen</t>
  </si>
  <si>
    <t xml:space="preserve">Z.B. bei Anmeldung von neuen Geräten, Zurücksetzen des Passwortes, ungewöhnlichen Standorten oder der Änderung von Stammdaten.</t>
  </si>
  <si>
    <t xml:space="preserve">bei sicherheitskritischen Ereignissen die betroffenen Nutzenden</t>
  </si>
  <si>
    <t xml:space="preserve">G 0.36 – Identitätsdiebstahl; G 0.29 – Verstoß gegen Gesetze oder Regelungen</t>
  </si>
  <si>
    <t xml:space="preserve">Entwicklung für Anwendungen SOLLTE bei sicherheitskritischen Ereignissen die betroffenen Nutzenden informieren.</t>
  </si>
  <si>
    <t xml:space="preserve">DEV.4.2</t>
  </si>
  <si>
    <t xml:space="preserve">Einbindung externer Software</t>
  </si>
  <si>
    <t xml:space="preserve">CON.8.A6-UA.1</t>
  </si>
  <si>
    <t xml:space="preserve">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</si>
  <si>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 xml:space="preserve">die Einbindung externer Softwareartefakte und -Schnittstellen aus unzuverlässigen oder unbekannten Quellen</t>
  </si>
  <si>
    <t xml:space="preserve">G 0.28 – Software-Schwachstellen oder -Fehler; G 0.46 – Integritätsverlust schützenswerter Informationen; G 0.20 – Informationen oder Produkte aus unzuverlässiger Quelle</t>
  </si>
  <si>
    <t xml:space="preserve">Entwicklung für Anwendungen SOLLTE die Einbindung externer Softwareartefakte und -Schnittstellen aus unzuverlässigen oder unbekannten Quellen untersagen.</t>
  </si>
  <si>
    <t xml:space="preserve">DEV.4.3</t>
  </si>
  <si>
    <t xml:space="preserve">Softwarebestandteile (SBOM)</t>
  </si>
  <si>
    <t xml:space="preserve">APP.1.1.A10-UA.6; CON.8.A12-UA.3; CON.8.A12-UA.5</t>
  </si>
  <si>
    <t xml:space="preserve">superset-of; intersects-with; intersects-with</t>
  </si>
  <si>
    <t xml:space="preserve">Details siehe BSI TR-03183-2. Anwendungen zur Modulverwaltung und Software Composition Analysis (SCA) können dabei unterstützen SBOMs als Teil eines CI/CD Prozesses automatisiert zu sammeln.</t>
  </si>
  <si>
    <t xml:space="preserve">die Bestandteile mit Hilfe einer Software Bill of Materials (SBOM)</t>
  </si>
  <si>
    <t xml:space="preserve">G 0.18 – Fehlplanung oder fehlende Anpassung; G 0.28 – Software-Schwachstellen oder -Fehler</t>
  </si>
  <si>
    <t xml:space="preserve">Entwicklung für Anwendungen SOLLTE die Bestandteile mit Hilfe einer Software Bill of Materials (SBOM) vor dem Release dokumentieren.</t>
  </si>
  <si>
    <t xml:space="preserve">DEV.4.4</t>
  </si>
  <si>
    <t xml:space="preserve">Integrität externer Software</t>
  </si>
  <si>
    <t xml:space="preserve">APP.6.A3-UA.3; CON.8.A20-UA.1; CON.8.A20-UA.3; CON.8.A6-UA.1; CON.8.A6-UA.2; OPS.1.1.3.A10-UA.3</t>
  </si>
  <si>
    <t xml:space="preserve">intersects-with; intersects-with; superset-of; equivalent-to; superset-of; superset-of</t>
  </si>
  <si>
    <t xml:space="preserve">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</si>
  <si>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 xml:space="preserve">die Integrität externer Softwareartefakte und -Schnittstellen</t>
  </si>
  <si>
    <t xml:space="preserve">Entwicklung für Anwendungen SOLLTE die Integrität externer Softwareartefakte und -Schnittstellen vor dem Release testen.</t>
  </si>
  <si>
    <t xml:space="preserve">DEV.4.5</t>
  </si>
  <si>
    <t xml:space="preserve">Updates externer Software</t>
  </si>
  <si>
    <t xml:space="preserve">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</si>
  <si>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 xml:space="preserve">externe Softwareartefakte auf Sicherheitsupdates</t>
  </si>
  <si>
    <t xml:space="preserve">Entwicklung für Anwendungen SOLLTE externe Softwareartefakte auf Sicherheitsupdates vor dem Release testen.</t>
  </si>
  <si>
    <t xml:space="preserve">DEV.4.6</t>
  </si>
  <si>
    <t xml:space="preserve">Compileroptionen</t>
  </si>
  <si>
    <t xml:space="preserve">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</si>
  <si>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 xml:space="preserve">Compileroptionen für Sicherheitsfunktionen</t>
  </si>
  <si>
    <t xml:space="preserve">Entwicklung für Anwendungen SOLLTE Compileroptionen für Sicherheitsfunktionen vor dem Release aktivieren.</t>
  </si>
  <si>
    <t xml:space="preserve">DEV.4.7</t>
  </si>
  <si>
    <t xml:space="preserve">Deterministischer Binärcode</t>
  </si>
  <si>
    <t xml:space="preserve">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</si>
  <si>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 xml:space="preserve">eine reproduzierbare Vorgehensweise zur Erstellung eines bestimmten Binärcodes aus dem Quellcode</t>
  </si>
  <si>
    <t xml:space="preserve">G 0.18 – Fehlplanung oder fehlende Anpassung; G 0.22 – Manipulation von Informationen; G 0.46 – Integritätsverlust schützenswerter Informationen</t>
  </si>
  <si>
    <t xml:space="preserve">Entwicklung für Anwendungen KANN eine reproduzierbare Vorgehensweise zur Erstellung eines bestimmten Binärcodes aus dem Quellcode dokumentieren.</t>
  </si>
  <si>
    <t xml:space="preserve">DEV.4.8</t>
  </si>
  <si>
    <t xml:space="preserve">Default-Zugangsdaten</t>
  </si>
  <si>
    <t xml:space="preserve">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</si>
  <si>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 xml:space="preserve">Entwicklung für Anwendungen SOLLTE Default-Zugangsdaten vor dem Release dokumentieren.</t>
  </si>
  <si>
    <t xml:space="preserve">DEV.4.9</t>
  </si>
  <si>
    <t xml:space="preserve">Voreinstellungen nach dem Prinzip "Security by Default"</t>
  </si>
  <si>
    <t xml:space="preserve">APP.3.4.A3-UA.5; SYS.1.1.A16-UA.7</t>
  </si>
  <si>
    <t xml:space="preserve">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</si>
  <si>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 xml:space="preserve">Codehistorie</t>
  </si>
  <si>
    <t xml:space="preserve">Entwicklung für Anwendungen SOLLTE Voreinstellungen nach dem Prinzip "Security by Default" aktivieren.</t>
  </si>
  <si>
    <t xml:space="preserve">DEV.4.10</t>
  </si>
  <si>
    <t xml:space="preserve">Protokollierung von Codeänderungen</t>
  </si>
  <si>
    <t xml:space="preserve">CON.8.A10-UA.3</t>
  </si>
  <si>
    <t xml:space="preserve">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</si>
  <si>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 xml:space="preserve">Änderungen am Quellcode</t>
  </si>
  <si>
    <t xml:space="preserve">G 0.37 – Abstreiten von Handlungen; G 0.22 – Manipulation von Informationen</t>
  </si>
  <si>
    <t xml:space="preserve">Entwicklung für Anwendungen SOLLTE Änderungen am Quellcode einschließlich Zeitpunkt, Inhalt der Änderung, ändernder Person und der Begründung der Änderung protokollieren.</t>
  </si>
  <si>
    <t xml:space="preserve">DEV.4.11</t>
  </si>
  <si>
    <t xml:space="preserve">Test bei Änderungen am Quellcode</t>
  </si>
  <si>
    <t xml:space="preserve">„Änderungen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</si>
  <si>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 xml:space="preserve">G 0.28 – Software-Schwachstellen oder -Fehler; G 0.18 – Fehlplanung oder fehlende Anpassung</t>
  </si>
  <si>
    <t xml:space="preserve">Entwicklung für Anwendungen SOLLTE Änderungen am Quellcode im Einklang mit den Verfahren und Regelungen für Änderungen und Tests testen.</t>
  </si>
  <si>
    <t xml:space="preserve">DEV.5.1</t>
  </si>
  <si>
    <t xml:space="preserve">Verankerung des Zeitraums für Updates</t>
  </si>
  <si>
    <t xml:space="preserve">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</si>
  <si>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 xml:space="preserve">die Bereitstellung von Sicherheitsupdates mindestens für {{einen bestimmten Zeitraum}}</t>
  </si>
  <si>
    <t xml:space="preserve">Entwicklung für Anwendungen SOLLTE die Bereitstellung von Sicherheitsupdates mindestens für einen bestimmten Zeitraum verankern.</t>
  </si>
  <si>
    <t xml:space="preserve">DEV.5.2</t>
  </si>
  <si>
    <t xml:space="preserve">Information über Zeitraum für Updates</t>
  </si>
  <si>
    <t xml:space="preserve">Stellen Sie den Empfängern der Software Informationen darüber bereit, wie lange Sicherheitsaktualisierungen gewährleistet werden und wie diese bezogen werden können.</t>
  </si>
  <si>
    <t xml:space="preserve">Auftraggeber über den festgelegten Zeitraum für Sicherheitsupdates</t>
  </si>
  <si>
    <t xml:space="preserve">Entwicklung für Anwendungen SOLLTE Auftraggeber über den festgelegten Zeitraum für Sicherheitsupdates informieren.</t>
  </si>
  <si>
    <t xml:space="preserve">DEV.5.3</t>
  </si>
  <si>
    <t xml:space="preserve">Integritätsprüfung</t>
  </si>
  <si>
    <t xml:space="preserve">APP.1.1.A16-UA.1; APP.6.A3-UA.3</t>
  </si>
  <si>
    <t xml:space="preserve">Dies kann z.B. durch die Veröffentlichung von Prüfsummen über einen authentifizierten Kanal wie eine Webseite mit X.509-Zertifikat erfolgen.</t>
  </si>
  <si>
    <t xml:space="preserve">Nutzende über Möglichkeiten zur Verifikation der Integrität von Installations-, Update- und Patchdateien</t>
  </si>
  <si>
    <t xml:space="preserve">G 0.20 – Informationen oder Produkte aus unzuverlässiger Quelle; G 0.22 – Manipulation von Informationen; G 0.46 – Integritätsverlust schützenswerter Informationen</t>
  </si>
  <si>
    <t xml:space="preserve">Entwicklung für Anwendungen SOLLTE Nutzende über Möglichkeiten zur Verifikation der Integrität von Installations-, Update- und Patchdateien informieren.</t>
  </si>
  <si>
    <t xml:space="preserve">DEV.6.1</t>
  </si>
  <si>
    <t xml:space="preserve">Freigabe nach Änderungen und Tests</t>
  </si>
  <si>
    <t xml:space="preserve">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</si>
  <si>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 xml:space="preserve">die Freigabe zur Nutzung</t>
  </si>
  <si>
    <t xml:space="preserve">G 0.18 – Fehlplanung oder fehlende Anpassung; G 0.25 – Ausfall von Geräten oder Systemen; G 0.26 – Fehlfunktion von Geräten oder Systemen</t>
  </si>
  <si>
    <t xml:space="preserve">Entwicklung SOLLTE die Freigabe zur Nutzung im Einklang mit den entsprechenden Verfahren und Regelungen für Änderungen und Tests autorisieren.</t>
  </si>
  <si>
    <t xml:space="preserve">DEV.7.1</t>
  </si>
  <si>
    <t xml:space="preserve">Sichere Bereitstellung</t>
  </si>
  <si>
    <t xml:space="preserve">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</si>
  <si>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 xml:space="preserve">die Bereitstellung</t>
  </si>
  <si>
    <t xml:space="preserve">Entwicklung SOLLTE die Bereitstellung im Einklang mit den entsprechenden Verfahren und Regelungen für Änderungen und Tests verankern.</t>
  </si>
  <si>
    <t xml:space="preserve">DEV.7.2</t>
  </si>
  <si>
    <t xml:space="preserve">Zertifikatsmonitoring</t>
  </si>
  <si>
    <t xml:space="preserve">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</si>
  <si>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 xml:space="preserve">die Ausstellung neuer Zertifikate</t>
  </si>
  <si>
    <t xml:space="preserve">G 0.36 – Identitätsdiebstahl; G 0.43 – Einspielen von Nachrichten</t>
  </si>
  <si>
    <t xml:space="preserve">Entwicklung für Anwendungen SOLLTE die Ausstellung neuer Zertifikate für die von der Anwendung verwendeten Domains überwachen.</t>
  </si>
  <si>
    <t xml:space="preserve">DLS.1.1</t>
  </si>
  <si>
    <t xml:space="preserve">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</si>
  <si>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 xml:space="preserve">ein Verfahren zur Steuerung und geordneten Beendigung von Dienstleistungsverträgen</t>
  </si>
  <si>
    <t xml:space="preserve">DLS.1.1.1</t>
  </si>
  <si>
    <t xml:space="preserve">Dienstleistersteuerung für Dienstleistungen MUSS die Verfahren und Regelungen dokumentieren.</t>
  </si>
  <si>
    <t xml:space="preserve">DLS.1.1.2</t>
  </si>
  <si>
    <t xml:space="preserve">Dienstleistersteuerung für Dienstleistungen MUSS die mit den Verfahren und Regelungen verbundenen Aufgaben zuständigen Personen oder Rollen zuweisen.</t>
  </si>
  <si>
    <t xml:space="preserve">DLS.1.1.3</t>
  </si>
  <si>
    <t xml:space="preserve">Dienstleistersteuerung für Dienstleistungen MUSS die zuständigen Personen oder Rollen über die Verfahren und Regelungen informieren.</t>
  </si>
  <si>
    <t xml:space="preserve">DLS.1.2</t>
  </si>
  <si>
    <t xml:space="preserve">Dienstleistersteuerung für Dienstleistungen MUSS die Verfahren und Regelungen regelmäßig und anlassbezogen auf Aktualität überprüfen.</t>
  </si>
  <si>
    <t xml:space="preserve">DLS.2.1</t>
  </si>
  <si>
    <t xml:space="preserve">Mehr-Faktor-Authentifizierung</t>
  </si>
  <si>
    <t xml:space="preserve">Online-Dienste wie die Verwaltung von TK-Rufnummern oder Cloud-Office-Anwendungen sind ein beliebtes Ziel für Angriffe durch Phishing oder Datenleaks. Sichern Sie diese Zugänge mit Mehr-Faktor-Authentifizierung (z.B. OTP) ab.</t>
  </si>
  <si>
    <t xml:space="preserve">G 0.18 – Fehlplanung oder fehlende Anpassung; G 0.14 – Ausspähen von Informationen (Spionage)</t>
  </si>
  <si>
    <t xml:space="preserve">Dienstleistersteuerung für Dienstleistungen SOLLTE Mehr-Faktor-Authentifizierung bei Login in Online-Dienste aktivieren.</t>
  </si>
  <si>
    <t xml:space="preserve">DLS.2.2</t>
  </si>
  <si>
    <t xml:space="preserve">Transportverschlüsselung</t>
  </si>
  <si>
    <t xml:space="preserve">„Transport“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</si>
  <si>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 xml:space="preserve">den Transport</t>
  </si>
  <si>
    <t xml:space="preserve">Dienstleistersteuerung für Daten SOLLTE den Transport bei der Übertragung zum Anbieter nach einem anerkannten Standard verschlüsseln.</t>
  </si>
  <si>
    <t xml:space="preserve">DLS.2.3</t>
  </si>
  <si>
    <t xml:space="preserve">Vollverschlüsselung</t>
  </si>
  <si>
    <t xml:space="preserve">Hierbei handelt es sich um eine Verschlüsselung at-rest, bei welcher der Dienstleister keinen Zugang zum Schlüssel erhält. Die Umsetzung kann z.B. auf Dateiebene oder durch Container erfolgen.</t>
  </si>
  <si>
    <t xml:space="preserve">diese, wenn der Anbieter deren Inhalt zur Vertragserbringung nicht kennen muss, für diesen nicht entschlüsselbar</t>
  </si>
  <si>
    <t xml:space="preserve">Dienstleistersteuerung für Daten KANN diese, wenn der Anbieter deren Inhalt zur Vertragserbringung nicht kennen muss, für diesen nicht entschlüsselbar vor der Übertragung zum Dienstleister verschlüsseln.</t>
  </si>
  <si>
    <t xml:space="preserve">DLS.3.1</t>
  </si>
  <si>
    <t xml:space="preserve">Einhaltung der Sicherheitsvorgaben</t>
  </si>
  <si>
    <t xml:space="preserve">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</si>
  <si>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 xml:space="preserve">die Einhaltung der Sicherheitsvorgaben durch den Dienstleister</t>
  </si>
  <si>
    <t xml:space="preserve">G 0.11 – Ausfall oder Störung von Dienstleistern; G 0.29 – Verstoß gegen Gesetze oder Regelungen; G 0.20 – Informationen oder Produkte aus unzuverlässiger Quelle</t>
  </si>
  <si>
    <t xml:space="preserve">Dienstleistersteuerung für Dienstleistungen SOLLTE die Einhaltung der Sicherheitsvorgaben durch den Dienstleister regelmäßig überprüfen.</t>
  </si>
  <si>
    <t xml:space="preserve">DLS.3.1.1</t>
  </si>
  <si>
    <t xml:space="preserve">Dienstleistersteuerung für Outsourcing SOLLTE die Einhaltung der Sicherheitsvorgaben anhand eines Audits, Zertifikates oder vergleichbaren Sicherheitsnachweises regelmäßig überprüfen.</t>
  </si>
  <si>
    <t xml:space="preserve">„Audit“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</si>
  <si>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 xml:space="preserve">die Einhaltung der Sicherheitsvorgaben anhand eines {{Audits, Zertifikates oder vergleichbaren Sicherheitsnachweises}}</t>
  </si>
  <si>
    <t xml:space="preserve">G 0.29 – Verstoß gegen Gesetze oder Regelungen; G 0.11 – Ausfall oder Störung von Dienstleistern; G 0.20 – Informationen oder Produkte aus unzuverlässiger Quelle; G 0.18 – Fehlplanung oder fehlende Anpassung</t>
  </si>
  <si>
    <t xml:space="preserve">DLS.3.2</t>
  </si>
  <si>
    <t xml:space="preserve">Checkup</t>
  </si>
  <si>
    <t xml:space="preserve">OPS.2.3.A2-UA.4</t>
  </si>
  <si>
    <t xml:space="preserve">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</si>
  <si>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 xml:space="preserve">die risikoorientierte Entscheidung über Outsourcing auf Grundlage der Geschäftsprozessprofile</t>
  </si>
  <si>
    <t xml:space="preserve">G 0.11 – Ausfall oder Störung von Dienstleistern; G 0.20 – Informationen oder Produkte aus unzuverlässiger Quelle</t>
  </si>
  <si>
    <t xml:space="preserve">Dienstleistersteuerung für Outsourcing KANN die risikoorientierte Entscheidung über Outsourcing auf Grundlage der Geschäftsprozessprofile auf Änderungen der Gefährdungslage oder Prozessinhalte regelmäßig überprüfen.</t>
  </si>
  <si>
    <t xml:space="preserve">DLS.3.3</t>
  </si>
  <si>
    <t xml:space="preserve">Strategie-Check</t>
  </si>
  <si>
    <t xml:space="preserve">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</si>
  <si>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 xml:space="preserve">die Strategie auf Vollständigkeit und Korrektheit in Bezug auf die betrachteten Geschäftsprozesse</t>
  </si>
  <si>
    <t xml:space="preserve">Dienstleistersteuerung für Outsourcing KANN die Strategie auf Vollständigkeit und Korrektheit in Bezug auf die betrachteten Geschäftsprozesse bei Änderungen der Geschäftsprozessprofile überprüfen.</t>
  </si>
  <si>
    <t xml:space="preserve">DLS.3.4</t>
  </si>
  <si>
    <t xml:space="preserve">Anhörung</t>
  </si>
  <si>
    <t xml:space="preserve">Betroffen sind alle Zielobjekte, zu denen vom Dienstleister (Teil-)Leistungen erbracht werden. Für eine Anhörung ist es erforderlich, dass der Dienstleister über die geplanten Maßnahmen informiert ist und ausreichend Gelegenheit zur Stellungnahme erhält.</t>
  </si>
  <si>
    <t xml:space="preserve">den Dienstleister zu Sicherheitsmaßnahmen für betroffene Zielobjekte</t>
  </si>
  <si>
    <t xml:space="preserve">Dienstleistersteuerung für Outsourcing SOLLTE den Dienstleister zu Sicherheitsmaßnahmen für betroffene Zielobjekte anhören.</t>
  </si>
  <si>
    <t xml:space="preserve">DLS.3.5</t>
  </si>
  <si>
    <t xml:space="preserve">Blockierung unzuverlässiger Dienstleister</t>
  </si>
  <si>
    <t xml:space="preserve">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</si>
  <si>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 xml:space="preserve">unzuverlässige Dienstleister oder Subdienstleister</t>
  </si>
  <si>
    <t xml:space="preserve">G 0.11 – Ausfall oder Störung von Dienstleistern; G 0.19 – Offenlegung schützenswerter Informationen; G 0.20 – Informationen oder Produkte aus unzuverlässiger Quelle</t>
  </si>
  <si>
    <t xml:space="preserve">Dienstleistersteuerung für Dienstleistungen SOLLTE unzuverlässige Dienstleister oder Subdienstleister blockieren.</t>
  </si>
  <si>
    <t xml:space="preserve">DLS.3.6</t>
  </si>
  <si>
    <t xml:space="preserve">Portabilität</t>
  </si>
  <si>
    <t xml:space="preserve">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</si>
  <si>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 xml:space="preserve">die Portabilität des ausgelagerten Prozesses</t>
  </si>
  <si>
    <t xml:space="preserve">Dienstleistersteuerung für Outsourcing KANN die Portabilität des ausgelagerten Prozesses regelmäßig überprüfen.</t>
  </si>
  <si>
    <t xml:space="preserve">DLS.4.1</t>
  </si>
  <si>
    <t xml:space="preserve">Dekomissionierung</t>
  </si>
  <si>
    <t xml:space="preserve">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</si>
  <si>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 xml:space="preserve">eine Vorgehensweise zur Dekommissionierung</t>
  </si>
  <si>
    <t xml:space="preserve">Dienstleistersteuerung für Dienstleistungen SOLLTE eine Vorgehensweise zur Dekommissionierung vor Vertragsende verankern.</t>
  </si>
  <si>
    <t xml:space="preserve">DLS.4.1.1</t>
  </si>
  <si>
    <t xml:space="preserve">Dienstleistersteuerung für Outsourcing SOLLTE die Unabhängigkeit der Verarbeitung schützenswerter Informationen vor der Außerbetriebnahme testen.</t>
  </si>
  <si>
    <t xml:space="preserve">„Unabhängigkeit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</si>
  <si>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 xml:space="preserve">die Unabhängigkeit der Verarbeitung schützenswerter Informationen</t>
  </si>
  <si>
    <t xml:space="preserve">DLS.4.1.2</t>
  </si>
  <si>
    <t xml:space="preserve">Dienstleistersteuerung für Dienstleistungen SOLLTE für den Vertrag benötigte Berechtigungen bei Vertragsende unverzüglich deaktivieren.</t>
  </si>
  <si>
    <t xml:space="preserve">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</si>
  <si>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 xml:space="preserve">für den Vertrag benötigte Berechtigungen</t>
  </si>
  <si>
    <t xml:space="preserve">GC.1.1</t>
  </si>
  <si>
    <t xml:space="preserve">Errichtung und Aufrechterhaltung eines ISMS</t>
  </si>
  <si>
    <t xml:space="preserve">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</si>
  <si>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 xml:space="preserve">ISMS-Regelwerk</t>
  </si>
  <si>
    <t xml:space="preserve">Verfahren und Regelungen zur Errichtung und Aufrechterhaltung eines ISMS</t>
  </si>
  <si>
    <t xml:space="preserve">Governance und Compliance MUSS Verfahren und Regelungen zur Errichtung und Aufrechterhaltung eines ISMS nach BSI Grundschutz++ verankern.</t>
  </si>
  <si>
    <t xml:space="preserve">GC.1.2</t>
  </si>
  <si>
    <t xml:space="preserve">Freigabe des ISMS</t>
  </si>
  <si>
    <t xml:space="preserve">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</si>
  <si>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 xml:space="preserve">Managementbericht</t>
  </si>
  <si>
    <t xml:space="preserve">alle festgelegten Verfahren für das ISMS</t>
  </si>
  <si>
    <t xml:space="preserve">Governance und Compliance MUSS alle festgelegten Verfahren für das ISMS durch die Institutionsleitung autorisieren.</t>
  </si>
  <si>
    <t xml:space="preserve">GC.2.1</t>
  </si>
  <si>
    <t xml:space="preserve">Festlegung des externen Kontextes der Institution</t>
  </si>
  <si>
    <t xml:space="preserve">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</si>
  <si>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 xml:space="preserve">alle für das Informationssicherheitsmanagement relevanten externen Rahmenbedingungen</t>
  </si>
  <si>
    <t xml:space="preserve">Governance und Compliance MUSS alle für das Informationssicherheitsmanagement relevanten externen Rahmenbedingungen analysieren.</t>
  </si>
  <si>
    <t xml:space="preserve">GC.2.2</t>
  </si>
  <si>
    <t xml:space="preserve">Festlegung des internen Kontextes der Institution</t>
  </si>
  <si>
    <t xml:space="preserve">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</si>
  <si>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 xml:space="preserve">alle für das Informationssicherheitsmanagement relevanten internen Rahmenbedingungen</t>
  </si>
  <si>
    <t xml:space="preserve">Governance und Compliance MUSS alle für das Informationssicherheitsmanagement relevanten internen Rahmenbedingungen analysieren.</t>
  </si>
  <si>
    <t xml:space="preserve">GC.3.1</t>
  </si>
  <si>
    <t xml:space="preserve">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</si>
  <si>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 xml:space="preserve">ein Verfahren zur systematischen Erfassung und Verwaltung von Compliance-Verpflichtungen</t>
  </si>
  <si>
    <t xml:space="preserve">GC.3.1.1</t>
  </si>
  <si>
    <t xml:space="preserve">Governance und Compliance MUSS gesetzliche Verpflichtungen, welche die Verarbeitung von Informationen durch die Institution betreffen, analysieren.</t>
  </si>
  <si>
    <t xml:space="preserve">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</si>
  <si>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 xml:space="preserve">gesetzliche Verpflichtungen, welche die Verarbeitung von Informationen durch die Institution betreffen,</t>
  </si>
  <si>
    <t xml:space="preserve">GC.3.1.2</t>
  </si>
  <si>
    <t xml:space="preserve">Governance und Compliance SOLLTE für die Einhaltung gesetzlicher Verpflichtungen in der Informationsverarbeitung zuständige Stellen in der Institution anhören.</t>
  </si>
  <si>
    <t xml:space="preserve">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</si>
  <si>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 xml:space="preserve">für die Einhaltung gesetzlicher Verpflichtungen in der Informationsverarbeitung zuständige Stellen in der Institution</t>
  </si>
  <si>
    <t xml:space="preserve">GC.3.1.3</t>
  </si>
  <si>
    <t xml:space="preserve">Governance und Compliance SOLLTE vertragliche Verpflichtungen, welche die Verarbeitung von Informationen durch die Institution betreffen, analysieren.</t>
  </si>
  <si>
    <t xml:space="preserve">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</si>
  <si>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 xml:space="preserve">vertragliche Verpflichtungen, welche die Verarbeitung von Informationen durch die Institution betreffen,</t>
  </si>
  <si>
    <t xml:space="preserve">GC.3.1.4</t>
  </si>
  <si>
    <t xml:space="preserve">Governance und Compliance SOLLTE Verfahren zur Prävention gegen Verstöße verankern.</t>
  </si>
  <si>
    <t xml:space="preserve">Verfahren können z. B. zielgruppengerechte Schulungen der für die Umsetzung und Einhaltung zuständigen Personen, die Berücksichtigung der Compliance-Verpflichtungen bei Freigabe- und Testprozessen sowie die Förderung einer konstruktiven Fehlerkultur sein.</t>
  </si>
  <si>
    <t xml:space="preserve">Verfahren zur Prävention gegen Verstöße</t>
  </si>
  <si>
    <t xml:space="preserve">GC.4.1</t>
  </si>
  <si>
    <t xml:space="preserve">Analyse der externen interessierten Parteien</t>
  </si>
  <si>
    <t xml:space="preserve">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</si>
  <si>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 xml:space="preserve">alle externen interessierten Parteien sowie ihre Bedürfnisse und Erwartungen</t>
  </si>
  <si>
    <t xml:space="preserve">Governance und Compliance MUSS alle externen interessierten Parteien sowie ihre Bedürfnisse und Erwartungen an das Informationssicherheitsmanagement der Institution analysieren.</t>
  </si>
  <si>
    <t xml:space="preserve">GC.4.2</t>
  </si>
  <si>
    <t xml:space="preserve">Analyse der internen interessierten Parteien</t>
  </si>
  <si>
    <t xml:space="preserve">Alle relevanten externen interessierten Parteien werden ermittelt. Die internen interessierten Parteien umfassen beispielsweise: Geschäftsführung, ISB, DSB, Mitarbeiter, Führungskräfte, Betriebsrat/Personalrat.</t>
  </si>
  <si>
    <t xml:space="preserve">alle internen interessierten Parteien sowie ihre Bedürfnisse und Erwartungen</t>
  </si>
  <si>
    <t xml:space="preserve">Governance und Compliance MUSS alle internen interessierten Parteien sowie ihre Bedürfnisse und Erwartungen an das Informationssicherheitsmanagement der Institution analysieren.</t>
  </si>
  <si>
    <t xml:space="preserve">GC.5.1</t>
  </si>
  <si>
    <t xml:space="preserve">Festlegung von Zielen für die Informationssicherheit</t>
  </si>
  <si>
    <t xml:space="preserve">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</si>
  <si>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 xml:space="preserve">Informationssicherheitsstrategie</t>
  </si>
  <si>
    <t xml:space="preserve">konkrete und messbare Ziele für die Informationssicherheit</t>
  </si>
  <si>
    <t xml:space="preserve">GC.5.1.1</t>
  </si>
  <si>
    <t xml:space="preserve">Governance und Compliance MUSS eine grundlegende Strategie zur Erreichung der Ziele für die Informationssicherheit gemeinsam mit der Institutionsleitung festlegen.</t>
  </si>
  <si>
    <t xml:space="preserve">Die Sicherheitsstrategie legt fest, wie die Organisation die Ziele erreichen möchte und fokussiert inbesondere den übergeordneten Ansatz und die Prinzipien.</t>
  </si>
  <si>
    <t xml:space="preserve">eine grundlegende Strategie zur Erreichung der Ziele für die Informationssicherheit</t>
  </si>
  <si>
    <t xml:space="preserve">GC.5.1.2</t>
  </si>
  <si>
    <t xml:space="preserve">Governance und Compliance MUSS die Verpflichtung der Institutionsleitung zuweisen.</t>
  </si>
  <si>
    <t xml:space="preserve">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</si>
  <si>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 xml:space="preserve">Leitungsentscheidung</t>
  </si>
  <si>
    <t xml:space="preserve">die Verpflichtung der Institutionsleitung</t>
  </si>
  <si>
    <t xml:space="preserve">GC.5.1.3</t>
  </si>
  <si>
    <t xml:space="preserve">Governance und Compliance MUSS eine für die Institution passende Sicherheitsleitlinie festlegen.</t>
  </si>
  <si>
    <t xml:space="preserve">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</si>
  <si>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 xml:space="preserve">Informationssicherheitsleitlinie</t>
  </si>
  <si>
    <t xml:space="preserve">eine für die Institution passende Sicherheitsleitlinie</t>
  </si>
  <si>
    <t xml:space="preserve">GC.5.1.4</t>
  </si>
  <si>
    <t xml:space="preserve">Governance und Compliance MUSS die festgelegte Sicherheitsleitlinie durch die Institutionsleitung autorisieren.</t>
  </si>
  <si>
    <t xml:space="preserve">Diese Autorisierung muss dokumentiert werden.</t>
  </si>
  <si>
    <t xml:space="preserve">die festgelegte Sicherheitsleitlinie</t>
  </si>
  <si>
    <t xml:space="preserve">GC.6.1</t>
  </si>
  <si>
    <t xml:space="preserve">Festlegung des Geltungsbereichs</t>
  </si>
  <si>
    <t xml:space="preserve">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</si>
  <si>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 xml:space="preserve">den nachvollziehbar abgegrenzten Geltungsbereich</t>
  </si>
  <si>
    <t xml:space="preserve">Governance und Compliance MUSS den nachvollziehbar abgegrenzten Geltungsbereich nach Freigabe der Institutionsleitung festlegen.</t>
  </si>
  <si>
    <t xml:space="preserve">GC.7.1</t>
  </si>
  <si>
    <t xml:space="preserve">Vorgehen bei der Infomationssicherheitseinstufung</t>
  </si>
  <si>
    <t xml:space="preserve">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</si>
  <si>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 xml:space="preserve">ein Verfahren für die Festlegung von Geschäftsprozessen und die Einstufung des Schutzbedarfs</t>
  </si>
  <si>
    <t xml:space="preserve">GC.7.1.1</t>
  </si>
  <si>
    <t xml:space="preserve">Governance und Compliance MUSS die Geschäftsprozesse oder Informationen die für den Geltungsbereich relevant sind festlegen.</t>
  </si>
  <si>
    <t xml:space="preserve">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</si>
  <si>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 xml:space="preserve">die Geschäftsprozesse oder Informationen</t>
  </si>
  <si>
    <t xml:space="preserve">GC.7.1.2</t>
  </si>
  <si>
    <t xml:space="preserve">Governance und Compliance MUSS eine Einstufung des Schutzbedarfs der relevanten Geschäftsprozesse oder Informationen unter Berücksichtigung der Geschäftsziele und in Absprache mit der Institutionsleitung festlegen.</t>
  </si>
  <si>
    <t xml:space="preserve">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</si>
  <si>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 xml:space="preserve">Schutzbedarfsfeststellung</t>
  </si>
  <si>
    <t xml:space="preserve">eine Einstufung des Schutzbedarfs der relevanten Geschäftsprozesse oder Informationen</t>
  </si>
  <si>
    <t xml:space="preserve">GC.7.2</t>
  </si>
  <si>
    <t xml:space="preserve">Geschäftsprozesse mit hohem Schutzbedarf</t>
  </si>
  <si>
    <t xml:space="preserve">Diese Anforderung stellt den Aussprungpunkt in die Risikobetrachtung dar, deren konkrete Ausgestaltung nicht durch den GS++ vorgegeben wird. Gängige Standards als Basis für ein Risikomanagement sind die ISO27005, die ISO31000 oder der BSI Standard 200-3.</t>
  </si>
  <si>
    <t xml:space="preserve">Risikobetrachtung</t>
  </si>
  <si>
    <t xml:space="preserve">eine dedizierte Risikobetrachtung von Geschäftsprozessen oder Informationen mit hohem Schutzbedarf</t>
  </si>
  <si>
    <t xml:space="preserve">Governance und Compliance MUSS eine dedizierte Risikobetrachtung von Geschäftsprozessen oder Informationen mit hohem Schutzbedarf entsprechend der gewählten Methodik für das Informationssicherheitsrisikomanagement ausführen.</t>
  </si>
  <si>
    <t xml:space="preserve">GC.8.1</t>
  </si>
  <si>
    <t xml:space="preserve">Verfahren zur Ressourcenplanung</t>
  </si>
  <si>
    <t xml:space="preserve">Die Ressourcenplanung berücksichtigt die personellen, finanziellen und materiellen bzw. technischen Ressourcen.</t>
  </si>
  <si>
    <t xml:space="preserve">ein Verfahren zur kontinuierlichen, wirtschaftlichen Planung von Ressourcen für das ISMS</t>
  </si>
  <si>
    <t xml:space="preserve">Governance und Compliance MUSS ein Verfahren zur kontinuierlichen, wirtschaftlichen Planung von Ressourcen für das ISMS verankern.</t>
  </si>
  <si>
    <t xml:space="preserve">GC.9.1</t>
  </si>
  <si>
    <t xml:space="preserve">Festlegung einer Sicherheitsorganisation</t>
  </si>
  <si>
    <t xml:space="preserve">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</si>
  <si>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 xml:space="preserve">Sicherheitsorganisation</t>
  </si>
  <si>
    <t xml:space="preserve">die Sicherheitsorganisation für das ISMS</t>
  </si>
  <si>
    <t xml:space="preserve">GC.9.1.1.1.1</t>
  </si>
  <si>
    <t xml:space="preserve">Governance und Compliance MUSS dem Informationssicherheitsbeauftragten hinreichende Ressourcen zuweisen.</t>
  </si>
  <si>
    <t xml:space="preserve">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</si>
  <si>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 xml:space="preserve">dem Informationssicherheitsbeauftragten hinreichende Ressourcen</t>
  </si>
  <si>
    <t xml:space="preserve">GC.9.1.1.1.2</t>
  </si>
  <si>
    <t xml:space="preserve">Governance und Compliance MUSS das direkte Vorspracherecht des Informationssicherheitsbeauftragten bei der Institutionsleitung verankern.</t>
  </si>
  <si>
    <t xml:space="preserve">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</si>
  <si>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 xml:space="preserve">Tätigkeits- &amp; Rollenbeschreibung</t>
  </si>
  <si>
    <t xml:space="preserve">das direkte Vorspracherecht des Informationssicherheitsbeauftragten bei der Institutionsleitung</t>
  </si>
  <si>
    <t xml:space="preserve">GC.9.1.1.2</t>
  </si>
  <si>
    <t xml:space="preserve">Governance und Compliance MUSS Stellvertreterregelungen für alle relevanten Rollen und Zuständigkeiten im ISMS zuweisen.</t>
  </si>
  <si>
    <t xml:space="preserve">Eine kontinuierliche Handlungsunfähigkeit der Sicherheitsorganisation kann nur mit Stellvertreterregelungen für alle relevanten Rollen gewährleistet werden.</t>
  </si>
  <si>
    <t xml:space="preserve">Stellvertreterregelungen für alle relevanten Rollen und Zuständigkeiten im ISMS</t>
  </si>
  <si>
    <t xml:space="preserve">GC.9.1.1.3</t>
  </si>
  <si>
    <t xml:space="preserve">Governance und Compliance MUSS Maßnahmen zur Vermeidung von Interessenkonflikten bei der Festlegung von Rollen und Zuständigkeiten des ISMS festlegen.</t>
  </si>
  <si>
    <t xml:space="preserve">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</si>
  <si>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 xml:space="preserve">Maßnahmen zur Vermeidung von Interessenkonflikten bei der Festlegung von Rollen und Zuständigkeiten des ISMS</t>
  </si>
  <si>
    <t xml:space="preserve">GC.9.1.1.4</t>
  </si>
  <si>
    <t xml:space="preserve">Governance und Compliance MUSS für jeden Rollen- und Verantwortungsträger die erforderlichen Anforderungen und Fähigkeiten festlegen.</t>
  </si>
  <si>
    <t xml:space="preserve">Für jeden Rollen- und Verantwortungsträger werden die Anforderungen und Fähigkeiten festgelegt.</t>
  </si>
  <si>
    <t xml:space="preserve">für jeden Rollen- und Verantwortungsträger die erforderlichen Anforderungen und Fähigkeiten</t>
  </si>
  <si>
    <t xml:space="preserve">GC.10.1</t>
  </si>
  <si>
    <t xml:space="preserve">Festlegung eines Verfahrens zum Kommunikationsmanagement</t>
  </si>
  <si>
    <t xml:space="preserve">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</si>
  <si>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 xml:space="preserve">Übersicht der Kommunikationspartner</t>
  </si>
  <si>
    <t xml:space="preserve">ein Verfahren zum Kommunikationsmanagement</t>
  </si>
  <si>
    <t xml:space="preserve">GC.10.1.1</t>
  </si>
  <si>
    <t xml:space="preserve">Governance und Compliance SOLLTE einen externen Austausch zur Informationssicherheit verankern.</t>
  </si>
  <si>
    <t xml:space="preserve">Um auch andere Perspektiven wahrzunehmen und Eindrücke zu erhalten, findet ein externer Austausch statt. Hierzu können beispielsweise Branchenverbände, Fachforen oder andere Einrichtungen genutzt werden.</t>
  </si>
  <si>
    <t xml:space="preserve">einen externen Austausch zur Informationssicherheit</t>
  </si>
  <si>
    <t xml:space="preserve">GC.10.1.2</t>
  </si>
  <si>
    <t xml:space="preserve">Governance und Compliance MUSS bei sicherheitsrelevanten Projekten die Beteiligung der relevanten Sicherheitsorgane zu festgelegten Zeitpunkten im Projektverlauf verankern.</t>
  </si>
  <si>
    <t xml:space="preserve">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</si>
  <si>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 xml:space="preserve">bei sicherheitsrelevanten Projekten die Beteiligung {{der relevanten Sicherheitsorgane}}</t>
  </si>
  <si>
    <t xml:space="preserve">GC.11.1</t>
  </si>
  <si>
    <t xml:space="preserve">Dokumentenlenkung</t>
  </si>
  <si>
    <t xml:space="preserve">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</si>
  <si>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 xml:space="preserve">Richtlinie zur Lenkung von Dokumenten und Aufzeichnungen</t>
  </si>
  <si>
    <t xml:space="preserve">ein Verfahren zur Lenkung der Dokumente im Rahmen des ISMS</t>
  </si>
  <si>
    <t xml:space="preserve">Governance und Compliance MUSS ein Verfahren zur Lenkung der Dokumente im Rahmen des ISMS über ihren kompletten Lebenszyklus hinweg verankern.</t>
  </si>
  <si>
    <t xml:space="preserve">GC.12.1</t>
  </si>
  <si>
    <t xml:space="preserve">Methodik für das Risikomanagement</t>
  </si>
  <si>
    <t xml:space="preserve">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</si>
  <si>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 xml:space="preserve">Risikobewertung</t>
  </si>
  <si>
    <t xml:space="preserve">eine einheitliche Methodik für das Informationssicherheitsrisikomanagement</t>
  </si>
  <si>
    <t xml:space="preserve">Governance und Compliance MUSS eine einheitliche Methodik für das Informationssicherheitsrisikomanagement unter Berücksichtigungen von Kontext, Geschäftsprozessanalyse und interessierten Parteien verankern.</t>
  </si>
  <si>
    <t xml:space="preserve">GEB.1.1</t>
  </si>
  <si>
    <t xml:space="preserve">INF.1.A1-UA.1</t>
  </si>
  <si>
    <t xml:space="preserve">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</si>
  <si>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 xml:space="preserve">Prozess Gebäudemanagement</t>
  </si>
  <si>
    <t xml:space="preserve">Verfahren und Regelungen zum physischen Schutz von Standorten, an denen schützenswerte Informationen verarbeitet oder gespeichert werden,</t>
  </si>
  <si>
    <t xml:space="preserve">GEB.1.1.1</t>
  </si>
  <si>
    <t xml:space="preserve">Gebäudemanagement für Standorte MUSS die Verfahren und Regelungen dokumentieren.</t>
  </si>
  <si>
    <t xml:space="preserve">GEB.1.1.2</t>
  </si>
  <si>
    <t xml:space="preserve">Gebäudemanagement für Standorte MUSS die mit den Verfahren und Regelungen verbundenen Aufgaben zuständigen Personen oder Rollen zuweisen.</t>
  </si>
  <si>
    <t xml:space="preserve">GEB.1.1.3</t>
  </si>
  <si>
    <t xml:space="preserve">Gebäudemanagement für Standorte MUSS die zuständigen Personen oder Rollen über die Verfahren und Regelungen informieren.</t>
  </si>
  <si>
    <t xml:space="preserve">GEB.1.2</t>
  </si>
  <si>
    <t xml:space="preserve">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</si>
  <si>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 xml:space="preserve">Gebäudemanagement für Standorte MUSS die Verfahren und Regelungen regelmäßig und anlassbezogen auf Aktualität überprüfen.</t>
  </si>
  <si>
    <t xml:space="preserve">GEB.1.3</t>
  </si>
  <si>
    <t xml:space="preserve">Autorisierung von Standorten</t>
  </si>
  <si>
    <t xml:space="preserve">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</si>
  <si>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 xml:space="preserve">Standorte für die Stationierung von Assets</t>
  </si>
  <si>
    <t xml:space="preserve">Gebäudemanagement für Standorte SOLLTE Standorte für die Stationierung von Assets autorisieren.</t>
  </si>
  <si>
    <t xml:space="preserve">GEB.1.3.1</t>
  </si>
  <si>
    <t xml:space="preserve">Gebäudemanagement für Standorte SOLLTE Standorte vor Autorisierung anhand von Kriterien testen.</t>
  </si>
  <si>
    <t xml:space="preserve">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</si>
  <si>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 xml:space="preserve">GEB.1.4</t>
  </si>
  <si>
    <t xml:space="preserve">Exponierte Bereiche</t>
  </si>
  <si>
    <t xml:space="preserve">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</si>
  <si>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 xml:space="preserve">Gebäudedokumentation</t>
  </si>
  <si>
    <t xml:space="preserve">schützenswerte Assets oder zugehörige Infrastrukturen nur außerhalb exponierter oder besonders gefährdeter Bereiche</t>
  </si>
  <si>
    <t xml:space="preserve">Gebäudemanagement für Standorte SOLLTE schützenswerte Assets oder zugehörige Infrastrukturen nur außerhalb exponierter oder besonders gefährdeter Bereiche platzieren.</t>
  </si>
  <si>
    <t xml:space="preserve">GEB.1.5</t>
  </si>
  <si>
    <t xml:space="preserve">Strukturpläne</t>
  </si>
  <si>
    <t xml:space="preserve">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</si>
  <si>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 xml:space="preserve">Gebäudemanagement für Standorte SOLLTE Strukturpläne dokumentieren.</t>
  </si>
  <si>
    <t xml:space="preserve">GEB.2.1</t>
  </si>
  <si>
    <t xml:space="preserve">Installation von Perimetern</t>
  </si>
  <si>
    <t xml:space="preserve">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</si>
  <si>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 xml:space="preserve">Sicherheitsperimeter</t>
  </si>
  <si>
    <t xml:space="preserve">G 0.18 – Fehlplanung oder fehlende Anpassung; G 0.44 – Unbefugtes Eindringen in Räumlichkeiten; G 0.16 – Diebstahl von Geräten, Datenträgern oder Dokumenten; G 0.24 – Zerstörung von Geräten oder Datenträgern</t>
  </si>
  <si>
    <t xml:space="preserve">Gebäudemanagement für Standorte SOLLTE Sicherheitsperimeter installieren.</t>
  </si>
  <si>
    <t xml:space="preserve">GEB.2.2</t>
  </si>
  <si>
    <t xml:space="preserve">Dokumentation öffentlicher Bereiche</t>
  </si>
  <si>
    <t xml:space="preserve">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</si>
  <si>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 xml:space="preserve">Gebäude</t>
  </si>
  <si>
    <t xml:space="preserve">Bereiche, die ohne Authentifizierung zugänglich sind,</t>
  </si>
  <si>
    <t xml:space="preserve">Gebäudemanagement für Gebäude SOLLTE Bereiche, die ohne Authentifizierung zugänglich sind, mit Begründung dokumentieren.</t>
  </si>
  <si>
    <t xml:space="preserve">GEB.2.3</t>
  </si>
  <si>
    <t xml:space="preserve">Erkundung aus dem öffentlichen Raum</t>
  </si>
  <si>
    <t xml:space="preserve">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</si>
  <si>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 xml:space="preserve">Hör- und Sehschutz gegen den öffentlichen Raum</t>
  </si>
  <si>
    <t xml:space="preserve">G 0.44 – Unbefugtes Eindringen in Räumlichkeiten; G 0.16 – Diebstahl von Geräten, Datenträgern oder Dokumenten; G 0.24 – Zerstörung von Geräten oder Datenträgern; G 0.19 – Offenlegung schützenswerter Informationen</t>
  </si>
  <si>
    <t xml:space="preserve">Gebäudemanagement für Standorte SOLLTE Hör- und Sehschutz gegen den öffentlichen Raum testen.</t>
  </si>
  <si>
    <t xml:space="preserve">GEB.2.4</t>
  </si>
  <si>
    <t xml:space="preserve">Elektromagnetische Abschirmung</t>
  </si>
  <si>
    <t xml:space="preserve">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</si>
  <si>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 xml:space="preserve">die Elektromagnetische Abschirmung</t>
  </si>
  <si>
    <t xml:space="preserve">G 0.19 – Offenlegung schützenswerter Informationen; G 0.13 – Abfangen kompromittierender Strahlung; G 0.12 – Elektromagnetische Störstrahlung</t>
  </si>
  <si>
    <t xml:space="preserve">Gebäudemanagement für Standorte KANN die Elektromagnetische Abschirmung testen.</t>
  </si>
  <si>
    <t xml:space="preserve">GEB.3.1</t>
  </si>
  <si>
    <t xml:space="preserve">Überwachung von Zutrittspunkten</t>
  </si>
  <si>
    <t xml:space="preserve">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</si>
  <si>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 xml:space="preserve">Zutrittspunkte auf unbefugte Zutritte</t>
  </si>
  <si>
    <t xml:space="preserve">Gebäudemanagement für Standorte SOLLTE Zutrittspunkte auf unbefugte Zutritte überwachen.</t>
  </si>
  <si>
    <t xml:space="preserve">GEB.3.1.1</t>
  </si>
  <si>
    <t xml:space="preserve">Gebäudemanagement für Standorte KANN Zutritte per Video überwachen.</t>
  </si>
  <si>
    <t xml:space="preserve">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</si>
  <si>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 xml:space="preserve">Zutritte</t>
  </si>
  <si>
    <t xml:space="preserve">G 0.44 – Unbefugtes Eindringen in Räumlichkeiten; G 0.16 – Diebstahl von Geräten, Datenträgern oder Dokumenten; G 0.24 – Zerstörung von Geräten oder Datenträgern</t>
  </si>
  <si>
    <t xml:space="preserve">GEB.3.1.2</t>
  </si>
  <si>
    <t xml:space="preserve">Gebäudemanagement für Standorte KANN das Mitführen von Gegenständen überwachen.</t>
  </si>
  <si>
    <t xml:space="preserve">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</si>
  <si>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 xml:space="preserve">das Mitführen von Gegenständen</t>
  </si>
  <si>
    <t xml:space="preserve">GEB.3.2</t>
  </si>
  <si>
    <t xml:space="preserve">Anmelde- und Empfangsbereiche</t>
  </si>
  <si>
    <t xml:space="preserve">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</si>
  <si>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 xml:space="preserve">Gebäudemanagement für Standorte SOLLTE Anmelde- und Empfangsbereiche installieren.</t>
  </si>
  <si>
    <t xml:space="preserve">GEB.3.3</t>
  </si>
  <si>
    <t xml:space="preserve">Authentifizierung vor Zutritt</t>
  </si>
  <si>
    <t xml:space="preserve">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</si>
  <si>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Gebäudemanagement für Standorte SOLLTE Zutritte im Einklang mit den Festlegungen des Identitäts- und Berechtigungsmanagements authentifizieren.</t>
  </si>
  <si>
    <t xml:space="preserve">GEB.3.3.1</t>
  </si>
  <si>
    <t xml:space="preserve">Gebäudemanagement für Standorte KANN Zutritte durch einen automatiserten Mechanismus im Einklang mit den Festlegungen des Identitäts- und Berechtigungsmanagements authentifizieren.</t>
  </si>
  <si>
    <t xml:space="preserve">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</si>
  <si>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Zutritte durch {{einen automatiserten Mechanismus}}</t>
  </si>
  <si>
    <t xml:space="preserve">GEB.3.3.2</t>
  </si>
  <si>
    <t xml:space="preserve">Gebäudemanagement für Standorte KANN Zutritte und Austritte mit Identität und Zeitpunkt dokumentieren.</t>
  </si>
  <si>
    <t xml:space="preserve">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</si>
  <si>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 xml:space="preserve">Zutritte und Austritte</t>
  </si>
  <si>
    <t xml:space="preserve">GEB.3.3.3</t>
  </si>
  <si>
    <t xml:space="preserve">Gebäudemanagement für Standorte SOLLTE Besuche durch eine zuständige Person oder Rolle autorisieren.</t>
  </si>
  <si>
    <t xml:space="preserve">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</si>
  <si>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 xml:space="preserve">Besuche</t>
  </si>
  <si>
    <t xml:space="preserve">GEB.3.4</t>
  </si>
  <si>
    <t xml:space="preserve">Berechtigungsmarkierung</t>
  </si>
  <si>
    <t xml:space="preserve">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</si>
  <si>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 xml:space="preserve">Nutzende, Standorte</t>
  </si>
  <si>
    <t xml:space="preserve">zum Tragen von gut sichtbaren Berechtigungsmarkierungen innerhalb des Sicherheitsperimeters</t>
  </si>
  <si>
    <t xml:space="preserve">Gebäudemanagement für Nutzende von Standorten KANN zum Tragen von gut sichtbaren Berechtigungsmarkierungen innerhalb des Sicherheitsperimeters anweisen.</t>
  </si>
  <si>
    <t xml:space="preserve">GEB.3.5</t>
  </si>
  <si>
    <t xml:space="preserve">Einbruchhemmung</t>
  </si>
  <si>
    <t xml:space="preserve">INF.10.A1-UA.1</t>
  </si>
  <si>
    <t xml:space="preserve">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</si>
  <si>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 xml:space="preserve">einbruchhemmende Bauteile</t>
  </si>
  <si>
    <t xml:space="preserve">Gebäudemanagement für Standorte KANN einbruchhemmende Bauteile nach einer entsprechenden Norm installieren.</t>
  </si>
  <si>
    <t xml:space="preserve">GEB.3.6</t>
  </si>
  <si>
    <t xml:space="preserve">Einbruchmeldeanlagen</t>
  </si>
  <si>
    <t xml:space="preserve">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</si>
  <si>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 xml:space="preserve">Einbrüche</t>
  </si>
  <si>
    <t xml:space="preserve">Gebäudemanagement für Standorte KANN Einbrüche nach einer entsprechenden Norm überwachen.</t>
  </si>
  <si>
    <t xml:space="preserve">GEB.3.7</t>
  </si>
  <si>
    <t xml:space="preserve">Kontrolle der Zutrittskontrolle</t>
  </si>
  <si>
    <t xml:space="preserve">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</si>
  <si>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 xml:space="preserve">die angewendeten Zutrittskontrollmaßnahmen</t>
  </si>
  <si>
    <t xml:space="preserve">Gebäudemanagement für Standorte SOLLTE die angewendeten Zutrittskontrollmaßnahmen regelmäßig überprüfen.</t>
  </si>
  <si>
    <t xml:space="preserve">GEB.4.1</t>
  </si>
  <si>
    <t xml:space="preserve">Einrichtung</t>
  </si>
  <si>
    <t xml:space="preserve">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</si>
  <si>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 xml:space="preserve">geschlossene Sicherheitsbereiche</t>
  </si>
  <si>
    <t xml:space="preserve">Gebäudemanagement für Standorte KANN geschlossene Sicherheitsbereiche installieren.</t>
  </si>
  <si>
    <t xml:space="preserve">GEB.4.2</t>
  </si>
  <si>
    <t xml:space="preserve">Gesonderte Autorisierung</t>
  </si>
  <si>
    <t xml:space="preserve">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</si>
  <si>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 xml:space="preserve">die Zutrittsberechtigung zu diesem Sicherheitsbereich</t>
  </si>
  <si>
    <t xml:space="preserve">G 0.44 – Unbefugtes Eindringen in Räumlichkeiten; G 0.16 – Diebstahl von Geräten, Datenträgern oder Dokumenten; G 0.24 – Zerstörung von Geräten oder Datenträgern; G 0.32 – Missbrauch von Berechtigungen</t>
  </si>
  <si>
    <t xml:space="preserve">Gebäudemanagement für Standorte KANN die Zutrittsberechtigung zu diesem Sicherheitsbereich durch eine zuständige Person oder Rolle autorisieren.</t>
  </si>
  <si>
    <t xml:space="preserve">GEB.4.3</t>
  </si>
  <si>
    <t xml:space="preserve">Schleusen</t>
  </si>
  <si>
    <t xml:space="preserve">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</si>
  <si>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 xml:space="preserve">Schleusen an Zugangspunkten</t>
  </si>
  <si>
    <t xml:space="preserve">Gebäudemanagement für Standorte KANN Schleusen an Zugangspunkten installieren.</t>
  </si>
  <si>
    <t xml:space="preserve">GEB.4.4</t>
  </si>
  <si>
    <t xml:space="preserve">Vereinzelungsanlage</t>
  </si>
  <si>
    <t xml:space="preserve">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</si>
  <si>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 xml:space="preserve">Vereinzelungsanlagen an Zugangspunkten</t>
  </si>
  <si>
    <t xml:space="preserve">Gebäudemanagement für Standorte KANN Vereinzelungsanlagen an Zugangspunkten installieren.</t>
  </si>
  <si>
    <t xml:space="preserve">GEB.5.1</t>
  </si>
  <si>
    <t xml:space="preserve">Lieferzugang</t>
  </si>
  <si>
    <t xml:space="preserve">INF.8.A1-UA.3</t>
  </si>
  <si>
    <t xml:space="preserve">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</si>
  <si>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 xml:space="preserve">einen Zugang für die Abwicklung von Lieferungen</t>
  </si>
  <si>
    <t xml:space="preserve">G 0.44 – Unbefugtes Eindringen in Räumlichkeiten; G 0.19 – Offenlegung schützenswerter Informationen; G 0.21 – Manipulation von Hard- oder Software</t>
  </si>
  <si>
    <t xml:space="preserve">Gebäudemanagement für Standorte SOLLTE einen Zugang für die Abwicklung von Lieferungen ohne unbefugten Zugang zum restlichen Standort installieren.</t>
  </si>
  <si>
    <t xml:space="preserve">GEB.5.2</t>
  </si>
  <si>
    <t xml:space="preserve">Schutz gegen Manipulation</t>
  </si>
  <si>
    <t xml:space="preserve">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</si>
  <si>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 xml:space="preserve">Manipulationsschutzvorkehrungen</t>
  </si>
  <si>
    <t xml:space="preserve">Gebäudemanagement für IT-Systeme KANN Manipulationsschutzvorkehrungen installieren.</t>
  </si>
  <si>
    <t xml:space="preserve">GEB.5.3</t>
  </si>
  <si>
    <t xml:space="preserve">Physische Mikrosegmentierung</t>
  </si>
  <si>
    <t xml:space="preserve">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</si>
  <si>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 xml:space="preserve">eine physische Mikrosegmentierung</t>
  </si>
  <si>
    <t xml:space="preserve">G 0.44 – Unbefugtes Eindringen in Räumlichkeiten; G 0.21 – Manipulation von Hard- oder Software</t>
  </si>
  <si>
    <t xml:space="preserve">Gebäudemanagement für IT-Systeme KANN eine physische Mikrosegmentierung installieren.</t>
  </si>
  <si>
    <t xml:space="preserve">GEB.6.1</t>
  </si>
  <si>
    <t xml:space="preserve">Zugang zu Ausgabesystemen</t>
  </si>
  <si>
    <t xml:space="preserve">Ausgabesysteme sind z.B. Monitore oder Drucker. Nicht-öffentlich sind diese, wenn darauf schützenswerte Inhalte ausgegeben werden, z.B. Arbeitsplätze von internen Sachbearbeitern, Netzdrucker der Personalabteilung.</t>
  </si>
  <si>
    <t xml:space="preserve">den Zugang zu nicht-öffentlichen Ausgabesystemen</t>
  </si>
  <si>
    <t xml:space="preserve">Gebäudemanagement für IT-Systeme SOLLTE den Zugang zu nicht-öffentlichen Ausgabesystemen einschränken.</t>
  </si>
  <si>
    <t xml:space="preserve">GEB.6.2</t>
  </si>
  <si>
    <t xml:space="preserve">Geschützte Aufstellung</t>
  </si>
  <si>
    <t xml:space="preserve">„Unbefugter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</si>
  <si>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 xml:space="preserve">diese geschützt vor dem Zugriff von Unbefugten</t>
  </si>
  <si>
    <t xml:space="preserve">Gebäudemanagement für IT-Systeme SOLLTE diese geschützt vor dem Zugriff von Unbefugten platzieren.</t>
  </si>
  <si>
    <t xml:space="preserve">GEB.6.2.1</t>
  </si>
  <si>
    <t xml:space="preserve">Gebäudemanagement für Hostsysteme SOLLTE diese ausschließlich in Serverräumen platzieren.</t>
  </si>
  <si>
    <t xml:space="preserve">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</si>
  <si>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 xml:space="preserve">diese ausschließlich in Serverräumen</t>
  </si>
  <si>
    <t xml:space="preserve">GEB.6.3</t>
  </si>
  <si>
    <t xml:space="preserve">Netzkomponenten</t>
  </si>
  <si>
    <t xml:space="preserve">„Für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</si>
  <si>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 xml:space="preserve">für die Funktionsfähigkeit des Netzes erforderliche Systeme ausschließlich in Räumen für technische Infrastruktur</t>
  </si>
  <si>
    <t xml:space="preserve">Gebäudemanagement für Netze SOLLTE für die Funktionsfähigkeit des Netzes erforderliche Systeme ausschließlich in Räumen für technische Infrastruktur platzieren.</t>
  </si>
  <si>
    <t xml:space="preserve">GEB.6.4</t>
  </si>
  <si>
    <t xml:space="preserve">Normgerechte Rechenzentren</t>
  </si>
  <si>
    <t xml:space="preserve">INF.2.A1-UA.1</t>
  </si>
  <si>
    <t xml:space="preserve">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</si>
  <si>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 xml:space="preserve">Serverräume</t>
  </si>
  <si>
    <t xml:space="preserve">diese ausschließlich in Rechenzentren</t>
  </si>
  <si>
    <t xml:space="preserve">G 0.2 – Ungünstige klimatische Bedingungen; G 0.1 – Feuer</t>
  </si>
  <si>
    <t xml:space="preserve">Gebäudemanagement für Serverräume KANN diese ausschließlich in Rechenzentren nach einer anerkannten Norm platzieren.</t>
  </si>
  <si>
    <t xml:space="preserve">GEB.7.1</t>
  </si>
  <si>
    <t xml:space="preserve">Schlüsselbeauftragte</t>
  </si>
  <si>
    <t xml:space="preserve">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</si>
  <si>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 xml:space="preserve">die Verwaltung von Schlüsseln</t>
  </si>
  <si>
    <t xml:space="preserve">Gebäudemanagement für Standorte SOLLTE die Verwaltung von Schlüsseln zuständigen Personen oder Rollen zuweisen.</t>
  </si>
  <si>
    <t xml:space="preserve">GEB.7.2</t>
  </si>
  <si>
    <t xml:space="preserve">Verwahrung von Schlüsseln</t>
  </si>
  <si>
    <t xml:space="preserve">Eine Verwahrung ist eine Aufbewahrung von Zugangssschlüsseln derart, dass Unbefugte keinen Zugriff hierauf haben. Dies kann durch das Mitführen der Schlüssel, oder durch eine verschlossene Aufbewahrung, z.B. in einem Schlüsselschrank, umgesetzt werden.</t>
  </si>
  <si>
    <t xml:space="preserve">zur Verwahrung von Schlüsseln</t>
  </si>
  <si>
    <t xml:space="preserve">Gebäudemanagement für Nutzende von Standorten SOLLTE zur Verwahrung von Schlüsseln anweisen.</t>
  </si>
  <si>
    <t xml:space="preserve">GEB.7.3</t>
  </si>
  <si>
    <t xml:space="preserve">Schlüsselaudit</t>
  </si>
  <si>
    <t xml:space="preserve">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</si>
  <si>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 xml:space="preserve">die vorhandenen Schlüssel</t>
  </si>
  <si>
    <t xml:space="preserve">Gebäudemanagement für Standorte SOLLTE die vorhandenen Schlüssel regelmäßig überprüfen.</t>
  </si>
  <si>
    <t xml:space="preserve">GEB.8.1</t>
  </si>
  <si>
    <t xml:space="preserve">Gesonderte Aufbewahrung</t>
  </si>
  <si>
    <t xml:space="preserve">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</si>
  <si>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 xml:space="preserve">geschäftskritische Speichermedien in verschließbaren Schutzeinrichtungen</t>
  </si>
  <si>
    <t xml:space="preserve">G 0.16 – Diebstahl von Geräten, Datenträgern oder Dokumenten</t>
  </si>
  <si>
    <t xml:space="preserve">Gebäudemanagement für Standorte SOLLTE geschäftskritische Speichermedien in verschließbaren Schutzeinrichtungen platzieren.</t>
  </si>
  <si>
    <t xml:space="preserve">GEB.8.1.1</t>
  </si>
  <si>
    <t xml:space="preserve">Gebäudemanagement für Standorte KANN geschäftskritische Speichermedien in Datenträgerarchiven platzieren.</t>
  </si>
  <si>
    <t xml:space="preserve">Geschäftskritische Datenträger lagern in gesicherten, klimatisierten Archiven mit Zugriffskontrolle, Brandschutz und nachvollziehbarer Aus-/Rückgabedokumentation.</t>
  </si>
  <si>
    <t xml:space="preserve">geschäftskritische Speichermedien in Datenträgerarchiven</t>
  </si>
  <si>
    <t xml:space="preserve">GEB.8.2</t>
  </si>
  <si>
    <t xml:space="preserve">Staub und Schmutz</t>
  </si>
  <si>
    <t xml:space="preserve">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</si>
  <si>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 xml:space="preserve">Datenträgerarchiv</t>
  </si>
  <si>
    <t xml:space="preserve">Maßnahmen zum Schutz der Datenträger vor Staub und Schmutz</t>
  </si>
  <si>
    <t xml:space="preserve">G 0.2 – Ungünstige klimatische Bedingungen; G 0.4 – Verschmutzung, Staub, Korrosion</t>
  </si>
  <si>
    <t xml:space="preserve">Gebäudemanagement für Datenträgerarchiv KANN Maßnahmen zum Schutz der Datenträger vor Staub und Schmutz verankern.</t>
  </si>
  <si>
    <t xml:space="preserve">GEB.8.3</t>
  </si>
  <si>
    <t xml:space="preserve">Schutz der Datenträger vor Brandschäden</t>
  </si>
  <si>
    <t xml:space="preserve">Datenträgerarchive sind bei Bränden besonders schützenswert, da hier häufig die langzeitig kritischen Daten gelagert werden. Kann durch Brandschutzschränke oder Datensafes umgesetzt werden, die nach DIN EN 1047-1 oder ISO 11799 zertifiziert sind.</t>
  </si>
  <si>
    <t xml:space="preserve">feuerfeste Behältnisse</t>
  </si>
  <si>
    <t xml:space="preserve">Gebäudemanagement für Standorte KANN feuerfeste Behältnisse nach einem anerkannten Standard installieren.</t>
  </si>
  <si>
    <t xml:space="preserve">GEB.8.4</t>
  </si>
  <si>
    <t xml:space="preserve">Überwachung schonender Klimatisierung</t>
  </si>
  <si>
    <t xml:space="preserve">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</si>
  <si>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 xml:space="preserve">für die Datenträger schonende Temperatur und Luftfeuchtigkeit</t>
  </si>
  <si>
    <t xml:space="preserve">G 0.2 – Ungünstige klimatische Bedingungen</t>
  </si>
  <si>
    <t xml:space="preserve">Gebäudemanagement für Datenträgerarchiv KANN für die Datenträger schonende Temperatur und Luftfeuchtigkeit anhand von Schwellwerten überwachen.</t>
  </si>
  <si>
    <t xml:space="preserve">GEB.9.1</t>
  </si>
  <si>
    <t xml:space="preserve">Normgerechte Stromversorgung</t>
  </si>
  <si>
    <t xml:space="preserve">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</si>
  <si>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 xml:space="preserve">eine norm- und bedarfsgerechte Stromversorgung und -verkabelung</t>
  </si>
  <si>
    <t xml:space="preserve">G 0.25 – Ausfall von Geräten oder Systemen; G 0.8 – Ausfall oder Störung der Stromversorgung; G 0.10 – Ausfall oder Störung von Versorgungsnetzen</t>
  </si>
  <si>
    <t xml:space="preserve">Gebäudemanagement für Standorte SOLLTE eine norm- und bedarfsgerechte Stromversorgung und -verkabelung installieren.</t>
  </si>
  <si>
    <t xml:space="preserve">GEB.9.1.1</t>
  </si>
  <si>
    <t xml:space="preserve">Gebäudemanagement für Standorte KANN die bedarfsgerechte Stromversorgung regelmäßig vorausschauend überprüfen.</t>
  </si>
  <si>
    <t xml:space="preserve">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</si>
  <si>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 xml:space="preserve">die bedarfsgerechte Stromversorgung</t>
  </si>
  <si>
    <t xml:space="preserve">GEB.9.1.2</t>
  </si>
  <si>
    <t xml:space="preserve">Gebäudemanagement für Standorte KANN eine ausschließlich für diesen Standort bestimmte Elektrounterverteilung die direkt von der Niederspannungshauptverteilung (NSHV) versorgt wird installieren.</t>
  </si>
  <si>
    <t xml:space="preserve">Eine eigene, direkt aus der NSHV gespeiste Unterverteilung trennt kritische Abgänge (IT/USV/Kälte), stellt Selektivität und eindeutige Kennzeichnung sicher, ermöglicht Zustandsüberwachung und hält Ausbaureserven vor.</t>
  </si>
  <si>
    <t xml:space="preserve">eine ausschließlich für diesen Standort bestimmte Elektrounterverteilung</t>
  </si>
  <si>
    <t xml:space="preserve">GEB.9.1.3</t>
  </si>
  <si>
    <t xml:space="preserve">Gebäudemanagement für Standorte KANN eine redundante Stromversorgung für eine Stützzeit installieren.</t>
  </si>
  <si>
    <t xml:space="preserve">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</si>
  <si>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 xml:space="preserve">eine redundante Stromversorgung</t>
  </si>
  <si>
    <t xml:space="preserve">G 0.8 – Ausfall oder Störung der Stromversorgung; G 0.25 – Ausfall von Geräten oder Systemen; G 0.10 – Ausfall oder Störung von Versorgungsnetzen</t>
  </si>
  <si>
    <t xml:space="preserve">GEB.9.1.4</t>
  </si>
  <si>
    <t xml:space="preserve">Gebäudemanagement für Standorte KANN eine redundante Stromversorgung für eine längere Stützzeit installieren.</t>
  </si>
  <si>
    <t xml:space="preserve">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</si>
  <si>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 xml:space="preserve">GEB.9.2</t>
  </si>
  <si>
    <t xml:space="preserve">Lasttest</t>
  </si>
  <si>
    <t xml:space="preserve">Die Maßnahmen richten sich nach den geltenden Anforderungen an die Stromversorgung. Beispiele sind ein monatlicher USV-Selbsttest oder ein halbjährlicher Volllastbetrieb des Generators für mindestens 30 Minuten.</t>
  </si>
  <si>
    <t xml:space="preserve">die Belastbarkeit der Stromversorgung</t>
  </si>
  <si>
    <t xml:space="preserve">Gebäudemanagement für Standorte KANN die Belastbarkeit der Stromversorgung regelmäßig überprüfen.</t>
  </si>
  <si>
    <t xml:space="preserve">GEB.9.3</t>
  </si>
  <si>
    <t xml:space="preserve">Notaus</t>
  </si>
  <si>
    <t xml:space="preserve">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</si>
  <si>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 xml:space="preserve">eine Notausschaltung für die Versorgungseinrichtungen</t>
  </si>
  <si>
    <t xml:space="preserve">G 0.1 – Feuer; G 0.8 – Ausfall oder Störung der Stromversorgung; G 0.10 – Ausfall oder Störung von Versorgungsnetzen; G 0.25 – Ausfall von Geräten oder Systemen</t>
  </si>
  <si>
    <t xml:space="preserve">Gebäudemanagement für Standorte KANN eine Notausschaltung für die Versorgungseinrichtungen installieren.</t>
  </si>
  <si>
    <t xml:space="preserve">GEB.9.4</t>
  </si>
  <si>
    <t xml:space="preserve">Überspannungsschutz</t>
  </si>
  <si>
    <t xml:space="preserve">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</si>
  <si>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 xml:space="preserve">Überspannungsschutzeinrichtungen</t>
  </si>
  <si>
    <t xml:space="preserve">Gebäudemanagement für Standorte KANN Überspannungsschutzeinrichtungen installieren.</t>
  </si>
  <si>
    <t xml:space="preserve">GEB.9.5</t>
  </si>
  <si>
    <t xml:space="preserve">Strukturierte Datenverkabelung</t>
  </si>
  <si>
    <t xml:space="preserve">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</si>
  <si>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 xml:space="preserve">eine norm- und bedarfsgerechte Datenverkabelung</t>
  </si>
  <si>
    <t xml:space="preserve">Gebäudemanagement für Standorte SOLLTE eine norm- und bedarfsgerechte Datenverkabelung installieren.</t>
  </si>
  <si>
    <t xml:space="preserve">GEB.9.5.1</t>
  </si>
  <si>
    <t xml:space="preserve">Gebäudemanagement für Standorte SOLLTE eine geschützte Kabelverlegung installieren.</t>
  </si>
  <si>
    <t xml:space="preserve">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</si>
  <si>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 xml:space="preserve">eine geschützte Kabelverlegung</t>
  </si>
  <si>
    <t xml:space="preserve">GEB.9.6</t>
  </si>
  <si>
    <t xml:space="preserve">Zugang zu Räumen für technische Infrastruktur</t>
  </si>
  <si>
    <t xml:space="preserve">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</si>
  <si>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 xml:space="preserve">Räume für technische Infrastruktur</t>
  </si>
  <si>
    <t xml:space="preserve">den Zugang zu Räumen für technische Infrastruktur</t>
  </si>
  <si>
    <t xml:space="preserve">Gebäudemanagement für Räume für technische Infrastruktur SOLLTE den Zugang zu Räumen für technische Infrastruktur auf für den Betrieb zuständige Personen oder Rollen einschränken.</t>
  </si>
  <si>
    <t xml:space="preserve">GEB.9.7</t>
  </si>
  <si>
    <t xml:space="preserve">Zweckentfremdung</t>
  </si>
  <si>
    <t xml:space="preserve">Werden Räume für technische Infrastruktur zu weiteren Zwecken, z.B. als Arbeitsplatz, Durchgangsraum oder Abstellraum genutzt, so erhöht dies das Risiko versehentlicher Schäden oder des Zugriffs Unbefugter auf die Infrastruktur.</t>
  </si>
  <si>
    <t xml:space="preserve">die Verwendung der Räume zu anderen Zwecken</t>
  </si>
  <si>
    <t xml:space="preserve">Gebäudemanagement für Räume für technische Infrastruktur SOLLTE die Verwendung der Räume zu anderen Zwecken untersagen.</t>
  </si>
  <si>
    <t xml:space="preserve">GEB.10.1</t>
  </si>
  <si>
    <t xml:space="preserve">Klimatisierung</t>
  </si>
  <si>
    <t xml:space="preserve">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</si>
  <si>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 xml:space="preserve">eine ausreichende Klimatisierung von Räumlichkeiten</t>
  </si>
  <si>
    <t xml:space="preserve">Gebäudemanagement für Standorte SOLLTE eine ausreichende Klimatisierung von Räumlichkeiten anhand von Schwellwerten installieren.</t>
  </si>
  <si>
    <t xml:space="preserve">GEB.10.1.1</t>
  </si>
  <si>
    <t xml:space="preserve">Gebäudemanagement für Serverräume KANN den Klimatisierungsbedarf anhand einer Luftstrom-Analyse regelmäßig überprüfen.</t>
  </si>
  <si>
    <t xml:space="preserve">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</si>
  <si>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 xml:space="preserve">den Klimatisierungsbedarf anhand einer Luftstrom-Analyse</t>
  </si>
  <si>
    <t xml:space="preserve">GEB.10.1.2</t>
  </si>
  <si>
    <t xml:space="preserve">Gebäudemanagement für Serverräume SOLLTE Lufttemperatur und Luftfeuchtigkeit anhand von Schwellwerten überwachen.</t>
  </si>
  <si>
    <t xml:space="preserve">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</si>
  <si>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 xml:space="preserve">Lufttemperatur und Luftfeuchtigkeit</t>
  </si>
  <si>
    <t xml:space="preserve">GEB.10.1.3</t>
  </si>
  <si>
    <t xml:space="preserve">Gebäudemanagement für Standorte KANN redundante Klimasysteme installieren.</t>
  </si>
  <si>
    <t xml:space="preserve">Redundant ist eine Klimatisierung, wenn alle zu ihrer Funktionsfähigkeit erforderlichen Komponenten und Anbindungen redundant sind, d.h. kein einzelner Fehlerpunkt zu einem Ausfall führen würde (Single Point of Failure).</t>
  </si>
  <si>
    <t xml:space="preserve">redundante Klimasysteme</t>
  </si>
  <si>
    <t xml:space="preserve">GEB.10.2</t>
  </si>
  <si>
    <t xml:space="preserve">Brandschutz</t>
  </si>
  <si>
    <t xml:space="preserve">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</si>
  <si>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 xml:space="preserve">Gebäudemanagement für Standorte SOLLTE Brandschutz nach den entsprechenden Normen verankern.</t>
  </si>
  <si>
    <t xml:space="preserve">GEB.10.2.1</t>
  </si>
  <si>
    <t xml:space="preserve">Gebäudemanagement für Räume SOLLTE bauliche Brandschutzeinrichtungen nach den entsprechenden Normen installieren.</t>
  </si>
  <si>
    <t xml:space="preserve">Relevant ist für das Brandverhalten von Bauprodukten und Bauarten die europäische Normenreihe DIN EN 13501 mit ihren sieben Klassen (A1, A2, B, C, D, E, F).</t>
  </si>
  <si>
    <t xml:space="preserve">bauliche Brandschutzeinrichtungen</t>
  </si>
  <si>
    <t xml:space="preserve">GEB.10.2.2</t>
  </si>
  <si>
    <t xml:space="preserve">Gebäudemanagement für Räume SOLLTE Brandabschnitte nach den entsprechenden Normen installieren.</t>
  </si>
  <si>
    <t xml:space="preserve">INF.2.A2-UA.3</t>
  </si>
  <si>
    <t xml:space="preserve">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</si>
  <si>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 xml:space="preserve">Brandabschnitte</t>
  </si>
  <si>
    <t xml:space="preserve">GEB.10.2.3</t>
  </si>
  <si>
    <t xml:space="preserve">Gebäudemanagement für Räume KANN alle raumbildende Teile rauchdicht installieren.</t>
  </si>
  <si>
    <t xml:space="preserve">Hierunter ist zu verstehen, dass alle raumbildenden Teile (Wände, Türen und falls benötigt Fenster) rauchdicht sind.</t>
  </si>
  <si>
    <t xml:space="preserve">alle raumbildende Teile rauchdicht</t>
  </si>
  <si>
    <t xml:space="preserve">GEB.10.2.4</t>
  </si>
  <si>
    <t xml:space="preserve">Gebäudemanagement für Räume KANN feuerfeste Materialen für alle raumbildenden Teile , sodass sie Feuern für eine bestimmte Frist standhalten, installieren.</t>
  </si>
  <si>
    <t xml:space="preserve">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</si>
  <si>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 xml:space="preserve">feuerfeste Materialen für alle raumbildenden Teile</t>
  </si>
  <si>
    <t xml:space="preserve">G 0.1 – Feuer</t>
  </si>
  <si>
    <t xml:space="preserve">GEB.10.2.5</t>
  </si>
  <si>
    <t xml:space="preserve">Gebäudemanagement für Standorte SOLLTE das Entstehen von Bränden überwachen.</t>
  </si>
  <si>
    <t xml:space="preserve">Die Umsetzung kann durch Brandmeldezentralen oder dezentrale Brandmeldealarmierung erfolgen, siehe DIN EN 54 und DIN VDE 0833-2.</t>
  </si>
  <si>
    <t xml:space="preserve">das Entstehen von Bränden</t>
  </si>
  <si>
    <t xml:space="preserve">GEB.10.2.6</t>
  </si>
  <si>
    <t xml:space="preserve">Gebäudemanagement für Serverräume KANN Brandunterdrückungssysteme installieren.</t>
  </si>
  <si>
    <t xml:space="preserve">Kann z.B. durch eine Anlage zur Sauerstoffreduktion unter 15 Volumenprozent umgesetzt werden, da Feuer sich so kaum entzünden kann. Siehe ISO 20338. Denken Sie dabei auch an den Schutz des Personals, siehe Arbeitstättenverordnung (ArbStättV).</t>
  </si>
  <si>
    <t xml:space="preserve">Brandunterdrückungssysteme</t>
  </si>
  <si>
    <t xml:space="preserve">GEB.10.2.7</t>
  </si>
  <si>
    <t xml:space="preserve">Gebäudemanagement für Standorte SOLLTE die Wirksamkeit der Brandschutzmaßnahmen regelmäßig überprüfen.</t>
  </si>
  <si>
    <t xml:space="preserve">Eine regelmäßige Überprüfung von Brandmeldeanlagen, Rauchmeldern und organisatorische Maßnahmen stellt sicher, dass diese weiterhin funktionieren. Hier besteht ein enger Zusammenhang zu Compliance-Verpflichtungen, die Brandschutzprüfungen fordern.</t>
  </si>
  <si>
    <t xml:space="preserve">die Wirksamkeit der Brandschutzmaßnahmen</t>
  </si>
  <si>
    <t xml:space="preserve">GEB.10.3</t>
  </si>
  <si>
    <t xml:space="preserve">Wasserschutz</t>
  </si>
  <si>
    <t xml:space="preserve">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</si>
  <si>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 xml:space="preserve">zwischen Assets und Witterungs- sowie Wassergefahrenstellen mindestens eine physische Schutzmaßnahme vor Wasser</t>
  </si>
  <si>
    <t xml:space="preserve">G 0.3 – Wasser</t>
  </si>
  <si>
    <t xml:space="preserve">Gebäudemanagement für Standorte SOLLTE zwischen Assets und Witterungs- sowie Wassergefahrenstellen mindestens eine physische Schutzmaßnahme vor Wasser nach den entsprechenden Normen installieren.</t>
  </si>
  <si>
    <t xml:space="preserve">GEB.10.3.1</t>
  </si>
  <si>
    <t xml:space="preserve">Gebäudemanagement für Standorte KANN zwischen Wassergefahrenstellen und Assets mindestens zwei bauliche Schutzmaßnahmen vor Wasser nach den entsprechenden Normen installieren.</t>
  </si>
  <si>
    <t xml:space="preserve">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</si>
  <si>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 xml:space="preserve">zwischen Wassergefahrenstellen und Assets mindestens zwei bauliche Schutzmaßnahmen vor Wasser</t>
  </si>
  <si>
    <t xml:space="preserve">GEB.10.3.2</t>
  </si>
  <si>
    <t xml:space="preserve">Gebäudemanagement für Standorte KANN Wassereinbrüche überwachen.</t>
  </si>
  <si>
    <t xml:space="preserve">Maßnahmen können z.B. Wassersensorstreifen unter Doppelböden sein, die SNMP-Traps an ein Building Management System (BMS) senden.</t>
  </si>
  <si>
    <t xml:space="preserve">Wassereinbrüche</t>
  </si>
  <si>
    <t xml:space="preserve">GEB.10.4</t>
  </si>
  <si>
    <t xml:space="preserve">Blitzschutzeinrichtungen</t>
  </si>
  <si>
    <t xml:space="preserve">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</si>
  <si>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 xml:space="preserve">Gebäudemanagement für Standorte SOLLTE Blitzschutzeinrichtungen nach einem anerkannten Standard installieren.</t>
  </si>
  <si>
    <t xml:space="preserve">GEB.10.4.1</t>
  </si>
  <si>
    <t xml:space="preserve">Gebäudemanagement für Standorte KANN Blitzschutzeinrichtungen regelmäßig auf Niederohmigkeit überprüfen.</t>
  </si>
  <si>
    <t xml:space="preserve">Eine niedrige Ohmzahl in Erdungs- und Potentialausgleichseinrichtungen gewährleistet, dass Blitzströme schnell und wirksam abgeleitet werden. Siehe DIN VDE 0100-443 u. -534. Beachten Sie dabei auch die Prüfpflicht aus der Betriebssicherheitsverordnung (BetrSichV).</t>
  </si>
  <si>
    <t xml:space="preserve">GEB.10.5</t>
  </si>
  <si>
    <t xml:space="preserve">Ableitfähiger Fußbodenbelag</t>
  </si>
  <si>
    <t xml:space="preserve">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</si>
  <si>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 xml:space="preserve">im Nahfeld von Systemen einen ableitfähigen Fußbodenbelag</t>
  </si>
  <si>
    <t xml:space="preserve">Gebäudemanagement für Räume für technische Infrastruktur KANN im Nahfeld von Systemen einen ableitfähigen Fußbodenbelag installieren.</t>
  </si>
  <si>
    <t xml:space="preserve">KONF.1.1</t>
  </si>
  <si>
    <t xml:space="preserve">NET.3.1.A1-UA.1</t>
  </si>
  <si>
    <t xml:space="preserve">Die Umsetzung kann in einem eigenen Prozess, oder integriert in andere Prozesse und Aufgaben erfolgen. Die bei der Festlegung des Verfahrens im Einzelnen zu berücksichtigenden Inhalte ergeben sich aus den Anforderungen dieser Praktik.</t>
  </si>
  <si>
    <t xml:space="preserve">Verfahren und Regelungen zum Konfigurationsmanagement</t>
  </si>
  <si>
    <t xml:space="preserve">KONF.1.1.1</t>
  </si>
  <si>
    <t xml:space="preserve">Konfiguration MUSS die Verfahren und Regelungen dokumentieren.</t>
  </si>
  <si>
    <t xml:space="preserve">KONF.1.1.2</t>
  </si>
  <si>
    <t xml:space="preserve">Konfiguration MUSS die mit den Verfahren und Regelungen verbundenen Aufgaben zuständigen Personen oder Rollen zuweisen.</t>
  </si>
  <si>
    <t xml:space="preserve">KONF.1.1.3</t>
  </si>
  <si>
    <t xml:space="preserve">Konfiguration MUSS die zuständigen Personen oder Rollen über die Verfahren und Regelungen informieren.</t>
  </si>
  <si>
    <t xml:space="preserve">Vertraulichkeit, Integrität, Verfügbarkeit</t>
  </si>
  <si>
    <t xml:space="preserve">KONF.1.2</t>
  </si>
  <si>
    <t xml:space="preserve">APP.4.3.A1-UA.6</t>
  </si>
  <si>
    <t xml:space="preserve">Konfiguration MUSS die Verfahren und Regelungen regelmäßig und anlassbezogen auf Aktualität überprüfen.</t>
  </si>
  <si>
    <t xml:space="preserve">KONF.1.3</t>
  </si>
  <si>
    <t xml:space="preserve">Management von Werkzeugen</t>
  </si>
  <si>
    <t xml:space="preserve">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</si>
  <si>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 xml:space="preserve">verwendete Konfigurationswerkzeuge</t>
  </si>
  <si>
    <t xml:space="preserve">G 0.18 – Fehlplanung oder fehlende Anpassung; G 0.20 – Informationen oder Produkte aus unzuverlässiger Quelle</t>
  </si>
  <si>
    <t xml:space="preserve">Konfiguration SOLLTE verwendete Konfigurationswerkzeuge einschließlich Verwendungszweck und Herkunft dokumentieren.</t>
  </si>
  <si>
    <t xml:space="preserve">KONF.1.4</t>
  </si>
  <si>
    <t xml:space="preserve">Einschränkung des Zugriffs auf Dokumentation</t>
  </si>
  <si>
    <t xml:space="preserve">„Dokumentierte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</si>
  <si>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 xml:space="preserve">den Zugriff auf dokumentierte Konfigurationen</t>
  </si>
  <si>
    <t xml:space="preserve">G 0.19 – Offenlegung schützenswerter Informationen; G 0.22 – Manipulation von Informationen; G 0.46 – Integritätsverlust schützenswerter Informationen</t>
  </si>
  <si>
    <t xml:space="preserve">Konfiguration SOLLTE den Zugriff auf dokumentierte Konfigurationen einschränken.</t>
  </si>
  <si>
    <t xml:space="preserve">KONF.1.5</t>
  </si>
  <si>
    <t xml:space="preserve">Verschlüsselung von Konfigurationsgeheimnissen</t>
  </si>
  <si>
    <t xml:space="preserve">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</si>
  <si>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 xml:space="preserve">Konfigurationsgeheimnisse</t>
  </si>
  <si>
    <t xml:space="preserve">Konfiguration SOLLTE Konfigurationsgeheimnisse verschlüsseln.</t>
  </si>
  <si>
    <t xml:space="preserve">KONF.2.1</t>
  </si>
  <si>
    <t xml:space="preserve">Grundkonfiguration für Systeme</t>
  </si>
  <si>
    <t xml:space="preserve">APP.3.2.A1-UA.1</t>
  </si>
  <si>
    <t xml:space="preserve">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</si>
  <si>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 xml:space="preserve">eine Grundkonfiguration</t>
  </si>
  <si>
    <t xml:space="preserve">Konfiguration für IT-Systeme SOLLTE eine Grundkonfiguration dokumentieren.</t>
  </si>
  <si>
    <t xml:space="preserve">KONF.2.1.1</t>
  </si>
  <si>
    <t xml:space="preserve">Konfiguration für IT-Systeme SOLLTE eine Versionierung vorheriger Konfigurationen verankern.</t>
  </si>
  <si>
    <t xml:space="preserve">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</si>
  <si>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 xml:space="preserve">eine Versionierung vorheriger Konfigurationen</t>
  </si>
  <si>
    <t xml:space="preserve">G 0.18 – Fehlplanung oder fehlende Anpassung; G 0.45 – Datenverlust</t>
  </si>
  <si>
    <t xml:space="preserve">KONF.2.2</t>
  </si>
  <si>
    <t xml:space="preserve">Kryptographische Verfahren in IT-Systemen</t>
  </si>
  <si>
    <t xml:space="preserve">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</si>
  <si>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 xml:space="preserve">kryptographische Verfahren</t>
  </si>
  <si>
    <t xml:space="preserve">Konfiguration für IT-Systeme SOLLTE kryptographische Verfahren nach anerkannten Standards im Einklang mit den zugehörigen Anforderungen zum Identitäts- und Berechtigungsmanagement aktivieren.</t>
  </si>
  <si>
    <t xml:space="preserve">KONF.2.3</t>
  </si>
  <si>
    <t xml:space="preserve">Änderung von Default-Zugangsdaten</t>
  </si>
  <si>
    <t xml:space="preserve">IND.2.1.A1-UA.1</t>
  </si>
  <si>
    <t xml:space="preserve">"Default-Zugangsdaten"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</si>
  <si>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 xml:space="preserve">die Änderung von Default-Zugangsdaten</t>
  </si>
  <si>
    <t xml:space="preserve">G 0.30 – Unberechtigte Nutzung oder Administration von Geräten und Systemen; G 0.23 – Unbefugtes Eindringen in IT-Systeme</t>
  </si>
  <si>
    <t xml:space="preserve">Konfiguration für IT-Systeme SOLLTE die Änderung von Default-Zugangsdaten ausführen.</t>
  </si>
  <si>
    <t xml:space="preserve">KONF.2.4</t>
  </si>
  <si>
    <t xml:space="preserve">Deaktivierung nicht benötigter Systemfunktionen</t>
  </si>
  <si>
    <t xml:space="preserve">APP.3.2.A1-UA.6; SYS.3.2.4.A2-UA.1</t>
  </si>
  <si>
    <t xml:space="preserve">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</si>
  <si>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 xml:space="preserve">nicht benötigte Systemfunktionen</t>
  </si>
  <si>
    <t xml:space="preserve">G 0.23 – Unbefugtes Eindringen in IT-Systeme; G 0.28 – Software-Schwachstellen oder -Fehler</t>
  </si>
  <si>
    <t xml:space="preserve">Konfiguration für IT-Systeme SOLLTE nicht benötigte Systemfunktionen deaktivieren.</t>
  </si>
  <si>
    <t xml:space="preserve">KONF.2.4.1</t>
  </si>
  <si>
    <t xml:space="preserve">Konfiguration für IT-Systeme SOLLTE nicht benötigte Zertifikate deaktivieren.</t>
  </si>
  <si>
    <t xml:space="preserve">Hierbei ist insbesondere an die vom Betriebssystem als vertrauenswürdig eingestuften Zertifizierungsstellen zu denken, wenn sie nicht länger benötigt werden. Verfügt das IT-System über keine Zertifikate, so ist die Anforderung entbehrlich.</t>
  </si>
  <si>
    <t xml:space="preserve">nicht benötigte Zertifikate</t>
  </si>
  <si>
    <t xml:space="preserve">KONF.2.4.2</t>
  </si>
  <si>
    <t xml:space="preserve">Konfiguration für IT-Systeme SOLLTE nicht benötigte Cloud-Anbindungen deaktivieren.</t>
  </si>
  <si>
    <t xml:space="preserve">APP.1.1.A12-UA.1</t>
  </si>
  <si>
    <t xml:space="preserve">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</si>
  <si>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 xml:space="preserve">nicht benötigte Cloud-Anbindungen</t>
  </si>
  <si>
    <t xml:space="preserve">G 0.19 – Offenlegung schützenswerter Informationen; G 0.23 – Unbefugtes Eindringen in IT-Systeme</t>
  </si>
  <si>
    <t xml:space="preserve">KONF.2.5</t>
  </si>
  <si>
    <t xml:space="preserve">Überprüfung der Konfiguration</t>
  </si>
  <si>
    <t xml:space="preserve">INF.13.A6-UA.4; OPS.1.1.1.A5-UA.6</t>
  </si>
  <si>
    <t xml:space="preserve">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</si>
  <si>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 xml:space="preserve">die Übereinstimmung der tatsächlichen Konfiguration mit dem Referenzzustand</t>
  </si>
  <si>
    <t xml:space="preserve">G 0.22 – Manipulation von Informationen; G 0.21 – Manipulation von Hard- oder Software; G 0.46 – Integritätsverlust schützenswerter Informationen; G 0.31 – Fehlerhafte Nutzung oder Administration von Geräten und Systemen</t>
  </si>
  <si>
    <t xml:space="preserve">Konfiguration für IT-Systeme SOLLTE die Übereinstimmung der tatsächlichen Konfiguration mit dem Referenzzustand regelmäßig überprüfen.</t>
  </si>
  <si>
    <t xml:space="preserve">KONF.2.5.1</t>
  </si>
  <si>
    <t xml:space="preserve">Konfiguration für IT-Systeme KANN die Überprüfung der Konfiguration durch einen automatisierten Mechanismus aktivieren.</t>
  </si>
  <si>
    <t xml:space="preserve">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</si>
  <si>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 xml:space="preserve">die Überprüfung der Konfiguration durch {{einen automatisierten Mechanismus}}</t>
  </si>
  <si>
    <t xml:space="preserve">G 0.31 – Fehlerhafte Nutzung oder Administration von Geräten und Systemen; G 0.23 – Unbefugtes Eindringen in IT-Systeme; G 0.21 – Manipulation von Hard- oder Software; G 0.22 – Manipulation von Informationen</t>
  </si>
  <si>
    <t xml:space="preserve">KONF.2.6</t>
  </si>
  <si>
    <t xml:space="preserve">Automatische Konfigurationsverwaltung</t>
  </si>
  <si>
    <t xml:space="preserve">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</si>
  <si>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 xml:space="preserve">Endgeräte</t>
  </si>
  <si>
    <t xml:space="preserve">die Verwaltung durch ein Mobile Device Management (MDM)</t>
  </si>
  <si>
    <t xml:space="preserve">G 0.31 – Fehlerhafte Nutzung oder Administration von Geräten und Systemen; G 0.30 – Unberechtigte Nutzung oder Administration von Geräten und Systemen; G 0.18 – Fehlplanung oder fehlende Anpassung</t>
  </si>
  <si>
    <t xml:space="preserve">Konfiguration für Endgeräte SOLLTE die Verwaltung durch ein Mobile Device Management (MDM) aktivieren.</t>
  </si>
  <si>
    <t xml:space="preserve">KONF.2.7</t>
  </si>
  <si>
    <t xml:space="preserve">Souveräne Werkzeuge</t>
  </si>
  <si>
    <t xml:space="preserve">„Souveräne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</si>
  <si>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 xml:space="preserve">G 0.11 – Ausfall oder Störung von Dienstleistern; G 0.18 – Fehlplanung oder fehlende Anpassung</t>
  </si>
  <si>
    <t xml:space="preserve">Konfiguration für IT-Systeme KANN Souveräne Werkzeuge installieren.</t>
  </si>
  <si>
    <t xml:space="preserve">KONF.2.8</t>
  </si>
  <si>
    <t xml:space="preserve">Alternative Administrationszugänge</t>
  </si>
  <si>
    <t xml:space="preserve">SYS.2.1.A36-UA.1</t>
  </si>
  <si>
    <t xml:space="preserve">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</si>
  <si>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 xml:space="preserve">alternative Administrationszugänge</t>
  </si>
  <si>
    <t xml:space="preserve">Konfiguration für IT-Systeme KANN alternative Administrationszugänge installieren.</t>
  </si>
  <si>
    <t xml:space="preserve">KONF.2.9</t>
  </si>
  <si>
    <t xml:space="preserve">Abgesicherter und authentisierter Bootprozess</t>
  </si>
  <si>
    <t xml:space="preserve">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</si>
  <si>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 xml:space="preserve">einen abgesicherten und authentisierten Bootprozess</t>
  </si>
  <si>
    <t xml:space="preserve">G 0.21 – Manipulation von Hard- oder Software; G 0.39 – Schadprogramme</t>
  </si>
  <si>
    <t xml:space="preserve">Konfiguration für IT-Systeme KANN einen abgesicherten und authentisierten Bootprozess aktivieren.</t>
  </si>
  <si>
    <t xml:space="preserve">KONF.3.1</t>
  </si>
  <si>
    <t xml:space="preserve">Kryptographischer Hardwarespeicher</t>
  </si>
  <si>
    <t xml:space="preserve">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</si>
  <si>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 xml:space="preserve">einen kryptographischen Hardwarespeicher</t>
  </si>
  <si>
    <t xml:space="preserve">G 0.19 – Offenlegung schützenswerter Informationen; G 0.21 – Manipulation von Hard- oder Software</t>
  </si>
  <si>
    <t xml:space="preserve">Konfiguration für IT-Systeme SOLLTE einen kryptographischen Hardwarespeicher aktivieren.</t>
  </si>
  <si>
    <t xml:space="preserve">KONF.3.2</t>
  </si>
  <si>
    <t xml:space="preserve">Speicherverschlüsselung</t>
  </si>
  <si>
    <t xml:space="preserve">APP.3.3.A12-UA.1</t>
  </si>
  <si>
    <t xml:space="preserve">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</si>
  <si>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 xml:space="preserve">integrierte Festspeichermedien</t>
  </si>
  <si>
    <t xml:space="preserve">G 0.19 – Offenlegung schützenswerter Informationen; G 0.14 – Ausspähen von Informationen (Spionage)</t>
  </si>
  <si>
    <t xml:space="preserve">Konfiguration für IT-Systeme SOLLTE integrierte Festspeichermedien verschlüsseln.</t>
  </si>
  <si>
    <t xml:space="preserve">KONF.3.3</t>
  </si>
  <si>
    <t xml:space="preserve">SIM-PIN</t>
  </si>
  <si>
    <t xml:space="preserve">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</si>
  <si>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 xml:space="preserve">bei Mobilfunkanschluss eine SIM-PIN</t>
  </si>
  <si>
    <t xml:space="preserve">G 0.30 – Unberechtigte Nutzung oder Administration von Geräten und Systemen; G 0.16 – Diebstahl von Geräten, Datenträgern oder Dokumenten; G 0.17 – Verlust von Geräten, Datenträgern oder Dokumenten</t>
  </si>
  <si>
    <t xml:space="preserve">Konfiguration für IT-Systeme SOLLTE bei Mobilfunkanschluss eine SIM-PIN aktivieren.</t>
  </si>
  <si>
    <t xml:space="preserve">KONF.3.4</t>
  </si>
  <si>
    <t xml:space="preserve">Physischer Diebstahlschutz</t>
  </si>
  <si>
    <t xml:space="preserve">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</si>
  <si>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 xml:space="preserve">einen physischen Diebstahlschutz</t>
  </si>
  <si>
    <t xml:space="preserve">Konfiguration für Endgeräte KANN einen physischen Diebstahlschutz installieren.</t>
  </si>
  <si>
    <t xml:space="preserve">KONF.3.5</t>
  </si>
  <si>
    <t xml:space="preserve">Standortbestimmung</t>
  </si>
  <si>
    <t xml:space="preserve">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</si>
  <si>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 xml:space="preserve">eine Funktion zur Bestimmung des Standortes aus der Ferne</t>
  </si>
  <si>
    <t xml:space="preserve">G 0.16 – Diebstahl von Geräten, Datenträgern oder Dokumenten; G 0.17 – Verlust von Geräten, Datenträgern oder Dokumenten</t>
  </si>
  <si>
    <t xml:space="preserve">Konfiguration für IT-Systeme KANN eine Funktion zur Bestimmung des Standortes aus der Ferne durch einen automatisierten Mechanismus aktivieren.</t>
  </si>
  <si>
    <t xml:space="preserve">KONF.3.6</t>
  </si>
  <si>
    <t xml:space="preserve">Fernlöschung oder -sperre</t>
  </si>
  <si>
    <t xml:space="preserve">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</si>
  <si>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 xml:space="preserve">eine Funktion zur Fernlöschung oder -sperre</t>
  </si>
  <si>
    <t xml:space="preserve">G 0.16 – Diebstahl von Geräten, Datenträgern oder Dokumenten; G 0.17 – Verlust von Geräten, Datenträgern oder Dokumenten; G 0.30 – Unberechtigte Nutzung oder Administration von Geräten und Systemen; G 0.19 – Offenlegung schützenswerter Informationen</t>
  </si>
  <si>
    <t xml:space="preserve">Konfiguration für Endgeräte KANN eine Funktion zur Fernlöschung oder -sperre aktivieren.</t>
  </si>
  <si>
    <t xml:space="preserve">KONF.3.6.1</t>
  </si>
  <si>
    <t xml:space="preserve">Konfiguration für Endgeräte KANN eine automatische Fernlöschung oder -sperre bei Inaktivität nach einer längeren Frist aktivieren.</t>
  </si>
  <si>
    <t xml:space="preserve">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</si>
  <si>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 xml:space="preserve">eine automatische Fernlöschung oder -sperre</t>
  </si>
  <si>
    <t xml:space="preserve">G 0.16 – Diebstahl von Geräten, Datenträgern oder Dokumenten; G 0.30 – Unberechtigte Nutzung oder Administration von Geräten und Systemen; G 0.19 – Offenlegung schützenswerter Informationen; G 0.17 – Verlust von Geräten, Datenträgern oder Dokumenten</t>
  </si>
  <si>
    <t xml:space="preserve">KONF.3.7</t>
  </si>
  <si>
    <t xml:space="preserve">Einschränkung angeschlossener Peripherie</t>
  </si>
  <si>
    <t xml:space="preserve">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</si>
  <si>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 xml:space="preserve">angeschlossene Peripherie</t>
  </si>
  <si>
    <t xml:space="preserve">G 0.23 – Unbefugtes Eindringen in IT-Systeme; G 0.39 – Schadprogramme; G 0.19 – Offenlegung schützenswerter Informationen</t>
  </si>
  <si>
    <t xml:space="preserve">Konfiguration für IT-Systeme SOLLTE angeschlossene Peripherie einschränken.</t>
  </si>
  <si>
    <t xml:space="preserve">KONF.3.8</t>
  </si>
  <si>
    <t xml:space="preserve">Einschränkung von Wechselmedien</t>
  </si>
  <si>
    <t xml:space="preserve">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</si>
  <si>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 xml:space="preserve">das automatische Einbinden von Wechselmedien</t>
  </si>
  <si>
    <t xml:space="preserve">Konfiguration für IT-Systeme SOLLTE das automatische Einbinden von Wechselmedien einschränken.</t>
  </si>
  <si>
    <t xml:space="preserve">KONF.4.1</t>
  </si>
  <si>
    <t xml:space="preserve">Anbindung an Verzeichnisdienst</t>
  </si>
  <si>
    <t xml:space="preserve">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</si>
  <si>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 xml:space="preserve">die Anbindung an einen Verzeichnisdienst</t>
  </si>
  <si>
    <t xml:space="preserve">Konfiguration für IT-Systeme SOLLTE die Anbindung an einen Verzeichnisdienst aktivieren.</t>
  </si>
  <si>
    <t xml:space="preserve">KONF.4.1.1</t>
  </si>
  <si>
    <t xml:space="preserve">Konfiguration für IT-Systeme SOLLTE die Weiterleitung mehrfach verwendbarer Anmeldeinformationen deaktivieren.</t>
  </si>
  <si>
    <t xml:space="preserve">„Weiterleitung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</si>
  <si>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 xml:space="preserve">die Weiterleitung mehrfach verwendbarer Anmeldeinformationen</t>
  </si>
  <si>
    <t xml:space="preserve">G 0.43 – Einspielen von Nachrichten; G 0.36 – Identitätsdiebstahl</t>
  </si>
  <si>
    <t xml:space="preserve">KONF.4.2</t>
  </si>
  <si>
    <t xml:space="preserve">DNS-Anbindung</t>
  </si>
  <si>
    <t xml:space="preserve">Autorisierte DNS-Server sind hier Resolving-Server, die von der Institution autorisiert wurden. Dies können entweder DNS-Server der Institution selbst oder externe DNS-Server zuverlässiger Anbieter sein.</t>
  </si>
  <si>
    <t xml:space="preserve">die vom System verwendeten DNS-Server</t>
  </si>
  <si>
    <t xml:space="preserve">G 0.22 – Manipulation von Informationen; G 0.43 – Einspielen von Nachrichten</t>
  </si>
  <si>
    <t xml:space="preserve">Konfiguration für IT-Systeme SOLLTE die vom System verwendeten DNS-Server autorisieren.</t>
  </si>
  <si>
    <t xml:space="preserve">KONF.4.2.1</t>
  </si>
  <si>
    <t xml:space="preserve">Konfiguration für IT-Systeme SOLLTE DNS-Verbindungen durch einen anerkannten kryptographischen Algorithmus verschlüsseln.</t>
  </si>
  <si>
    <t xml:space="preserve">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</si>
  <si>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 xml:space="preserve">DNS-Verbindungen</t>
  </si>
  <si>
    <t xml:space="preserve">G 0.22 – Manipulation von Informationen; G 0.19 – Offenlegung schützenswerter Informationen; G 0.15 – Abhören</t>
  </si>
  <si>
    <t xml:space="preserve">KONF.4.3</t>
  </si>
  <si>
    <t xml:space="preserve">Authentifizierung von Fernwartungsfunktionen</t>
  </si>
  <si>
    <t xml:space="preserve">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</si>
  <si>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Fernwartungsfunktionen</t>
  </si>
  <si>
    <t xml:space="preserve">G 0.23 – Unbefugtes Eindringen in IT-Systeme; G 0.30 – Unberechtigte Nutzung oder Administration von Geräten und Systemen</t>
  </si>
  <si>
    <t xml:space="preserve">Konfiguration für IT-Systeme SOLLTE Fernwartungsfunktionen im Einklang mit den zugehörigen Anforderungen zum Identitäts- und Berechtigungsmanagement authentifizieren.</t>
  </si>
  <si>
    <t xml:space="preserve">KONF.4.4</t>
  </si>
  <si>
    <t xml:space="preserve">Einschränkung von Fernwartungsfunktionen</t>
  </si>
  <si>
    <t xml:space="preserve">IND.2.4.A1-UA.5</t>
  </si>
  <si>
    <t xml:space="preserve">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</si>
  <si>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G 0.30 – Unberechtigte Nutzung oder Administration von Geräten und Systemen; G 0.32 – Missbrauch von Berechtigungen</t>
  </si>
  <si>
    <t xml:space="preserve">Konfiguration für IT-Systeme SOLLTE Fernwartungsfunktionen im Einklang mit den zugehörigen Anforderungen zum Identitäts- und Berechtigungsmanagement einschränken.</t>
  </si>
  <si>
    <t xml:space="preserve">KONF.4.5</t>
  </si>
  <si>
    <t xml:space="preserve">Zeitquellen</t>
  </si>
  <si>
    <t xml:space="preserve">OPS.1.2.6.A1-UA.5</t>
  </si>
  <si>
    <t xml:space="preserve">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</si>
  <si>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 xml:space="preserve">Konfiguration für IT-Systeme SOLLTE Zeitquellen autorisieren.</t>
  </si>
  <si>
    <t xml:space="preserve">KONF.5.1</t>
  </si>
  <si>
    <t xml:space="preserve">Authentifizierung am System</t>
  </si>
  <si>
    <t xml:space="preserve">SYS.2.1.A1-UA.1</t>
  </si>
  <si>
    <t xml:space="preserve">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</si>
  <si>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 xml:space="preserve">den Zugriff auf das System</t>
  </si>
  <si>
    <t xml:space="preserve">Konfiguration für IT-Systeme SOLLTE den Zugriff auf das System im Einklang mit den zugehörigen Anforderungen zum Identitäts- und Berechtigungsmanagement authentifizieren.</t>
  </si>
  <si>
    <t xml:space="preserve">KONF.5.1.1</t>
  </si>
  <si>
    <t xml:space="preserve">Konfiguration für IT-Systeme SOLLTE den Zugriff auf die Firmware im Einklang mit den zugehörigen Anforderungen zum Identitäts- und Berechtigungsmanagement authentifizieren.</t>
  </si>
  <si>
    <t xml:space="preserve">Vertraulichkeit, Integrität, Verfügbarkeit, Authentizität</t>
  </si>
  <si>
    <t xml:space="preserve">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</si>
  <si>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den Zugriff auf die Firmware</t>
  </si>
  <si>
    <t xml:space="preserve">G 0.30 – Unberechtigte Nutzung oder Administration von Geräten und Systemen; G 0.21 – Manipulation von Hard- oder Software</t>
  </si>
  <si>
    <t xml:space="preserve">KONF.5.1.2</t>
  </si>
  <si>
    <t xml:space="preserve">Konfiguration für Endgeräte KANN den Zugriff vor dem Start des Betriebssystems authentifizieren.</t>
  </si>
  <si>
    <t xml:space="preserve">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</si>
  <si>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 xml:space="preserve">den Zugriff vor dem Start des Betriebssystems</t>
  </si>
  <si>
    <t xml:space="preserve">G 0.30 – Unberechtigte Nutzung oder Administration von Geräten und Systemen; G 0.19 – Offenlegung schützenswerter Informationen</t>
  </si>
  <si>
    <t xml:space="preserve">KONF.5.2</t>
  </si>
  <si>
    <t xml:space="preserve">Keine Mehrfachanmeldung</t>
  </si>
  <si>
    <t xml:space="preserve">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</si>
  <si>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 xml:space="preserve">die gleichzeitige Anmeldung mehrerer Zugangskonten</t>
  </si>
  <si>
    <t xml:space="preserve">Konfiguration für IT-Systeme SOLLTE die gleichzeitige Anmeldung mehrerer Zugangskonten deaktivieren.</t>
  </si>
  <si>
    <t xml:space="preserve">KONF.6.1</t>
  </si>
  <si>
    <t xml:space="preserve">Minimal erforderliche Berechtigungen für Anwendungen</t>
  </si>
  <si>
    <t xml:space="preserve">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</si>
  <si>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 xml:space="preserve">erforderliche Berechtigungen für Anwendungen</t>
  </si>
  <si>
    <t xml:space="preserve">G 0.32 – Missbrauch von Berechtigungen; G 0.30 – Unberechtigte Nutzung oder Administration von Geräten und Systemen</t>
  </si>
  <si>
    <t xml:space="preserve">Konfiguration für IT-Systeme SOLLTE erforderliche Berechtigungen für Anwendungen einschränken.</t>
  </si>
  <si>
    <t xml:space="preserve">KONF.6.1.1</t>
  </si>
  <si>
    <t xml:space="preserve">Konfiguration für IT-Systeme KANN Datenkapselung aktivieren.</t>
  </si>
  <si>
    <t xml:space="preserve">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</si>
  <si>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 xml:space="preserve">Datenkapselung</t>
  </si>
  <si>
    <t xml:space="preserve">G 0.19 – Offenlegung schützenswerter Informationen; G 0.22 – Manipulation von Informationen</t>
  </si>
  <si>
    <t xml:space="preserve">KONF.6.1.2</t>
  </si>
  <si>
    <t xml:space="preserve">Konfiguration für IT-Systeme KANN die Isolierung von bestimmten Anwendungen aktivieren.</t>
  </si>
  <si>
    <t xml:space="preserve">APP.4.4.A15-UA.1</t>
  </si>
  <si>
    <t xml:space="preserve">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</si>
  <si>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 xml:space="preserve">die Isolierung</t>
  </si>
  <si>
    <t xml:space="preserve">KONF.6.1.3</t>
  </si>
  <si>
    <t xml:space="preserve">Konfiguration für Endgeräte KANN die Isolation verschiedener Arbeitsumgebungen für verschiedene Verwendungen aktivieren.</t>
  </si>
  <si>
    <t xml:space="preserve">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</si>
  <si>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 xml:space="preserve">die Isolation verschiedener Arbeitsumgebungen für verschiedene Verwendungen</t>
  </si>
  <si>
    <t xml:space="preserve">G 0.19 – Offenlegung schützenswerter Informationen; G 0.31 – Fehlerhafte Nutzung oder Administration von Geräten und Systemen</t>
  </si>
  <si>
    <t xml:space="preserve">KONF.6.2</t>
  </si>
  <si>
    <t xml:space="preserve">Gemeinsam genutzte Verzeichnisse</t>
  </si>
  <si>
    <t xml:space="preserve">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</si>
  <si>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 xml:space="preserve">Dateiserver</t>
  </si>
  <si>
    <t xml:space="preserve">die Zugriffsrechte gemeinsam verwendeter Verzeichnisse</t>
  </si>
  <si>
    <t xml:space="preserve">Konfiguration für Dateiserver SOLLTE die Zugriffsrechte gemeinsam verwendeter Verzeichnisse einschränken.</t>
  </si>
  <si>
    <t xml:space="preserve">KONF.6.3</t>
  </si>
  <si>
    <t xml:space="preserve">Kiosk-Modus</t>
  </si>
  <si>
    <t xml:space="preserve">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</si>
  <si>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 xml:space="preserve">das automatische Zurücksetzen auf einen definierten Zustand</t>
  </si>
  <si>
    <t xml:space="preserve">G 0.19 – Offenlegung schützenswerter Informationen; G 0.46 – Integritätsverlust schützenswerter Informationen</t>
  </si>
  <si>
    <t xml:space="preserve">Konfiguration für Endgeräte KANN das automatische Zurücksetzen auf einen definierten Zustand nach der Nutzung aktivieren.</t>
  </si>
  <si>
    <t xml:space="preserve">KONF.6.4</t>
  </si>
  <si>
    <t xml:space="preserve">Privilegierte Systemfunktionen</t>
  </si>
  <si>
    <t xml:space="preserve">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</si>
  <si>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 xml:space="preserve">privilegierte Funktionen</t>
  </si>
  <si>
    <t xml:space="preserve">Konfiguration für IT-Systeme SOLLTE privilegierte Funktionen einschränken.</t>
  </si>
  <si>
    <t xml:space="preserve">KONF.6.4.1</t>
  </si>
  <si>
    <t xml:space="preserve">Konfiguration für IT-Systeme KANN rollenbasiertes Berechtigungsmanagement aktivieren.</t>
  </si>
  <si>
    <t xml:space="preserve">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</si>
  <si>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 xml:space="preserve">rollenbasiertes Berechtigungsmanagement</t>
  </si>
  <si>
    <t xml:space="preserve">KONF.6.5</t>
  </si>
  <si>
    <t xml:space="preserve">Dynamische Zugriffskontrolle im System</t>
  </si>
  <si>
    <t xml:space="preserve">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</si>
  <si>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 xml:space="preserve">dynamische Zugriffskontrolle</t>
  </si>
  <si>
    <t xml:space="preserve">Konfiguration für IT-Systeme KANN dynamische Zugriffskontrolle im System aktivieren.</t>
  </si>
  <si>
    <t xml:space="preserve">KONF.6.6</t>
  </si>
  <si>
    <t xml:space="preserve">Getrennte Datenhaltung</t>
  </si>
  <si>
    <t xml:space="preserve">Dies kann je nach Anwendung z.B. durch eine in der Anwendung integrierte Rollen- und Rechteverwaltung, Zugriffsrechte auf Dateisystemebene oder durch die Verwendung unterschiedlicher Systeme oder Netze pro Zugang realisiert werden.</t>
  </si>
  <si>
    <t xml:space="preserve">Zugriffe eines Zugangskontos auf Daten anderer Zugangskonten</t>
  </si>
  <si>
    <t xml:space="preserve">Konfiguration für Anwendungen SOLLTE Zugriffe eines Zugangskontos auf Daten anderer Zugangskonten einschränken.</t>
  </si>
  <si>
    <t xml:space="preserve">KONF.6.6.1</t>
  </si>
  <si>
    <t xml:space="preserve">Konfiguration für Anwendungen SOLLTE wenn die Anwendung mehrere Mandaten bedient, für jeden Mandanten eine eigene Berechtigungskonfiguration aktivieren.</t>
  </si>
  <si>
    <t xml:space="preserve">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</si>
  <si>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 xml:space="preserve">wenn die Anwendung mehrere Mandaten bedient, für jeden Mandanten eine eigene Berechtigungskonfiguration</t>
  </si>
  <si>
    <t xml:space="preserve">KONF.6.7</t>
  </si>
  <si>
    <t xml:space="preserve">Privilegierte Funktionen der Anwendung</t>
  </si>
  <si>
    <t xml:space="preserve">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</si>
  <si>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 xml:space="preserve">Konfiguration für Anwendungen SOLLTE privilegierte Funktionen einschränken.</t>
  </si>
  <si>
    <t xml:space="preserve">KONF.6.8</t>
  </si>
  <si>
    <t xml:space="preserve">Berechtigungen des Webserver-Prozesses</t>
  </si>
  <si>
    <t xml:space="preserve">APP.3.2.A1-UA.1; APP.3.2.A1-UA.2; APP.3.2.A1-UA.5; APP.3.2.A2-UA.1; APP.3.2.A2-UA.3; SYS.4.4.A24-UA.2</t>
  </si>
  <si>
    <t xml:space="preserve">intersects-with; intersects-with; intersects-with; intersects-with; intersects-with; intersects-with</t>
  </si>
  <si>
    <t xml:space="preserve">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</si>
  <si>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 xml:space="preserve">die Berechtigungen des Webserver-Prozesses</t>
  </si>
  <si>
    <t xml:space="preserve">Konfiguration für Webserver SOLLTE die Berechtigungen des Webserver-Prozesses einschränken.</t>
  </si>
  <si>
    <t xml:space="preserve">KONF.6.9</t>
  </si>
  <si>
    <t xml:space="preserve">Zugriff auf Code</t>
  </si>
  <si>
    <t xml:space="preserve">APP.3.1.A14-UA.3; APP.3.2.A2-UA.1</t>
  </si>
  <si>
    <t xml:space="preserve">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</si>
  <si>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 xml:space="preserve">den Zugriff auf Quelldateien</t>
  </si>
  <si>
    <t xml:space="preserve">Konfiguration für Webserver SOLLTE den Zugriff auf Quelldateien einschränken.</t>
  </si>
  <si>
    <t xml:space="preserve">KONF.6.10</t>
  </si>
  <si>
    <t xml:space="preserve">Auflistung von Verzeichnisinhalten</t>
  </si>
  <si>
    <t xml:space="preserve">APP.3.2.A2-UA.2</t>
  </si>
  <si>
    <t xml:space="preserve">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</si>
  <si>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 xml:space="preserve">die Auflistung von Verzeichnisinhalten</t>
  </si>
  <si>
    <t xml:space="preserve">Konfiguration für Webserver SOLLTE die Auflistung von Verzeichnisinhalten einschränken.</t>
  </si>
  <si>
    <t xml:space="preserve">KONF.6.11</t>
  </si>
  <si>
    <t xml:space="preserve">Einschränkung von Uploads</t>
  </si>
  <si>
    <t xml:space="preserve">APP.3.1.A4-UA.1</t>
  </si>
  <si>
    <t xml:space="preserve">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</si>
  <si>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 xml:space="preserve">Uploads</t>
  </si>
  <si>
    <t xml:space="preserve">G 0.39 – Schadprogramme; G 0.40 – Verhinderung von Diensten (Denial of Service)</t>
  </si>
  <si>
    <t xml:space="preserve">Konfiguration für Webserver SOLLTE Uploads einschränken.</t>
  </si>
  <si>
    <t xml:space="preserve">KONF.6.12</t>
  </si>
  <si>
    <t xml:space="preserve">Konferenzmoderation</t>
  </si>
  <si>
    <t xml:space="preserve">Bei Konferenzen kann es vorkommen, dass ungewollt Teilnehmende zu hören sind. Dies kann versehentlich geschehen oder im Rahmen eines Angriffes.</t>
  </si>
  <si>
    <t xml:space="preserve">VK-Anwendungen</t>
  </si>
  <si>
    <t xml:space="preserve">bei öffentlichen Konferenzschaltungen eine Konferenzmoderation</t>
  </si>
  <si>
    <t xml:space="preserve">Konfiguration für VK-Anwendungen SOLLTE bei öffentlichen Konferenzschaltungen eine Konferenzmoderation aktivieren.</t>
  </si>
  <si>
    <t xml:space="preserve">KONF.6.13</t>
  </si>
  <si>
    <t xml:space="preserve">Dynamische Zugriffskontrolle in der Anwendung</t>
  </si>
  <si>
    <t xml:space="preserve">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</si>
  <si>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 xml:space="preserve">Konfiguration für Anwendungen KANN dynamische Zugriffskontrolle in der Anwendung aktivieren.</t>
  </si>
  <si>
    <t xml:space="preserve">KONF.6.14</t>
  </si>
  <si>
    <t xml:space="preserve">Browser Sandboxing</t>
  </si>
  <si>
    <t xml:space="preserve">APP.1.2.A1-UA.1; APP.1.2.A1-UA.2</t>
  </si>
  <si>
    <t xml:space="preserve">Sandboxing bedeutet, dass jede Instanz und jeder Verarbeitungsprozess nur auf die eigenen Ressourcen zugreifen kann. Die Isolation kann durch eigene Threads oder eigene Prozesse realisiert sein.</t>
  </si>
  <si>
    <t xml:space="preserve">Webbrowser</t>
  </si>
  <si>
    <t xml:space="preserve">Konfiguration für Webbrowser SOLLTE Browser Sandboxing aktivieren.</t>
  </si>
  <si>
    <t xml:space="preserve">KONF.6.15</t>
  </si>
  <si>
    <t xml:space="preserve">Virtualisierte Browser-Umgebung</t>
  </si>
  <si>
    <t xml:space="preserve">APP.1.2.A9-UA.1</t>
  </si>
  <si>
    <t xml:space="preserve">Eine Browser-Umgebung ist virtualisiert, wenn der Code des Browser nicht im Betriebssystem des Clients, sondern in einem dediziert hierzu virtualisierten Betriebssystem ausgeführt wird, z.B. ReCoBS.</t>
  </si>
  <si>
    <t xml:space="preserve">Konfiguration für Webbrowser KANN Virtualisierte Browser-Umgebung aktivieren.</t>
  </si>
  <si>
    <t xml:space="preserve">KONF.6.16</t>
  </si>
  <si>
    <t xml:space="preserve">Datenaustausch in der Virtualisierung</t>
  </si>
  <si>
    <t xml:space="preserve">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</si>
  <si>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 xml:space="preserve">den Datenaustausch zwischen virtualisierten Client</t>
  </si>
  <si>
    <t xml:space="preserve">Konfiguration für Virtualisierungslösungen KANN den Datenaustausch zwischen virtualisierten Client einschränken.</t>
  </si>
  <si>
    <t xml:space="preserve">KONF.7.1</t>
  </si>
  <si>
    <t xml:space="preserve">Echtzeitscanner</t>
  </si>
  <si>
    <t xml:space="preserve">APP.1.1.A3-UA.1; APP.1.1.A3-UA.4; APP.3.3.A14-UA.1</t>
  </si>
  <si>
    <t xml:space="preserve">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</si>
  <si>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 xml:space="preserve">eine automatische Prüfung auf Schadcode</t>
  </si>
  <si>
    <t xml:space="preserve">Konfiguration für IT-Systeme SOLLTE eine automatische Prüfung auf Schadcode bei Installation oder Öffnung von Dateien aktivieren.</t>
  </si>
  <si>
    <t xml:space="preserve">KONF.7.2</t>
  </si>
  <si>
    <t xml:space="preserve">Regelmäßige Scans</t>
  </si>
  <si>
    <t xml:space="preserve">einen regelmäßigen Scan von Dateien auf dem System nach potenziellem Schadcode</t>
  </si>
  <si>
    <t xml:space="preserve">Konfiguration für IT-Systeme SOLLTE einen regelmäßigen Scan von Dateien auf dem System nach potenziellem Schadcode aktivieren.</t>
  </si>
  <si>
    <t xml:space="preserve">KONF.7.3</t>
  </si>
  <si>
    <t xml:space="preserve">Host-basierte Angriffserkennung</t>
  </si>
  <si>
    <t xml:space="preserve">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</si>
  <si>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 xml:space="preserve">Konfiguration für IT-Systeme KANN Host-basierte Angriffserkennung aktivieren.</t>
  </si>
  <si>
    <t xml:space="preserve">KONF.7.4</t>
  </si>
  <si>
    <t xml:space="preserve">Angriffserkennung anhand von Netzverkehr</t>
  </si>
  <si>
    <t xml:space="preserve">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</si>
  <si>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 xml:space="preserve">Konfiguration für IT-Systeme KANN Angriffserkennung anhand von Netzverkehr aktivieren.</t>
  </si>
  <si>
    <t xml:space="preserve">KONF.7.5</t>
  </si>
  <si>
    <t xml:space="preserve">Alarmierung</t>
  </si>
  <si>
    <t xml:space="preserve">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</si>
  <si>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 xml:space="preserve">eine Benachrichtigung bei potenziellem Schadcode</t>
  </si>
  <si>
    <t xml:space="preserve">Konfiguration für IT-Systeme SOLLTE eine Benachrichtigung bei potenziellem Schadcode aktivieren.</t>
  </si>
  <si>
    <t xml:space="preserve">KONF.7.6</t>
  </si>
  <si>
    <t xml:space="preserve">Automatische Updates</t>
  </si>
  <si>
    <t xml:space="preserve">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</si>
  <si>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 xml:space="preserve">Automatische Updates der Mechanismen zur Schadcodeerkennung</t>
  </si>
  <si>
    <t xml:space="preserve">Konfiguration für IT-Systeme SOLLTE Automatische Updates der Mechanismen zur Schadcodeerkennung aktivieren.</t>
  </si>
  <si>
    <t xml:space="preserve">KONF.7.7</t>
  </si>
  <si>
    <t xml:space="preserve">Regelmäßiger Funktionstest</t>
  </si>
  <si>
    <t xml:space="preserve">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</si>
  <si>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 xml:space="preserve">die Funktionsfähigkeit des Schadcodeschutzes</t>
  </si>
  <si>
    <t xml:space="preserve">Konfiguration für IT-Systeme KANN die Funktionsfähigkeit des Schadcodeschutzes regelmäßig überprüfen.</t>
  </si>
  <si>
    <t xml:space="preserve">KONF.7.8</t>
  </si>
  <si>
    <t xml:space="preserve">Dual-Engine-Strategie</t>
  </si>
  <si>
    <t xml:space="preserve">Hiermit ist gemeint, dass die Angriffserkennung mittels (zwei oder mehr) verschiedenen Scan-Engines durchgeführt wird, um die Erkennungswahrscheinlichkeit zu erhöhen. Hierdurch kann es zu Performanceeinbußen oder einer höheren Fehlerkennungquote kommen.</t>
  </si>
  <si>
    <t xml:space="preserve">für die Erkennung von Schadcode unterschiedliche Scan-Engines</t>
  </si>
  <si>
    <t xml:space="preserve">Konfiguration für IT-Systeme KANN für die Erkennung von Schadcode unterschiedliche Scan-Engines aktivieren.</t>
  </si>
  <si>
    <t xml:space="preserve">KONF.7.9</t>
  </si>
  <si>
    <t xml:space="preserve">Einschränkung der Installation</t>
  </si>
  <si>
    <t xml:space="preserve">APP.6.A5-UA.1</t>
  </si>
  <si>
    <t xml:space="preserve">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</si>
  <si>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 xml:space="preserve">die Installation von Anwendungen</t>
  </si>
  <si>
    <t xml:space="preserve">G 0.39 – Schadprogramme; G 0.20 – Informationen oder Produkte aus unzuverlässiger Quelle</t>
  </si>
  <si>
    <t xml:space="preserve">Konfiguration für IT-Systeme SOLLTE die Installation von Anwendungen einschränken.</t>
  </si>
  <si>
    <t xml:space="preserve">KONF.7.10</t>
  </si>
  <si>
    <t xml:space="preserve">Einschränkung der Ausführung</t>
  </si>
  <si>
    <t xml:space="preserve">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</si>
  <si>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 xml:space="preserve">die Ausführung nicht autorisierter Anwendungen</t>
  </si>
  <si>
    <t xml:space="preserve">G 0.30 – Unberechtigte Nutzung oder Administration von Geräten und Systemen; G 0.39 – Schadprogramme</t>
  </si>
  <si>
    <t xml:space="preserve">Konfiguration für IT-Systeme SOLLTE die Ausführung nicht autorisierter Anwendungen einschränken.</t>
  </si>
  <si>
    <t xml:space="preserve">KONF.7.11</t>
  </si>
  <si>
    <t xml:space="preserve">Einschränkung von Softwarebibliotheken</t>
  </si>
  <si>
    <t xml:space="preserve">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</si>
  <si>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 xml:space="preserve">die Ausführung nicht autorisierter Softwarebibliotheken</t>
  </si>
  <si>
    <t xml:space="preserve">Konfiguration für IT-Systeme KANN die Ausführung nicht autorisierter Softwarebibliotheken einschränken.</t>
  </si>
  <si>
    <t xml:space="preserve">KONF.7.12</t>
  </si>
  <si>
    <t xml:space="preserve">Einschränkung von Skripten</t>
  </si>
  <si>
    <t xml:space="preserve">SYS.1.2.3.A7-UA.5</t>
  </si>
  <si>
    <t xml:space="preserve">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</si>
  <si>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 xml:space="preserve">die Ausführung nicht autorisierter Skripte</t>
  </si>
  <si>
    <t xml:space="preserve">Konfiguration für IT-Systeme KANN die Ausführung nicht autorisierter Skripte einschränken.</t>
  </si>
  <si>
    <t xml:space="preserve">KONF.7.13</t>
  </si>
  <si>
    <t xml:space="preserve">Einschränkung von Systemaufrufen</t>
  </si>
  <si>
    <t xml:space="preserve">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</si>
  <si>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 xml:space="preserve">Systemaufrufe</t>
  </si>
  <si>
    <t xml:space="preserve">Konfiguration für IT-Systeme KANN Systemaufrufe pro Anwendung einschränken.</t>
  </si>
  <si>
    <t xml:space="preserve">KONF.7.14</t>
  </si>
  <si>
    <t xml:space="preserve">Code-Signierung im Betriebssystemkern</t>
  </si>
  <si>
    <t xml:space="preserve">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</si>
  <si>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 xml:space="preserve">G 0.39 – Schadprogramme; G 0.21 – Manipulation von Hard- oder Software</t>
  </si>
  <si>
    <t xml:space="preserve">Konfiguration für IT-Systeme SOLLTE Code-Signierung im Betriebssystemkern aktivieren.</t>
  </si>
  <si>
    <t xml:space="preserve">KONF.7.15</t>
  </si>
  <si>
    <t xml:space="preserve">Lokale Firewall</t>
  </si>
  <si>
    <t xml:space="preserve">CON.7.A7-UA.6</t>
  </si>
  <si>
    <t xml:space="preserve">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</si>
  <si>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 xml:space="preserve">ein- und ausgehende Netzverbindungen</t>
  </si>
  <si>
    <t xml:space="preserve">G 0.23 – Unbefugtes Eindringen in IT-Systeme; G 0.18 – Fehlplanung oder fehlende Anpassung</t>
  </si>
  <si>
    <t xml:space="preserve">Konfiguration für IT-Systeme SOLLTE ein- und ausgehende Netzverbindungen einschränken.</t>
  </si>
  <si>
    <t xml:space="preserve">KONF.7.16</t>
  </si>
  <si>
    <t xml:space="preserve">Anti-Exploit</t>
  </si>
  <si>
    <t xml:space="preserve">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</si>
  <si>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 xml:space="preserve">Systemfunktionen zum Schutz des Systems vor der Ausnutzung bekannter Sicherheitslücken</t>
  </si>
  <si>
    <t xml:space="preserve">Konfiguration für IT-Systeme SOLLTE Systemfunktionen zum Schutz des Systems vor der Ausnutzung bekannter Sicherheitslücken aktivieren.</t>
  </si>
  <si>
    <t xml:space="preserve">KONF.7.16.1</t>
  </si>
  <si>
    <t xml:space="preserve">Konfiguration für IT-Systeme SOLLTE den Schutz des Arbeitsspeichers vor der Ausnutzung bekannter Sicherheitslücken aktivieren.</t>
  </si>
  <si>
    <t xml:space="preserve">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</si>
  <si>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 xml:space="preserve">den Schutz des Arbeitsspeichers vor der Ausnutzung bekannter Sicherheitslücken</t>
  </si>
  <si>
    <t xml:space="preserve">KONF.8.1</t>
  </si>
  <si>
    <t xml:space="preserve">Automatische Überprüfung</t>
  </si>
  <si>
    <t xml:space="preserve">SYS.4.4.A1-UA.1</t>
  </si>
  <si>
    <t xml:space="preserve">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</si>
  <si>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 xml:space="preserve">das Vorliegen von Sicherheitsupdates</t>
  </si>
  <si>
    <t xml:space="preserve">Konfiguration für IT-Systeme SOLLTE das Vorliegen von Sicherheitsupdates überwachen.</t>
  </si>
  <si>
    <t xml:space="preserve">KONF.8.1.1</t>
  </si>
  <si>
    <t xml:space="preserve">Konfiguration für IT-Systeme SOLLTE Sicherheitsupdates automatisch installieren.</t>
  </si>
  <si>
    <t xml:space="preserve">SYS.2.1.A3-UA.1</t>
  </si>
  <si>
    <t xml:space="preserve">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</si>
  <si>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 xml:space="preserve">Sicherheitsupdates</t>
  </si>
  <si>
    <t xml:space="preserve">KONF.8.2</t>
  </si>
  <si>
    <t xml:space="preserve">Automatische Updates der Anwendung</t>
  </si>
  <si>
    <t xml:space="preserve">Dies kann durch direkten Download vom Hersteller oder einen eigenen Verteilerserver umgesetzt werden, so lange dieser aktuell gehalten wird.</t>
  </si>
  <si>
    <t xml:space="preserve">die automatische Installation von Sicherheitsupdates</t>
  </si>
  <si>
    <t xml:space="preserve">Konfiguration für Anwendungen SOLLTE die automatische Installation von Sicherheitsupdates aktivieren.</t>
  </si>
  <si>
    <t xml:space="preserve">KONF.9.1</t>
  </si>
  <si>
    <t xml:space="preserve">Speicherplatzbegrenzung</t>
  </si>
  <si>
    <t xml:space="preserve">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</si>
  <si>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 xml:space="preserve">den Speicherplatz für die Nutzerumgebung</t>
  </si>
  <si>
    <t xml:space="preserve">G 0.27 – Ressourcenmangel; G 0.40 – Verhinderung von Diensten (Denial of Service)</t>
  </si>
  <si>
    <t xml:space="preserve">Konfiguration für IT-Systeme SOLLTE den Speicherplatz für die Nutzerumgebung einschränken.</t>
  </si>
  <si>
    <t xml:space="preserve">KONF.9.2</t>
  </si>
  <si>
    <t xml:space="preserve">Begrenzung der Rechenleistung</t>
  </si>
  <si>
    <t xml:space="preserve">Dies kann durch eine Beschränkung der Anzahl verwendeter Rechenkerne, der Rechenleistung pro Rechenkern oder durch eine indirekte Beschränkung (z.B. eine begrenzte Menge an Anfragen oder Eingabetoken in Anwendungen) umgesetzt werden.</t>
  </si>
  <si>
    <t xml:space="preserve">die zur Verfügung stehende Rechenleistung</t>
  </si>
  <si>
    <t xml:space="preserve">Konfiguration für Hostsysteme KANN die zur Verfügung stehende Rechenleistung anhand von Schwellwerten einschränken.</t>
  </si>
  <si>
    <t xml:space="preserve">KONF.9.3</t>
  </si>
  <si>
    <t xml:space="preserve">Alternative Komponenten für kritische Funktionen</t>
  </si>
  <si>
    <t xml:space="preserve">Beispiele sind redundante Stromnetzteile, Ethernet-Anschlüsse oder eine Mobilfunkanbindung als Ausfallsicherheit für die kabelgebundene Netzanbindung.</t>
  </si>
  <si>
    <t xml:space="preserve">alternative Komponenten</t>
  </si>
  <si>
    <t xml:space="preserve">Konfiguration für IT-Systeme KANN alternative Komponenten für bestimmte kritische Funktionen installieren.</t>
  </si>
  <si>
    <t xml:space="preserve">KONF.10.1</t>
  </si>
  <si>
    <t xml:space="preserve">Grundkonfiguration für Anwendungen</t>
  </si>
  <si>
    <t xml:space="preserve">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</si>
  <si>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 xml:space="preserve">Konfiguration für Anwendungen SOLLTE eine Grundkonfiguration dokumentieren.</t>
  </si>
  <si>
    <t xml:space="preserve">KONF.10.1.1</t>
  </si>
  <si>
    <t xml:space="preserve">Konfiguration für Anwendungen SOLLTE eine Versionierung vorheriger Konfigurationen verankern.</t>
  </si>
  <si>
    <t xml:space="preserve">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</si>
  <si>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 xml:space="preserve">KONF.10.2</t>
  </si>
  <si>
    <t xml:space="preserve">Kryptographische Verfahren in Anwendungen</t>
  </si>
  <si>
    <t xml:space="preserve">APP.1.1.A16-UA.2</t>
  </si>
  <si>
    <t xml:space="preserve">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</si>
  <si>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 xml:space="preserve">Konfiguration für Anwendungen SOLLTE kryptographische Verfahren nach anerkannten Standards im Einklang mit den zugehörigen Anforderungen zum Identitäts- und Berechtigungsmanagement aktivieren.</t>
  </si>
  <si>
    <t xml:space="preserve">KONF.10.3</t>
  </si>
  <si>
    <t xml:space="preserve">Hiermit sind Default-Passwörter, als auch vertrauenswürdige Authentisierungs-Schlüssel oder Zertifikate fallen, die per Default zur Anmeldung akzeptiert werden, gemeint.</t>
  </si>
  <si>
    <t xml:space="preserve">Konfiguration für Anwendungen SOLLTE die Änderung von Default-Zugangsdaten ausführen.</t>
  </si>
  <si>
    <t xml:space="preserve">KONF.10.4</t>
  </si>
  <si>
    <t xml:space="preserve">Deaktivierung nicht benötigter Anwendungsfunktionen</t>
  </si>
  <si>
    <t xml:space="preserve">APP.1.1.A12-UA.1; APP.3.1.A12-UA.2</t>
  </si>
  <si>
    <t xml:space="preserve">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</si>
  <si>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 xml:space="preserve">nicht benötigte Anwendungsfunktionen</t>
  </si>
  <si>
    <t xml:space="preserve">Konfiguration für Anwendungen SOLLTE nicht benötigte Anwendungsfunktionen deaktivieren.</t>
  </si>
  <si>
    <t xml:space="preserve">KONF.10.5</t>
  </si>
  <si>
    <t xml:space="preserve">APP.4.3.A3-UA.4</t>
  </si>
  <si>
    <t xml:space="preserve">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</si>
  <si>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 xml:space="preserve">Konfiguration für Anwendungen SOLLTE die Übereinstimmung der tatsächlichen Konfiguration mit dem Referenzzustand regelmäßig überprüfen.</t>
  </si>
  <si>
    <t xml:space="preserve">KONF.10.5.1</t>
  </si>
  <si>
    <t xml:space="preserve">Konfiguration für Anwendungen KANN die Überprüfung der Konfiguration durch einen automatisierten Mechanismus aktivieren.</t>
  </si>
  <si>
    <t xml:space="preserve">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</si>
  <si>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 xml:space="preserve">KONF.11.1</t>
  </si>
  <si>
    <t xml:space="preserve">Authentifizierung vor dem Zugriff</t>
  </si>
  <si>
    <t xml:space="preserve">APP.3.1.A1-UA.1; CON.10.A1-UA.1</t>
  </si>
  <si>
    <t xml:space="preserve">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</si>
  <si>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 xml:space="preserve">Zugriffe auf schützenswerte Daten</t>
  </si>
  <si>
    <t xml:space="preserve">Konfiguration für Anwendungen SOLLTE Zugriffe auf schützenswerte Daten im Einklang mit den zugehörigen Anforderungen zum Identitäts- und Berechtigungsmanagement authentifizieren.</t>
  </si>
  <si>
    <t xml:space="preserve">KONF.11.1.1</t>
  </si>
  <si>
    <t xml:space="preserve">Konfiguration für TK-Anwendungen SOLLTE den Zugriff auf geplante Konversationen im Einklang mit den zugehörigen Anforderungen zum Identitäts- und Berechtigungsmanagement authentifizieren.</t>
  </si>
  <si>
    <t xml:space="preserve">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</si>
  <si>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TK-Anwendungen</t>
  </si>
  <si>
    <t xml:space="preserve">den Zugriff auf geplante Konversationen</t>
  </si>
  <si>
    <t xml:space="preserve">KONF.11.1.2</t>
  </si>
  <si>
    <t xml:space="preserve">Konfiguration für Anwendungen SOLLTE die Gegenstelle vor dem Datenaustausch im Einklang mit den zugehörigen Anforderungen zum Identitäts- und Berechtigungsmanagement authentifizieren.</t>
  </si>
  <si>
    <t xml:space="preserve">APP.3.1.A1-UA.2; APP.3.1.A11-UA.2</t>
  </si>
  <si>
    <t xml:space="preserve">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</si>
  <si>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 xml:space="preserve">die Gegenstelle vor dem Datenaustausch</t>
  </si>
  <si>
    <t xml:space="preserve">KONF.11.2</t>
  </si>
  <si>
    <t xml:space="preserve">Warteraum</t>
  </si>
  <si>
    <t xml:space="preserve">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</si>
  <si>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 xml:space="preserve">bei Konferenzschaltungen alle Teilnehmenden</t>
  </si>
  <si>
    <t xml:space="preserve">Konfiguration für VK-Anwendungen SOLLTE bei Konferenzschaltungen alle Teilnehmenden authentifizieren.</t>
  </si>
  <si>
    <t xml:space="preserve">KONF.11.3</t>
  </si>
  <si>
    <t xml:space="preserve">Veröffentlichung von Domain-Infomationen</t>
  </si>
  <si>
    <t xml:space="preserve">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</si>
  <si>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 xml:space="preserve">DNS-Server</t>
  </si>
  <si>
    <t xml:space="preserve">die Veröffentlichung von Domain-Infomationen</t>
  </si>
  <si>
    <t xml:space="preserve">Konfiguration für DNS-Server SOLLTE die Veröffentlichung von Domain-Infomationen anhand von Kriterien einschränken.</t>
  </si>
  <si>
    <t xml:space="preserve">KONF.11.4</t>
  </si>
  <si>
    <t xml:space="preserve">Erraten von Zugriffslinks</t>
  </si>
  <si>
    <t xml:space="preserve">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</si>
  <si>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 xml:space="preserve">Webanwendungen</t>
  </si>
  <si>
    <t xml:space="preserve">das Durchprobieren von Zugriffslinks</t>
  </si>
  <si>
    <t xml:space="preserve">G 0.23 – Unbefugtes Eindringen in IT-Systeme; G 0.19 – Offenlegung schützenswerter Informationen</t>
  </si>
  <si>
    <t xml:space="preserve">Konfiguration für Webanwendungen SOLLTE das Durchprobieren von Zugriffslinks durch einen automatisierten Mechanismus blockieren.</t>
  </si>
  <si>
    <t xml:space="preserve">KONF.11.5</t>
  </si>
  <si>
    <t xml:space="preserve">Einschränkung unauthentifizierter Anschlüsse</t>
  </si>
  <si>
    <t xml:space="preserve">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</si>
  <si>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 xml:space="preserve">von unauthentifizierten Anschlüssen erreichbare Gegenstellen</t>
  </si>
  <si>
    <t xml:space="preserve">Konfiguration für TK-Anwendungen SOLLTE von unauthentifizierten Anschlüssen erreichbare Gegenstellen einschränken.</t>
  </si>
  <si>
    <t xml:space="preserve">KONF.11.6</t>
  </si>
  <si>
    <t xml:space="preserve">Übersicht angemeldeter Verbindungen</t>
  </si>
  <si>
    <t xml:space="preserve">Je nach Anwendung können dabei Informationen wie Gerätename, Betriebssystemtyp, Browser-Agent oder IP-Adresse angezeigt werden.</t>
  </si>
  <si>
    <t xml:space="preserve">eine Übersicht angemeldeter Verbindungen</t>
  </si>
  <si>
    <t xml:space="preserve">Konfiguration für Anwendungen KANN eine Übersicht angemeldeter Verbindungen aktivieren.</t>
  </si>
  <si>
    <t xml:space="preserve">KONF.11.7</t>
  </si>
  <si>
    <t xml:space="preserve">Einschränkung von Schnittstellen</t>
  </si>
  <si>
    <t xml:space="preserve">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</si>
  <si>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 xml:space="preserve">aktivierte Schnittstellen</t>
  </si>
  <si>
    <t xml:space="preserve">Konfiguration für Anwendungen SOLLTE aktivierte Schnittstellen einschließlich denen zu anderen Anwendungen, Cloud-Funktionen oder Erweiterungen einschränken.</t>
  </si>
  <si>
    <t xml:space="preserve">KONF.11.7.1</t>
  </si>
  <si>
    <t xml:space="preserve">Konfiguration für DNS-Server SOLLTE Zonentransfers einschränken.</t>
  </si>
  <si>
    <t xml:space="preserve">Zum Schutz vor DNS-Reconnaissance und DNS-Spoofing, da Zonendaten alle DNS-Einträger einer Domäne enthalten. Kann durch Einschränkung auf autorisierte IP-Adressen und TSIG umgesetzt werden.</t>
  </si>
  <si>
    <t xml:space="preserve">Zonentransfers</t>
  </si>
  <si>
    <t xml:space="preserve">KONF.11.7.2</t>
  </si>
  <si>
    <t xml:space="preserve">Konfiguration für TK-Anwendungen SOLLTE unerwünschte TK-Verbindungen einschränken.</t>
  </si>
  <si>
    <t xml:space="preserve">Kann durch Session Border Controller (SBC) oder Filterung innerhalb von Anwendungen umgesetzt werden. SBC filtern die Signalisierung und Mediastreams auf dem Kommunikationsweg, insbesondere beim Verbindungsaufbau mittels SIP, H.323 oder MGCP.</t>
  </si>
  <si>
    <t xml:space="preserve">unerwünschte TK-Verbindungen</t>
  </si>
  <si>
    <t xml:space="preserve">KONF.11.7.2.1</t>
  </si>
  <si>
    <t xml:space="preserve">Konfiguration für TK-Anwendungen SOLLTE Verbindungen mit externen Gegenstellen einschränken.</t>
  </si>
  <si>
    <t xml:space="preserve">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</si>
  <si>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 xml:space="preserve">Verbindungen mit externen Gegenstellen</t>
  </si>
  <si>
    <t xml:space="preserve">KONF.11.8</t>
  </si>
  <si>
    <t xml:space="preserve">Verschlüsselung schützenswerter Daten (at-rest)</t>
  </si>
  <si>
    <t xml:space="preserve">APP.1.4.A8-UA.1</t>
  </si>
  <si>
    <t xml:space="preserve">Hierbei ist insbesondere an Zugangsdaten zu denken. Die Anforderung ist auch dann erfüllt, wenn Daten statt einer Verschlüsselung mit Hash und Salt versehen sind. Zur Umsetzung siehe BSI TR-02102.</t>
  </si>
  <si>
    <t xml:space="preserve">schützenswerte Daten</t>
  </si>
  <si>
    <t xml:space="preserve">Konfiguration für Anwendungen KANN schützenswerte Daten bei der Speicherung (at-rest) verschlüsseln.</t>
  </si>
  <si>
    <t xml:space="preserve">KONF.12.1</t>
  </si>
  <si>
    <t xml:space="preserve">Eingabevalidierung</t>
  </si>
  <si>
    <t xml:space="preserve">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</si>
  <si>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 xml:space="preserve">die Validierung von Eingabedaten</t>
  </si>
  <si>
    <t xml:space="preserve">Konfiguration für Anwendungen SOLLTE die Validierung von Eingabedaten durch einen automatisierten Mechanismus aktivieren.</t>
  </si>
  <si>
    <t xml:space="preserve">KONF.12.1.1</t>
  </si>
  <si>
    <t xml:space="preserve">Konfiguration für Webbrowser SOLLTE die automatische Validierung des Zertifikates einschließlich der vollständigen Zertifikatskette aktivieren.</t>
  </si>
  <si>
    <t xml:space="preserve">APP.1.2.A3-UA.6</t>
  </si>
  <si>
    <t xml:space="preserve">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</si>
  <si>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 xml:space="preserve">die automatische Validierung des Zertifikates</t>
  </si>
  <si>
    <t xml:space="preserve">KONF.12.1.2</t>
  </si>
  <si>
    <t xml:space="preserve">Konfiguration für Webbrowser SOLLTE aufgerufene Inhalte anhand der von der Webseite bereitgestellten Content Security Policy einschränken.</t>
  </si>
  <si>
    <t xml:space="preserve">APP.1.2.A1-UA.4; APP.1.2.A11-UA.2; APP.3.1.A21-UA.2</t>
  </si>
  <si>
    <t xml:space="preserve">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</si>
  <si>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 xml:space="preserve">aufgerufene Inhalte anhand der von der Webseite bereitgestellten Content Security Policy</t>
  </si>
  <si>
    <t xml:space="preserve">KONF.12.1.3</t>
  </si>
  <si>
    <t xml:space="preserve">Konfiguration für Webbrowser SOLLTE aufgerufene Inhalte anhand der von der Webseite bereitgestellten Same-Origin-Policy einschränken.</t>
  </si>
  <si>
    <t xml:space="preserve">APP.1.2.A1-UA.6</t>
  </si>
  <si>
    <t xml:space="preserve">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</si>
  <si>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 xml:space="preserve">aufgerufene Inhalte anhand der von der Webseite bereitgestellten Same-Origin-Policy</t>
  </si>
  <si>
    <t xml:space="preserve">G 0.19 – Offenlegung schützenswerter Informationen; G 0.28 – Software-Schwachstellen oder -Fehler</t>
  </si>
  <si>
    <t xml:space="preserve">KONF.12.1.4</t>
  </si>
  <si>
    <t xml:space="preserve">Konfiguration für Webbrowser SOLLTE aufgerufene Inhalte anhand der von der Webseite bereitgestellten Subresource Integrity-Prüfung einschränken.</t>
  </si>
  <si>
    <t xml:space="preserve">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</si>
  <si>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 xml:space="preserve">aufgerufene Inhalte anhand der von der Webseite bereitgestellten Subresource Integrity-Prüfung</t>
  </si>
  <si>
    <t xml:space="preserve">KONF.12.1.5</t>
  </si>
  <si>
    <t xml:space="preserve">Konfiguration für Webbrowser SOLLTE aufgerufene Inhalte anhand der von der Webseite bereitgestellten HTTP Strict Transport Security (HSTS) Richtlinie einschränken.</t>
  </si>
  <si>
    <t xml:space="preserve">APP.1.2.A2-UA.4; APP.3.1.A21-UA.2</t>
  </si>
  <si>
    <t xml:space="preserve">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</si>
  <si>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 xml:space="preserve">aufgerufene Inhalte anhand der von der Webseite bereitgestellten HTTP Strict Transport Security (HSTS) Richtlinie</t>
  </si>
  <si>
    <t xml:space="preserve">G 0.15 – Abhören; G 0.43 – Einspielen von Nachrichten</t>
  </si>
  <si>
    <t xml:space="preserve">KONF.12.1.6</t>
  </si>
  <si>
    <t xml:space="preserve">Konfiguration für Webbrowser KANN JavaScript einschränken.</t>
  </si>
  <si>
    <t xml:space="preserve">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</si>
  <si>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 xml:space="preserve">JavaScript</t>
  </si>
  <si>
    <t xml:space="preserve">G 0.39 – Schadprogramme; G 0.28 – Software-Schwachstellen oder -Fehler</t>
  </si>
  <si>
    <t xml:space="preserve">KONF.12.1.7</t>
  </si>
  <si>
    <t xml:space="preserve">Konfiguration für Webanwendungen SOLLTE eine Filterung schädlicher Webinhalte aktivieren.</t>
  </si>
  <si>
    <t xml:space="preserve">APP.1.2.A11-UA.1; APP.1.2.A11-UA.2; CON.10.A8-UA.1</t>
  </si>
  <si>
    <t xml:space="preserve">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</si>
  <si>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 xml:space="preserve">eine Filterung schädlicher Webinhalte</t>
  </si>
  <si>
    <t xml:space="preserve">KONF.12.1.8</t>
  </si>
  <si>
    <t xml:space="preserve">Konfiguration für Verzeichnisdienste SOLLTE Duplikate im Verzeichnisbaum blockieren.</t>
  </si>
  <si>
    <t xml:space="preserve">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</si>
  <si>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 xml:space="preserve">Duplikate im Verzeichnisbaum</t>
  </si>
  <si>
    <t xml:space="preserve">G 0.46 – Integritätsverlust schützenswerter Informationen</t>
  </si>
  <si>
    <t xml:space="preserve">KONF.12.1.9</t>
  </si>
  <si>
    <t xml:space="preserve">Konfiguration für Dateiserver SOLLTE Dateisystem-Journaling aktivieren.</t>
  </si>
  <si>
    <t xml:space="preserve">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</si>
  <si>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 xml:space="preserve">Dateisystem-Journaling</t>
  </si>
  <si>
    <t xml:space="preserve">G 0.46 – Integritätsverlust schützenswerter Informationen; G 0.45 – Datenverlust</t>
  </si>
  <si>
    <t xml:space="preserve">KONF.12.1.10</t>
  </si>
  <si>
    <t xml:space="preserve">Konfiguration für Webanwendungen SOLLTE HTTP-Response-Header aktivieren.</t>
  </si>
  <si>
    <t xml:space="preserve">APP.3.1.A21-UA.1; APP.3.1.A21-UA.2</t>
  </si>
  <si>
    <t xml:space="preserve">Hierzu können z.B. Content-Security-Policy (CSP), X-Frame-Options, X-XSS-Protection, Referrer-Policy, Permissions-Policy, HSTS und X-Content-Type-Optionen gehören.</t>
  </si>
  <si>
    <t xml:space="preserve">HTTP-Response-Header</t>
  </si>
  <si>
    <t xml:space="preserve">KONF.12.1.11</t>
  </si>
  <si>
    <t xml:space="preserve">Konfiguration für Office-Anwendungen SOLLTE aktive Inhalte in Office-Dateien deaktivieren.</t>
  </si>
  <si>
    <t xml:space="preserve">APP.1.1.A2-UA.1</t>
  </si>
  <si>
    <t xml:space="preserve">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</si>
  <si>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 xml:space="preserve">Office-Anwendungen</t>
  </si>
  <si>
    <t xml:space="preserve">aktive Inhalte in Office-Dateien</t>
  </si>
  <si>
    <t xml:space="preserve">KONF.12.2</t>
  </si>
  <si>
    <t xml:space="preserve">Verschlüsselungsstatus der aktuellen Verbindung</t>
  </si>
  <si>
    <t xml:space="preserve">APP.1.2.A3-UA.7</t>
  </si>
  <si>
    <t xml:space="preserve">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</si>
  <si>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 xml:space="preserve">eine Anzeige der Verschlüsselung der aktuellen Verbindung</t>
  </si>
  <si>
    <t xml:space="preserve">Konfiguration für Webbrowser SOLLTE eine Anzeige der Verschlüsselung der aktuellen Verbindung aktivieren.</t>
  </si>
  <si>
    <t xml:space="preserve">KONF.12.3</t>
  </si>
  <si>
    <t xml:space="preserve">Cookies</t>
  </si>
  <si>
    <t xml:space="preserve">APP.1.2.A7-UA.1</t>
  </si>
  <si>
    <t xml:space="preserve">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</si>
  <si>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 xml:space="preserve">Konfiguration für Webbrowser SOLLTE Cookies einschränken.</t>
  </si>
  <si>
    <t xml:space="preserve">KONF.12.4</t>
  </si>
  <si>
    <t xml:space="preserve">Speicherung von Zugangsdaten</t>
  </si>
  <si>
    <t xml:space="preserve">APP.1.2.A6-UA.3</t>
  </si>
  <si>
    <t xml:space="preserve">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</si>
  <si>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 xml:space="preserve">die Speicherung von Zugangsdaten {{in einem dedizierten Passwort-Manager mit Browser-Integration oder direkt im Browser durch ein Master-Passwort geschützt}}</t>
  </si>
  <si>
    <t xml:space="preserve">Konfiguration für Webbrowser SOLLTE die Speicherung von Zugangsdaten in einem dedizierten Passwort-Manager mit Browser-Integration oder direkt im Browser durch ein Master-Passwort geschützt aktivieren.</t>
  </si>
  <si>
    <t xml:space="preserve">KONF.12.5</t>
  </si>
  <si>
    <t xml:space="preserve">Auto-Vervollständigung von Daten</t>
  </si>
  <si>
    <t xml:space="preserve">Webseiten können Eingaben auch auslesen, bevor diese abgesendet werden. Die Deaktivierung der Auto-Vervollständigung verhindert, dass der Browser diese Daten automatisch eingibt.</t>
  </si>
  <si>
    <t xml:space="preserve">die Auto-Vervollständigung von Daten</t>
  </si>
  <si>
    <t xml:space="preserve">Konfiguration für Webbrowser SOLLTE die Auto-Vervollständigung von Daten einschränken.</t>
  </si>
  <si>
    <t xml:space="preserve">KONF.12.6</t>
  </si>
  <si>
    <t xml:space="preserve">Browser-Historie</t>
  </si>
  <si>
    <t xml:space="preserve">Kann durch das Löschen der Historie beim Beenden oder durch Deaktivierung der Historie umgesetzt werden.</t>
  </si>
  <si>
    <t xml:space="preserve">die dauerhafte Browser-Historie</t>
  </si>
  <si>
    <t xml:space="preserve">Konfiguration für Webbrowser KANN die dauerhafte Browser-Historie deaktivieren.</t>
  </si>
  <si>
    <t xml:space="preserve">KONF.12.7</t>
  </si>
  <si>
    <t xml:space="preserve">Erweiterte Attribute</t>
  </si>
  <si>
    <t xml:space="preserve">Erweiterte Attribute ermöglichen die Speicherung von Metadaten zu Dateien zur Speicherung von Zugriffsrechten und Statusindikatoren. Kann unter Linux durch Samba mit Extended Attributes und unter Windows durch Nutzung des NTFS-Dateisystems umgesetzt werden.</t>
  </si>
  <si>
    <t xml:space="preserve">erweiterte Attribute</t>
  </si>
  <si>
    <t xml:space="preserve">G 0.30 – Unberechtigte Nutzung oder Administration von Geräten und Systemen; G 0.22 – Manipulation von Informationen</t>
  </si>
  <si>
    <t xml:space="preserve">Konfiguration für Dateiserver SOLLTE erweiterte Attribute aktivieren.</t>
  </si>
  <si>
    <t xml:space="preserve">KONF.12.8</t>
  </si>
  <si>
    <t xml:space="preserve">Teilnahme per Default ohne Bild und Ton</t>
  </si>
  <si>
    <t xml:space="preserve">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</si>
  <si>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 xml:space="preserve">beim Beitritt zu Konferenzschaltungen Bild und Ton per Default</t>
  </si>
  <si>
    <t xml:space="preserve">Konfiguration für VK-Anwendungen SOLLTE beim Beitritt zu Konferenzschaltungen Bild und Ton per Default deaktivieren.</t>
  </si>
  <si>
    <t xml:space="preserve">KONF.12.9</t>
  </si>
  <si>
    <t xml:space="preserve">Keine heimliche Aufzeichnung</t>
  </si>
  <si>
    <t xml:space="preserve">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</si>
  <si>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 xml:space="preserve">heimliche Aufzeichnungen</t>
  </si>
  <si>
    <t xml:space="preserve">G 0.19 – Offenlegung schützenswerter Informationen; G 0.29 – Verstoß gegen Gesetze oder Regelungen</t>
  </si>
  <si>
    <t xml:space="preserve">Konfiguration für VK-Anwendungen SOLLTE heimliche Aufzeichnungen deaktivieren.</t>
  </si>
  <si>
    <t xml:space="preserve">KONF.12.10</t>
  </si>
  <si>
    <t xml:space="preserve">Cookie-Attribute</t>
  </si>
  <si>
    <t xml:space="preserve">"Secure"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</si>
  <si>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 xml:space="preserve">G 0.19 – Offenlegung schützenswerter Informationen; G 0.43 – Einspielen von Nachrichten</t>
  </si>
  <si>
    <t xml:space="preserve">Konfiguration für Webanwendungen SOLLTE Cookie-Attribute aktivieren.</t>
  </si>
  <si>
    <t xml:space="preserve">KONF.12.11</t>
  </si>
  <si>
    <t xml:space="preserve">Anonyme oder Pseudonyme Kommunikation</t>
  </si>
  <si>
    <t xml:space="preserve">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</si>
  <si>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 xml:space="preserve">die Übermittlung {{eines Pseudonyms oder gar keiner Anzeigekennung}}</t>
  </si>
  <si>
    <t xml:space="preserve">Konfiguration für TK-Anwendungen KANN die Übermittlung eines Pseudonyms oder gar keiner Anzeigekennung zur Gegenstelle aktivieren.</t>
  </si>
  <si>
    <t xml:space="preserve">KONF.12.12</t>
  </si>
  <si>
    <t xml:space="preserve">Verbindungsprotokoll</t>
  </si>
  <si>
    <t xml:space="preserve">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</si>
  <si>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 xml:space="preserve">ein für Nutzende verfügbares Verbindungsprotokoll</t>
  </si>
  <si>
    <t xml:space="preserve">G 0.37 – Abstreiten von Handlungen; G 0.23 – Unbefugtes Eindringen in IT-Systeme</t>
  </si>
  <si>
    <t xml:space="preserve">Konfiguration für TK-Anwendungen SOLLTE ein für Nutzende verfügbares Verbindungsprotokoll protokollieren.</t>
  </si>
  <si>
    <t xml:space="preserve">KONF.12.13</t>
  </si>
  <si>
    <t xml:space="preserve">Sendebericht</t>
  </si>
  <si>
    <t xml:space="preserve">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</si>
  <si>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 xml:space="preserve">Faxe</t>
  </si>
  <si>
    <t xml:space="preserve">einen Sendebericht</t>
  </si>
  <si>
    <t xml:space="preserve">Konfiguration für Faxe SOLLTE einen Sendebericht protokollieren.</t>
  </si>
  <si>
    <t xml:space="preserve">KONF.12.14</t>
  </si>
  <si>
    <t xml:space="preserve">DNS-Falschinformationen</t>
  </si>
  <si>
    <t xml:space="preserve">APP.3.6.A4-UA.3</t>
  </si>
  <si>
    <t xml:space="preserve">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</si>
  <si>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 xml:space="preserve">DNS-Antworten, die falsche Domain-Informationen liefern,</t>
  </si>
  <si>
    <t xml:space="preserve">G 0.43 – Einspielen von Nachrichten; G 0.22 – Manipulation von Informationen</t>
  </si>
  <si>
    <t xml:space="preserve">Konfiguration für DNS-Server SOLLTE DNS-Antworten, die falsche Domain-Informationen liefern, deaktivieren.</t>
  </si>
  <si>
    <t xml:space="preserve">KONF.13.1</t>
  </si>
  <si>
    <t xml:space="preserve">Filtern schädlicher Nachrichten</t>
  </si>
  <si>
    <t xml:space="preserve">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</si>
  <si>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 xml:space="preserve">Interpersonelle Kommunikation</t>
  </si>
  <si>
    <t xml:space="preserve">eine Filterung schädlicher Nachrichteninhalte</t>
  </si>
  <si>
    <t xml:space="preserve">Konfiguration für Interpersonelle Kommunikation SOLLTE eine Filterung schädlicher Nachrichteninhalte aktivieren.</t>
  </si>
  <si>
    <t xml:space="preserve">KONF.13.1.1</t>
  </si>
  <si>
    <t xml:space="preserve">Konfiguration für Interpersonelle Kommunikation SOLLTE die Zustellung unerwünschter Nachrichten blockieren.</t>
  </si>
  <si>
    <t xml:space="preserve">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</si>
  <si>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 xml:space="preserve">die Zustellung unerwünschter Nachrichten</t>
  </si>
  <si>
    <t xml:space="preserve">G 0.39 – Schadprogramme; G 0.42 – Social Engineering</t>
  </si>
  <si>
    <t xml:space="preserve">KONF.13.1.2</t>
  </si>
  <si>
    <t xml:space="preserve">Konfiguration für Interpersonelle Kommunikation SOLLTE die automatische Interpretation aktiver Inhalte deaktivieren.</t>
  </si>
  <si>
    <t xml:space="preserve">APP.1.1.A2-UA.1; APP.5.3.A1-UA.8</t>
  </si>
  <si>
    <t xml:space="preserve">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</si>
  <si>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 xml:space="preserve">die automatische Interpretation aktiver Inhalte</t>
  </si>
  <si>
    <t xml:space="preserve">KONF.13.2</t>
  </si>
  <si>
    <t xml:space="preserve">Authentizität von Nachrichten</t>
  </si>
  <si>
    <t xml:space="preserve">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</si>
  <si>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 xml:space="preserve">eine automatische Verifikation der Authentizität von Nachrichten</t>
  </si>
  <si>
    <t xml:space="preserve">G 0.36 – Identitätsdiebstahl; G 0.22 – Manipulation von Informationen</t>
  </si>
  <si>
    <t xml:space="preserve">Konfiguration für Interpersonelle Kommunikation SOLLTE eine automatische Verifikation der Authentizität von Nachrichten aktivieren.</t>
  </si>
  <si>
    <t xml:space="preserve">KONF.13.2.1</t>
  </si>
  <si>
    <t xml:space="preserve">Konfiguration für E-Mail SOLLTE eine automatische Verifikation der Sendeberechtigung aktivieren.</t>
  </si>
  <si>
    <t xml:space="preserve">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</si>
  <si>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 xml:space="preserve">eine automatische Verifikation der Sendeberechtigung</t>
  </si>
  <si>
    <t xml:space="preserve">KONF.13.2.2</t>
  </si>
  <si>
    <t xml:space="preserve">Konfiguration für E-Mail SOLLTE die Serversignatur eingehender E-Mails automatisch authentifizieren.</t>
  </si>
  <si>
    <t xml:space="preserve">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</si>
  <si>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die Serversignatur eingehender E-Mails</t>
  </si>
  <si>
    <t xml:space="preserve">G 0.36 – Identitätsdiebstahl; G 0.46 – Integritätsverlust schützenswerter Informationen</t>
  </si>
  <si>
    <t xml:space="preserve">KONF.13.3</t>
  </si>
  <si>
    <t xml:space="preserve">Kryptographische Signatur des Mailservers</t>
  </si>
  <si>
    <t xml:space="preserve">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</si>
  <si>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 xml:space="preserve">die Kryptographische Signatur des Mailservers</t>
  </si>
  <si>
    <t xml:space="preserve">Konfiguration für E-Mail SOLLTE die Kryptographische Signatur des Mailservers aktivieren.</t>
  </si>
  <si>
    <t xml:space="preserve">KONF.13.4</t>
  </si>
  <si>
    <t xml:space="preserve">Kryptographische Signatur durch Nutzende</t>
  </si>
  <si>
    <t xml:space="preserve">Wird eine vom E-Mail vom Sendenden signiert, so können bei Empfang die Authentizität und Integrität der Nachricht verifiziert werden. Dies kann mit S/MIME oder PGP umgesetzt werden.</t>
  </si>
  <si>
    <t xml:space="preserve">die kryptographische Signatur durch Nutzende</t>
  </si>
  <si>
    <t xml:space="preserve">G 0.36 – Identitätsdiebstahl; G 0.37 – Abstreiten von Handlungen</t>
  </si>
  <si>
    <t xml:space="preserve">Konfiguration für E-Mail KANN die kryptographische Signatur durch Nutzende aktivieren.</t>
  </si>
  <si>
    <t xml:space="preserve">KONF.13.5</t>
  </si>
  <si>
    <t xml:space="preserve">Publikation der Sendeberechtigung</t>
  </si>
  <si>
    <t xml:space="preserve">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</si>
  <si>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 xml:space="preserve">die Publikation der eigenen Sendeberechtigung im DNS</t>
  </si>
  <si>
    <t xml:space="preserve">Konfiguration für E-Mail SOLLTE die Publikation der eigenen Sendeberechtigung im DNS aktivieren.</t>
  </si>
  <si>
    <t xml:space="preserve">KONF.13.5.1</t>
  </si>
  <si>
    <t xml:space="preserve">Konfiguration für E-Mail SOLLTE eine strenge Senderpolicy aktivieren.</t>
  </si>
  <si>
    <t xml:space="preserve">APP.5.3.A9-UA.4</t>
  </si>
  <si>
    <t xml:space="preserve">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</si>
  <si>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 xml:space="preserve">eine strenge Senderpolicy</t>
  </si>
  <si>
    <t xml:space="preserve">G 0.36 – Identitätsdiebstahl; G 0.42 – Social Engineering</t>
  </si>
  <si>
    <t xml:space="preserve">KONF.13.6</t>
  </si>
  <si>
    <t xml:space="preserve">Publikation der Serversignatur</t>
  </si>
  <si>
    <t xml:space="preserve">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</si>
  <si>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 xml:space="preserve">die Publikation der Serversignatur</t>
  </si>
  <si>
    <t xml:space="preserve">Konfiguration für E-Mail SOLLTE die Publikation der Serversignatur im DNS aktivieren.</t>
  </si>
  <si>
    <t xml:space="preserve">KONF.13.7</t>
  </si>
  <si>
    <t xml:space="preserve">TLS-Reports</t>
  </si>
  <si>
    <t xml:space="preserve">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</si>
  <si>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 xml:space="preserve">G 0.43 – Einspielen von Nachrichten; G 0.15 – Abhören</t>
  </si>
  <si>
    <t xml:space="preserve">Konfiguration für E-Mail KANN TLS-Reports regelmäßig überprüfen.</t>
  </si>
  <si>
    <t xml:space="preserve">KONF.13.8</t>
  </si>
  <si>
    <t xml:space="preserve">DMARC-Reports</t>
  </si>
  <si>
    <t xml:space="preserve">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</si>
  <si>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 xml:space="preserve">Konfiguration für E-Mail KANN DMARC-Reports regelmäßig oder bei Eingang überprüfen.</t>
  </si>
  <si>
    <t xml:space="preserve">KONF.13.9</t>
  </si>
  <si>
    <t xml:space="preserve">Publikation der DMARC-Richtlinie</t>
  </si>
  <si>
    <t xml:space="preserve">Eine DMARC-Richtlinie legt fest, welchen Umgang sie sich von Empfängern wünschen, die E-Mails von ihrer Domain nicht authentifizieren können. Die Information der Empfänger kann über einen DMARC-Eintrag im DNS erfolgen.</t>
  </si>
  <si>
    <t xml:space="preserve">die Publikation der DMARC-Richtlinie</t>
  </si>
  <si>
    <t xml:space="preserve">Konfiguration für E-Mail SOLLTE die Publikation der DMARC-Richtlinie aktivieren.</t>
  </si>
  <si>
    <t xml:space="preserve">KONF.13.10</t>
  </si>
  <si>
    <t xml:space="preserve">Authentifizierung der Server-Zertifikate über DNS</t>
  </si>
  <si>
    <t xml:space="preserve">APP.3.6.A1-UA.1</t>
  </si>
  <si>
    <t xml:space="preserve">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</si>
  <si>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 xml:space="preserve">die Authentifizierung der Server-Zertifikate über das DNS</t>
  </si>
  <si>
    <t xml:space="preserve">Konfiguration für E-Mail SOLLTE die Authentifizierung der Server-Zertifikate über das DNS aktivieren.</t>
  </si>
  <si>
    <t xml:space="preserve">KONF.13.11</t>
  </si>
  <si>
    <t xml:space="preserve">MTA-STS</t>
  </si>
  <si>
    <t xml:space="preserve">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</si>
  <si>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 xml:space="preserve">Konfiguration für E-Mail SOLLTE MTA-STS aktivieren.</t>
  </si>
  <si>
    <t xml:space="preserve">KONF.14.1</t>
  </si>
  <si>
    <t xml:space="preserve">Verschlüsselung beim Transport</t>
  </si>
  <si>
    <t xml:space="preserve">APP.1.1.A15-UA.1; APP.1.2.A2-UA.2; APP.3.4.A15-UA.1; IND.2.1.A2-UA.2</t>
  </si>
  <si>
    <t xml:space="preserve">intersects-with; intersects-with; subset-of; equivalent-to</t>
  </si>
  <si>
    <t xml:space="preserve">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</si>
  <si>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 xml:space="preserve">Kommunikation beim Transport</t>
  </si>
  <si>
    <t xml:space="preserve">Konfiguration für Anwendungen SOLLTE Kommunikation beim Transport über Netze nach einem anerkannten Standard verschlüsseln.</t>
  </si>
  <si>
    <t xml:space="preserve">KONF.14.1.1</t>
  </si>
  <si>
    <t xml:space="preserve">Konfiguration für Anwendungen SOLLTE unverschlüsselte und anfällige Verbindungen über Netze deaktivieren.</t>
  </si>
  <si>
    <t xml:space="preserve">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</si>
  <si>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 xml:space="preserve">unverschlüsselte und anfällige Verbindungen</t>
  </si>
  <si>
    <t xml:space="preserve">KONF.14.1.2</t>
  </si>
  <si>
    <t xml:space="preserve">Konfiguration für Anwendungen KANN die Kommunikation Ende-zu-Ende über Netze verschlüsseln.</t>
  </si>
  <si>
    <t xml:space="preserve">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</si>
  <si>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 xml:space="preserve">die Kommunikation Ende-zu-Ende</t>
  </si>
  <si>
    <t xml:space="preserve">G 0.19 – Offenlegung schützenswerter Informationen; G 0.15 – Abhören</t>
  </si>
  <si>
    <t xml:space="preserve">KONF.14.2</t>
  </si>
  <si>
    <t xml:space="preserve">Source Port Randomisierung</t>
  </si>
  <si>
    <t xml:space="preserve">Die mehrfache Verwendung gleicher Source Ports erleichtert Angreifern das Erraten gültiger Antworten, z. B. bei DNS-Spoofing oder Cache-Poisoning-Angriffen. Sourceport-Randomisierung (IETFC RFC 5452) erhöht die Anzahl möglicher Kombinationen und erschwert derartige Angriffe.</t>
  </si>
  <si>
    <t xml:space="preserve">Konfiguration für DNS-Server SOLLTE Source Port Randomisierung aktivieren.</t>
  </si>
  <si>
    <t xml:space="preserve">KONF.14.3</t>
  </si>
  <si>
    <t xml:space="preserve">Iterative Beantwortung</t>
  </si>
  <si>
    <t xml:space="preserve">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</si>
  <si>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 xml:space="preserve">die iterative Beantwortung von DNS-Anfragen</t>
  </si>
  <si>
    <t xml:space="preserve">G 0.40 – Verhinderung von Diensten (Denial of Service); G 0.30 – Unberechtigte Nutzung oder Administration von Geräten und Systemen</t>
  </si>
  <si>
    <t xml:space="preserve">Konfiguration für DNS-Server SOLLTE die iterative Beantwortung von DNS-Anfragen aus dem Internet aktivieren.</t>
  </si>
  <si>
    <t xml:space="preserve">KONF.14.4</t>
  </si>
  <si>
    <t xml:space="preserve">Caching</t>
  </si>
  <si>
    <t xml:space="preserve">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</si>
  <si>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 xml:space="preserve">Anwendungen, Endgeräte</t>
  </si>
  <si>
    <t xml:space="preserve">eine Zwischenspeicherung häufig verwendeter Daten</t>
  </si>
  <si>
    <t xml:space="preserve">Konfiguration für Anwendungen von Endgeräten KANN eine Zwischenspeicherung häufig verwendeter Daten aktivieren.</t>
  </si>
  <si>
    <t xml:space="preserve">KONF.14.5</t>
  </si>
  <si>
    <t xml:space="preserve">Zeitüberschreitung von Netzverbindungen</t>
  </si>
  <si>
    <t xml:space="preserve">Dauerhaft aufrecht erhaltene, ungenutzte Verbindungen erhöhen die Gefahr unbefugter Zugriffe auf die Anwendung oder eines Überlaufens von Systemressourcen.</t>
  </si>
  <si>
    <t xml:space="preserve">Netzverbindungen bei Zeitüberschreitung</t>
  </si>
  <si>
    <t xml:space="preserve">Konfiguration für Anwendungen SOLLTE Netzverbindungen bei Zeitüberschreitung blockieren.</t>
  </si>
  <si>
    <t xml:space="preserve">KONF.15.1</t>
  </si>
  <si>
    <t xml:space="preserve">Begrenzung des Speicherplatzes</t>
  </si>
  <si>
    <t xml:space="preserve">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</si>
  <si>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 xml:space="preserve">Anwendungen, Hostsysteme</t>
  </si>
  <si>
    <t xml:space="preserve">in der Anwendung zur Verfügung stehenden Speicherplatz pro {{Zugangskonto oder Mandant}}</t>
  </si>
  <si>
    <t xml:space="preserve">Konfiguration für Anwendungen von Hostsystemen KANN in der Anwendung zur Verfügung stehenden Speicherplatz pro Zugangskonto oder Mandant anhand von Schwellwerten einschränken.</t>
  </si>
  <si>
    <t xml:space="preserve">KONF.15.2</t>
  </si>
  <si>
    <t xml:space="preserve">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</si>
  <si>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 xml:space="preserve">die Rechenleistung</t>
  </si>
  <si>
    <t xml:space="preserve">Konfiguration für Anwendungen von Hostsystemen KANN die Rechenleistung einschränken.</t>
  </si>
  <si>
    <t xml:space="preserve">KONF.15.3</t>
  </si>
  <si>
    <t xml:space="preserve">Denial of Service</t>
  </si>
  <si>
    <t xml:space="preserve">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</si>
  <si>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 xml:space="preserve">Schutzmaßnahmen gegen Denial of Service</t>
  </si>
  <si>
    <t xml:space="preserve">Konfiguration für Anwendungen von Hostsystemen KANN Schutzmaßnahmen gegen Denial of Service aktivieren.</t>
  </si>
  <si>
    <t xml:space="preserve">KONF.15.4</t>
  </si>
  <si>
    <t xml:space="preserve">Überbuchung von virtualisierten Ressourcen</t>
  </si>
  <si>
    <t xml:space="preserve">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</si>
  <si>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 xml:space="preserve">die Überbuchung von virtualisierten Ressourcen</t>
  </si>
  <si>
    <t xml:space="preserve">Konfiguration für Virtualisierungslösungen KANN die Überbuchung von virtualisierten Ressourcen deaktivieren.</t>
  </si>
  <si>
    <t xml:space="preserve">NOT.1.1</t>
  </si>
  <si>
    <t xml:space="preserve">APP.4.2.A28-UA.3; IND.1.A13-UA.1; OPS.1.1.1.A17-UA.3</t>
  </si>
  <si>
    <t xml:space="preserve">intersects-with; subset-of; intersects-with</t>
  </si>
  <si>
    <t xml:space="preserve">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</si>
  <si>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 xml:space="preserve">BC-Leitlinie</t>
  </si>
  <si>
    <t xml:space="preserve">Verfahren und Regelungen zur Vorsorge für Notfälle der Informationssicherheit</t>
  </si>
  <si>
    <t xml:space="preserve">NOT.1.1.1</t>
  </si>
  <si>
    <t xml:space="preserve">Notfallplanung MUSS die Verfahren und Regelungen dokumentieren.</t>
  </si>
  <si>
    <t xml:space="preserve">DER.4.A12-UA.1</t>
  </si>
  <si>
    <t xml:space="preserve">NOT.1.1.2</t>
  </si>
  <si>
    <t xml:space="preserve">Notfallplanung MUSS die mit den Verfahren und Regelungen verbundenen Aufgaben zuständigen Personen oder Rollen zuweisen.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</si>
  <si>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</si>
  <si>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NOT.1.1.3</t>
  </si>
  <si>
    <t xml:space="preserve">Notfallplanung MUSS die zuständigen Personen oder Rollen über die Verfahren und Regelungen informieren.</t>
  </si>
  <si>
    <t xml:space="preserve">NOT.1.1.4</t>
  </si>
  <si>
    <t xml:space="preserve">Notfallplanung KANN ein BSI-Standard 200-4BCMS nach einem anerkannten BCM-Standard verankern.</t>
  </si>
  <si>
    <t xml:space="preserve">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</si>
  <si>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 xml:space="preserve">ein {{Reaktiv-, Aufbau- oder Standard-}}BCMS nach {{einem anerkannten BCM-Standard}}</t>
  </si>
  <si>
    <t xml:space="preserve">NOT.1.2</t>
  </si>
  <si>
    <t xml:space="preserve">DER.4.A13-UA.2</t>
  </si>
  <si>
    <t xml:space="preserve">Notfallplanung MUSS die Verfahren und Regelungen regelmäßig und anlassbezogen auf Aktualität überprüfen.</t>
  </si>
  <si>
    <t xml:space="preserve">NOT.2.1</t>
  </si>
  <si>
    <t xml:space="preserve">Verfahren und Regelungen zur BAO</t>
  </si>
  <si>
    <t xml:space="preserve">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</si>
  <si>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 xml:space="preserve">Notfallhandbuch</t>
  </si>
  <si>
    <t xml:space="preserve">Verfahren und Regelungen für eine Besondere Aufbauorganisation (BAO) zur Behandlung von Notfällen und Krisen</t>
  </si>
  <si>
    <t xml:space="preserve">Notfallplanung SOLLTE Verfahren und Regelungen für eine Besondere Aufbauorganisation (BAO) zur Behandlung von Notfällen und Krisen verankern.</t>
  </si>
  <si>
    <t xml:space="preserve">NOT.2.1.1</t>
  </si>
  <si>
    <t xml:space="preserve">Notfallplanung SOLLTE Aufgaben für die BAO einschließlich BAO-Stab und Notfallteams zuständigen Personen oder Rollen zuweisen.</t>
  </si>
  <si>
    <t xml:space="preserve">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</si>
  <si>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 xml:space="preserve">Aufgaben für die BAO</t>
  </si>
  <si>
    <t xml:space="preserve">NOT.2.1.2</t>
  </si>
  <si>
    <t xml:space="preserve">Notfallplanung SOLLTE die Alarmierung der BAO verankern.</t>
  </si>
  <si>
    <t xml:space="preserve">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</si>
  <si>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 xml:space="preserve">die Alarmierung der BAO</t>
  </si>
  <si>
    <t xml:space="preserve">NOT.2.1.3</t>
  </si>
  <si>
    <t xml:space="preserve">Notfallplanung KANN einen Stabsraum für den Stab installieren.</t>
  </si>
  <si>
    <t xml:space="preserve">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</si>
  <si>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 xml:space="preserve">einen Stabsraum für den Stab</t>
  </si>
  <si>
    <t xml:space="preserve">NOT.2.1.4</t>
  </si>
  <si>
    <t xml:space="preserve">Notfallplanung KANN die Funktionsfähigkeit der BAO regelmäßig durch Stabsübungen überprüfen.</t>
  </si>
  <si>
    <t xml:space="preserve">IND.1.A13-UA.1</t>
  </si>
  <si>
    <t xml:space="preserve">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</si>
  <si>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 xml:space="preserve">die Funktionsfähigkeit der BAO</t>
  </si>
  <si>
    <t xml:space="preserve">NOT.3.1</t>
  </si>
  <si>
    <t xml:space="preserve">Wiederanlaufplan</t>
  </si>
  <si>
    <t xml:space="preserve">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</si>
  <si>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 xml:space="preserve">einen Wiederanlaufplan für zeitkritische Systeme und Anwendungen</t>
  </si>
  <si>
    <t xml:space="preserve">Notfallplanung SOLLTE einen Wiederanlaufplan für zeitkritische Systeme und Anwendungen dokumentieren.</t>
  </si>
  <si>
    <t xml:space="preserve">NOT.3.2</t>
  </si>
  <si>
    <t xml:space="preserve">Geschäftsfortführungsplan</t>
  </si>
  <si>
    <t xml:space="preserve">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</si>
  <si>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 xml:space="preserve">einen Geschäftsfortführungsplan für zeitkritische Geschäftsprozesse</t>
  </si>
  <si>
    <t xml:space="preserve">Notfallplanung KANN einen Geschäftsfortführungsplan für zeitkritische Geschäftsprozesse dokumentieren.</t>
  </si>
  <si>
    <t xml:space="preserve">NOT.3.3</t>
  </si>
  <si>
    <t xml:space="preserve">Sensibilisierung zum Vorgehen im Notfall</t>
  </si>
  <si>
    <t xml:space="preserve">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</si>
  <si>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 xml:space="preserve">Schulungsplan</t>
  </si>
  <si>
    <t xml:space="preserve">zur Vorgehensweise in Notfällen und Krisen</t>
  </si>
  <si>
    <t xml:space="preserve">G 0.25 – Ausfall von Geräten oder Systemen; G 0.27 – Ressourcenmangel; G 0.40 – Verhinderung von Diensten (Denial of Service)</t>
  </si>
  <si>
    <t xml:space="preserve">Notfallplanung für Nutzende SOLLTE zur Vorgehensweise in Notfällen und Krisen sensibilisieren.</t>
  </si>
  <si>
    <t xml:space="preserve">NOT.3.4</t>
  </si>
  <si>
    <t xml:space="preserve">Funktionstest</t>
  </si>
  <si>
    <t xml:space="preserve">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</si>
  <si>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 xml:space="preserve">Übungsplan</t>
  </si>
  <si>
    <t xml:space="preserve">die tatsächliche Funktionstüchtigkeit von Notfallplänen</t>
  </si>
  <si>
    <t xml:space="preserve">Notfallplanung KANN die tatsächliche Funktionstüchtigkeit von Notfallplänen regelmäßig überprüfen.</t>
  </si>
  <si>
    <t xml:space="preserve">NOT.3.5</t>
  </si>
  <si>
    <t xml:space="preserve">Ausweich-Telekommunikation</t>
  </si>
  <si>
    <t xml:space="preserve">IND.1.A24-UA.1</t>
  </si>
  <si>
    <t xml:space="preserve">„Ausweich-Telekommunikationsdienste“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</si>
  <si>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 xml:space="preserve">Ausweich-Telekommunikationsdienste</t>
  </si>
  <si>
    <t xml:space="preserve">Notfallplanung SOLLTE Ausweich-Telekommunikationsdienste verankern.</t>
  </si>
  <si>
    <t xml:space="preserve">NOT.3.6</t>
  </si>
  <si>
    <t xml:space="preserve">Sicherheitsmechanismen</t>
  </si>
  <si>
    <t xml:space="preserve">APP.1.2.A12-UA.1</t>
  </si>
  <si>
    <t xml:space="preserve">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</si>
  <si>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 xml:space="preserve">alternative Sicherheitsmechanismen</t>
  </si>
  <si>
    <t xml:space="preserve">Notfallplanung SOLLTE alternative Sicherheitsmechanismen , die in Notfällen greifen, verankern.</t>
  </si>
  <si>
    <t xml:space="preserve">NOT.4.1</t>
  </si>
  <si>
    <t xml:space="preserve">Dokumentation der Quellen</t>
  </si>
  <si>
    <t xml:space="preserve">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</si>
  <si>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 xml:space="preserve">Datensicherungskonzept</t>
  </si>
  <si>
    <t xml:space="preserve">die zu sichernden Daten</t>
  </si>
  <si>
    <t xml:space="preserve">G 0.45 – Datenverlust; G 0.18 – Fehlplanung oder fehlende Anpassung; G 0.25 – Ausfall von Geräten oder Systemen; G 0.37 – Abstreiten von Handlungen</t>
  </si>
  <si>
    <t xml:space="preserve">Notfallplanung SOLLTE die zu sichernden Daten dokumentieren.</t>
  </si>
  <si>
    <t xml:space="preserve">NOT.4.2</t>
  </si>
  <si>
    <t xml:space="preserve">Sicherung des Systems</t>
  </si>
  <si>
    <t xml:space="preserve">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</si>
  <si>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 xml:space="preserve">deren Datensicherung</t>
  </si>
  <si>
    <t xml:space="preserve">G 0.45 – Datenverlust; G 0.39 – Schadprogramme; G 0.25 – Ausfall von Geräten oder Systemen</t>
  </si>
  <si>
    <t xml:space="preserve">Notfallplanung für IT-Systeme SOLLTE deren Datensicherung regelmäßig ausführen.</t>
  </si>
  <si>
    <t xml:space="preserve">NOT.4.3</t>
  </si>
  <si>
    <t xml:space="preserve">Sicherung der Anwendung</t>
  </si>
  <si>
    <t xml:space="preserve">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</si>
  <si>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 xml:space="preserve">Notfallplanung für Anwendungen SOLLTE deren Datensicherung regelmäßig ausführen.</t>
  </si>
  <si>
    <t xml:space="preserve">NOT.4.4</t>
  </si>
  <si>
    <t xml:space="preserve">Automatische Datensicherung</t>
  </si>
  <si>
    <t xml:space="preserve">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</si>
  <si>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 xml:space="preserve">die Datensicherung</t>
  </si>
  <si>
    <t xml:space="preserve">G 0.45 – Datenverlust; G 0.39 – Schadprogramme</t>
  </si>
  <si>
    <t xml:space="preserve">Notfallplanung für Daten SOLLTE die Datensicherung durch einen automatisierten Mechanismus ausführen.</t>
  </si>
  <si>
    <t xml:space="preserve">NOT.4.5</t>
  </si>
  <si>
    <t xml:space="preserve">Archivierung langfristig benötigter Daten</t>
  </si>
  <si>
    <t xml:space="preserve">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</si>
  <si>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 xml:space="preserve">die Archivierung langfristig benötigter Daten</t>
  </si>
  <si>
    <t xml:space="preserve">Notfallplanung für Daten SOLLTE die Archivierung langfristig benötigter Daten regelmäßig ausführen.</t>
  </si>
  <si>
    <t xml:space="preserve">NOT.4.5.1</t>
  </si>
  <si>
    <t xml:space="preserve">Notfallplanung für Daten SOLLTE die Archivierung von Assets, die zur Verwendung von archivierten Daten erforderlich sind, regelmäßig ausführen.</t>
  </si>
  <si>
    <t xml:space="preserve">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</si>
  <si>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 xml:space="preserve">die Archivierung von Assets, die zur Verwendung von archivierten Daten erforderlich sind,</t>
  </si>
  <si>
    <t xml:space="preserve">NOT.4.5.2</t>
  </si>
  <si>
    <t xml:space="preserve">Notfallplanung für Daten SOLLTE die Archivierung von Dokumentationen, die zur Verwendung von archivierten Daten erforderlich sind, regelmäßig ausführen.</t>
  </si>
  <si>
    <t xml:space="preserve">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</si>
  <si>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 xml:space="preserve">die Archivierung von Dokumentationen, die zur Verwendung von archivierten Daten erforderlich sind,</t>
  </si>
  <si>
    <t xml:space="preserve">G 0.45 – Datenverlust; G 0.39 – Schadprogramme; G 0.18 – Fehlplanung oder fehlende Anpassung; G 0.37 – Abstreiten von Handlungen</t>
  </si>
  <si>
    <t xml:space="preserve">NOT.4.6</t>
  </si>
  <si>
    <t xml:space="preserve">Geschützte Aufbewahrung</t>
  </si>
  <si>
    <t xml:space="preserve">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</si>
  <si>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 xml:space="preserve">eine geschützte Aufbewahrung von Datensicherungen</t>
  </si>
  <si>
    <t xml:space="preserve">Notfallplanung SOLLTE eine geschützte Aufbewahrung von Datensicherungen verankern.</t>
  </si>
  <si>
    <t xml:space="preserve">NOT.4.7</t>
  </si>
  <si>
    <t xml:space="preserve">Versionierte Datensicherung</t>
  </si>
  <si>
    <t xml:space="preserve">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</si>
  <si>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 xml:space="preserve">eine Versionierung der Datensicherung</t>
  </si>
  <si>
    <t xml:space="preserve">Notfallplanung SOLLTE eine Versionierung der Datensicherung verankern.</t>
  </si>
  <si>
    <t xml:space="preserve">NOT.4.8</t>
  </si>
  <si>
    <t xml:space="preserve">Verschlüsselte Datensicherung</t>
  </si>
  <si>
    <t xml:space="preserve">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</si>
  <si>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 xml:space="preserve">G 0.45 – Datenverlust; G 0.39 – Schadprogramme; G 0.25 – Ausfall von Geräten oder Systemen; G 0.19 – Offenlegung schützenswerter Informationen</t>
  </si>
  <si>
    <t xml:space="preserve">Notfallplanung SOLLTE die Datensicherung durch einen anerkannten kryptographischen Algorithmus verschlüsseln.</t>
  </si>
  <si>
    <t xml:space="preserve">NOT.4.9</t>
  </si>
  <si>
    <t xml:space="preserve">Speichermedien</t>
  </si>
  <si>
    <t xml:space="preserve">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</si>
  <si>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 xml:space="preserve">dedizierte Speichermedien,</t>
  </si>
  <si>
    <t xml:space="preserve">Notfallplanung SOLLTE dedizierte Speichermedien, die für den festgelegten Aufbewahrungszeitraum geeignet sind, installieren.</t>
  </si>
  <si>
    <t xml:space="preserve">NOT.4.10</t>
  </si>
  <si>
    <t xml:space="preserve">Getrennte Aufbewahrung</t>
  </si>
  <si>
    <t xml:space="preserve">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</si>
  <si>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 xml:space="preserve">die Datensicherung getrennt von den Originaldaten</t>
  </si>
  <si>
    <t xml:space="preserve">G 0.45 – Datenverlust; G 0.39 – Schadprogramme; G 0.1 – Feuer; G 0.25 – Ausfall von Geräten oder Systemen</t>
  </si>
  <si>
    <t xml:space="preserve">Notfallplanung SOLLTE die Datensicherung getrennt von den Originaldaten platzieren.</t>
  </si>
  <si>
    <t xml:space="preserve">NOT.4.11</t>
  </si>
  <si>
    <t xml:space="preserve">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</si>
  <si>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 xml:space="preserve">ein Datenträgerarchiv</t>
  </si>
  <si>
    <t xml:space="preserve">Notfallplanung SOLLTE ein Datenträgerarchiv installieren.</t>
  </si>
  <si>
    <t xml:space="preserve">NOT.4.12</t>
  </si>
  <si>
    <t xml:space="preserve">Georedundanz</t>
  </si>
  <si>
    <t xml:space="preserve">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</si>
  <si>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 xml:space="preserve">die georedundante Aufbewahrung mindestens einer Kopie der Datensicherung</t>
  </si>
  <si>
    <t xml:space="preserve">Notfallplanung KANN die georedundante Aufbewahrung mindestens einer Kopie der Datensicherung verankern.</t>
  </si>
  <si>
    <t xml:space="preserve">NOT.4.13</t>
  </si>
  <si>
    <t xml:space="preserve">Datensouveränität</t>
  </si>
  <si>
    <t xml:space="preserve">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</si>
  <si>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 xml:space="preserve">die Datensicherung von Daten, die bei einem Dienstleister verarbeitet werden,</t>
  </si>
  <si>
    <t xml:space="preserve">Notfallplanung für Outsourcing SOLLTE die Datensicherung von Daten, die bei einem Dienstleister verarbeitet werden, nach einem anerkannten Standard regelmäßig ausführen.</t>
  </si>
  <si>
    <t xml:space="preserve">NOT.4.14</t>
  </si>
  <si>
    <t xml:space="preserve">Offline-Kopie</t>
  </si>
  <si>
    <t xml:space="preserve">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</si>
  <si>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 xml:space="preserve">eine Offline-Kopie</t>
  </si>
  <si>
    <t xml:space="preserve">G 0.45 – Datenverlust; G 0.39 – Schadprogramme; G 0.25 – Ausfall von Geräten oder Systemen; G 0.1 – Feuer</t>
  </si>
  <si>
    <t xml:space="preserve">Notfallplanung für Daten SOLLTE eine Offline-Kopie regelmäßig ausführen.</t>
  </si>
  <si>
    <t xml:space="preserve">NOT.4.15</t>
  </si>
  <si>
    <t xml:space="preserve">Vorgehen zur Wiederherstellung</t>
  </si>
  <si>
    <t xml:space="preserve">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</si>
  <si>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 xml:space="preserve">die Vorgehensweise zur Wiederherstellung</t>
  </si>
  <si>
    <t xml:space="preserve">Notfallplanung SOLLTE die Vorgehensweise zur Wiederherstellung dokumentieren.</t>
  </si>
  <si>
    <t xml:space="preserve">NOT.4.16</t>
  </si>
  <si>
    <t xml:space="preserve">Test der Datensicherung</t>
  </si>
  <si>
    <t xml:space="preserve">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</si>
  <si>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 xml:space="preserve">den Erfolg der Datensicherung</t>
  </si>
  <si>
    <t xml:space="preserve">Notfallplanung für Daten SOLLTE den Erfolg der Datensicherung regelmäßig überprüfen.</t>
  </si>
  <si>
    <t xml:space="preserve">NOT.4.16.1</t>
  </si>
  <si>
    <t xml:space="preserve">Notfallplanung für Daten SOLLTE die Wiederherstellung mindestens anhand von repräsentativen Stichproben regelmäßig überprüfen.</t>
  </si>
  <si>
    <t xml:space="preserve">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</si>
  <si>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 xml:space="preserve">die Wiederherstellung</t>
  </si>
  <si>
    <t xml:space="preserve">NOT.4.17</t>
  </si>
  <si>
    <t xml:space="preserve">Anwendungstest</t>
  </si>
  <si>
    <t xml:space="preserve">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</si>
  <si>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 xml:space="preserve">deren Funktionsfähigkeit nach Wiederherstellung</t>
  </si>
  <si>
    <t xml:space="preserve">Notfallplanung für Anwendungen KANN deren Funktionsfähigkeit nach Wiederherstellung regelmäßig überprüfen.</t>
  </si>
  <si>
    <t xml:space="preserve">PERF.1.1</t>
  </si>
  <si>
    <t xml:space="preserve">Die bei der Festlegung des Verfahrens und der Regelungen im Einzelnen zu berücksichtigenden Inhalte ergeben sich aus den Anforderungen dieser Praktik. Die Ergebnisse müssen strukturiert dokumentiert und an die relevanten Stakeholder kommuniziert werden.</t>
  </si>
  <si>
    <t xml:space="preserve">Verfahren und Regelungen zur Messung und Bewertung der Leistung des ISMS</t>
  </si>
  <si>
    <t xml:space="preserve">Monitoring-Evaluation MUSS Verfahren und Regelungen zur Messung und Bewertung der Leistung des ISMS verankern.</t>
  </si>
  <si>
    <t xml:space="preserve">PERF.1.2</t>
  </si>
  <si>
    <t xml:space="preserve">Evaluation des Umsetzungsplans</t>
  </si>
  <si>
    <t xml:space="preserve">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</si>
  <si>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 xml:space="preserve">die {{regelmäßige}} Überprüfung und Fortschreibung des Umsetzungsplans</t>
  </si>
  <si>
    <t xml:space="preserve">Monitoring-Evaluation MUSS die regelmäßige Überprüfung und Fortschreibung des Umsetzungsplans in Bezug auf Fortschritt, Fristeinhaltung und inhaltlicher Korrektheit verankern.</t>
  </si>
  <si>
    <t xml:space="preserve">PERF.1.3</t>
  </si>
  <si>
    <t xml:space="preserve">Aktualität der Anforderungen</t>
  </si>
  <si>
    <t xml:space="preserve">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</si>
  <si>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 xml:space="preserve">die Aktualität der Anforderungen</t>
  </si>
  <si>
    <t xml:space="preserve">Monitoring-Evaluation MUSS die Aktualität der Anforderungen regelmäßig überprüfen.</t>
  </si>
  <si>
    <t xml:space="preserve">PERF.2.1</t>
  </si>
  <si>
    <t xml:space="preserve">Überwachung der Einhaltung von Verpflichtungen</t>
  </si>
  <si>
    <t xml:space="preserve">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</si>
  <si>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 xml:space="preserve">die Einhaltung von Verpflichtungen</t>
  </si>
  <si>
    <t xml:space="preserve">Monitoring-Evaluation SOLLTE die Einhaltung von Verpflichtungen regelmäßig sowie anlassbezogen überprüfen.</t>
  </si>
  <si>
    <t xml:space="preserve">PERF.3.1</t>
  </si>
  <si>
    <t xml:space="preserve">Aufbau und Pflege eines Auditprogramms</t>
  </si>
  <si>
    <t xml:space="preserve">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</si>
  <si>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 xml:space="preserve">ein Verfahren zum Aufbau und zur Pflege eines oder mehrerer Auditprogramme</t>
  </si>
  <si>
    <t xml:space="preserve">PERF.3.1.1</t>
  </si>
  <si>
    <t xml:space="preserve">Monitoring-Evaluation SOLLTE für jedes durchzuführende Audit einen Auditplan festlegen.</t>
  </si>
  <si>
    <t xml:space="preserve">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</si>
  <si>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 xml:space="preserve">für jedes durchzuführende Audit einen Auditplan</t>
  </si>
  <si>
    <t xml:space="preserve">PERF.3.1.2</t>
  </si>
  <si>
    <t xml:space="preserve">Monitoring-Evaluation MUSS die Planung der internen Audits im Auditprogramm risikoorientiert ausführen.</t>
  </si>
  <si>
    <t xml:space="preserve">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</si>
  <si>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 xml:space="preserve">die Planung der internen Audits im Auditprogramm</t>
  </si>
  <si>
    <t xml:space="preserve">PERF.3.1.3</t>
  </si>
  <si>
    <t xml:space="preserve">Monitoring-Evaluation MUSS fachlich geeignete und unabhängige Auditoren zur Gewährleistung der Objektivität und Qualität der Audits anweisen.</t>
  </si>
  <si>
    <t xml:space="preserve">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</si>
  <si>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 xml:space="preserve">fachlich geeignete und unabhängige Auditoren</t>
  </si>
  <si>
    <t xml:space="preserve">PERF.3.1.4</t>
  </si>
  <si>
    <t xml:space="preserve">Monitoring-Evaluation MUSS in angemessenem Umfang Audits ausführen.</t>
  </si>
  <si>
    <t xml:space="preserve">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</si>
  <si>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 xml:space="preserve">in angemessenem Umfang Audits</t>
  </si>
  <si>
    <t xml:space="preserve">PERF.3.2</t>
  </si>
  <si>
    <t xml:space="preserve">Dokumentation von Auditergebnissen</t>
  </si>
  <si>
    <t xml:space="preserve">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</si>
  <si>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 xml:space="preserve">Auditbericht</t>
  </si>
  <si>
    <t xml:space="preserve">ein Verfahren zur Erstellung aussagekräftiger Auditberichte</t>
  </si>
  <si>
    <t xml:space="preserve">PERF.3.2.1</t>
  </si>
  <si>
    <t xml:space="preserve">Monitoring-Evaluation SOLLTE für Feststellungen in Audits ein einheitliches Bewertungsschema festlegen.</t>
  </si>
  <si>
    <t xml:space="preserve">Das Bewertungsschema soll die einheitliche Bewertung, die Wirksamkeit der Auditprozesse und die Vergleichbarkeit von Auditergebnissen sicherstellen.</t>
  </si>
  <si>
    <t xml:space="preserve">für Feststellungen in Audits ein einheitliches Bewertungsschema</t>
  </si>
  <si>
    <t xml:space="preserve">PERF.3.2.2</t>
  </si>
  <si>
    <t xml:space="preserve">Monitoring-Evaluation MUSS alle relevanten Stakeholder über die Auditergebnisse informieren.</t>
  </si>
  <si>
    <t xml:space="preserve">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</si>
  <si>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 xml:space="preserve">alle relevanten Stakeholder über die Auditergebnisse</t>
  </si>
  <si>
    <t xml:space="preserve">PERF.4.1</t>
  </si>
  <si>
    <t xml:space="preserve">Eignungsprüfung</t>
  </si>
  <si>
    <t xml:space="preserve">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</si>
  <si>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 xml:space="preserve">Ergebnisse der Überprüfungen der Eignung, Angemessenheit und Wirksamkeit des ISMS der Institution</t>
  </si>
  <si>
    <t xml:space="preserve">PERF.4.1.1</t>
  </si>
  <si>
    <t xml:space="preserve">Monitoring-Evaluation SOLLTE den Status von Folgemaßnahmen vorangegangener Managementbewertungen als Ergebnis der Überprüfung in einem Managementbericht dokumentieren.</t>
  </si>
  <si>
    <t xml:space="preserve">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</si>
  <si>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 xml:space="preserve">den Status von Folgemaßnahmen vorangegangener Managementbewertungen</t>
  </si>
  <si>
    <t xml:space="preserve">PERF.4.1.2</t>
  </si>
  <si>
    <t xml:space="preserve">Monitoring-Evaluation SOLLTE veränderte Rahmenbedingungen mit Auswirkungen auf das Informationssicherheitsmanagement als Ergebnis der Überprüfung in einem Managementbericht dokumentieren.</t>
  </si>
  <si>
    <t xml:space="preserve">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</si>
  <si>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 xml:space="preserve">veränderte Rahmenbedingungen mit Auswirkungen auf das Informationssicherheitsmanagement</t>
  </si>
  <si>
    <t xml:space="preserve">PERF.4.1.3</t>
  </si>
  <si>
    <t xml:space="preserve">Monitoring-Evaluation SOLLTE bisherige Erfolge und Probleme (z. B. Sicherheitsvorfälle) beim Informationssicherheitsprozess als Ergebnis der Überprüfung in einem Managementbericht dokumentieren.</t>
  </si>
  <si>
    <t xml:space="preserve">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</si>
  <si>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 xml:space="preserve">bisherige Erfolge und Probleme (z. B. Sicherheitsvorfälle) beim Informationssicherheitsprozess</t>
  </si>
  <si>
    <t xml:space="preserve">PERF.4.1.4</t>
  </si>
  <si>
    <t xml:space="preserve">Monitoring-Evaluation SOLLTE Auditberichte als Ergebnis der Überprüfung in einem Managementbericht dokumentieren.</t>
  </si>
  <si>
    <t xml:space="preserve">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</si>
  <si>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 xml:space="preserve">Auditberichte</t>
  </si>
  <si>
    <t xml:space="preserve">PERF.4.1.5</t>
  </si>
  <si>
    <t xml:space="preserve">Monitoring-Evaluation SOLLTE eine Evaluation der Eignung umgesetzter Sicherheitsmaßnahmen zur Erreichung der Sicherheitsziele oder ob Maßnahmen geändert oder ergänzt werden müssen als Ergebnis der Überprüfung in einem Managementbericht dokumentieren.</t>
  </si>
  <si>
    <t xml:space="preserve">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</si>
  <si>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 xml:space="preserve">eine Evaluation der Eignung umgesetzter Sicherheitsmaßnahmen zur Erreichung der Sicherheitsziele oder ob Maßnahmen geändert oder ergänzt werden müssen</t>
  </si>
  <si>
    <t xml:space="preserve">PERF.4.1.6</t>
  </si>
  <si>
    <t xml:space="preserve">Monitoring-Evaluation SOLLTE die Bewertung von Rückmeldungen von Kunden, Geschäftspartnern, Mitarbeitern oder der Öffentlichkeit zu Sicherheitsaspekten als Ergebnis der Überprüfung in einem Managementbericht dokumentieren.</t>
  </si>
  <si>
    <t xml:space="preserve">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</si>
  <si>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 xml:space="preserve">die Bewertung von Rückmeldungen von Kunden, Geschäftspartnern, Mitarbeitern oder der Öffentlichkeit zu Sicherheitsaspekten</t>
  </si>
  <si>
    <t xml:space="preserve">PERF.4.1.7</t>
  </si>
  <si>
    <t xml:space="preserve">Monitoring-Evaluation SOLLTE die erfolgreiche Umsetzung von Maßnahmen und des damit verringerten Risikos (Status des Umsetzungsplans) als Ergebnis der Überprüfung in einem Managementbericht dokumentieren.</t>
  </si>
  <si>
    <t xml:space="preserve">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</si>
  <si>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 xml:space="preserve">die erfolgreiche Umsetzung von Maßnahmen und des damit verringerten Risikos (Status des Umsetzungsplans)</t>
  </si>
  <si>
    <t xml:space="preserve">PERF.4.1.8</t>
  </si>
  <si>
    <t xml:space="preserve">Monitoring-Evaluation SOLLTE die aufgrund der Überprüfung abgeleitete Verbesserungen des ISMS als Ergebnis der Überprüfung in einem Managementbericht dokumentieren.</t>
  </si>
  <si>
    <t xml:space="preserve">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</si>
  <si>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 xml:space="preserve">die aufgrund der Überprüfung abgeleitete Verbesserungen des ISMS</t>
  </si>
  <si>
    <t xml:space="preserve">PERF.4.1.9</t>
  </si>
  <si>
    <t xml:space="preserve">Monitoring-Evaluation MUSS priorisierte Maßnahmenvorschläge mit realistischen Abschätzungen zum erwarteten Umsetzungsaufwand als Ergebnis der Überprüfung in einem Managementbericht dokumentieren.</t>
  </si>
  <si>
    <t xml:space="preserve">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</si>
  <si>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 xml:space="preserve">priorisierte Maßnahmenvorschläge mit realistischen Abschätzungen zum erwarteten Umsetzungsaufwand</t>
  </si>
  <si>
    <t xml:space="preserve">PERF.4.2</t>
  </si>
  <si>
    <t xml:space="preserve">Bericht an die Institutionsleitung</t>
  </si>
  <si>
    <t xml:space="preserve">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</si>
  <si>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 xml:space="preserve">die Institutionsleitung über den Stand des Managementsystems</t>
  </si>
  <si>
    <t xml:space="preserve">Monitoring-Evaluation MUSS die Institutionsleitung über den Stand des Managementsystems regelmäßig anhand des Managementberichtes informieren.</t>
  </si>
  <si>
    <t xml:space="preserve">PERF.5.1</t>
  </si>
  <si>
    <t xml:space="preserve">Methoden und Tools</t>
  </si>
  <si>
    <t xml:space="preserve">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</si>
  <si>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 xml:space="preserve">effektive Monitoring-Methoden und -tools</t>
  </si>
  <si>
    <t xml:space="preserve">Monitoring-Evaluation MUSS effektive Monitoring-Methoden und -tools zur regelmäßigen Überwachung der Informationssicherheit verankern.</t>
  </si>
  <si>
    <t xml:space="preserve">PERS.1.1</t>
  </si>
  <si>
    <t xml:space="preserve">ORP.2.A1-UA.1</t>
  </si>
  <si>
    <t xml:space="preserve">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</si>
  <si>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 xml:space="preserve">Prozess Personalmanagement</t>
  </si>
  <si>
    <t xml:space="preserve">Verfahren und Regelungen zum Personalmanagement</t>
  </si>
  <si>
    <t xml:space="preserve">PERS.1.1.1</t>
  </si>
  <si>
    <t xml:space="preserve">Personal MUSS die Verfahren und Regelungen dokumentieren.</t>
  </si>
  <si>
    <t xml:space="preserve">PERS.1.1.2</t>
  </si>
  <si>
    <t xml:space="preserve">Personal MUSS die mit den Verfahren und Regelungen verbundenen Aufgaben zuständigen Personen oder Rollen zuweisen.</t>
  </si>
  <si>
    <t xml:space="preserve">PERS.1.1.3</t>
  </si>
  <si>
    <t xml:space="preserve">Personal MUSS die zuständigen Personen oder Rollen über die Verfahren und Regelungen informieren.</t>
  </si>
  <si>
    <t xml:space="preserve">ORP.2.A1-UA.2</t>
  </si>
  <si>
    <t xml:space="preserve">PERS.1.2</t>
  </si>
  <si>
    <t xml:space="preserve">Personal MUSS die Verfahren und Regelungen regelmäßig und anlassbezogen auf Aktualität überprüfen.</t>
  </si>
  <si>
    <t xml:space="preserve">PERS.2.1</t>
  </si>
  <si>
    <t xml:space="preserve">Aufgaben</t>
  </si>
  <si>
    <t xml:space="preserve">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</si>
  <si>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 xml:space="preserve">für alle Tätigkeiten im Geltungsbereich Aufgaben</t>
  </si>
  <si>
    <t xml:space="preserve">G 0.18 – Fehlplanung oder fehlende Anpassung; G 0.33 – Personalausfall; G 0.31 – Fehlerhafte Nutzung oder Administration von Geräten und Systemen</t>
  </si>
  <si>
    <t xml:space="preserve">Personal SOLLTE für alle Tätigkeiten im Geltungsbereich Aufgaben mit Abgrenzungen und Schnittstellen verankern.</t>
  </si>
  <si>
    <t xml:space="preserve">PERS.2.2</t>
  </si>
  <si>
    <t xml:space="preserve">Rollen</t>
  </si>
  <si>
    <t xml:space="preserve">Eine Rolle beschreibt eine Stelle oder Personalposition innerhalb des ISMS. Sie benennt die Aufgaben der Position und die dazu erforderlichen Qualifikationsvoraussetzungen. Beispiele: Teamleiter, Entwickler, Admin, Sicherheitsanalyst, Fachaufgabenverantwortlicher.</t>
  </si>
  <si>
    <t xml:space="preserve">für alle Tätigkeiten im Geltungsbereich Rollen</t>
  </si>
  <si>
    <t xml:space="preserve">Personal SOLLTE für alle Tätigkeiten im Geltungsbereich Rollen mit Zielen, Aufgaben, erforderlichen Kompetenzen und Qualifikationen verankern.</t>
  </si>
  <si>
    <t xml:space="preserve">PERS.2.3</t>
  </si>
  <si>
    <t xml:space="preserve">Rollentrennung</t>
  </si>
  <si>
    <t xml:space="preserve">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</si>
  <si>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 xml:space="preserve">für unvereinbare Aufgaben eine Rollentrennung</t>
  </si>
  <si>
    <t xml:space="preserve">Personal SOLLTE für unvereinbare Aufgaben eine Rollentrennung verankern.</t>
  </si>
  <si>
    <t xml:space="preserve">PERS.2.3.1</t>
  </si>
  <si>
    <t xml:space="preserve">Personal SOLLTE zwischen Administration von Verzeichnisdiensten und Pflege der verwalteten Daten eine Rollentrennung verankern.</t>
  </si>
  <si>
    <t xml:space="preserve">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</si>
  <si>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 xml:space="preserve">zwischen Administration von Verzeichnisdiensten und Pflege der verwalteten Daten eine Rollentrennung</t>
  </si>
  <si>
    <t xml:space="preserve">PERS.2.3.2</t>
  </si>
  <si>
    <t xml:space="preserve">Personal SOLLTE zwischen Administration von virtuellen Systemen und Virtualisierungslösungen eine Rollentrennung verankern.</t>
  </si>
  <si>
    <t xml:space="preserve">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</si>
  <si>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 xml:space="preserve">zwischen Administration von virtuellen Systemen und Virtualisierungslösungen eine Rollentrennung</t>
  </si>
  <si>
    <t xml:space="preserve">PERS.2.3.3</t>
  </si>
  <si>
    <t xml:space="preserve">Personal SOLLTE zwischen Implementierung von Sicherheitsanforderungen und deren Überprüfung eine Rollentrennung verankern.</t>
  </si>
  <si>
    <t xml:space="preserve">Fehlt eine Rollentrennung zwischen Umsetzung und Überprüfung von Sicherheitsmaßnahmen, so besteht ein Interessenkonflikt zwischen der Aufgabe korrekter Implementierung und dem Finden von weiterem Verbesserungspotenzial oder Mängeln bei einer Überprüfung.</t>
  </si>
  <si>
    <t xml:space="preserve">zwischen Implementierung von Sicherheitsanforderungen und deren Überprüfung eine Rollentrennung</t>
  </si>
  <si>
    <t xml:space="preserve">PERS.2.3.4</t>
  </si>
  <si>
    <t xml:space="preserve">Personal SOLLTE zwischen Implementierung und Test eine Rollentrennung verankern.</t>
  </si>
  <si>
    <t xml:space="preserve">Liegen Implementierung von Funktionen und Änderungen, sowie deren Test in derselben Hand, so werden Probleme durch Nachlässigkeit oder Versehen leicht übersehen.</t>
  </si>
  <si>
    <t xml:space="preserve">zwischen Implementierung und Test eine Rollentrennung</t>
  </si>
  <si>
    <t xml:space="preserve">G 0.18 – Fehlplanung oder fehlende Anpassung; G 0.26 – Fehlfunktion von Geräten oder Systemen; G 0.33 – Personalausfall; G 0.28 – Software-Schwachstellen oder -Fehler</t>
  </si>
  <si>
    <t xml:space="preserve">PERS.2.4</t>
  </si>
  <si>
    <t xml:space="preserve">Zuständigkeiten</t>
  </si>
  <si>
    <t xml:space="preserve">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</si>
  <si>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 xml:space="preserve">Zuständigkeiten für die Rollen</t>
  </si>
  <si>
    <t xml:space="preserve">Personal SOLLTE Zuständigkeiten für die Rollen zuweisen.</t>
  </si>
  <si>
    <t xml:space="preserve">PERS.3.1</t>
  </si>
  <si>
    <t xml:space="preserve">Dienst- oder Arbeitsvertrag</t>
  </si>
  <si>
    <t xml:space="preserve">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</si>
  <si>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 xml:space="preserve">Arbeitsvertrag</t>
  </si>
  <si>
    <t xml:space="preserve">die vertrauliche Behandlung von Betriebs- und Geschäftsgeheimnissen</t>
  </si>
  <si>
    <t xml:space="preserve">G 0.31 – Fehlerhafte Nutzung oder Administration von Geräten und Systemen; G 0.33 – Personalausfall; G 0.32 – Missbrauch von Berechtigungen; G 0.35 – Nötigung, Erpressung oder Korruption</t>
  </si>
  <si>
    <t xml:space="preserve">Personal für Mitarbeitende SOLLTE die vertrauliche Behandlung von Betriebs- und Geschäftsgeheimnissen vereinbaren.</t>
  </si>
  <si>
    <t xml:space="preserve">PERS.3.2</t>
  </si>
  <si>
    <t xml:space="preserve">Verfahrensanweisungen</t>
  </si>
  <si>
    <t xml:space="preserve">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</si>
  <si>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 xml:space="preserve">explizit zur Einhaltung von Verfahrensanweisungen</t>
  </si>
  <si>
    <t xml:space="preserve">Personal für Mitarbeitende SOLLTE explizit zur Einhaltung von Verfahrensanweisungen bei Neuzugang anweisen.</t>
  </si>
  <si>
    <t xml:space="preserve">PERS.3.3</t>
  </si>
  <si>
    <t xml:space="preserve">Betriebs- und Geschäftsgeheimnisse</t>
  </si>
  <si>
    <t xml:space="preserve">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</si>
  <si>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 xml:space="preserve">zum Umgang mit definierten Betriebs- und Geschäftsgeheimnissen</t>
  </si>
  <si>
    <t xml:space="preserve">Personal für Mitarbeitende SOLLTE zum Umgang mit definierten Betriebs- und Geschäftsgeheimnissen bei Neuzugang anweisen.</t>
  </si>
  <si>
    <t xml:space="preserve">PERS.3.4</t>
  </si>
  <si>
    <t xml:space="preserve">Stellenbeschreibungen</t>
  </si>
  <si>
    <t xml:space="preserve">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</si>
  <si>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 xml:space="preserve">Personal SOLLTE Stellenbeschreibungen vor Ausschreibung zu besetzender Stellen dokumentieren.</t>
  </si>
  <si>
    <t xml:space="preserve">PERS.3.5</t>
  </si>
  <si>
    <t xml:space="preserve">Prüfung der Bewerbungsunterlagen</t>
  </si>
  <si>
    <t xml:space="preserve">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</si>
  <si>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 xml:space="preserve">die Qualifikation von Bewerbenden anhand der Bewerbungsunterlagen</t>
  </si>
  <si>
    <t xml:space="preserve">Personal SOLLTE die Qualifikation von Bewerbenden anhand der Bewerbungsunterlagen vor der Besetzung von Stellen testen.</t>
  </si>
  <si>
    <t xml:space="preserve">PERS.3.6</t>
  </si>
  <si>
    <t xml:space="preserve">Vertrauenswürdigkeit von Bewerbenden</t>
  </si>
  <si>
    <t xml:space="preserve">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</si>
  <si>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 xml:space="preserve">die Vertrauenswürdigkeit von Bewerbenden</t>
  </si>
  <si>
    <t xml:space="preserve">Personal SOLLTE die Vertrauenswürdigkeit von Bewerbenden vor der Besetzung von Stellen testen.</t>
  </si>
  <si>
    <t xml:space="preserve">PERS.3.6.1</t>
  </si>
  <si>
    <t xml:space="preserve">Personal KANN eine Sicherheitsüberprüfung vor der Besetzung von sicherheitsrelevanten Stellen ausführen.</t>
  </si>
  <si>
    <t xml:space="preserve">ORP.2.A13-UA.2</t>
  </si>
  <si>
    <t xml:space="preserve">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</si>
  <si>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 xml:space="preserve">eine Sicherheitsüberprüfung</t>
  </si>
  <si>
    <t xml:space="preserve">PERS.3.7</t>
  </si>
  <si>
    <t xml:space="preserve">Einarbeitung</t>
  </si>
  <si>
    <t xml:space="preserve">ORP.2.A1-UA.1; ORP.2.A1-UA.3</t>
  </si>
  <si>
    <t xml:space="preserve">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</si>
  <si>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 xml:space="preserve">eine Einarbeitung</t>
  </si>
  <si>
    <t xml:space="preserve">Personal für Mitarbeitende SOLLTE eine Einarbeitung bei Neuzugang ausführen.</t>
  </si>
  <si>
    <t xml:space="preserve">PERS.4.1</t>
  </si>
  <si>
    <t xml:space="preserve">Qualifikationsbedarf</t>
  </si>
  <si>
    <t xml:space="preserve">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</si>
  <si>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 xml:space="preserve">den Bedarf an Qualifikationsmaßnahmen anhand der Aufgaben</t>
  </si>
  <si>
    <t xml:space="preserve">Personal für Mitarbeitende SOLLTE den Bedarf an Qualifikationsmaßnahmen anhand der Aufgaben regelmäßig überprüfen.</t>
  </si>
  <si>
    <t xml:space="preserve">PERS.4.2</t>
  </si>
  <si>
    <t xml:space="preserve">Rollenspezifische Schulungen und Sensibilisierungen</t>
  </si>
  <si>
    <t xml:space="preserve">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</si>
  <si>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 xml:space="preserve">rollenspezifische Schulungen und Sensibilisierungen</t>
  </si>
  <si>
    <t xml:space="preserve">G 0.42 – Social Engineering</t>
  </si>
  <si>
    <t xml:space="preserve">Personal für Nutzende SOLLTE rollenspezifische Schulungen und Sensibilisierungen im Einklang mit den Anforderungen der Praktik Sensibilisierung bei Neuzugang und regelmäßig ausführen.</t>
  </si>
  <si>
    <t xml:space="preserve">PERS.4.2.1</t>
  </si>
  <si>
    <t xml:space="preserve">Personal für Administrierende SOLLTE produktspezifische Schulungen zum Umgang mit administrativen Werkzeugen bei Neuzugang und dem Einsatz neuer IT-Produkte ausführen.</t>
  </si>
  <si>
    <t xml:space="preserve">APP.3.4.A12-UA.1</t>
  </si>
  <si>
    <t xml:space="preserve">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</si>
  <si>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 xml:space="preserve">produktspezifische Schulungen zum Umgang mit administrativen Werkzeugen</t>
  </si>
  <si>
    <t xml:space="preserve">PERS.5.1</t>
  </si>
  <si>
    <t xml:space="preserve">Maßregelung</t>
  </si>
  <si>
    <t xml:space="preserve">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</si>
  <si>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 xml:space="preserve">ein Verfahren zur Maßregelung</t>
  </si>
  <si>
    <t xml:space="preserve">Personal SOLLTE ein Verfahren zur Maßregelung verankern.</t>
  </si>
  <si>
    <t xml:space="preserve">PERS.5.2</t>
  </si>
  <si>
    <t xml:space="preserve">Innentäter</t>
  </si>
  <si>
    <t xml:space="preserve">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</si>
  <si>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 xml:space="preserve">ein interdisziplinäres Verfahren zum Umgang mit potenziellen Innentätern</t>
  </si>
  <si>
    <t xml:space="preserve">Personal SOLLTE ein interdisziplinäres Verfahren zum Umgang mit potenziellen Innentätern verankern.</t>
  </si>
  <si>
    <t xml:space="preserve">PERS.5.3</t>
  </si>
  <si>
    <t xml:space="preserve">Vertrauens-Check sicherheitskritischer Rollen</t>
  </si>
  <si>
    <t xml:space="preserve">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</si>
  <si>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 xml:space="preserve">die Vertrauenswürdigkeit für {{definierte sicherheitskritische Rollen}}</t>
  </si>
  <si>
    <t xml:space="preserve">Personal SOLLTE die Vertrauenswürdigkeit für definierte sicherheitskritische Rollen regelmäßig und anlassbezogen überprüfen.</t>
  </si>
  <si>
    <t xml:space="preserve">PERS.6.1</t>
  </si>
  <si>
    <t xml:space="preserve">Vorgehensweise für den Weggang</t>
  </si>
  <si>
    <t xml:space="preserve">ORP.2.A2-UA.10</t>
  </si>
  <si>
    <t xml:space="preserve">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</si>
  <si>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 xml:space="preserve">eine Vorgehensweise für den Weggang</t>
  </si>
  <si>
    <t xml:space="preserve">Personal für Nutzende SOLLTE eine Vorgehensweise für den Weggang verankern.</t>
  </si>
  <si>
    <t xml:space="preserve">PERS.6.1.1</t>
  </si>
  <si>
    <t xml:space="preserve">Personal für Nutzende SOLLTE bei Weggang den unverzüglichen Entzug aller Zugriffsrechte im Einklang mit den Regelungen und Verfahren zum Berechtigungs- und Identitätsmanagement verankern.</t>
  </si>
  <si>
    <t xml:space="preserve">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</si>
  <si>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 xml:space="preserve">bei Weggang den unverzüglichen Entzug aller Zugriffsrechte</t>
  </si>
  <si>
    <t xml:space="preserve">PERS.6.1.2</t>
  </si>
  <si>
    <t xml:space="preserve">Personal für Mitarbeitende SOLLTE bei Weggang frei gewordene Zuständigkeiten zuweisen.</t>
  </si>
  <si>
    <t xml:space="preserve">ORP.2.A2-UA.1</t>
  </si>
  <si>
    <t xml:space="preserve">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</si>
  <si>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 xml:space="preserve">bei Weggang frei gewordene Zuständigkeiten</t>
  </si>
  <si>
    <t xml:space="preserve">REA.1.1</t>
  </si>
  <si>
    <t xml:space="preserve">APP.3.2.A20-UA.2; DER.2.1.A1-UA.1; DER.2.1.A2-UA.1; DER.2.1.A7-UA.1</t>
  </si>
  <si>
    <t xml:space="preserve">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</si>
  <si>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 xml:space="preserve">Prozess Behandlung von Sicherheitsvorfällen</t>
  </si>
  <si>
    <t xml:space="preserve">Verfahren und Regelungen zur Behandlung von Sicherheitsvorfällen</t>
  </si>
  <si>
    <t xml:space="preserve">REA.1.1.1</t>
  </si>
  <si>
    <t xml:space="preserve">Sicherheitsvorfallsbehandlung MUSS die Verfahren und Regelungen dokumentieren.</t>
  </si>
  <si>
    <t xml:space="preserve">REA.1.1.2</t>
  </si>
  <si>
    <t xml:space="preserve">Sicherheitsvorfallsbehandlung MUSS die mit den Verfahren und Regelungen verbundenen Aufgaben zuständigen Personen oder Rollen zuweisen.</t>
  </si>
  <si>
    <t xml:space="preserve">APP.3.2.A20-UA.2</t>
  </si>
  <si>
    <t xml:space="preserve">REA.1.1.3</t>
  </si>
  <si>
    <t xml:space="preserve">Sicherheitsvorfallsbehandlung MUSS die zuständigen Personen oder Rollen über die Verfahren und Regelungen informieren.</t>
  </si>
  <si>
    <t xml:space="preserve">REA.1.2</t>
  </si>
  <si>
    <t xml:space="preserve">DER.2.1.A2-UA.8; DER.2.1.A7-UA.4</t>
  </si>
  <si>
    <t xml:space="preserve">Sicherheitsvorfallsbehandlung MUSS die Verfahren und Regelungen regelmäßig und anlassbezogen auf Aktualität überprüfen.</t>
  </si>
  <si>
    <t xml:space="preserve">REA.1.3</t>
  </si>
  <si>
    <t xml:space="preserve">Übungen zur Vorfallsbehandlung</t>
  </si>
  <si>
    <t xml:space="preserve">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</si>
  <si>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 xml:space="preserve">die Abwehrfähigkeit durch Übungen</t>
  </si>
  <si>
    <t xml:space="preserve">Sicherheitsvorfallsbehandlung KANN die Abwehrfähigkeit durch Übungen regelmäßig überprüfen.</t>
  </si>
  <si>
    <t xml:space="preserve">REA.2.1</t>
  </si>
  <si>
    <t xml:space="preserve">Triage und Erstreaktion</t>
  </si>
  <si>
    <t xml:space="preserve">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</si>
  <si>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 xml:space="preserve">Behandlung von Sicherheitsvorfällen</t>
  </si>
  <si>
    <t xml:space="preserve">Meldungen einer Priorität</t>
  </si>
  <si>
    <t xml:space="preserve">G 0.39 – Schadprogramme; G 0.47 – Schädliche Seiteneffekte IT-gestützter Angriffe; G 0.23 – Unbefugtes Eindringen in IT-Systeme; G 0.40 – Verhinderung von Diensten (Denial of Service)</t>
  </si>
  <si>
    <t xml:space="preserve">Sicherheitsvorfallsbehandlung SOLLTE Meldungen einer Priorität zuweisen.</t>
  </si>
  <si>
    <t xml:space="preserve">REA.2.2</t>
  </si>
  <si>
    <t xml:space="preserve">Automatische Erstreaktion</t>
  </si>
  <si>
    <t xml:space="preserve">Die automatische Erstreaktion kann je nach Risikoprofil durch institutionseigene Host- oder Network Intrusion Prevention Systeme (HIPS / NIPS) oder eine vergleichbare Cloud-Lösung umgesetzt werden.</t>
  </si>
  <si>
    <t xml:space="preserve">eine automatische Erstreaktion</t>
  </si>
  <si>
    <t xml:space="preserve">Sicherheitsvorfallsbehandlung KANN eine automatische Erstreaktion aktivieren.</t>
  </si>
  <si>
    <t xml:space="preserve">REA.2.3</t>
  </si>
  <si>
    <t xml:space="preserve">Dokumentation von Vorfällen</t>
  </si>
  <si>
    <t xml:space="preserve">DER.2.1.A16-UA.1</t>
  </si>
  <si>
    <t xml:space="preserve">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</si>
  <si>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 xml:space="preserve">den Vorfall</t>
  </si>
  <si>
    <t xml:space="preserve">G 0.39 – Schadprogramme; G 0.47 – Schädliche Seiteneffekte IT-gestützter Angriffe; G 0.37 – Abstreiten von Handlungen; G 0.23 – Unbefugtes Eindringen in IT-Systeme</t>
  </si>
  <si>
    <t xml:space="preserve">Sicherheitsvorfallsbehandlung SOLLTE den Vorfall dokumentieren.</t>
  </si>
  <si>
    <t xml:space="preserve">REA.2.4</t>
  </si>
  <si>
    <t xml:space="preserve">Diagnosedaten</t>
  </si>
  <si>
    <t xml:space="preserve">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</si>
  <si>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 xml:space="preserve">Diagnosemethoden</t>
  </si>
  <si>
    <t xml:space="preserve">Sicherheitsvorfallsbehandlung SOLLTE Diagnosemethoden für den Fall, dass der Vorfall sich mit den standardisiert erfassten Informationen nicht ausreichend analysieren lässt, verankern.</t>
  </si>
  <si>
    <t xml:space="preserve">REA.2.5</t>
  </si>
  <si>
    <t xml:space="preserve">IT-Forensik</t>
  </si>
  <si>
    <t xml:space="preserve">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</si>
  <si>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 xml:space="preserve">eine forensische Analyse</t>
  </si>
  <si>
    <t xml:space="preserve">G 0.39 – Schadprogramme; G 0.47 – Schädliche Seiteneffekte IT-gestützter Angriffe; G 0.18 – Fehlplanung oder fehlende Anpassung</t>
  </si>
  <si>
    <t xml:space="preserve">Sicherheitsvorfallsbehandlung SOLLTE eine forensische Analyse bei Vorfällen, die bestimmte Kriterien erfüllen, ausführen.</t>
  </si>
  <si>
    <t xml:space="preserve">REA.2.5.1</t>
  </si>
  <si>
    <t xml:space="preserve">Sicherheitsvorfallsbehandlung SOLLTE rechtlich relevante Beweise rechtssicher dokumentieren.</t>
  </si>
  <si>
    <t xml:space="preserve">DER.2.2.A11-UA.1</t>
  </si>
  <si>
    <t xml:space="preserve">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</si>
  <si>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 xml:space="preserve">rechtlich relevante Beweise</t>
  </si>
  <si>
    <t xml:space="preserve">G 0.39 – Schadprogramme; G 0.47 – Schädliche Seiteneffekte IT-gestützter Angriffe</t>
  </si>
  <si>
    <t xml:space="preserve">REA.2.5.2</t>
  </si>
  <si>
    <t xml:space="preserve">Sicherheitsvorfallsbehandlung KANN zur Forensik ein Vier-Augen-Prinzip verankern.</t>
  </si>
  <si>
    <t xml:space="preserve">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</si>
  <si>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 xml:space="preserve">zur Forensik ein Vier-Augen-Prinzip</t>
  </si>
  <si>
    <t xml:space="preserve">REA.2.5.3</t>
  </si>
  <si>
    <t xml:space="preserve">Sicherheitsvorfallsbehandlung KANN die Bereitschaft eines Forensik-Dienstleisters binnen einer Frist vereinbaren.</t>
  </si>
  <si>
    <t xml:space="preserve">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</si>
  <si>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 xml:space="preserve">die Bereitschaft eines Forensik-Dienstleisters</t>
  </si>
  <si>
    <t xml:space="preserve">REA.2.6</t>
  </si>
  <si>
    <t xml:space="preserve">Ursachenanalyse und Behandlung</t>
  </si>
  <si>
    <t xml:space="preserve">DER.2.1.A5-UA.4</t>
  </si>
  <si>
    <t xml:space="preserve">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</si>
  <si>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 xml:space="preserve">eine Vorgehensweise zur Ursachenanalyse und Behandlung</t>
  </si>
  <si>
    <t xml:space="preserve">Sicherheitsvorfallsbehandlung SOLLTE eine Vorgehensweise zur Ursachenanalyse und Behandlung verankern.</t>
  </si>
  <si>
    <t xml:space="preserve">REA.2.6.1</t>
  </si>
  <si>
    <t xml:space="preserve">Sicherheitsvorfallsbehandlung SOLLTE die zur Behandlung durchgeführten Tätigkeiten dokumentieren.</t>
  </si>
  <si>
    <t xml:space="preserve">die zur Behandlung durchgeführten Tätigkeiten</t>
  </si>
  <si>
    <t xml:space="preserve">G 0.39 – Schadprogramme; G 0.47 – Schädliche Seiteneffekte IT-gestützter Angriffe; G 0.18 – Fehlplanung oder fehlende Anpassung; G 0.37 – Abstreiten von Handlungen</t>
  </si>
  <si>
    <t xml:space="preserve">REA.2.6.2</t>
  </si>
  <si>
    <t xml:space="preserve">Sicherheitsvorfallsbehandlung SOLLTE eine Vorgehensweise zur Kommunikation bei Vorfällen unter Berücksichtigung von Compliance-Verpflichtungen, Bedürfnissen der interessierten Parteien und der Geschäftsziele verankern.</t>
  </si>
  <si>
    <t xml:space="preserve">DER.2.1.A9-UA.4</t>
  </si>
  <si>
    <t xml:space="preserve">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</si>
  <si>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 xml:space="preserve">eine Vorgehensweise zur Kommunikation bei Vorfällen</t>
  </si>
  <si>
    <t xml:space="preserve">REA.2.6.2.1</t>
  </si>
  <si>
    <t xml:space="preserve">Sicherheitsvorfallsbehandlung SOLLTE bei Vorfällen die zuständigen Behörden im Einklang mit den Compliance-Verpflichtungen informieren.</t>
  </si>
  <si>
    <t xml:space="preserve">bei Vorfällen die zuständigen Behörden</t>
  </si>
  <si>
    <t xml:space="preserve">REA.2.6.3</t>
  </si>
  <si>
    <t xml:space="preserve">Sicherheitsvorfallsbehandlung SOLLTE die Koordinierung bei Vorfällen verankern.</t>
  </si>
  <si>
    <t xml:space="preserve">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</si>
  <si>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 xml:space="preserve">die Koordinierung bei Vorfällen</t>
  </si>
  <si>
    <t xml:space="preserve">REA.2.6.4</t>
  </si>
  <si>
    <t xml:space="preserve">Sicherheitsvorfallsbehandlung KANN Service Level verankern.</t>
  </si>
  <si>
    <t xml:space="preserve">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</si>
  <si>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 xml:space="preserve">Service Level</t>
  </si>
  <si>
    <t xml:space="preserve">REA.2.6.5</t>
  </si>
  <si>
    <t xml:space="preserve">Sicherheitsvorfallsbehandlung SOLLTE eine Eskalationsleiter verankern.</t>
  </si>
  <si>
    <t xml:space="preserve">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</si>
  <si>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 xml:space="preserve">eine Eskalationsleiter</t>
  </si>
  <si>
    <t xml:space="preserve">REA.3.1</t>
  </si>
  <si>
    <t xml:space="preserve">Verbesserung durch Erkenntnisse</t>
  </si>
  <si>
    <t xml:space="preserve">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</si>
  <si>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 xml:space="preserve">bisherige Maßnahmen anhand von Erkenntnissen aus Informationssicherheitsvorfällen</t>
  </si>
  <si>
    <t xml:space="preserve">Sicherheitsvorfallsbehandlung SOLLTE bisherige Maßnahmen anhand von Erkenntnissen aus Informationssicherheitsvorfällen regelmäßig überprüfen.</t>
  </si>
  <si>
    <t xml:space="preserve">REA.3.1.1</t>
  </si>
  <si>
    <t xml:space="preserve">Sicherheitsvorfallsbehandlung SOLLTE Erkenntnisse einschließlich Art, Umfang und Schäden des Vorfalls dokumentieren.</t>
  </si>
  <si>
    <t xml:space="preserve">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</si>
  <si>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 xml:space="preserve">Erkenntnisse</t>
  </si>
  <si>
    <t xml:space="preserve">RISK.1.1</t>
  </si>
  <si>
    <t xml:space="preserve">Diese Methoden müssen den Kontext der Institution und die Anforderungen interessierter Parteien sowie die hieraus abgeleiteten Ziele berücksichtigen. Die Methoden können frei gewählt werden.</t>
  </si>
  <si>
    <t xml:space="preserve">Richtlinie zur Risikoanalyse</t>
  </si>
  <si>
    <t xml:space="preserve">einheitliche Methoden</t>
  </si>
  <si>
    <t xml:space="preserve">Risikomanagement MUSS einheitliche Methoden nach einem anerkannten Standard verankern.</t>
  </si>
  <si>
    <t xml:space="preserve">RISK.1.3</t>
  </si>
  <si>
    <t xml:space="preserve">Risikoeigentümer</t>
  </si>
  <si>
    <t xml:space="preserve">Der Risikoeigentümer trägt die Verantwortung für die Behandlung von Risiken. Er verfügt über die Befugnis, Entscheidungen über eine geeignete Risikobehandlung zu treffen.</t>
  </si>
  <si>
    <t xml:space="preserve">die Rolle des Risikoeigentümers</t>
  </si>
  <si>
    <t xml:space="preserve">Risikomanagement MUSS die Rolle des Risikoeigentümers mit den notwendigen Aufgaben und Befugnissen verankern.</t>
  </si>
  <si>
    <t xml:space="preserve">RISK.1.5</t>
  </si>
  <si>
    <t xml:space="preserve">Freigabe des Risikomanagements</t>
  </si>
  <si>
    <t xml:space="preserve">Diese Dokumentation der Autorisierung dient der Nachvollziehbarkeit und Verbindlichkeit.</t>
  </si>
  <si>
    <t xml:space="preserve">Verfahren, Rollendefinitionen und Kriterien</t>
  </si>
  <si>
    <t xml:space="preserve">Risikomanagement MUSS Verfahren, Rollendefinitionen und Kriterien durch die Institutionsleitung autorisieren.</t>
  </si>
  <si>
    <t xml:space="preserve">RISK.1.10</t>
  </si>
  <si>
    <t xml:space="preserve">Freigabe der Umsetzungsplanung</t>
  </si>
  <si>
    <t xml:space="preserve">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</si>
  <si>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 xml:space="preserve">Umsetzungsplan</t>
  </si>
  <si>
    <t xml:space="preserve">die Umsetzungsplanung</t>
  </si>
  <si>
    <t xml:space="preserve">Risikomanagement MUSS die Umsetzungsplanung durch die Risikoeigentümer autorisieren.</t>
  </si>
  <si>
    <t xml:space="preserve">SENS.1.1</t>
  </si>
  <si>
    <t xml:space="preserve">ORP.3.A9-UA.1</t>
  </si>
  <si>
    <t xml:space="preserve">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</si>
  <si>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 xml:space="preserve">Verfahren und Regelungen zur rollenspezifischen Schulung und Sensibilisierung</t>
  </si>
  <si>
    <t xml:space="preserve">SENS.1.1.1</t>
  </si>
  <si>
    <t xml:space="preserve">Sensibilisierung MUSS die Verfahren und Regelungen dokumentieren.</t>
  </si>
  <si>
    <t xml:space="preserve">SENS.1.1.2</t>
  </si>
  <si>
    <t xml:space="preserve">Sensibilisierung MUSS die mit den Verfahren und Regelungen verbundenen Aufgaben zuständigen Personen oder Rollen zuweisen.</t>
  </si>
  <si>
    <t xml:space="preserve">SENS.1.1.3</t>
  </si>
  <si>
    <t xml:space="preserve">Sensibilisierung MUSS die zuständigen Personen oder Rollen über die Verfahren und Regelungen informieren.</t>
  </si>
  <si>
    <t xml:space="preserve">SENS.1.2</t>
  </si>
  <si>
    <t xml:space="preserve">Erfolgsmessung</t>
  </si>
  <si>
    <t xml:space="preserve">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</si>
  <si>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 xml:space="preserve">den Erfolg der Sensibilisierung anhand {{objektivierter Kriterien}}</t>
  </si>
  <si>
    <t xml:space="preserve">Sensibilisierung SOLLTE den Erfolg der Sensibilisierung anhand objektivierter Kriterien regelmäßig überprüfen.</t>
  </si>
  <si>
    <t xml:space="preserve">SENS.2.1</t>
  </si>
  <si>
    <t xml:space="preserve">Schutzziele</t>
  </si>
  <si>
    <t xml:space="preserve">Für die grundlegende Schulung kann z.B. auf den Online-Kurs des BSI zum IT-Grundschutz zurückgegriffen werden.</t>
  </si>
  <si>
    <t xml:space="preserve">zu den Schutzzielen Verfügbarkeit, Vertraulichkeit und Integrität</t>
  </si>
  <si>
    <t xml:space="preserve">G 0.31 – Fehlerhafte Nutzung oder Administration von Geräten und Systemen; G 0.42 – Social Engineering</t>
  </si>
  <si>
    <t xml:space="preserve">Sensibilisierung für Nutzende SOLLTE zu den Schutzzielen Verfügbarkeit, Vertraulichkeit und Integrität sensibilisieren.</t>
  </si>
  <si>
    <t xml:space="preserve">SENS.2.2</t>
  </si>
  <si>
    <t xml:space="preserve">Meldewege</t>
  </si>
  <si>
    <t xml:space="preserve">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</si>
  <si>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 xml:space="preserve">zu den Meldewegen und Informationsquellen bei Fragen</t>
  </si>
  <si>
    <t xml:space="preserve">Sensibilisierung für Nutzende SOLLTE zu den Meldewegen und Informationsquellen bei Fragen informieren.</t>
  </si>
  <si>
    <t xml:space="preserve">SENS.2.3</t>
  </si>
  <si>
    <t xml:space="preserve">Verschlüsselung und Signatur</t>
  </si>
  <si>
    <t xml:space="preserve">APP.1.1.A17-UA.5</t>
  </si>
  <si>
    <t xml:space="preserve">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</si>
  <si>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 xml:space="preserve">Nutzende, Anwendungen</t>
  </si>
  <si>
    <t xml:space="preserve">zur Bedienung von Verschlüsselungs- und Signaturfunktionen</t>
  </si>
  <si>
    <t xml:space="preserve">Sensibilisierung für Nutzende von Anwendungen SOLLTE zur Bedienung von Verschlüsselungs- und Signaturfunktionen sensibilisieren.</t>
  </si>
  <si>
    <t xml:space="preserve">SENS.2.4</t>
  </si>
  <si>
    <t xml:space="preserve">Nutzung unautorisierter Assets</t>
  </si>
  <si>
    <t xml:space="preserve">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</si>
  <si>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 xml:space="preserve">die Nutzung unautorisierter Assets</t>
  </si>
  <si>
    <t xml:space="preserve">Sensibilisierung für Nutzende SOLLTE die Nutzung unautorisierter Assets untersagen.</t>
  </si>
  <si>
    <t xml:space="preserve">SENS.2.4.1</t>
  </si>
  <si>
    <t xml:space="preserve">Sensibilisierung für Nutzende SOLLTE die Verbindung unautorisierter IT-Systeme mit internen Netzen oder Schnittstellen untersagen.</t>
  </si>
  <si>
    <t xml:space="preserve">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</si>
  <si>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 xml:space="preserve">die Verbindung unautorisierter IT-Systeme mit internen Netzen oder Schnittstellen</t>
  </si>
  <si>
    <t xml:space="preserve">SENS.2.5</t>
  </si>
  <si>
    <t xml:space="preserve">Zuständigkeitsbereiche</t>
  </si>
  <si>
    <t xml:space="preserve">Hiermit ist der Schutzbedarf des Zuständigkeitsbereichs des jeweiligen Nutzenden gemeint. Die Schnittstellen zu anderen Zuständigkeitsbereichen und deren entsprechender Schutzbedarf ist ebenfalls zu betrachten.</t>
  </si>
  <si>
    <t xml:space="preserve">zu Schutzbedarf und Schnittstellen</t>
  </si>
  <si>
    <t xml:space="preserve">Sensibilisierung für Nutzende SOLLTE zu Schutzbedarf und Schnittstellen in ihrem Zuständigkeitssbereich sensibilisieren.</t>
  </si>
  <si>
    <t xml:space="preserve">SENS.2.6</t>
  </si>
  <si>
    <t xml:space="preserve">Umgehung von Sicherheitsfunktionen</t>
  </si>
  <si>
    <t xml:space="preserve">APP.1.1.A17-UA.3</t>
  </si>
  <si>
    <t xml:space="preserve">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</si>
  <si>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 xml:space="preserve">gegen die Umgehung von Sicherheitsfunktionen</t>
  </si>
  <si>
    <t xml:space="preserve">Sensibilisierung für Nutzende SOLLTE gegen die Umgehung von Sicherheitsfunktionen sensibilisieren.</t>
  </si>
  <si>
    <t xml:space="preserve">SENS.2.7</t>
  </si>
  <si>
    <t xml:space="preserve">Änderung von Konfigurationen</t>
  </si>
  <si>
    <t xml:space="preserve">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</si>
  <si>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 xml:space="preserve">gegen die unautorisierte Änderung sicherheitsrelevanter Konfigurationen</t>
  </si>
  <si>
    <t xml:space="preserve">Sensibilisierung für Nutzende SOLLTE gegen die unautorisierte Änderung sicherheitsrelevanter Konfigurationen sensibilisieren.</t>
  </si>
  <si>
    <t xml:space="preserve">SENS.2.8</t>
  </si>
  <si>
    <t xml:space="preserve">Melden von Ereignissen</t>
  </si>
  <si>
    <t xml:space="preserve">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</si>
  <si>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 xml:space="preserve">zum Melden von sicherheitsrelevanten Ereignissen</t>
  </si>
  <si>
    <t xml:space="preserve">Sensibilisierung für Nutzende SOLLTE zum Melden von sicherheitsrelevanten Ereignissen anweisen.</t>
  </si>
  <si>
    <t xml:space="preserve">SENS.2.8.1</t>
  </si>
  <si>
    <t xml:space="preserve">Sensibilisierung für Nutzende SOLLTE zum Melden von Fehler- und Warnmeldungen sensibilisieren.</t>
  </si>
  <si>
    <t xml:space="preserve">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</si>
  <si>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 xml:space="preserve">zum Melden von Fehler- und Warnmeldungen</t>
  </si>
  <si>
    <t xml:space="preserve">SENS.3.1</t>
  </si>
  <si>
    <t xml:space="preserve">Schadprogramme</t>
  </si>
  <si>
    <t xml:space="preserve">Viele Dateitypen, wie z. B. Office-Dateien mit Makros, Adobe PDF, .exe, .ps1, oder .vbs, können Schadcode enthalten, der bei Ausführung die Kontrolle über das System übernimmt und Angreifern zur weiteren Ausbreitung im Informationsverbund dient.</t>
  </si>
  <si>
    <t xml:space="preserve">gegen die Risiken von Schadprogrammen</t>
  </si>
  <si>
    <t xml:space="preserve">Sensibilisierung für Nutzende SOLLTE gegen die Risiken von Schadprogrammen sensibilisieren.</t>
  </si>
  <si>
    <t xml:space="preserve">SENS.3.2</t>
  </si>
  <si>
    <t xml:space="preserve">Öffnen in der Sandbox</t>
  </si>
  <si>
    <t xml:space="preserve">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</si>
  <si>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 xml:space="preserve">zum Öffnen verdächtiger Dateien ausschließlich auf einem isolierten IT-System (Sandbox)</t>
  </si>
  <si>
    <t xml:space="preserve">Sensibilisierung für Nutzende KANN zum Öffnen verdächtiger Dateien ausschließlich auf einem isolierten IT-System (Sandbox) sensibilisieren.</t>
  </si>
  <si>
    <t xml:space="preserve">SENS.3.3</t>
  </si>
  <si>
    <t xml:space="preserve">Umwandeln verdächtiger Dateien</t>
  </si>
  <si>
    <t xml:space="preserve">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</si>
  <si>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 xml:space="preserve">zum Umwandeln verdächtiger Dateien in ein nicht-ausführbares Format</t>
  </si>
  <si>
    <t xml:space="preserve">Sensibilisierung für Nutzende KANN zum Umwandeln verdächtiger Dateien in ein nicht-ausführbares Format vor der weiteren Verwendung sensibilisieren.</t>
  </si>
  <si>
    <t xml:space="preserve">SENS.4.1</t>
  </si>
  <si>
    <t xml:space="preserve">Personengebundene Authentisierungsmittel</t>
  </si>
  <si>
    <t xml:space="preserve">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</si>
  <si>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 xml:space="preserve">zum Umgang mit Authentisierungsmitteln</t>
  </si>
  <si>
    <t xml:space="preserve">G 0.30 – Unberechtigte Nutzung oder Administration von Geräten und Systemen; G 0.36 – Identitätsdiebstahl; G 0.23 – Unbefugtes Eindringen in IT-Systeme</t>
  </si>
  <si>
    <t xml:space="preserve">Sensibilisierung für Nutzende SOLLTE zum Umgang mit Authentisierungsmitteln im Einklang mit den zugehörigen Anforderungen des Identitäts- und Berechtigungsmanagements sensibilisieren.</t>
  </si>
  <si>
    <t xml:space="preserve">SENS.4.1.1</t>
  </si>
  <si>
    <t xml:space="preserve">Sensibilisierung für Nutzende SOLLTE zur verdeckten Eingabe von Zugangsdaten sensibilisieren.</t>
  </si>
  <si>
    <t xml:space="preserve">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</si>
  <si>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 xml:space="preserve">zur verdeckten Eingabe von Zugangsdaten</t>
  </si>
  <si>
    <t xml:space="preserve">SENS.4.1.2</t>
  </si>
  <si>
    <t xml:space="preserve">Sensibilisierung für Nutzende SOLLTE die Wiederverwendung von Passwörtern untersagen.</t>
  </si>
  <si>
    <t xml:space="preserve">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</si>
  <si>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 xml:space="preserve">SENS.4.1.3</t>
  </si>
  <si>
    <t xml:space="preserve">Sensibilisierung für Nutzende SOLLTE zur Wahl ausreichend komplexer Passwörter sensibilisieren.</t>
  </si>
  <si>
    <t xml:space="preserve">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</si>
  <si>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 xml:space="preserve">zur Wahl ausreichend komplexer Passwörter</t>
  </si>
  <si>
    <t xml:space="preserve">SENS.4.1.4</t>
  </si>
  <si>
    <t xml:space="preserve">Sensibilisierung für Nutzende SOLLTE das Speichern oder Aufschreiben von Passwörtern außerhalb von Passwort-Managern untersagen.</t>
  </si>
  <si>
    <t xml:space="preserve">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</si>
  <si>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 xml:space="preserve">das Speichern oder Aufschreiben von Passwörtern außerhalb von Passwort-Managern</t>
  </si>
  <si>
    <t xml:space="preserve">SENS.4.1.5</t>
  </si>
  <si>
    <t xml:space="preserve">Sensibilisierung für Nutzende SOLLTE gegen die Fälschbarkeit von biometrischen Authentifizierungsmerkmalen sensibilisieren.</t>
  </si>
  <si>
    <t xml:space="preserve">APP.1.4.A14-UA.3</t>
  </si>
  <si>
    <t xml:space="preserve">Ein Angreifer könnte z.B. einen Fingerabdruck von einer glatten Oberfläche abnehmen und damit ein Gerät missbräuchlich entsperren.</t>
  </si>
  <si>
    <t xml:space="preserve">gegen die Fälschbarkeit von biometrischen Authentifizierungsmerkmalen</t>
  </si>
  <si>
    <t xml:space="preserve">SENS.4.1.6</t>
  </si>
  <si>
    <t xml:space="preserve">Sensibilisierung für Nutzende SOLLTE die Weitergabe von personengebundenen Authentisierungsmitteln untersagen.</t>
  </si>
  <si>
    <t xml:space="preserve">Personengebundene Authentisierungsmittel sind z.B. Passwörter, Private PKI-Schlüssel oder Mehr-Faktor-Authentifizierungstoken wie Smartcards. Zur Definition von Authentisierungsmitteln siehe Glossar/Namensräume.</t>
  </si>
  <si>
    <t xml:space="preserve">die Weitergabe von personengebundenen Authentisierungsmitteln</t>
  </si>
  <si>
    <t xml:space="preserve">SENS.4.2</t>
  </si>
  <si>
    <t xml:space="preserve">Mehrfachnutzung von Zugängen</t>
  </si>
  <si>
    <t xml:space="preserve">Insbesondere ist die Nutzung eines Benutzerkontos auf einem Endgerät durch mehrere natürliche Personen problematisch.</t>
  </si>
  <si>
    <t xml:space="preserve">gegen die Nutzung eines Zugangskontos durch mehrere Personen</t>
  </si>
  <si>
    <t xml:space="preserve">Sensibilisierung für Nutzende SOLLTE gegen die Nutzung eines Zugangskontos durch mehrere Personen sensibilisieren.</t>
  </si>
  <si>
    <t xml:space="preserve">SENS.4.3</t>
  </si>
  <si>
    <t xml:space="preserve">Abmelden nach Nutzung</t>
  </si>
  <si>
    <t xml:space="preserve">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</si>
  <si>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 xml:space="preserve">zum Abmelden</t>
  </si>
  <si>
    <t xml:space="preserve">Sensibilisierung für Nutzende SOLLTE zum Abmelden nach Nutzung sensibilisieren.</t>
  </si>
  <si>
    <t xml:space="preserve">SENS.5.1</t>
  </si>
  <si>
    <t xml:space="preserve">Datenablage</t>
  </si>
  <si>
    <t xml:space="preserve">Eine strukturierte Datenablage ist eine systematische Organisation von Daten in einer definierten Struktur, z.B. Aktenbestandverzeichnis, Content-Management-System. Dies ist wichtig für eine zentrale Zugriffssteuerung, Datensicherung und effiziente Suche.</t>
  </si>
  <si>
    <t xml:space="preserve">zum Einhalten einer strukturierten Datenablage</t>
  </si>
  <si>
    <t xml:space="preserve">G 0.19 – Offenlegung schützenswerter Informationen; G 0.38 – Missbrauch personenbezogener Daten; G 0.22 – Manipulation von Informationen; G 0.45 – Datenverlust</t>
  </si>
  <si>
    <t xml:space="preserve">Sensibilisierung für Nutzende SOLLTE zum Einhalten einer strukturierten Datenablage sensibilisieren.</t>
  </si>
  <si>
    <t xml:space="preserve">SENS.5.2</t>
  </si>
  <si>
    <t xml:space="preserve">Weitergabe von Informationen</t>
  </si>
  <si>
    <t xml:space="preserve">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</si>
  <si>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 xml:space="preserve">Nutzende, Informationen</t>
  </si>
  <si>
    <t xml:space="preserve">zu den Voraussetzungen der Weitergabe von Informationen</t>
  </si>
  <si>
    <t xml:space="preserve">Sensibilisierung für Nutzende von Informationen SOLLTE zu den Voraussetzungen der Weitergabe von Informationen sensibilisieren.</t>
  </si>
  <si>
    <t xml:space="preserve">SENS.5.3</t>
  </si>
  <si>
    <t xml:space="preserve">Weitergabe von Erreichbarkeiten</t>
  </si>
  <si>
    <t xml:space="preserve">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</si>
  <si>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 xml:space="preserve">die Veröffentlichung oder Weitergabe von Erreichbarkeiten an unbefugte Dritte</t>
  </si>
  <si>
    <t xml:space="preserve">G 0.19 – Offenlegung schützenswerter Informationen; G 0.38 – Missbrauch personenbezogener Daten; G 0.22 – Manipulation von Informationen; G 0.42 – Social Engineering</t>
  </si>
  <si>
    <t xml:space="preserve">Sensibilisierung für Nutzende KANN die Veröffentlichung oder Weitergabe von Erreichbarkeiten an unbefugte Dritte untersagen.</t>
  </si>
  <si>
    <t xml:space="preserve">SENS.5.4</t>
  </si>
  <si>
    <t xml:space="preserve">Rest- und Zusatzdaten</t>
  </si>
  <si>
    <t xml:space="preserve">Rest- und Zusatzinformationen sind z.B. die Metadatenfelder in Office- oder PDF-Dateien, sowie die Änderungshistorie.</t>
  </si>
  <si>
    <t xml:space="preserve">zur Vermeidung oder Entfernung von Rest- und Zusatzdaten</t>
  </si>
  <si>
    <t xml:space="preserve">Sensibilisierung für Nutzende SOLLTE zur Vermeidung oder Entfernung von Rest- und Zusatzdaten vor dem Versand sensibilisieren.</t>
  </si>
  <si>
    <t xml:space="preserve">SENS.5.5</t>
  </si>
  <si>
    <t xml:space="preserve">Löschfristen</t>
  </si>
  <si>
    <t xml:space="preserve">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</si>
  <si>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 xml:space="preserve">zum Löschen oder Vernichten</t>
  </si>
  <si>
    <t xml:space="preserve">G 0.38 – Missbrauch personenbezogener Daten; G 0.45 – Datenverlust; G 0.19 – Offenlegung schützenswerter Informationen; G 0.22 – Manipulation von Informationen</t>
  </si>
  <si>
    <t xml:space="preserve">Sensibilisierung für Nutzende SOLLTE zum Löschen oder Vernichten nach Ablauf der festgelegten Löschfristen anweisen.</t>
  </si>
  <si>
    <t xml:space="preserve">SENS.5.6</t>
  </si>
  <si>
    <t xml:space="preserve">Papiervernichtung</t>
  </si>
  <si>
    <t xml:space="preserve">Gemäß ISO/IEC 21964-2 existieren unterschiedliche Sicherheitsstufen für Vernichtung. Die Granularität der Vernichtung richtet sich dabei nach dem Schutzbedarf der Daten. Sinnvoll ist es daher, das Vorgehen zur Vernichtung an der Einstufung der Daten auszurichten.</t>
  </si>
  <si>
    <t xml:space="preserve">zum Vernichten vertraulicher Dokumente</t>
  </si>
  <si>
    <t xml:space="preserve">Sensibilisierung für Nutzende SOLLTE zum Vernichten vertraulicher Dokumente nach Ablauf der Löschfrist sensibilisieren.</t>
  </si>
  <si>
    <t xml:space="preserve">SENS.6.1</t>
  </si>
  <si>
    <t xml:space="preserve">Scan angenommener Wechseldatenträger</t>
  </si>
  <si>
    <t xml:space="preserve">Datenträger, wie USB-Sticks aus unbekannten oder externen Quellen, können Schadprogramme enthalten. Der Virenscan kann durch eine Datenträgerschleuse oder durch eine Virenprüfung im IT-System selbst umgesetzt werden.</t>
  </si>
  <si>
    <t xml:space="preserve">zum Virenscan angenommener Wechseldatenträger</t>
  </si>
  <si>
    <t xml:space="preserve">Sensibilisierung für Nutzende SOLLTE zum Virenscan angenommener Wechseldatenträger anweisen.</t>
  </si>
  <si>
    <t xml:space="preserve">SENS.6.2</t>
  </si>
  <si>
    <t xml:space="preserve">Verschlüsselung</t>
  </si>
  <si>
    <t xml:space="preserve">Falls Wechseldatenträger zum Austausch vertraulicher Daten verwendet werden, so sind diese vor der ersten Verwendung vollständig zu verschlüsseln. Die Verschlüsselung kann in Hard- oder Software, oder auf Dateiebene erfolgen.</t>
  </si>
  <si>
    <t xml:space="preserve">zum Verschlüsseln von Wechseldatenträgern</t>
  </si>
  <si>
    <t xml:space="preserve">Sensibilisierung für Nutzende SOLLTE zum Verschlüsseln von Wechseldatenträgern anweisen.</t>
  </si>
  <si>
    <t xml:space="preserve">SENS.7.1</t>
  </si>
  <si>
    <t xml:space="preserve">Spezifische Sensibilisierung</t>
  </si>
  <si>
    <t xml:space="preserve">APP.1.1.A17-UA.4; ORP.3.A9-UA.1</t>
  </si>
  <si>
    <t xml:space="preserve">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</si>
  <si>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 xml:space="preserve">zu zielobjektspezifischen Schutzmaßnahmen</t>
  </si>
  <si>
    <t xml:space="preserve">Sensibilisierung für Nutzende SOLLTE zu zielobjektspezifischen Schutzmaßnahmen zielgruppengerecht sensibilisieren.</t>
  </si>
  <si>
    <t xml:space="preserve">SENS.7.2</t>
  </si>
  <si>
    <t xml:space="preserve">Virenscan</t>
  </si>
  <si>
    <t xml:space="preserve">APP.1.1.A17-UA.2; APP.1.1.A3-UA.1</t>
  </si>
  <si>
    <t xml:space="preserve">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</si>
  <si>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 xml:space="preserve">Nutzende, Interpersonelle Kommunikation</t>
  </si>
  <si>
    <t xml:space="preserve">zum Virenscan von Dateien aus externen Quellen</t>
  </si>
  <si>
    <t xml:space="preserve">Sensibilisierung für Nutzende von Interpersoneller Kommunikation SOLLTE zum Virenscan von Dateien aus externen Quellen sensibilisieren.</t>
  </si>
  <si>
    <t xml:space="preserve">SENS.7.3</t>
  </si>
  <si>
    <t xml:space="preserve">Automatische Antworten</t>
  </si>
  <si>
    <t xml:space="preserve">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</si>
  <si>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 xml:space="preserve">gegen die Ausgabe vertraulicher Daten durch AutoReply-Funktionen</t>
  </si>
  <si>
    <t xml:space="preserve">Sensibilisierung für Nutzende von Interpersoneller Kommunikation SOLLTE gegen die Ausgabe vertraulicher Daten durch AutoReply-Funktionen sensibilisieren.</t>
  </si>
  <si>
    <t xml:space="preserve">SENS.7.4</t>
  </si>
  <si>
    <t xml:space="preserve">SPAM - Löschen oder Melden</t>
  </si>
  <si>
    <t xml:space="preserve">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</si>
  <si>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 xml:space="preserve">zum Löschen oder Melden von SPAM</t>
  </si>
  <si>
    <t xml:space="preserve">Sensibilisierung für Nutzende von Interpersoneller Kommunikation SOLLTE zum Löschen oder Melden von SPAM sensibilisieren.</t>
  </si>
  <si>
    <t xml:space="preserve">SENS.7.5</t>
  </si>
  <si>
    <t xml:space="preserve">SPAM - Nichtbeantwortung</t>
  </si>
  <si>
    <t xml:space="preserve">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</si>
  <si>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 xml:space="preserve">zum Nichtbeantworten von SPAM</t>
  </si>
  <si>
    <t xml:space="preserve">Sensibilisierung für Nutzende von Interpersoneller Kommunikation SOLLTE zum Nichtbeantworten von SPAM sensibilisieren.</t>
  </si>
  <si>
    <t xml:space="preserve">SENS.7.6</t>
  </si>
  <si>
    <t xml:space="preserve">SPAM - Links</t>
  </si>
  <si>
    <t xml:space="preserve">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</si>
  <si>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 xml:space="preserve">gegen das Öffnen von Links in SPAM</t>
  </si>
  <si>
    <t xml:space="preserve">Sensibilisierung für Nutzende von Interpersoneller Kommunikation SOLLTE gegen das Öffnen von Links in SPAM sensibilisieren.</t>
  </si>
  <si>
    <t xml:space="preserve">SENS.7.7</t>
  </si>
  <si>
    <t xml:space="preserve">SPAM - Anhänge</t>
  </si>
  <si>
    <t xml:space="preserve">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</si>
  <si>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 xml:space="preserve">gegen das Öffnen von Anhängen in SPAM</t>
  </si>
  <si>
    <t xml:space="preserve">Sensibilisierung für Nutzende von Interpersoneller Kommunikation SOLLTE gegen das Öffnen von Anhängen in SPAM sensibilisieren.</t>
  </si>
  <si>
    <t xml:space="preserve">SENS.7.8</t>
  </si>
  <si>
    <t xml:space="preserve">Gefälschte E-Mails</t>
  </si>
  <si>
    <t xml:space="preserve">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</si>
  <si>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 xml:space="preserve">Nutzende, E-Mail</t>
  </si>
  <si>
    <t xml:space="preserve">zum Erkennen von gefälschten E-Mails</t>
  </si>
  <si>
    <t xml:space="preserve">Sensibilisierung für Nutzende von E-Mailn SOLLTE zum Erkennen von gefälschten E-Mails sensibilisieren.</t>
  </si>
  <si>
    <t xml:space="preserve">SENS.7.9</t>
  </si>
  <si>
    <t xml:space="preserve">Aktive Inhalte</t>
  </si>
  <si>
    <t xml:space="preserve">APP.1.1.A17-UA.1; APP.1.1.A2-UA.2; APP.1.1.A2-UA.3</t>
  </si>
  <si>
    <t xml:space="preserve">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</si>
  <si>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 xml:space="preserve">Nutzende, Office-Anwendungen</t>
  </si>
  <si>
    <t xml:space="preserve">zur Überprüfung aktiver Inhalte vor der Aktivierung</t>
  </si>
  <si>
    <t xml:space="preserve">Sensibilisierung für Nutzende von Office-Anwendungen SOLLTE zur Überprüfung aktiver Inhalte vor der Aktivierung sensibilisieren.</t>
  </si>
  <si>
    <t xml:space="preserve">SENS.7.10</t>
  </si>
  <si>
    <t xml:space="preserve">Trennen nicht benötigter Anschlüsse</t>
  </si>
  <si>
    <t xml:space="preserve">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</si>
  <si>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 xml:space="preserve">Nutzende, Virtualisierungslösungen</t>
  </si>
  <si>
    <t xml:space="preserve">zum Trennen nicht benötigter Verbindungen zwischen Host und virtuellem Gast</t>
  </si>
  <si>
    <t xml:space="preserve">Sensibilisierung für Nutzende von Virtualisierungslösungen SOLLTE zum Trennen nicht benötigter Verbindungen zwischen Host und virtuellem Gast sensibilisieren.</t>
  </si>
  <si>
    <t xml:space="preserve">SENS.7.11</t>
  </si>
  <si>
    <t xml:space="preserve">Heimliche Aufzeichnung</t>
  </si>
  <si>
    <t xml:space="preserve">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</si>
  <si>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 xml:space="preserve">Nutzende, VK-Anwendungen</t>
  </si>
  <si>
    <t xml:space="preserve">gegen die heimliche Bild- oder Tonaufzeichnung</t>
  </si>
  <si>
    <t xml:space="preserve">Sensibilisierung für Nutzende von VK-Anwendungen SOLLTE gegen die heimliche Bild- oder Tonaufzeichnung bei einer Videokonferenz sensibilisieren.</t>
  </si>
  <si>
    <t xml:space="preserve">SENS.7.12</t>
  </si>
  <si>
    <t xml:space="preserve">Öffentliche WLANs</t>
  </si>
  <si>
    <t xml:space="preserve">„Öffentliches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</si>
  <si>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 xml:space="preserve">Nutzende, Endgeräte</t>
  </si>
  <si>
    <t xml:space="preserve">gegen die Risiken der Nutzung öffentlicher WLANs</t>
  </si>
  <si>
    <t xml:space="preserve">Sensibilisierung für Nutzende von Endgeräten SOLLTE gegen die Risiken der Nutzung öffentlicher WLANs sensibilisieren.</t>
  </si>
  <si>
    <t xml:space="preserve">SENS.7.13</t>
  </si>
  <si>
    <t xml:space="preserve">Unverschlüsselte WLANs</t>
  </si>
  <si>
    <t xml:space="preserve">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</si>
  <si>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 xml:space="preserve">gegen die Risiken der Nutzung unverschlüsselter WLANs</t>
  </si>
  <si>
    <t xml:space="preserve">Sensibilisierung für Nutzende von Endgeräten SOLLTE gegen die Risiken der Nutzung unverschlüsselter WLANs sensibilisieren.</t>
  </si>
  <si>
    <t xml:space="preserve">SENS.7.14</t>
  </si>
  <si>
    <t xml:space="preserve">Unautorisierte WLANs</t>
  </si>
  <si>
    <t xml:space="preserve">Zwar sind immer mehr Verbindungen automatisch verschlüsselt, dennoch bergen WLAN-Verbindungen außerhalb der Institution das Risiko, dass Verbindungsdaten abgefangen oder IT-Systeme angegriffen werden.</t>
  </si>
  <si>
    <t xml:space="preserve">die Nutzung unautorisierter WLANs</t>
  </si>
  <si>
    <t xml:space="preserve">Sensibilisierung für Nutzende von Endgeräten KANN die Nutzung unautorisierter WLANs untersagen.</t>
  </si>
  <si>
    <t xml:space="preserve">SENS.7.15</t>
  </si>
  <si>
    <t xml:space="preserve">Social Engineering Anrufe</t>
  </si>
  <si>
    <t xml:space="preserve">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</si>
  <si>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 xml:space="preserve">Nutzende, TK-Anwendungen</t>
  </si>
  <si>
    <t xml:space="preserve">gegen Social Engineering Anrufe</t>
  </si>
  <si>
    <t xml:space="preserve">Sensibilisierung für Nutzende von TK-Anwendungen SOLLTE gegen Social Engineering Anrufe sensibilisieren.</t>
  </si>
  <si>
    <t xml:space="preserve">SENS.7.16</t>
  </si>
  <si>
    <t xml:space="preserve">Mailbox-PIN und Co.</t>
  </si>
  <si>
    <t xml:space="preserve">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</si>
  <si>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 xml:space="preserve">zur Vergabe eigener Zugangsdaten zum Zugriff auf Aufzeichnungen</t>
  </si>
  <si>
    <t xml:space="preserve">Sensibilisierung für Nutzende von TK-Anwendungen SOLLTE zur Vergabe eigener Zugangsdaten zum Zugriff auf Aufzeichnungen sensibilisieren.</t>
  </si>
  <si>
    <t xml:space="preserve">SENS.7.17</t>
  </si>
  <si>
    <t xml:space="preserve">Unverschlüsseltes Telefonieren</t>
  </si>
  <si>
    <t xml:space="preserve">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</si>
  <si>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 xml:space="preserve">gegen die Kommunikation über unverschlüsselte Telekommunikationsverbindungen</t>
  </si>
  <si>
    <t xml:space="preserve">Sensibilisierung für Nutzende von TK-Anwendungen SOLLTE gegen die Kommunikation über unverschlüsselte Telekommunikationsverbindungen sensibilisieren.</t>
  </si>
  <si>
    <t xml:space="preserve">SENS.7.18</t>
  </si>
  <si>
    <t xml:space="preserve">Mobile Endgeräte in Sicherheitsbereichen</t>
  </si>
  <si>
    <t xml:space="preserve">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</si>
  <si>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 xml:space="preserve">das Mitführen von Endgeräten in Sicherheitsbereichen</t>
  </si>
  <si>
    <t xml:space="preserve">Sensibilisierung für Nutzende von Endgeräten KANN das Mitführen von Endgeräten in Sicherheitsbereichen untersagen.</t>
  </si>
  <si>
    <t xml:space="preserve">SENS.7.19</t>
  </si>
  <si>
    <t xml:space="preserve">Unverschlüsselte SMS oder MMS</t>
  </si>
  <si>
    <t xml:space="preserve">SMS und MMS werden in der Regel unverschlüsselt übertragen und sind daher nicht für sensible Informationen geeignet. Stattdessen kann oft auf verschlüsselte Anwendungen wie Messenger oder VoIP zurückgegriffen werden.</t>
  </si>
  <si>
    <t xml:space="preserve">die Kommunikation über SMS oder MMS</t>
  </si>
  <si>
    <t xml:space="preserve">Sensibilisierung für Nutzende von Endgeräten KANN die Kommunikation über SMS oder MMS untersagen.</t>
  </si>
  <si>
    <t xml:space="preserve">SENS.7.20</t>
  </si>
  <si>
    <t xml:space="preserve">Authentifzierung von Gesprächspartnern</t>
  </si>
  <si>
    <t xml:space="preserve">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</si>
  <si>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 xml:space="preserve">zur Authentifizierung von Gesprächspartnern vor der Weitergabe von Informationen</t>
  </si>
  <si>
    <t xml:space="preserve">G 0.42 – Social Engineering; G 0.36 – Identitätsdiebstahl</t>
  </si>
  <si>
    <t xml:space="preserve">Sensibilisierung für Nutzende von Informationen SOLLTE zur Authentifizierung von Gesprächspartnern vor der Weitergabe von Informationen sensibilisieren.</t>
  </si>
  <si>
    <t xml:space="preserve">SENS.7.21</t>
  </si>
  <si>
    <t xml:space="preserve">Rechtsunsicherheit von Faxen</t>
  </si>
  <si>
    <t xml:space="preserve">Faxe enthalten nicht die originale, eigenhändige Unterschrift und erfüllen daher nicht die gesetzliche Schriftform (§ 126 BGB).</t>
  </si>
  <si>
    <t xml:space="preserve">Nutzende, Faxe</t>
  </si>
  <si>
    <t xml:space="preserve">gegen die Rechtsunsicherheit bei Empfang oder Versand von Faxen</t>
  </si>
  <si>
    <t xml:space="preserve">Sensibilisierung für Nutzende von Faxen SOLLTE gegen die Rechtsunsicherheit bei Empfang oder Versand von Faxen sensibilisieren.</t>
  </si>
  <si>
    <t xml:space="preserve">SENS.7.22</t>
  </si>
  <si>
    <t xml:space="preserve">Unverschlüsselte Faxleitungen</t>
  </si>
  <si>
    <t xml:space="preserve">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</si>
  <si>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 xml:space="preserve">gegen die Risiken der unauthentisierten und unverschlüsselten Faxnutzung</t>
  </si>
  <si>
    <t xml:space="preserve">Sensibilisierung für Nutzende von Faxen SOLLTE gegen die Risiken der unauthentisierten und unverschlüsselten Faxnutzung sensibilisieren.</t>
  </si>
  <si>
    <t xml:space="preserve">SENS.7.23</t>
  </si>
  <si>
    <t xml:space="preserve">Geolokation</t>
  </si>
  <si>
    <t xml:space="preserve">Zum Beispiel könnten Webseiten über Schnittstellen von Webbrowsern auf Standort-Sensoren (GPS, Mobilfunk etc.) zugreifen. Auch Mobilfunkanbieter sind in der Lage, Geostandorte über das Mobilfunksignal zu erfassen.</t>
  </si>
  <si>
    <t xml:space="preserve">über Standortbestimmungsfunktionen von mobilen Endgeräten</t>
  </si>
  <si>
    <t xml:space="preserve">Sensibilisierung für Nutzende von Endgeräten SOLLTE über Standortbestimmungsfunktionen von mobilen Endgeräten sensibilisieren.</t>
  </si>
  <si>
    <t xml:space="preserve">SENS.7.24</t>
  </si>
  <si>
    <t xml:space="preserve">Zertifikatswarnungen</t>
  </si>
  <si>
    <t xml:space="preserve">APP.1.2.A11-UA.2</t>
  </si>
  <si>
    <t xml:space="preserve">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</si>
  <si>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 xml:space="preserve">Nutzende, Webbrowser</t>
  </si>
  <si>
    <t xml:space="preserve">gegen das unautorisierte Übergehen einer Zertifikatswarnung bei der Webnutzung</t>
  </si>
  <si>
    <t xml:space="preserve">Sensibilisierung für Nutzende von Webbrowsern SOLLTE gegen das unautorisierte Übergehen einer Zertifikatswarnung bei der Webnutzung sensibilisieren.</t>
  </si>
  <si>
    <t xml:space="preserve">SENS.8.1</t>
  </si>
  <si>
    <t xml:space="preserve">Screen Lock</t>
  </si>
  <si>
    <t xml:space="preserve">APP.1.4.A1-UA.1; SYS.3.1.A1-UA.1</t>
  </si>
  <si>
    <t xml:space="preserve">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</si>
  <si>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 xml:space="preserve">zum Sperren von IT-System</t>
  </si>
  <si>
    <t xml:space="preserve">Sensibilisierung für Nutzende SOLLTE zum Sperren von IT-System vor dem Verlassen des Arbeitsplatzes anweisen.</t>
  </si>
  <si>
    <t xml:space="preserve">SENS.8.2</t>
  </si>
  <si>
    <t xml:space="preserve">Clean Desk</t>
  </si>
  <si>
    <t xml:space="preserve">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</si>
  <si>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 xml:space="preserve">zum Aufräumen von vertraulichen Dokumenten und Datenträgern</t>
  </si>
  <si>
    <t xml:space="preserve">Sensibilisierung für Nutzende SOLLTE zum Aufräumen von vertraulichen Dokumenten und Datenträgern vor dem Verlassen des Arbeitsplatzes anweisen.</t>
  </si>
  <si>
    <t xml:space="preserve">SENS.8.3</t>
  </si>
  <si>
    <t xml:space="preserve">Risiken der Nutzung von mobilen Endgeräten</t>
  </si>
  <si>
    <t xml:space="preserve">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</si>
  <si>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 xml:space="preserve">gegen Risiken der Nutzung von mobilen Endgeräten</t>
  </si>
  <si>
    <t xml:space="preserve">Sensibilisierung für Nutzende von Endgeräten SOLLTE gegen Risiken der Nutzung von mobilen Endgeräten sensibilisieren.</t>
  </si>
  <si>
    <t xml:space="preserve">SENS.8.4</t>
  </si>
  <si>
    <t xml:space="preserve">Schließen von Türen und Fenstern</t>
  </si>
  <si>
    <t xml:space="preserve">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</si>
  <si>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 xml:space="preserve">Nutzende, Gebäude</t>
  </si>
  <si>
    <t xml:space="preserve">zum Verschließen von Fenstern und Türen</t>
  </si>
  <si>
    <t xml:space="preserve">G 0.44 – Unbefugtes Eindringen in Räumlichkeiten</t>
  </si>
  <si>
    <t xml:space="preserve">Sensibilisierung für Nutzende von Gebäuden SOLLTE zum Verschließen von Fenstern und Türen beim Verlassen von Räumlichkeiten anweisen.</t>
  </si>
  <si>
    <t xml:space="preserve">SENS.8.5</t>
  </si>
  <si>
    <t xml:space="preserve">Mitbringen von IT-Systemen</t>
  </si>
  <si>
    <t xml:space="preserve">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</si>
  <si>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 xml:space="preserve">das Mitbringen unautorisierter IT-Systeme</t>
  </si>
  <si>
    <t xml:space="preserve">Sensibilisierung für Nutzende KANN das Mitbringen unautorisierter IT-Systeme untersagen.</t>
  </si>
  <si>
    <t xml:space="preserve">SENS.8.6</t>
  </si>
  <si>
    <t xml:space="preserve">Begleitung Externer</t>
  </si>
  <si>
    <t xml:space="preserve">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</si>
  <si>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 xml:space="preserve">Mitarbeitende, Standorte</t>
  </si>
  <si>
    <t xml:space="preserve">zur Begleitung von Externen</t>
  </si>
  <si>
    <t xml:space="preserve">Sensibilisierung für Mitarbeitende von Standorten KANN zur Begleitung von Externen anweisen.</t>
  </si>
  <si>
    <t xml:space="preserve">SENS.8.7</t>
  </si>
  <si>
    <t xml:space="preserve">Beaufsichtigung Externer</t>
  </si>
  <si>
    <t xml:space="preserve">Erhalten Externe wie z.B. IT-Dienstleister Zugang zu Standorten, an denen sensible Informationen verarbeitet werden, so stellt eine Beaufsichtigung sicher, dass Externe nur soweit Zugriff auf diese Informationen erhalten, wie für die Erledigung der Aufgabe erforderlich.</t>
  </si>
  <si>
    <t xml:space="preserve">zur Beaufsichtigung von Externen in sensiblen Bereichen</t>
  </si>
  <si>
    <t xml:space="preserve">Sensibilisierung für Mitarbeitende von Standorten SOLLTE zur Beaufsichtigung von Externen in sensiblen Bereichen anweisen.</t>
  </si>
  <si>
    <t xml:space="preserve">SENS.8.8</t>
  </si>
  <si>
    <t xml:space="preserve">Verwahrung Intern</t>
  </si>
  <si>
    <t xml:space="preserve">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</si>
  <si>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 xml:space="preserve">Nutzende, Räume</t>
  </si>
  <si>
    <t xml:space="preserve">zur sicheren Verwahrung von IT-Systemen und Datenträgern</t>
  </si>
  <si>
    <t xml:space="preserve">Sensibilisierung für Nutzende von Räumen SOLLTE zur sicheren Verwahrung von IT-Systemen und Datenträgern sensibilisieren.</t>
  </si>
  <si>
    <t xml:space="preserve">SENS.8.9</t>
  </si>
  <si>
    <t xml:space="preserve">Rückgabe nicht mehr benötigter Assets</t>
  </si>
  <si>
    <t xml:space="preserve">Dies gilt z.B. bei einem Wechsel der Aufgaben oder der Beendigung des Vertragsverhältnisses zwischen Nutzenden und der Institution.</t>
  </si>
  <si>
    <t xml:space="preserve">zur Rückgabe nicht mehr benötigter Assets</t>
  </si>
  <si>
    <t xml:space="preserve">Sensibilisierung für Nutzende SOLLTE zur Rückgabe nicht mehr benötigter Assets anweisen.</t>
  </si>
  <si>
    <t xml:space="preserve">SENS.8.10</t>
  </si>
  <si>
    <t xml:space="preserve">Vermeidung von Brandlasten</t>
  </si>
  <si>
    <t xml:space="preserve">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</si>
  <si>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 xml:space="preserve">das ungesicherte Hinterlassen von Brandlasten</t>
  </si>
  <si>
    <t xml:space="preserve">Sensibilisierung für Nutzende von Standorten SOLLTE das ungesicherte Hinterlassen von Brandlasten untersagen.</t>
  </si>
  <si>
    <t xml:space="preserve">SENS.8.11</t>
  </si>
  <si>
    <t xml:space="preserve">Verwendung von Brandschutmitteln</t>
  </si>
  <si>
    <t xml:space="preserve">Hierzu zählt z.B. die Einweisung in die korrekte Verwendung von Handfeuerlöschern, welche in Serverräumen oder Rechenzentren bereitgestellt werden.</t>
  </si>
  <si>
    <t xml:space="preserve">zur korrekten Verwendung bereitgestellter Brandschutz-Hilfsmittel</t>
  </si>
  <si>
    <t xml:space="preserve">Sensibilisierung für Mitarbeitende SOLLTE zur korrekten Verwendung bereitgestellter Brandschutz-Hilfsmittel sensibilisieren.</t>
  </si>
  <si>
    <t xml:space="preserve">SENS.8.12</t>
  </si>
  <si>
    <t xml:space="preserve">Verwendung von Wasserschutzmitteln</t>
  </si>
  <si>
    <t xml:space="preserve">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</si>
  <si>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 xml:space="preserve">zur korrekten Verwendung bereitgestellter Wasserschutz-Hilfsmittel</t>
  </si>
  <si>
    <t xml:space="preserve">Sensibilisierung für Mitarbeitende KANN zur korrekten Verwendung bereitgestellter Wasserschutz-Hilfsmittel sensibilisieren.</t>
  </si>
  <si>
    <t xml:space="preserve">SENS.9.1</t>
  </si>
  <si>
    <t xml:space="preserve">Verarbeitung in der Öffentlichkeit</t>
  </si>
  <si>
    <t xml:space="preserve">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</si>
  <si>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 xml:space="preserve">gegen die Verarbeitung von vertraulichen Informationen in der Öffentlichkeit</t>
  </si>
  <si>
    <t xml:space="preserve">Sensibilisierung für Nutzende SOLLTE gegen die Verarbeitung von vertraulichen Informationen in der Öffentlichkeit sensibilisieren.</t>
  </si>
  <si>
    <t xml:space="preserve">SENS.9.2</t>
  </si>
  <si>
    <t xml:space="preserve">Vorsicht vor Mithören</t>
  </si>
  <si>
    <t xml:space="preserve">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</si>
  <si>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 xml:space="preserve">gegen das Abhören von Gesprächen</t>
  </si>
  <si>
    <t xml:space="preserve">Sensibilisierung für Nutzende SOLLTE gegen das Abhören von Gesprächen beim mobilen Arbeiten sensibilisieren.</t>
  </si>
  <si>
    <t xml:space="preserve">SENS.9.3</t>
  </si>
  <si>
    <t xml:space="preserve">Verwahrung außer Haus</t>
  </si>
  <si>
    <t xml:space="preserve">INF.8.A1-UA.1</t>
  </si>
  <si>
    <t xml:space="preserve">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</si>
  <si>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 xml:space="preserve">zur Verwahrung von IT-Systemen und Datenträgern</t>
  </si>
  <si>
    <t xml:space="preserve">Sensibilisierung für Nutzende SOLLTE zur Verwahrung von IT-Systemen und Datenträgern beim mobilen Arbeiten anweisen.</t>
  </si>
  <si>
    <t xml:space="preserve">SENS.9.4</t>
  </si>
  <si>
    <t xml:space="preserve">Mobile Arbeit mit Dokumenten</t>
  </si>
  <si>
    <t xml:space="preserve">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</si>
  <si>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 xml:space="preserve">über den sicheren Umgang mit analogen Dokumenten</t>
  </si>
  <si>
    <t xml:space="preserve">Sensibilisierung für Nutzende SOLLTE über den sicheren Umgang mit analogen Dokumenten beim mobilen Arbeiten sensibilisieren.</t>
  </si>
  <si>
    <t xml:space="preserve">SENS.9.5</t>
  </si>
  <si>
    <t xml:space="preserve">Mitnahme zur mobilen Arbeit</t>
  </si>
  <si>
    <t xml:space="preserve">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</si>
  <si>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 xml:space="preserve">gegen die Mitnahme nicht erforderlicher IT-Systeme und Datenträger</t>
  </si>
  <si>
    <t xml:space="preserve">Sensibilisierung für Nutzende SOLLTE gegen die Mitnahme nicht erforderlicher IT-Systeme und Datenträger sensibilisieren.</t>
  </si>
  <si>
    <t xml:space="preserve">SENS.9.6</t>
  </si>
  <si>
    <t xml:space="preserve">Mitnahme ins Ausland</t>
  </si>
  <si>
    <t xml:space="preserve">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</si>
  <si>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 xml:space="preserve">die Mitnahme nicht erforderlicher IT-Systeme und Datenträger</t>
  </si>
  <si>
    <t xml:space="preserve">Sensibilisierung für Nutzende KANN die Mitnahme nicht erforderlicher IT-Systeme und Datenträger bei Auslandsreisen untersagen.</t>
  </si>
  <si>
    <t xml:space="preserve">SENS.9.7</t>
  </si>
  <si>
    <t xml:space="preserve">Reise- und Sicherheitshinweise</t>
  </si>
  <si>
    <t xml:space="preserve">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</si>
  <si>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 xml:space="preserve">zu Reise- und Sicherheitshinweisen des Auswärtigen Amtes</t>
  </si>
  <si>
    <t xml:space="preserve">Sensibilisierung für Nutzende SOLLTE zu Reise- und Sicherheitshinweisen des Auswärtigen Amtes bei Auslandsreisen ins außereuropäische Ausland sensibilisieren.</t>
  </si>
  <si>
    <t xml:space="preserve">SENS.10.1</t>
  </si>
  <si>
    <t xml:space="preserve">Grundprinzipien der Systemadministration</t>
  </si>
  <si>
    <t xml:space="preserve">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</si>
  <si>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 xml:space="preserve">zu den Grundprinzipien der sicheren Administration</t>
  </si>
  <si>
    <t xml:space="preserve">G 0.31 – Fehlerhafte Nutzung oder Administration von Geräten und Systemen; G 0.30 – Unberechtigte Nutzung oder Administration von Geräten und Systemen; G 0.32 – Missbrauch von Berechtigungen</t>
  </si>
  <si>
    <t xml:space="preserve">Sensibilisierung für Administrierende SOLLTE zu den Grundprinzipien der sicheren Administration sensibilisieren.</t>
  </si>
  <si>
    <t xml:space="preserve">SENS.10.2</t>
  </si>
  <si>
    <t xml:space="preserve">Umgang mit privilegierten Berechtigungen</t>
  </si>
  <si>
    <t xml:space="preserve">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</si>
  <si>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 xml:space="preserve">zum Umgang mit privilegierten Berechtigungen</t>
  </si>
  <si>
    <t xml:space="preserve">G 0.31 – Fehlerhafte Nutzung oder Administration von Geräten und Systemen; G 0.30 – Unberechtigte Nutzung oder Administration von Geräten und Systemen; G 0.32 – Missbrauch von Berechtigungen; G 0.42 – Social Engineering</t>
  </si>
  <si>
    <t xml:space="preserve">Sensibilisierung für Administrierende SOLLTE zum Umgang mit privilegierten Berechtigungen sensibilisieren.</t>
  </si>
  <si>
    <t xml:space="preserve">SENS.10.3</t>
  </si>
  <si>
    <t xml:space="preserve">Systemadministration - Sicherheitsvorfälle</t>
  </si>
  <si>
    <t xml:space="preserve">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</si>
  <si>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 xml:space="preserve">zu Verfahren und Regelungen bei Sicherheitsvorfällen</t>
  </si>
  <si>
    <t xml:space="preserve">Sensibilisierung für Administrierende SOLLTE zu Verfahren und Regelungen bei Sicherheitsvorfällen sensibilisieren.</t>
  </si>
  <si>
    <t xml:space="preserve">SENS.10.4</t>
  </si>
  <si>
    <t xml:space="preserve">Systemadministration - Strukturierte Verkabelung</t>
  </si>
  <si>
    <t xml:space="preserve">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</si>
  <si>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 xml:space="preserve">Administrierende, Netze</t>
  </si>
  <si>
    <t xml:space="preserve">zur strukturierten Verkabelung</t>
  </si>
  <si>
    <t xml:space="preserve">Sensibilisierung für Administrierende von Netzen SOLLTE zur strukturierten Verkabelung sensibilisieren.</t>
  </si>
  <si>
    <t xml:space="preserve">SENS.10.5</t>
  </si>
  <si>
    <t xml:space="preserve">Systemadministration - Internetnutzung</t>
  </si>
  <si>
    <t xml:space="preserve">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</si>
  <si>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 xml:space="preserve">gegen den Internetzugriff über ein Administrationskonto</t>
  </si>
  <si>
    <t xml:space="preserve">Sensibilisierung für Administrierende SOLLTE gegen den Internetzugriff über ein Administrationskonto sensibilisieren.</t>
  </si>
  <si>
    <t xml:space="preserve">SENS.11.1</t>
  </si>
  <si>
    <t xml:space="preserve">Sensibilisierung der Institutionsleitung</t>
  </si>
  <si>
    <t xml:space="preserve">ORP.3.A1-UA.1</t>
  </si>
  <si>
    <t xml:space="preserve">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</si>
  <si>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 xml:space="preserve">Institutionsleitung</t>
  </si>
  <si>
    <t xml:space="preserve">zur Bedeutung der Informationssicherheit für den Schutz der Geschäftsprozesse</t>
  </si>
  <si>
    <t xml:space="preserve">Sensibilisierung für Institutionsleitung SOLLTE zur Bedeutung der Informationssicherheit für den Schutz der Geschäftsprozesse sensibilisieren.</t>
  </si>
  <si>
    <t xml:space="preserve">SENS.11.2</t>
  </si>
  <si>
    <t xml:space="preserve">Führen als Vorbild</t>
  </si>
  <si>
    <t xml:space="preserve">ORP.3.A1-UA.4</t>
  </si>
  <si>
    <t xml:space="preserve">Die Vorbildfunktion von Führungskräften ist entscheidend, um eine robuste Sicherheitskultur zu etablieren und die Einhaltung der geschulten Inhalte im Arbeitsalltag zu gewährleisten.</t>
  </si>
  <si>
    <t xml:space="preserve">Führungskräfte</t>
  </si>
  <si>
    <t xml:space="preserve">zu ihrer Vorbildfunktion bei der Informationssicherheit</t>
  </si>
  <si>
    <t xml:space="preserve">Sensibilisierung für Führungskräfte SOLLTE zu ihrer Vorbildfunktion bei der Informationssicherheit sensibilisieren.</t>
  </si>
  <si>
    <t xml:space="preserve">SENS.11.3</t>
  </si>
  <si>
    <t xml:space="preserve">Whaling</t>
  </si>
  <si>
    <t xml:space="preserve">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</si>
  <si>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 xml:space="preserve">gegen gezielte Angriffe auf Führungskräfte</t>
  </si>
  <si>
    <t xml:space="preserve">Sensibilisierung für Führungskräfte SOLLTE gegen gezielte Angriffe auf Führungskräfte sensibilisieren.</t>
  </si>
  <si>
    <t xml:space="preserve">SENS.12.1</t>
  </si>
  <si>
    <t xml:space="preserve">Hohe Risiken</t>
  </si>
  <si>
    <t xml:space="preserve">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</si>
  <si>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 xml:space="preserve">gegen die in der Risikoanalyse festgestellten hohen Risiken</t>
  </si>
  <si>
    <t xml:space="preserve">Sensibilisierung für Nutzende KANN gegen die in der Risikoanalyse festgestellten hohen Risiken sensibilisieren.</t>
  </si>
  <si>
    <t xml:space="preserve">STM.1.1</t>
  </si>
  <si>
    <t xml:space="preserve">Definition und Abgrenzung des Informationsverbunds</t>
  </si>
  <si>
    <t xml:space="preserve">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</si>
  <si>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 xml:space="preserve">Informationsverbund</t>
  </si>
  <si>
    <t xml:space="preserve">den nachvollziehbar abgegrenzten Informationsverbund</t>
  </si>
  <si>
    <t xml:space="preserve">Strukturmodellierung MUSS den nachvollziehbar abgegrenzten Informationsverbund auf Basis des Geltungsbereichs festlegen.</t>
  </si>
  <si>
    <t xml:space="preserve">STM.1.2</t>
  </si>
  <si>
    <t xml:space="preserve">Dokumentation der externen Schnittstellen</t>
  </si>
  <si>
    <t xml:space="preserve">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</si>
  <si>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 xml:space="preserve">Schnittstellen des Informationsverbunds</t>
  </si>
  <si>
    <t xml:space="preserve">Strukturmodellierung MUSS Schnittstellen des Informationsverbunds zu externen Prozessen festlegen.</t>
  </si>
  <si>
    <t xml:space="preserve">STM.2.1</t>
  </si>
  <si>
    <t xml:space="preserve">Erstellung eines Anforderungspakets</t>
  </si>
  <si>
    <t xml:space="preserve">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</si>
  <si>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 xml:space="preserve">Anforderungspaket</t>
  </si>
  <si>
    <t xml:space="preserve">ein Anforderungspaket</t>
  </si>
  <si>
    <t xml:space="preserve">STM.2.1.1</t>
  </si>
  <si>
    <t xml:space="preserve">Strukturmodellierung MUSS alle Anforderungen der ISMS-Praktiken auf den vorliegenden Informationsverbund modellieren.</t>
  </si>
  <si>
    <t xml:space="preserve">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</si>
  <si>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 xml:space="preserve">alle Anforderungen der ISMS-Praktiken</t>
  </si>
  <si>
    <t xml:space="preserve">STM.2.1.2</t>
  </si>
  <si>
    <t xml:space="preserve">Strukturmodellierung MUSS alle relevanten Assets für die betrachteten Geschäftsprozesse festlegen.</t>
  </si>
  <si>
    <t xml:space="preserve">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</si>
  <si>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 xml:space="preserve">alle relevanten Assets für die betrachteten Geschäftsprozesse</t>
  </si>
  <si>
    <t xml:space="preserve">STM.2.1.3</t>
  </si>
  <si>
    <t xml:space="preserve">Strukturmodellierung MUSS allen relevanten Assets eine oder mehrere Zielobjektkategorien zuweisen.</t>
  </si>
  <si>
    <t xml:space="preserve">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</si>
  <si>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 xml:space="preserve">allen relevanten Assets eine oder mehrere Zielobjektkategorien</t>
  </si>
  <si>
    <t xml:space="preserve">STM.2.1.4.1</t>
  </si>
  <si>
    <t xml:space="preserve">Strukturmodellierung MUSS die in der Hierarchie übergeordneten Zielobjektkategorien ebenfalls dem jeweiligen Asset die in der Zielobjekthierarchie übergeordnet sind zuweisen.</t>
  </si>
  <si>
    <t xml:space="preserve">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</si>
  <si>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 xml:space="preserve">die in der Hierarchie übergeordneten Zielobjektkategorien ebenfalls dem jeweiligen Asset</t>
  </si>
  <si>
    <t xml:space="preserve">STM.2.1.4.2</t>
  </si>
  <si>
    <t xml:space="preserve">Strukturmodellierung MUSS eine Konsolidierung und Redundanzprüfung des Anforderungspakets ausführen.</t>
  </si>
  <si>
    <t xml:space="preserve">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</si>
  <si>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 xml:space="preserve">eine Konsolidierung und Redundanzprüfung des Anforderungspakets</t>
  </si>
  <si>
    <t xml:space="preserve">STM.2.1.5</t>
  </si>
  <si>
    <t xml:space="preserve">Strukturmodellierung MUSS alle weiteren Anforderungen denen keine Zielobjektkategorie zugeordnet ist modellieren.</t>
  </si>
  <si>
    <t xml:space="preserve">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</si>
  <si>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 xml:space="preserve">alle weiteren Anforderungen</t>
  </si>
  <si>
    <t xml:space="preserve">STM.2.1.6</t>
  </si>
  <si>
    <t xml:space="preserve">Strukturmodellierung MUSS für Assets, für die es noch keine passenden GS++-Anforderungen gibt, zusätzliche Anforderungen dem Anforderungspaket zuweisen.</t>
  </si>
  <si>
    <t xml:space="preserve">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</si>
  <si>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 xml:space="preserve">für Assets, für die es noch keine passenden GS++-Anforderungen gibt, zusätzliche Anforderungen</t>
  </si>
  <si>
    <t xml:space="preserve">STM.2.1.7</t>
  </si>
  <si>
    <t xml:space="preserve">Strukturmodellierung MUSS für das individuelle Compliance-Umfeld der Institution zusätzliche Anforderungen dem Anforderungspaket zuweisen.</t>
  </si>
  <si>
    <t xml:space="preserve">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</si>
  <si>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 xml:space="preserve">für das individuelle Compliance-Umfeld der Institution zusätzliche Anforderungen</t>
  </si>
  <si>
    <t xml:space="preserve">STM.3.1</t>
  </si>
  <si>
    <t xml:space="preserve">Überprüfung des gesetzten Sicherheitsniveaus</t>
  </si>
  <si>
    <t xml:space="preserve">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</si>
  <si>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 xml:space="preserve">die initiale Einstufung der Sicherheitsniveaus der Anforderungen im Anforderungspaket</t>
  </si>
  <si>
    <t xml:space="preserve">Strukturmodellierung SOLLTE die initiale Einstufung der Sicherheitsniveaus der Anforderungen im Anforderungspaket bei Abweichungen des Kontextes der Institution überprüfen.</t>
  </si>
  <si>
    <t xml:space="preserve">STM.4.1</t>
  </si>
  <si>
    <t xml:space="preserve">Durchführung der Risikobetrachtung</t>
  </si>
  <si>
    <t xml:space="preserve">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</si>
  <si>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 xml:space="preserve">eine Risikobetrachtung</t>
  </si>
  <si>
    <t xml:space="preserve">Strukturmodellierung MUSS eine Risikobetrachtung bei durch die GS++-Methodik festgeleger Notwendigkeit ausführen.</t>
  </si>
  <si>
    <t xml:space="preserve">STM.5.1</t>
  </si>
  <si>
    <t xml:space="preserve">Setzen von Parametern</t>
  </si>
  <si>
    <t xml:space="preserve">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</si>
  <si>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 xml:space="preserve">bei Anforderungen mit Parametern</t>
  </si>
  <si>
    <t xml:space="preserve">Strukturmodellierung MUSS bei Anforderungen mit Parametern konkrete Werte zuweisen.</t>
  </si>
  <si>
    <t xml:space="preserve">TEST.1.1</t>
  </si>
  <si>
    <t xml:space="preserve">IND.1.A6-UA.1; INF.13.A16-UA.2</t>
  </si>
  <si>
    <t xml:space="preserve">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</si>
  <si>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 xml:space="preserve">Verfahren und Regelungen zum Management von Neueinführungen, Änderungen oder der Entfernung von Komponenten</t>
  </si>
  <si>
    <t xml:space="preserve">TEST.1.1.1</t>
  </si>
  <si>
    <t xml:space="preserve">Änderungen und Tests MUSS die Verfahren und Regelungen dokumentieren.</t>
  </si>
  <si>
    <t xml:space="preserve">CON.11.1.A2-UA.3; OPS.1.1.2.A11-UA.4</t>
  </si>
  <si>
    <t xml:space="preserve">TEST.1.1.2</t>
  </si>
  <si>
    <t xml:space="preserve">Änderungen und Tests MUSS die mit den Verfahren und Regelungen verbundenen Aufgaben zuständigen Personen oder Rollen zuweisen.</t>
  </si>
  <si>
    <t xml:space="preserve">OPS.1.1.1.A1-UA.2; OPS.1.1.2.A7-UA.2</t>
  </si>
  <si>
    <t xml:space="preserve">TEST.1.1.3</t>
  </si>
  <si>
    <t xml:space="preserve">Änderungen und Tests MUSS die zuständigen Personen oder Rollen über die Verfahren und Regelungen informieren.</t>
  </si>
  <si>
    <t xml:space="preserve">ISMS.1.A8-UA.6; ORP.1.A1-UA.4; ORP.2.A1-UA.2</t>
  </si>
  <si>
    <t xml:space="preserve">TEST.1.2</t>
  </si>
  <si>
    <t xml:space="preserve">ORP.1.A1-UA.3</t>
  </si>
  <si>
    <t xml:space="preserve">Änderungen und Tests MUSS die Verfahren und Regelungen regelmäßig und anlassbezogen auf Aktualität überprüfen.</t>
  </si>
  <si>
    <t xml:space="preserve">TEST.1.3</t>
  </si>
  <si>
    <t xml:space="preserve">Einschränkung von Änderungen</t>
  </si>
  <si>
    <t xml:space="preserve">APP.4.4.A3-UA.6; APP.5.3.A1-UA.3; IND.1.A8-UA.2; IND.2.7.A6-UA.1; OPS.1.1.2.A23-UA.1; OPS.1.1.2.A5-UA.4; SYS.2.1.A8-UA.4; SYS.2.3.A1-UA.2</t>
  </si>
  <si>
    <t xml:space="preserve">subset-of; subset-of; subset-of; subset-of; superset-of; intersects-with; subset-of; intersects-with</t>
  </si>
  <si>
    <t xml:space="preserve">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</si>
  <si>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 xml:space="preserve">die Durchführung von Änderungen</t>
  </si>
  <si>
    <t xml:space="preserve">G 0.18 – Fehlplanung oder fehlende Anpassung; G 0.30 – Unberechtigte Nutzung oder Administration von Geräten und Systemen; G 0.23 – Unbefugtes Eindringen in IT-Systeme</t>
  </si>
  <si>
    <t xml:space="preserve">Änderungen und Tests SOLLTE die Durchführung von Änderungen auf Administrierende einschränken.</t>
  </si>
  <si>
    <t xml:space="preserve">TEST.2.1</t>
  </si>
  <si>
    <t xml:space="preserve">Versionshistorie</t>
  </si>
  <si>
    <t xml:space="preserve">CON.8.A10-UA.3; IND.1.A20-UA.3; INF.13.A21-UA.4; SYS.1.6.A20-UA.2</t>
  </si>
  <si>
    <t xml:space="preserve">equivalent-to; subset-of; subset-of; superset-of</t>
  </si>
  <si>
    <t xml:space="preserve">Wesentlich sind Änderungen, wenn sie Auswirkungen auf die Informationssicherheit von Produktivsystemen und -anwendungen haben können, die über eine geringe Anzahl von Nutzenden hinausgeht.</t>
  </si>
  <si>
    <t xml:space="preserve">eine Versionshistorie</t>
  </si>
  <si>
    <t xml:space="preserve">Änderungen und Tests SOLLTE eine Versionshistorie wesentlicher Änderungen protokollieren.</t>
  </si>
  <si>
    <t xml:space="preserve">TEST.2.2</t>
  </si>
  <si>
    <t xml:space="preserve">Folgenabschätzung</t>
  </si>
  <si>
    <t xml:space="preserve">OPS.1.1.2.A24-UA.4; OPS.1.1.3.A1-UA.6; OPS.1.1.3.A7-UA.2</t>
  </si>
  <si>
    <t xml:space="preserve">superset-of; intersects-with; subset-of</t>
  </si>
  <si>
    <t xml:space="preserve">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</si>
  <si>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 xml:space="preserve">zu einer strukturierten Folgenabschätzung</t>
  </si>
  <si>
    <t xml:space="preserve">Änderungen und Tests für Administrierende SOLLTE zu einer strukturierten Folgenabschätzung vor wesentlichen Änderungen anweisen.</t>
  </si>
  <si>
    <t xml:space="preserve">TEST.2.2.1</t>
  </si>
  <si>
    <t xml:space="preserve">Änderungen und Tests SOLLTE Änderungsvorhaben einer Kategorie zuweisen.</t>
  </si>
  <si>
    <t xml:space="preserve">INF.13.A16-UA.3</t>
  </si>
  <si>
    <t xml:space="preserve">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</si>
  <si>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 xml:space="preserve">Änderungsvorhaben einer Kategorie</t>
  </si>
  <si>
    <t xml:space="preserve">TEST.2.2.2</t>
  </si>
  <si>
    <t xml:space="preserve">Änderungen und Tests SOLLTE die geplanten Änderungen dokumentieren.</t>
  </si>
  <si>
    <t xml:space="preserve">INF.12.A10-UA.5; NET.3.4.A18-UA.5; OPS.1.1.3.A11-UA.1; OPS.1.2.2.A16-UA.4</t>
  </si>
  <si>
    <t xml:space="preserve">subset-of; subset-of; intersects-with; intersects-with</t>
  </si>
  <si>
    <t xml:space="preserve">Je nach Inhalt der Änderung können hierzu Konfigurationsdateien, Sicherheitsrichtlinien, oder begleitende Dokumente wie ein IT-Betriebshandbuch oder für Nutzende gedachte Anwenderhandbücher oder Wikis gehören.</t>
  </si>
  <si>
    <t xml:space="preserve">die geplanten Änderungen</t>
  </si>
  <si>
    <t xml:space="preserve">TEST.2.2.3</t>
  </si>
  <si>
    <t xml:space="preserve">Änderungen und Tests SOLLTE von der Änderung betroffene Abhängigkeiten dokumentieren.</t>
  </si>
  <si>
    <t xml:space="preserve">CON.10.A11-UA.1; INF.13.A17-UA.4; NET.3.4.A18-UA.2</t>
  </si>
  <si>
    <t xml:space="preserve">intersects-with; intersects-with; subset-of</t>
  </si>
  <si>
    <t xml:space="preserve">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</si>
  <si>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 xml:space="preserve">von der Änderung betroffene Abhängigkeiten</t>
  </si>
  <si>
    <t xml:space="preserve">G 0.18 – Fehlplanung oder fehlende Anpassung; G 0.28 – Software-Schwachstellen oder -Fehler; G 0.25 – Ausfall von Geräten oder Systemen</t>
  </si>
  <si>
    <t xml:space="preserve">TEST.3.1</t>
  </si>
  <si>
    <t xml:space="preserve">Sicherheitstest</t>
  </si>
  <si>
    <t xml:space="preserve">INF.13.A16-UA.4; INF.13.A22-UA.3; OPS.1.1.1.A7-UA.6; OPS.1.1.3.A1-UA.4; OPS.1.1.6.A5-UA.2</t>
  </si>
  <si>
    <t xml:space="preserve">subset-of; equivalent-to; intersects-with; superset-of; subset-of</t>
  </si>
  <si>
    <t xml:space="preserve">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</si>
  <si>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 xml:space="preserve">vor wesentlichen Änderungen die Einhaltung der Sicherheitsanforderungen</t>
  </si>
  <si>
    <t xml:space="preserve">G 0.26 – Fehlfunktion von Geräten oder Systemen; G 0.28 – Software-Schwachstellen oder -Fehler; G 0.27 – Ressourcenmangel</t>
  </si>
  <si>
    <t xml:space="preserve">Änderungen und Tests SOLLTE vor wesentlichen Änderungen die Einhaltung der Sicherheitsanforderungen testen.</t>
  </si>
  <si>
    <t xml:space="preserve">TEST.3.1.1</t>
  </si>
  <si>
    <t xml:space="preserve">Änderungen und Tests SOLLTE Tests einschließlich Prüfschritte, Ergebnissen und ggf. vorgenommenen Korrekturen dokumentieren.</t>
  </si>
  <si>
    <t xml:space="preserve">INF.13.A22-UA.5; OPS.1.1.1.A12-UA.6; OPS.1.1.3.A13-UA.3; OPS.1.1.6.A12-UA.4; OPS.1.1.6.A5-UA.3; OPS.1.2.2.A16-UA.4</t>
  </si>
  <si>
    <t xml:space="preserve">subset-of; intersects-with; equivalent-to; subset-of; superset-of; intersects-with</t>
  </si>
  <si>
    <t xml:space="preserve">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</si>
  <si>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 xml:space="preserve">Tests</t>
  </si>
  <si>
    <t xml:space="preserve">G 0.18 – Fehlplanung oder fehlende Anpassung; G 0.37 – Abstreiten von Handlungen; G 0.28 – Software-Schwachstellen oder -Fehler; G 0.26 – Fehlfunktion von Geräten oder Systemen</t>
  </si>
  <si>
    <t xml:space="preserve">TEST.3.1.2</t>
  </si>
  <si>
    <t xml:space="preserve">Änderungen und Tests SOLLTE die Einbindung externer Softwareartefakte und -Schnittstellen aus unzuverlässigen oder unbekannten Quellen untersagen.</t>
  </si>
  <si>
    <t xml:space="preserve">APP.6.A4-UA.7; APP.6.A8-UA.2; IND.2.7.A12-UA.2; IND.2.7.A12-UA.3; OPS.1.1.3.A10-UA.3; SYS.4.5.A11-UA.1</t>
  </si>
  <si>
    <t xml:space="preserve">superset-of; superset-of; intersects-with; intersects-with; superset-of; intersects-with</t>
  </si>
  <si>
    <t xml:space="preserve">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</si>
  <si>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 xml:space="preserve">TEST.3.1.3</t>
  </si>
  <si>
    <t xml:space="preserve">Änderungen und Tests SOLLTE die Integrität von Softwareartefakten testen.</t>
  </si>
  <si>
    <t xml:space="preserve">CON.8.A7-UA.6; OPS.1.1.6.A1-UA.1; OPS.1.1.6.A11-UA.3</t>
  </si>
  <si>
    <t xml:space="preserve">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</si>
  <si>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 xml:space="preserve">die Integrität von Softwareartefakten</t>
  </si>
  <si>
    <t xml:space="preserve">G 0.28 – Software-Schwachstellen oder -Fehler; G 0.20 – Informationen oder Produkte aus unzuverlässiger Quelle; G 0.23 – Unbefugtes Eindringen in IT-Systeme</t>
  </si>
  <si>
    <t xml:space="preserve">TEST.3.1.4</t>
  </si>
  <si>
    <t xml:space="preserve">Änderungen und Tests SOLLTE die Testfälle abdeckende, aber unkritische Testdaten verankern.</t>
  </si>
  <si>
    <t xml:space="preserve">APP.5.2.A7-UA.4; CON.8.A7-UA.8; IND.2.1.A11-UA.3; INF.13.A25-UA.1; OPS.1.1.3.A9-UA.3; OPS.1.1.6.A13-UA.1; OPS.1.1.6.A13-UA.2</t>
  </si>
  <si>
    <t xml:space="preserve">subset-of; equivalent-to; subset-of; subset-of; subset-of; subset-of; equivalent-to</t>
  </si>
  <si>
    <t xml:space="preserve">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</si>
  <si>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 xml:space="preserve">die Testfälle abdeckende, aber unkritische Testdaten</t>
  </si>
  <si>
    <t xml:space="preserve">G 0.26 – Fehlfunktion von Geräten oder Systemen; G 0.28 – Software-Schwachstellen oder -Fehler</t>
  </si>
  <si>
    <t xml:space="preserve">TEST.3.1.5</t>
  </si>
  <si>
    <t xml:space="preserve">Änderungen und Tests SOLLTE eine dedizierte Testumgebung installieren.</t>
  </si>
  <si>
    <t xml:space="preserve">APP.4.4.A2-UA.2; IND.1.A17-UA.4</t>
  </si>
  <si>
    <t xml:space="preserve">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</si>
  <si>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 xml:space="preserve">eine dedizierte Testumgebung</t>
  </si>
  <si>
    <t xml:space="preserve">TEST.3.1.6</t>
  </si>
  <si>
    <t xml:space="preserve">Änderungen und Tests KANN die Auswirkungen bei jeder Änderung automatisch testen.</t>
  </si>
  <si>
    <t xml:space="preserve">CON.8.A7-UA.4; SYS.1.8.A20-UA.5</t>
  </si>
  <si>
    <t xml:space="preserve">„Automatisch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</si>
  <si>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 xml:space="preserve">die Auswirkungen</t>
  </si>
  <si>
    <t xml:space="preserve">TEST.3.1.7</t>
  </si>
  <si>
    <t xml:space="preserve">Änderungen und Tests KANN die Resilienz bei Simulation verschiedenartiger Störungen testen.</t>
  </si>
  <si>
    <t xml:space="preserve">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</si>
  <si>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 xml:space="preserve">die Resilienz bei Simulation verschiedenartiger Störungen</t>
  </si>
  <si>
    <t xml:space="preserve">G 0.28 – Software-Schwachstellen oder -Fehler; G 0.26 – Fehlfunktion von Geräten oder Systemen</t>
  </si>
  <si>
    <t xml:space="preserve">TEST.3.1.8</t>
  </si>
  <si>
    <t xml:space="preserve">Änderungen und Tests KANN die Zusammensetzung der Änderungen testen.</t>
  </si>
  <si>
    <t xml:space="preserve">CON.8.A7-UA.5; OPS.1.1.1.A22-UA.1</t>
  </si>
  <si>
    <t xml:space="preserve">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</si>
  <si>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 xml:space="preserve">die Zusammensetzung der Änderungen</t>
  </si>
  <si>
    <t xml:space="preserve">G 0.23 – Unbefugtes Eindringen in IT-Systeme; G 0.46 – Integritätsverlust schützenswerter Informationen</t>
  </si>
  <si>
    <t xml:space="preserve">TEST.3.1.9</t>
  </si>
  <si>
    <t xml:space="preserve">Änderungen und Tests KANN die Stabilität gegen Fehlerzustände oder Abstürze bei der Eingabe großer Mengen an Zufallsdaten testen.</t>
  </si>
  <si>
    <t xml:space="preserve">CON.8.A7-UA.9; INF.13.A16-UA.4; INF.13.A22-UA.3</t>
  </si>
  <si>
    <t xml:space="preserve">subset-of; superset-of; equivalent-to</t>
  </si>
  <si>
    <t xml:space="preserve">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</si>
  <si>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 xml:space="preserve">die Stabilität gegen Fehlerzustände oder Abstürze bei der Eingabe großer Mengen an Zufallsdaten</t>
  </si>
  <si>
    <t xml:space="preserve">TEST.3.1.10</t>
  </si>
  <si>
    <t xml:space="preserve">Änderungen und Tests KANN die Belastbarkeit bei hoher Auslastung testen.</t>
  </si>
  <si>
    <t xml:space="preserve">APP.1.4.A15-UA.1; APP.1.4.A15-UA.3; INF.13.A30-UA.1; INF.13.A30-UA.2; NET.3.2.A24-UA.2; OPS.1.1.1.A23-UA.1; OPS.1.1.6.A14-UA.1</t>
  </si>
  <si>
    <t xml:space="preserve">subset-of; subset-of; subset-of; subset-of; superset-of; equivalent-to; intersects-with</t>
  </si>
  <si>
    <t xml:space="preserve">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</si>
  <si>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 xml:space="preserve">die Belastbarkeit bei hoher Auslastung</t>
  </si>
  <si>
    <t xml:space="preserve">TEST.3.1.11</t>
  </si>
  <si>
    <t xml:space="preserve">Änderungen und Tests KANN bekannte Schwachstellen bei kritischen Änderungen testen.</t>
  </si>
  <si>
    <t xml:space="preserve">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</si>
  <si>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 xml:space="preserve">bekannte Schwachstellen</t>
  </si>
  <si>
    <t xml:space="preserve">TEST.3.2</t>
  </si>
  <si>
    <t xml:space="preserve">Testabdeckung</t>
  </si>
  <si>
    <t xml:space="preserve">INF.13.A22-UA.6; OPS.1.1.1.A20-UA.3; OPS.1.1.1.A7-UA.8</t>
  </si>
  <si>
    <t xml:space="preserve">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</si>
  <si>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 xml:space="preserve">die Testabdeckung</t>
  </si>
  <si>
    <t xml:space="preserve">G 0.28 – Software-Schwachstellen oder -Fehler; G 0.18 – Fehlplanung oder fehlende Anpassung; G 0.27 – Ressourcenmangel</t>
  </si>
  <si>
    <t xml:space="preserve">Änderungen und Tests SOLLTE die Testabdeckung regelmäßig überprüfen.</t>
  </si>
  <si>
    <t xml:space="preserve">TEST.4.1</t>
  </si>
  <si>
    <t xml:space="preserve">Autorisierung von Änderungen</t>
  </si>
  <si>
    <t xml:space="preserve">OPS.1.1.3.A1-UA.3</t>
  </si>
  <si>
    <t xml:space="preserve">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</si>
  <si>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 xml:space="preserve">kritische Änderungen</t>
  </si>
  <si>
    <t xml:space="preserve">Änderungen und Tests SOLLTE kritische Änderungen anhand von Kriterien einschließlich der Sicherheitsanforderungen autorisieren.</t>
  </si>
  <si>
    <t xml:space="preserve">TEST.4.1.1</t>
  </si>
  <si>
    <t xml:space="preserve">Änderungen und Tests KANN kritische Änderungen auch durch eine von der Implementierung unabhängige Person autorisieren.</t>
  </si>
  <si>
    <t xml:space="preserve">ISMS.1.A11-UA.6; OPS.1.1.2.A17-UA.1; OPS.1.1.6.A4-UA.3</t>
  </si>
  <si>
    <t xml:space="preserve">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</si>
  <si>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 xml:space="preserve">TEST.4.1.2</t>
  </si>
  <si>
    <t xml:space="preserve">Änderungen und Tests SOLLTE die freizugebenden Änderungen in einer von der Produktumgebung getrennten Staging-Umgebung, deren Komponenten so weit wie möglich der Produktivumgebung entsprechen, testen.</t>
  </si>
  <si>
    <t xml:space="preserve">OPS.1.1.3.A1-UA.3; OPS.1.1.3.A9-UA.4; OPS.1.1.6.A4-UA.2</t>
  </si>
  <si>
    <t xml:space="preserve">superset-of; superset-of; equivalent-to</t>
  </si>
  <si>
    <t xml:space="preserve">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</si>
  <si>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 xml:space="preserve">die freizugebenden Änderungen</t>
  </si>
  <si>
    <t xml:space="preserve">G 0.25 – Ausfall von Geräten oder Systemen; G 0.26 – Fehlfunktion von Geräten oder Systemen; G 0.18 – Fehlplanung oder fehlende Anpassung</t>
  </si>
  <si>
    <t xml:space="preserve">TEST.4.1.3</t>
  </si>
  <si>
    <t xml:space="preserve">Änderungen und Tests SOLLTE die Freigabe einschließlich Zeitpunkt, Vorhaben, Freigabekriterien und freigebender Personen dokumentieren.</t>
  </si>
  <si>
    <t xml:space="preserve">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</si>
  <si>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 xml:space="preserve">die Freigabe</t>
  </si>
  <si>
    <t xml:space="preserve">TEST.4.2</t>
  </si>
  <si>
    <t xml:space="preserve">Signatur</t>
  </si>
  <si>
    <t xml:space="preserve">OPS.1.1.3.A9-UA.4; OPS.1.1.3.A9-UA.5; OPS.1.1.6.A4-UA.2</t>
  </si>
  <si>
    <t xml:space="preserve">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</si>
  <si>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 xml:space="preserve">eine Signatur der Freigabeerklärung</t>
  </si>
  <si>
    <t xml:space="preserve">G 0.26 – Fehlfunktion von Geräten oder Systemen; G 0.25 – Ausfall von Geräten oder Systemen</t>
  </si>
  <si>
    <t xml:space="preserve">Änderungen und Tests KANN eine Signatur der Freigabeerklärung ausführen.</t>
  </si>
  <si>
    <t xml:space="preserve">TEST.4.3</t>
  </si>
  <si>
    <t xml:space="preserve">Rückfallösung</t>
  </si>
  <si>
    <t xml:space="preserve">OPS.1.1.2.A24-UA.5; OPS.1.1.3.A1-UA.5; OPS.1.1.7.A18-UA.2</t>
  </si>
  <si>
    <t xml:space="preserve">superset-of; superset-of; intersects-with</t>
  </si>
  <si>
    <t xml:space="preserve">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</si>
  <si>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 xml:space="preserve">eine Rückfallösung</t>
  </si>
  <si>
    <t xml:space="preserve">Änderungen und Tests SOLLTE eine Rückfallösung verankern.</t>
  </si>
  <si>
    <t xml:space="preserve">TEST.4.4</t>
  </si>
  <si>
    <t xml:space="preserve">Geregelte Notfalländerungen</t>
  </si>
  <si>
    <t xml:space="preserve">APP.4.3.A22-UA.4; DER.4.A1-UA.1; OPS.1.2.5.A21-UA.2; SYS.1.8.A20-UA.2</t>
  </si>
  <si>
    <t xml:space="preserve">subset-of; intersects-with; subset-of; subset-of</t>
  </si>
  <si>
    <t xml:space="preserve">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</si>
  <si>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 xml:space="preserve">Regelungen für Notfalländerungen</t>
  </si>
  <si>
    <t xml:space="preserve">Änderungen und Tests SOLLTE Regelungen für Notfalländerungen einschließlich Vorgehensweise, Zuständigkeiten, erforderlicher Ressourcen und minimaler Prüfschritte verankern.</t>
  </si>
  <si>
    <t xml:space="preserve">TEST.5.1</t>
  </si>
  <si>
    <t xml:space="preserve">Information betroffener Kreise</t>
  </si>
  <si>
    <t xml:space="preserve">APP.6.A12-UA.2; INF.13.A12-UA.8; OPS.1.1.3.A1-UA.6; OPS.1.1.3.A6-UA.1</t>
  </si>
  <si>
    <t xml:space="preserve">subset-of; superset-of; superset-of; superset-of</t>
  </si>
  <si>
    <t xml:space="preserve">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</si>
  <si>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 xml:space="preserve">von der Änderung betroffene Kreise</t>
  </si>
  <si>
    <t xml:space="preserve">Änderungen und Tests SOLLTE von der Änderung betroffene Kreise informieren.</t>
  </si>
  <si>
    <t xml:space="preserve">TEST.5.2</t>
  </si>
  <si>
    <t xml:space="preserve">Verschlüsselte Bereitstellung</t>
  </si>
  <si>
    <t xml:space="preserve">CON.9.A8-UA.2; IND.2.7.A12-UA.2</t>
  </si>
  <si>
    <t xml:space="preserve">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</si>
  <si>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 xml:space="preserve">G 0.23 – Unbefugtes Eindringen in IT-Systeme; G 0.14 – Ausspähen von Informationen (Spionage); G 0.41 – Sabotage; G 0.21 – Manipulation von Hard- oder Software</t>
  </si>
  <si>
    <t xml:space="preserve">Änderungen und Tests SOLLTE die Bereitstellung verschlüsseln.</t>
  </si>
  <si>
    <t xml:space="preserve">TEST.5.3</t>
  </si>
  <si>
    <t xml:space="preserve">Schrittweiser Rollout</t>
  </si>
  <si>
    <t xml:space="preserve">SYS.2.1.A11-UA.3</t>
  </si>
  <si>
    <t xml:space="preserve">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</si>
  <si>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 xml:space="preserve">die Inbetriebnahme</t>
  </si>
  <si>
    <t xml:space="preserve">Änderungen und Tests KANN die Inbetriebnahme stufenweise ausführen.</t>
  </si>
  <si>
    <t xml:space="preserve">TEST.5.4</t>
  </si>
  <si>
    <t xml:space="preserve">Persistenz</t>
  </si>
  <si>
    <t xml:space="preserve">INF.13.A12-UA.3; NET.3.1.A25-UA.1; NET.3.2.A25-UA.1; NET.3.2.A25-UA.2; OPS.1.1.3.A1-UA.8; OPS.1.1.6.A12-UA.2</t>
  </si>
  <si>
    <t xml:space="preserve">intersects-with; subset-of; subset-of; subset-of; superset-of; subset-of</t>
  </si>
  <si>
    <t xml:space="preserve">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</si>
  <si>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 xml:space="preserve">die Persistenz</t>
  </si>
  <si>
    <t xml:space="preserve">G 0.23 – Unbefugtes Eindringen in IT-Systeme; G 0.22 – Manipulation von Informationen; G 0.43 – Einspielen von Nachrichten; G 0.18 – Fehlplanung oder fehlende Anpassung</t>
  </si>
  <si>
    <t xml:space="preserve">Änderungen und Tests SOLLTE die Persistenz nach wesentlichen Änderungen testen.</t>
  </si>
  <si>
    <t xml:space="preserve">TEST.5.5</t>
  </si>
  <si>
    <t xml:space="preserve">Rückblick</t>
  </si>
  <si>
    <t xml:space="preserve">CON.11.1.A17-UA.5; OPS.1.1.3.A1-UA.7</t>
  </si>
  <si>
    <t xml:space="preserve">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</si>
  <si>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 xml:space="preserve">die Erreichung der Bereitstellungsziele</t>
  </si>
  <si>
    <t xml:space="preserve">Änderungen und Tests SOLLTE die Erreichung der Bereitstellungsziele regelmäßig überprüfen.</t>
  </si>
  <si>
    <t xml:space="preserve">UMS.1.1</t>
  </si>
  <si>
    <t xml:space="preserve">Ermittlung des Umsetzungsstatus</t>
  </si>
  <si>
    <t xml:space="preserve">Der Umsetzungsstatus einer Anforderung kann grundsätzlich nur „umgesetzt“ („ja“) oder „nicht umgesetzt“ („nein“) sein. Eine Anforderung gilt nur dann als umgesetzt, wenn sie selbst sowie alle in Abhängigkeit stehenden Anforderungen umgesetzt sind.</t>
  </si>
  <si>
    <t xml:space="preserve">den Umsetzungsstatus der Anforderungen</t>
  </si>
  <si>
    <t xml:space="preserve">Umsetzung MUSS den Umsetzungsstatus der Anforderungen im Anforderungspaket vollständig regelmäßig überprüfen.</t>
  </si>
  <si>
    <t xml:space="preserve">UMS.1.2</t>
  </si>
  <si>
    <t xml:space="preserve">Bewertung des Restrisikos</t>
  </si>
  <si>
    <t xml:space="preserve">Die Risiken der Nichtumsetzung von Anforderungen können auch konsolidiert werden, um diese für die Institutionsleitung nachvollziehbarer zu machen.</t>
  </si>
  <si>
    <t xml:space="preserve">das bestehende Restrisiko durch die nicht umgesetzten Anforderungen</t>
  </si>
  <si>
    <t xml:space="preserve">Umsetzung SOLLTE das bestehende Restrisiko durch die nicht umgesetzten Anforderungen festlegen.</t>
  </si>
  <si>
    <t xml:space="preserve">UMS.2.1</t>
  </si>
  <si>
    <t xml:space="preserve">Umsetzungsplanung</t>
  </si>
  <si>
    <t xml:space="preserve">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</si>
  <si>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 xml:space="preserve">Maßnahmen für die Umsetzung der bisher nicht umgesetzten Anforderungen des Anforderungspakets</t>
  </si>
  <si>
    <t xml:space="preserve">Umsetzung MUSS Maßnahmen für die Umsetzung der bisher nicht umgesetzten Anforderungen des Anforderungspakets gemäß einer strukturierten Vorgehensweise festlegen.</t>
  </si>
  <si>
    <t xml:space="preserve">UMS.2.2</t>
  </si>
  <si>
    <t xml:space="preserve">Priorisierung von Maßnahmen</t>
  </si>
  <si>
    <t xml:space="preserve">Es ist eine geeignete Priorisierung der Anforderungen und Maßnahmenumsetzung vorzunehmen. Gesetzliche Verpflichtungen und Compliance, der Umsetzungsaufwand einer Anforderung bzw. Maßnahme oder die Risikomitigierung der Anforderungen können bei der Priorisierung helfen.</t>
  </si>
  <si>
    <t xml:space="preserve">eine Priorisierung der festgelegten Maßnahmen</t>
  </si>
  <si>
    <t xml:space="preserve">Umsetzung MUSS eine Priorisierung der festgelegten Maßnahmen auf Basis der der Risikobewertung, Abhängigkeiten und Ressourcenverfügbarkeit festlegen.</t>
  </si>
  <si>
    <t xml:space="preserve">UMS.3.1</t>
  </si>
  <si>
    <t xml:space="preserve">Benennung von Umsetzungszuständigen</t>
  </si>
  <si>
    <t xml:space="preserve">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</si>
  <si>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 xml:space="preserve">Zuständige für die Umsetzung der bisher nicht erfüllten Anforderungen</t>
  </si>
  <si>
    <t xml:space="preserve">Umsetzung MUSS Zuständige für die Umsetzung der bisher nicht erfüllten Anforderungen eindeutig zuweisen.</t>
  </si>
  <si>
    <t xml:space="preserve">UMS.4.1</t>
  </si>
  <si>
    <t xml:space="preserve">Festlegung von Umsetzungsfristen</t>
  </si>
  <si>
    <t xml:space="preserve">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</si>
  <si>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 xml:space="preserve">ein realistisches Zieldatum für die Umsetzung der bisher nicht umgesetzten Anforderungen</t>
  </si>
  <si>
    <t xml:space="preserve">Umsetzung MUSS ein realistisches Zieldatum für die Umsetzung der bisher nicht umgesetzten Anforderungen festlegen.</t>
  </si>
  <si>
    <t xml:space="preserve">UMS.5.1</t>
  </si>
  <si>
    <t xml:space="preserve">Autorisierung von Ausnahmen</t>
  </si>
  <si>
    <t xml:space="preserve">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</si>
  <si>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 xml:space="preserve">Ausnahmegenehmigungen für Verpflichtungen</t>
  </si>
  <si>
    <t xml:space="preserve">Umsetzung MUSS Ausnahmegenehmigungen für Verpflichtungen durch eine zuständige Person oder Rolle autorisieren.</t>
  </si>
  <si>
    <t xml:space="preserve">UMS.5.2</t>
  </si>
  <si>
    <t xml:space="preserve">Dokumentation von Ausnahmen</t>
  </si>
  <si>
    <t xml:space="preserve">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</si>
  <si>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 xml:space="preserve">Freigegebene Ausnahmegenehmigung</t>
  </si>
  <si>
    <t xml:space="preserve">Ausnahmegenehmigungen</t>
  </si>
  <si>
    <t xml:space="preserve">Umsetzung MUSS Ausnahmegenehmigungen mit Begründung dokumentieren.</t>
  </si>
  <si>
    <t xml:space="preserve">UMS.6.1</t>
  </si>
  <si>
    <t xml:space="preserve">Nachverfolgung des Umsetzungsfortschritts</t>
  </si>
  <si>
    <t xml:space="preserve">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</si>
  <si>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 xml:space="preserve">ein Verfahren für die Nachverfolgung der Umsetzung von Maßnahmen</t>
  </si>
  <si>
    <t xml:space="preserve">Umsetzung MUSS ein Verfahren für die Nachverfolgung der Umsetzung von Maßnahmen verankern.</t>
  </si>
  <si>
    <t xml:space="preserve">UMS.6.2</t>
  </si>
  <si>
    <t xml:space="preserve">Fortschreibung des Umsetzungsplans</t>
  </si>
  <si>
    <t xml:space="preserve">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</si>
  <si>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 xml:space="preserve">ein Verfahren zur Fortschreibung des Umsetzungsplans</t>
  </si>
  <si>
    <t xml:space="preserve">Umsetzung MUSS ein Verfahren zur Fortschreibung des Umsetzungsplans verankern.</t>
  </si>
  <si>
    <t xml:space="preserve">UMS.7.1</t>
  </si>
  <si>
    <t xml:space="preserve">Wahrung von Compliance in der Umsetzung</t>
  </si>
  <si>
    <t xml:space="preserve">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</si>
  <si>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 xml:space="preserve">ein Verfahren zur Überprüfung von Compliance im Umsetzungsprozess</t>
  </si>
  <si>
    <t xml:space="preserve">Umsetzung MUSS ein Verfahren zur Überprüfung von Compliance im Umsetzungsprozess verankern.</t>
  </si>
  <si>
    <t xml:space="preserve">VRB.1.1</t>
  </si>
  <si>
    <t xml:space="preserve">Verfahren zur kontinuierlichen Verbesserung</t>
  </si>
  <si>
    <t xml:space="preserve">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</si>
  <si>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 xml:space="preserve">ein Verfahren zur kontinuierlichen Verbesserung des ISMS</t>
  </si>
  <si>
    <t xml:space="preserve">Verbesserung MUSS ein Verfahren zur kontinuierlichen Verbesserung des ISMS verankern.</t>
  </si>
  <si>
    <t xml:space="preserve">VRB.2.1</t>
  </si>
  <si>
    <t xml:space="preserve">Umgang mit Nicht-Konformitäten</t>
  </si>
  <si>
    <t xml:space="preserve">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</si>
  <si>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 xml:space="preserve">eine Methode zur Überprüfung von Nicht-Konformitäten</t>
  </si>
  <si>
    <t xml:space="preserve">Verbesserung MUSS eine Methode zur Überprüfung von Nicht-Konformitäten hinsichtlich Ursachen und Wiederauftreten festlegen.</t>
  </si>
  <si>
    <t xml:space="preserve">VRB.2.2</t>
  </si>
  <si>
    <t xml:space="preserve">Anpassung des ISMS</t>
  </si>
  <si>
    <t xml:space="preserve">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</si>
  <si>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 xml:space="preserve">die Notwendigkeit zur Anpassung des ISMS hinsichtlich der Nicht-Konformitäten</t>
  </si>
  <si>
    <t xml:space="preserve">Verbesserung MUSS die Notwendigkeit zur Anpassung des ISMS hinsichtlich der Nicht-Konformitäten regelmäßig überprüfen.</t>
  </si>
  <si>
    <t xml:space="preserve">VRB.3.1</t>
  </si>
  <si>
    <t xml:space="preserve">Identifikation von Verbesserungspotenzialen</t>
  </si>
  <si>
    <t xml:space="preserve">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</si>
  <si>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 xml:space="preserve">eine Methode zur Überprüfung und Bewertung von Verbesserungspotentialen</t>
  </si>
  <si>
    <t xml:space="preserve">Verbesserung MUSS eine Methode zur Überprüfung und Bewertung von Verbesserungspotentialen unter Berücksichtigung der damit verbundenen Vor- und Nachteile festlegen.</t>
  </si>
  <si>
    <t xml:space="preserve">VRB.4.1</t>
  </si>
  <si>
    <t xml:space="preserve">Korrekturmaßnahmen</t>
  </si>
  <si>
    <t xml:space="preserve">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</si>
  <si>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 xml:space="preserve">angemessene Korrekturmaßnahmen zur Beseitigung der Ursachen von Fehlern</t>
  </si>
  <si>
    <t xml:space="preserve">Verbesserung MUSS angemessene Korrekturmaßnahmen zur Beseitigung der Ursachen von Fehlern festlegen.</t>
  </si>
  <si>
    <t xml:space="preserve">VRB.4.2</t>
  </si>
  <si>
    <t xml:space="preserve">Verbesserungsmaßnahmen</t>
  </si>
  <si>
    <t xml:space="preserve">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</si>
  <si>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 xml:space="preserve">angemessene Maßnahmen zur Nutzung von Verbesserungspotentialen</t>
  </si>
  <si>
    <t xml:space="preserve">Verbesserung MUSS angemessene Maßnahmen zur Nutzung von Verbesserungspotentialen unter Berücksichtigung der damit verbundenen Vor- und Nachteile festlegen.</t>
  </si>
  <si>
    <t xml:space="preserve">VRB.5.1</t>
  </si>
  <si>
    <t xml:space="preserve">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</si>
  <si>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 xml:space="preserve">den Maßnahmen zur Korrektur und Verbesserung Prioritäten</t>
  </si>
  <si>
    <t xml:space="preserve">Verbesserung MUSS den Maßnahmen zur Korrektur und Verbesserung Prioritäten zuweisen.</t>
  </si>
  <si>
    <t xml:space="preserve">VRB.6.1</t>
  </si>
  <si>
    <t xml:space="preserve">Überprüfung der erreichten Verbesserung</t>
  </si>
  <si>
    <t xml:space="preserve">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</si>
  <si>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 xml:space="preserve">die Wirksamkeit der umgesetzten Korrektur- und Verbesserungsmaßnahmen</t>
  </si>
  <si>
    <t xml:space="preserve">Verbesserung MUSS die Wirksamkeit der umgesetzten Korrektur- und Verbesserungsmaßnahmen regelmäßig testen.</t>
  </si>
  <si>
    <t xml:space="preserve">VRB.6.2</t>
  </si>
  <si>
    <t xml:space="preserve">Bewertung der erreichten Verbesserung</t>
  </si>
  <si>
    <t xml:space="preserve">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</si>
  <si>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 xml:space="preserve">ein Verfahren zur Bewertung der erreichten Verbesserung</t>
  </si>
  <si>
    <t xml:space="preserve">Verbesserung SOLLTE ein Verfahren zur Bewertung der erreichten Verbesserung unter Berücksichtigung der damit verbundenen Vor- und Nachteile verankern.</t>
  </si>
  <si>
    <t xml:space="preserve">VRB.7.1</t>
  </si>
  <si>
    <t xml:space="preserve">Behandlung von Compliance-Verstößen</t>
  </si>
  <si>
    <t xml:space="preserve">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</si>
  <si>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 xml:space="preserve">ein Verfahren zur Behandlung von Verstößen</t>
  </si>
  <si>
    <t xml:space="preserve">Verbesserung SOLLTE ein Verfahren zur Behandlung von Verstößen unter Berücksichtigung der Betroffenenrechte verankern.</t>
  </si>
  <si>
    <t xml:space="preserve">Gefährdung</t>
  </si>
  <si>
    <t xml:space="preserve">Begriff</t>
  </si>
  <si>
    <t xml:space="preserve">Definition</t>
  </si>
  <si>
    <t xml:space="preserve">G 0.1</t>
  </si>
  <si>
    <t xml:space="preserve">Feuer</t>
  </si>
  <si>
    <t xml:space="preserve">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 B. durch unbeaufsichtigte offene Flammen, Schweiß- und Lötarbeiten), sondern auch durch unsachgemäße Benutzung elektrischer Einrichtungen (z. B. unbeaufsichtigte Kaffeemaschine, Überlastung von Mehrfachsteckdosen). Technische Defekte an elektrischen Geräten können ebenfalls zu einem Brand führen.
Die Ausbreitung eines Brandes kann unter anderem begünstigt werden durch:
- Aufhalten von Brandabschnittstüren durch Keile,
- unsachgemäße Lagerung brennbarer Materialien (z. B. Altpapier),
- Nichtbeachtung der einschlägigen Normen und Vorschriften zur Brandvermeidung,
- fehlende Brandmeldeeinrichtungen (z. B. Rauchmelder),
- fehlende oder nicht einsatzbereite Handfeuerlöscher oder automatische Löscheinrichtungen (z. B. Gaslöschanlagen),
- mangelhaften vorbeugenden Brandschutz (z. B. Fehlen von Brandabschottungen auf Kabeltrassen oder Verwendung ungeeigneter Dämmmaterialien zur Wärme- und Schallisolierung).
Beispiele:
- Anfang der 90er Jahre erlitt im Frankfurter Raum ein Großrechenzentrum einen katastrophalen Brandschaden, der zu einem kompletten Ausfall führte.
- Immer wieder kommt es vor, dass elektrische Kleingeräte, wie z. B. Kaffeemaschinen oder Tischleuchten, unsachgemäß installiert oder aufgestellt sind und dadurch Brände verursachen.</t>
  </si>
  <si>
    <t xml:space="preserve">G 0.2</t>
  </si>
  <si>
    <t xml:space="preserve">Ungünstige klimatische Bedingungen</t>
  </si>
  <si>
    <t xml:space="preserve">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
Beispiele:
- Bei hochsommerlichen Temperaturen und unzureichender Kühlung kann es bei IT-Geräten zu temperaturbedingten Ausfällen kommen.
- Zu viel Staub in IT-Systemen kann zu einem Hitzestau führen.
- Durch zu hohe Temperaturen können magnetische Datenträger entmagnetisiert werden.</t>
  </si>
  <si>
    <t xml:space="preserve">G 0.3</t>
  </si>
  <si>
    <t xml:space="preserve">Wasser</t>
  </si>
  <si>
    <t xml:space="preserve">Durch Wasser kann die Integrität und Verfügbarkeit von Informationen beeinträchtigt werden, die auf analogen und digitalen Datenträgern gespeichert sind. Auch Informationen im Arbeitsspeicher von IT-Systemen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 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
Beispiel:
- In einem Serverraum verlief eine Wasserleitung unterhalb der Decke, die mit Gipskartonelementen verkleidet war. Als eine Verbindung der Wasserleitung undicht wurde, wurde dies nicht rechtzeitig erkannt. Das austretende Wasser sammelte sich zunächst an der tiefsten Stelle der Verkleidung, bevor es dort austrat und im darunter angebrachten Stromverteiler einen Kurzschluss verursachte. Dies führte dazu, dass bis zur endgültigen Reparatur sowohl die Wasser- als auch die Stromversorgung des betroffenen Gebäudeteils komplett abgeschaltet werden musste.</t>
  </si>
  <si>
    <t xml:space="preserve">G 0.4</t>
  </si>
  <si>
    <t xml:space="preserve">Verschmutzung, Staub, Korrosion</t>
  </si>
  <si>
    <t xml:space="preserve">Viele IT-Geräte enthalten neben der Elektronik auch mechanisch arbeitende Komponenten, wie z. 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 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IT-Komponenten und Versorgungseinrichtungen führen. Als Folge kann die ordnungsgemäße Informationsverarbeitung beeinträchtigt werden.
Beispiele:
- Bei der Aufstellung eines Servers in einem Medienraum, zusammen mit einem Kopierer und einem Faxgerät, traten nacheinander die Lähmung des Prozessor-Lüfters und des Netzteil-Lüfters aufgrund der hohen Staubbelastung des Raumes auf. Der Ausfall des Prozessor-Lüfters führte zu sporadischen Server-Abstürzen. Der Ausfall des Netzteil-Lüfters führte schließlich zu einer Überhitzung des Netzteils mit der Folge eines Kurzschlusses, was schließlich einen Totalausfall des Servers nach sich zog.
- Um eine Wandtafel in einem Büro aufzuhängen, wurden von der Haustechnik Löcher in die Wand gebohrt. Der Mitarbeiter hatte hierzu sein Büro für kurze Zeit verlassen. Nach Rückkehr an seinen Arbeitsplatz stellte er fest, dass sein PC nicht mehr funktionierte. Ursache hierfür war Bohrstaub, der durch die Lüftungsschlitze in das PC-Netzteil eingedrungen war.</t>
  </si>
  <si>
    <t xml:space="preserve">G 0.8</t>
  </si>
  <si>
    <t xml:space="preserve">Ausfall oder Störung der Stromversorgung</t>
  </si>
  <si>
    <t xml:space="preserve">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
Beispiele:
- Durch einen Fehler in der USV eines Rechenzentrums schaltete diese nach einem kurzen Stromausfall nicht auf Normalbetrieb zurück. Nach Entladung der Batterien (nach etwa 40 Minuten) fielen alle Rechner im betroffenen Server-Saal aus.
- Anfang 2001 gab es über 40 Tage einen Strom-Notstand in Kalifornien. Die Stromversorgungslage war dort so angespannt, dass die Kalifornische Netzüberwachungsbehörde rotierende Stromabschaltungen anordnete. Von diesen Stromabschaltungen, die bis zu 90 Minuten andauerten, waren nicht nur Haushalte, sondern auch die High-Tech-Industrie betroffen. Weil mit dem Stromausfall auch Alarmanlagen und Überwachungskameras ausgeschaltet wurden, hielten die Energieversorger ihre Abschaltpläne geheim.
- Im November 2005 waren nach heftigen Schneefällen in Niedersachsen und Nordrhein-Westfalen viele Gemeinden tagelang ohne Stromversorgung, weil viele Hochspannungsmasten unter der Schnee- und Eislast umgestürzt waren. Die Wiederherstellung der Stromversorgung dauerte einige Tage.</t>
  </si>
  <si>
    <t xml:space="preserve">G 0.9</t>
  </si>
  <si>
    <t xml:space="preserve">Ausfall oder Störung von Kommunikationsnetzen</t>
  </si>
  <si>
    <t xml:space="preserve">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 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
Beispiele:
- Das Internet ist heute für viele Institutionen zu einem unverzichtbaren Kommunikationsmedium geworden, unter anderem zum Abruf wichtiger Informationen, zur Außendarstellung sowie zur Kommunikation mit Kunden und Partnern. Unternehmen, die sich auf Internet-basierte Dienstleistungen spezialisiert haben, sind natürlich in besonderem Maße von einer funktionierenden Internet-Anbindung abhängig.
- Im Zuge der Konvergenz der Netze werden Sprach- und Datendienste häufig über die gleichen technischen Komponenten transportiert (z. B. VoIP). Dadurch steigt jedoch die Gefahr, dass bei einer Störung der Kommunikationstechnik die Sprachdienste und die Datendienste gleichzeitig ausfallen.</t>
  </si>
  <si>
    <t xml:space="preserve">G 0.10</t>
  </si>
  <si>
    <t xml:space="preserve">Ausfall oder Störung von Versorgungsnetzen</t>
  </si>
  <si>
    <t xml:space="preserve">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 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
Beispiele:
- Ein Ausfall von Heizung oder Lüftung kann zur Folge haben, dass alle Mitarbeiter die betroffenen Gebäude verlassen müssen. Dies kann unter Umständen hohe Schäden nach sich ziehen.
- Der Ausfall der Stromversorgung wirkt nicht nur auf die IT direkt, sondern auch auf alle anderen Netze, die mit elektrisch betriebener Steuer- und Regeltechnik ausgestattet sind. Selbst in Abwasserleitungen sind unter Umständen elektrische Hebepumpen vorhanden.
- Der Ausfall der Wasserversorgung beeinträchtigt eventuell die Funktion von Klimaanlagen.</t>
  </si>
  <si>
    <t xml:space="preserve">G 0.11</t>
  </si>
  <si>
    <t xml:space="preserve">Ausfall oder Störung von Dienstleistern</t>
  </si>
  <si>
    <t xml:space="preserve">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
Beispiele:
- Ein Unternehmen hat seine Server in einem Rechenzentrum eines externen Dienstleisters installiert. Nach einem Brand in diesem Rechenzentrum war die Finanzabteilung des Unternehmens nicht mehr handlungsfähig. Es entstanden erhebliche finanzielle Verluste für das Unternehmen.
- Die Just-in-Time-Produktion eines Unternehmens war von der Zulieferung von Betriebsmitteln externer Dienstleister abhängig. Nachdem ein LKW durch einen Defekt beim Dienstleister ausfiel, verzögerte sich die Lieferung dringend benötigter Teile drastisch. Eine Reihe von Kunden konnte dadurch nicht fristgerecht beliefert werden.
- Ein Bankinstitut wickelte alle Geldtransporte mit einem Werttransportunternehmen ab. Das Werttransportunternehmen meldete überraschend Konkurs an. Die Vereinbarung und Tourenplanung mit einem neuen Werttransporter dauerte mehrere Tage. Als Folge kam es zu erheblichen Problemen und Zeitverzögerungen bei der Geldversorgung und -entsorgung der Bankfilialen.</t>
  </si>
  <si>
    <t xml:space="preserve">G 0.12</t>
  </si>
  <si>
    <t xml:space="preserve">Elektromagnetische Störstrahlung</t>
  </si>
  <si>
    <t xml:space="preserve">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 B. Kabel, Klimakanäle, Heizungsrohre etc.) ausbreiten können. In Deutschland enthält das Gesetz über die elektromagnetische Verträglichkeit von Betriebsmitteln (EMVG) Regelungen zu diesem Thema.</t>
  </si>
  <si>
    <t xml:space="preserve">G 0.13</t>
  </si>
  <si>
    <t xml:space="preserve">Abfangen kompromittierender Strahlung</t>
  </si>
  <si>
    <t xml:space="preserve">Elektrische Geräte strahlen elektromagnetische Wellen ab. Bei Geräten, die Informationen verarbeiten (z. 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</si>
  <si>
    <t xml:space="preserve">G 0.14</t>
  </si>
  <si>
    <t xml:space="preserve">Ausspähen von Informationen (Spionage)</t>
  </si>
  <si>
    <t xml:space="preserve">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
Beispiele:
- Viele IT-Systeme sind durch Identifikations- und Authentisierungsmechanismen gegen eine unberechtigte Nutzung geschützt, z. B. in Form von Benutzerkennung- und Passwort-Prüfung. Wenn das Passwort allerdings unverschlüsselt über die Leitung geschickt wird, ist es einem Angreifer unter Umständen möglich, dieses auszulesen.
- Um Geld an einem Geldausgabeautomaten abheben zu können, muss die korrekte PIN für die verwendete ec- oder Kreditkarte eingegeben werden. Leider ist der Sichtschutz an diesen Geräten häufig unzureichend, so dass ein Angreifer einem Kunden bei der Eingabe der PIN ohne Mühe über die Schulter schauen kann. Wenn der Angreifer hinterher die Karte stiehlt, kann er damit das Konto plündern.
- Um Zugriffsrechte auf einem PC zu erhalten oder diesen anderweitig zu manipulieren, kann ein Angreifer dem Benutzer ein Trojanisches Pferd schicken, das er als vorgeblich nützliches Programm einer E-Mail beigefügt hat. Neben unmittelbaren Schäden können über Trojanische Pferde vielfältige Informationen nicht nur über den einzelnen Rechner, sondern auch über das lokale Netz ausgespäht werden. Insbesondere verfolgen viele Trojanische Pferde das Ziel, Passwörter oder andere Zugangsdaten auszuspähen.
- In vielen Büros sind die Arbeitsplätze akustisch nicht gut gegeneinander abgeschirmt. Dadurch können Kollegen, aber auch Besucher eventuell Gespräche mithören und dabei Kenntnis von Informationen erlangen, die nicht für sie bestimmt oder sogar vertraulich sind.</t>
  </si>
  <si>
    <t xml:space="preserve">G 0.15</t>
  </si>
  <si>
    <t xml:space="preserve">Abhören</t>
  </si>
  <si>
    <t xml:space="preserve">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 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
Beispiele:
- Bei Telefonaten kann für einen Angreifer nicht nur das Abhören von Gesprächen interessant sein. Auch die Informationen, die bei der Signalisierung übertragen werden, können von einem Angreifer missbraucht werden, z. B. falls durch eine fehlerhafte Einstellung im Endgerät das Passwort bei der Anmeldung im Klartext übertragen wird.
- Bei ungeschützter oder unzureichend geschützter Funkübertragung (z. B. wenn ein WLAN nur mit WEP abgesichert wird), kann ein Angreifer leicht die gesamte Kommunikation abhören.
- E-Mails können während ihres gesamten Weges durch das Netz gelesen werden, wenn sie nicht verschlüsselt sind. Unverschlüsselte E-Mails sollten daher nicht mit klassischen Briefen, sondern mit Postkarten verglichen werden.</t>
  </si>
  <si>
    <t xml:space="preserve">G 0.16</t>
  </si>
  <si>
    <t xml:space="preserve">Diebstahl von Geräten, Datenträgern oder Dokumenten</t>
  </si>
  <si>
    <t xml:space="preserve">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
Beispiele:
- Im Frühjahr 2000 verschwand ein Notebook aus dem amerikanischen Außenministerium. In einer offiziellen Stellungnahme wurde nicht ausgeschlossen, dass das Gerät vertrauliche Informationen enthalten könnte. Ebenso wenig war bekannt, ob das Gerät kryptographisch oder durch andere Maßnahmen gegen unbefugten Zugriff gesichert war.
- In einem deutschen Bundesamt wurde mehrfach durch die gleichen ungesicherten Fenster eingebrochen. Neben anderen Wertsachen verschwanden auch mobile IT-Systeme. Ob Akten kopiert oder manipuliert wurden, konnte nicht zweifelsfrei ausgeschlossen werden.
- In Großbritannien gab es eine Reihe von Datenpannen, bei denen vertrauliche Unterlagen offengelegt wurden, weil Datenträger gestohlen wurden. In einem Fall wurden bei der britischen Luftwaffe mehrere Computer-Festplatten gestohlen, die sehr persönliche Informationen enthielten, die zur Sicherheitsüberprüfung von Mitarbeitern erfasst worden waren.
- Ein Mitarbeiter eines Call-Centers erstellte, kurz bevor er das Unternehmen verlassen musste, Kopien einer großen Menge von vertraulichen Kundendaten. Nach seinem Ausscheiden aus dem Unternehmen hat er diese Daten dann an Wettbewerber verkauft. Da anschließend Details über den Vorfall an die Presse gelangten, verlor das Call-Center viele wichtige Kunden.</t>
  </si>
  <si>
    <t xml:space="preserve">G 0.17</t>
  </si>
  <si>
    <t xml:space="preserve">Verlust von Geräten, Datenträgern oder Dokumenten</t>
  </si>
  <si>
    <t xml:space="preserve">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
Beispiele:
- Eine Mitarbeiterin nutzt in der Straßenbahn die Fahrt zum Arbeitsplatz, um einige Unterlagen zu sichten. Als sie hektisch an der Zielhaltestelle aussteigt, lässt sie die Papiere versehentlich auf ihrem Nachbarplatz liegen. Zwar sind die Unterlagen nicht vertraulich, in der Folge müssen jedoch mehrere Unterschriften hochrangiger Führungskräfte erneut eingeholt werden.
- Auf einer Großveranstaltung fällt einem Mitarbeiter beim Suchen in seiner Aktentasche versehentlich und unbemerkt eine Speicherkarte mit vertraulichen Kalkulationen auf den Boden. Der Finder sichtet den Inhalt auf seinem Laptop und verkauft die Informationen an die Konkurrenz.
- Ein Hersteller sendet CDs mit Software-Updates zur Fehlerbehebung per Post an seine Kunden. Einige dieser CDs gehen auf dem Versandweg verloren, ohne dass Absender oder Empfänger darüber informiert werden. In der Folge kommt es bei den betroffenen Kunden zu Fehlfunktionen der Software.</t>
  </si>
  <si>
    <t xml:space="preserve">G 0.18</t>
  </si>
  <si>
    <t xml:space="preserve">Fehlplanung oder fehlende Anpassung</t>
  </si>
  <si>
    <t xml:space="preserve">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
Beispiele:
- Wenn Wartungs- oder Reparaturprozesse nicht auf die fachlichen Anforderungen abgestimmt sind, kann es dadurch zu inakzeptablen Ausfallzeiten kommen.
- Es kann ein erhöhtes Risiko durch Angriffe auf die eigenen IT-Systeme entstehen, wenn sicherheitstechnische Anforderungen bei der Beschaffung von Informationstechnik nicht berücksichtigt werden.
- Wenn benötigtes Verbrauchsmaterial nicht zeitgerecht zur Verfügung gestellt wird, können die davon abhängigen IT-Verfahren ins Stocken geraten.
- Es können Schwachstellen entstehen, wenn bei der Planung eines IT-Verfahrens ungeeignete Übertragungsprotokolle ausgewählt werden.
Die Informationstechnik und das gesamte Umfeld einer Behörde bzw. eines Unternehmens ändern sich ständig. Sei es, dass Mitarbeiter ausscheiden oder hinzukommen, neue Hard- oder Software beschafft wird oder ein Zulieferbetrieb Konkurs anmeldet. Werden die dadurch notwendigen organisatorischen und technischen Anpassungen nicht oder nur ungenügend berücksichtigt, können sich Gefährdungen ergeben.
Beispiele:
- Durch bauliche Änderungen im Gebäude werden bestehende Fluchtwege verändert. Da die Mitarbeiter nicht ausreichend unterrichtet wurden, kann das Gebäude nicht in der erforderlichen Zeit geräumt werden.
- Bei der Übermittlung elektronischer Dokumente wird nicht darauf geachtet, ein für die Empfängerseite lesbares Datenformat zu benutzen.</t>
  </si>
  <si>
    <t xml:space="preserve">G 0.19</t>
  </si>
  <si>
    <t xml:space="preserve">Offenlegung schützenswerter Informationen</t>
  </si>
  <si>
    <t xml:space="preserve">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 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 B. durch Presseanfragen, dass Unbefugte sich Zugang zu vertraulichen Informationen verschafft haben.
Beispiel:
- Käufer von gebrauchten Rechnern, Festplatten, Mobiltelefonen oder ähnlichen Geräten finden darauf immer wieder höchst vertrauliche Informationen wie Patientendaten oder Kontonummern.</t>
  </si>
  <si>
    <t xml:space="preserve">G 0.20</t>
  </si>
  <si>
    <t xml:space="preserve">Informationen oder Produkte aus unzuverlässiger Quelle</t>
  </si>
  <si>
    <t xml:space="preserve">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
Beispiele:
- Ein Empfänger kann durch E-Mails, deren Herkunft er nicht geprüft hat, dazu verleitet werden, bestimmte Aktionen durchzuführen, die sich für ihn oder andere nachteilig auswirken. Beispielsweise kann die E-Mail interessante Anhänge oder Links enthalten, die beim Anklicken dazu führen, dass Schadsoftware beim Empfänger installiert wird. Der Absender der E-Mail kann dabei gefälscht oder dem eines bekannten Kommunikationspartners nachgeahmt sein.
- Die Annahme, dass eine Angabe wahr ist, weil es "in der Zeitung steht" oder "im TV ausgestrahlt wurde", ist nicht immer gerechtfertigt. Dadurch können falsche Aussagen in geschäftskritische Berichte eingearbeitet werden.
- Die Zuverlässigkeit von Informationen, die über das Internet verbreitet werden, ist sehr unterschiedlich. Wenn Ausführungen ohne weitere Quellenprüfungen aus dem Internet übernommen werden, können daraus Fehlentscheidungen resultieren.
- Wenn Updates oder Patches aus nicht vertrauenswürdigen Quellen eingespielt werden, kann dies zu unerwünschten Nebenwirkungen führen. Wenn die Herkunft von Software nicht überprüft wird, besteht ein erhöhtes Risiko, dass IT-Systeme mit schädlichem Code infiziert werden.</t>
  </si>
  <si>
    <t xml:space="preserve">G 0.21</t>
  </si>
  <si>
    <t xml:space="preserve">Manipulation von Hard- oder Software</t>
  </si>
  <si>
    <t xml:space="preserve">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 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
Beispiele:
- In einem Schweizer Finanzunternehmen hatte ein Mitarbeiter die Einsatzsoftware für bestimmte Finanzdienstleistungen manipuliert. Dadurch war es ihm möglich, sich illegal größere Geldbeträge zu verschaffen.
- Durch Manipulationen an Geldausgabeautomaten ist es Angreifern mehrfach gelungen, die auf Zahlungskarten gespeicherten Daten unerlaubt auszulesen. In Verbindung mit ausgespähten PINs wurden diese Daten dann später missbraucht, um Geld zulasten der Karteninhaber abzuheben.</t>
  </si>
  <si>
    <t xml:space="preserve">G 0.22</t>
  </si>
  <si>
    <t xml:space="preserve">Manipulation von Informationen</t>
  </si>
  <si>
    <t xml:space="preserve">Informationen können auf vielfältige Weise manipuliert werden, z. 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
Beispiel:
- Eine Mitarbeiterin hat sich über die Beförderung ihrer Zimmergenossin in der Buchhaltung dermaßen geärgert, dass sie sich während einer kurzen Abwesenheit der Kollegin unerlaubt Zugang zu deren Rechner verschafft hat. Hier hat sie durch einige Zahlenänderungen in der Monatsbilanz enormen negativen Einfluss auf das veröffentlichte Jahresergebnis des Unternehmens genommen.</t>
  </si>
  <si>
    <t xml:space="preserve">G 0.23</t>
  </si>
  <si>
    <t xml:space="preserve">Unbefugtes Eindringen in IT-Systeme</t>
  </si>
  <si>
    <t xml:space="preserve">Grundsätzlich beinhaltet jede Schnittstelle an einem IT-System nicht nur die Möglichkeit, darüber bestimmte Dienste des IT-Systems berechtigt zu nutzen, sondern auch das Risiko, dass darüber unbefugt auf das IT-System zugegriffen wird.
Beispiele:
- Wenn eine Benutzerkennung und das zugehörige Passwort ausgespäht werden, ist eine unberechtigte Nutzung der damit geschützten Anwendungen oder IT-Systeme denkbar.
- Über unzureichend gesicherte Fernwartungszugänge könnten Hacker unerlaubt auf IT-Systeme zugreifen.
- Bei unzureichend gesicherten Schnittstellen von aktiven Netzkomponenten ist es denkbar, dass Angreifer einen unberechtigten Zugang zur Netzkomponente erlangen. Wenn es ihnen außerdem gelingt, die lokalen Sicherheitsmechanismen zu überwinden, also z.B. an administrative Berechtigungen gelangt sind, könnten sie alle Administrationstätigkeiten ausüben.
- Viele IT-Systeme haben Schnittstellen für den Einsatz austauschbarer Datenspeicher, wie z. B. Zusatzspeicherkarten oder USB-Speichermedien. Bei einem unbeaufsichtigten IT-System mit der entsprechenden Hard- und Software besteht die Gefahr, dass hierüber große Datenmengen unbefugt ausgelesen oder Schadprogramme eingeschleust werden können.</t>
  </si>
  <si>
    <t xml:space="preserve">G 0.24</t>
  </si>
  <si>
    <t xml:space="preserve">Zerstörung von Geräten oder Datenträgern</t>
  </si>
  <si>
    <t xml:space="preserve">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
Beispiele:
- In einem Unternehmen nutzte ein Innentäter seine Kenntnis darüber, dass ein wichtiger Server empfindlich auf zu hohe Betriebstemperaturen reagiert, und blockierte die Lüftungsschlitze für den Netzteillüfter mit einem hinter dem Server versteckt aufgestellten Gegenstand. Zwei Tage später erlitt die Festplatte im Server einen temperaturbedingten Defekt, und der Server fiel für mehrere Tage aus.
- Ein Mitarbeiter hatte sich über das wiederholte Abstürzen des Systems so stark geärgert, dass er seine Wut an seinem Arbeitsplatzrechner ausließ. Hierbei wurde die Festplatte durch Fußtritte gegen den Rechner so stark beschädigt, dass sie unbrauchbar wurde. Die hier gespeicherten Daten konnten nur teilweise wieder durch ein Backup vom Vortag rekonstruiert werden.
- Durch umgestoßene Kaffeetassen oder beim Blumengießen eindringende Feuchtigkeit können in einem IT-System Kurzschlüsse hervorrufen.</t>
  </si>
  <si>
    <t xml:space="preserve">G 0.25</t>
  </si>
  <si>
    <t xml:space="preserve">Ausfall von Geräten oder Systemen</t>
  </si>
  <si>
    <t xml:space="preserve">Werden auf einem IT-System zeitkritische Anwendungen betrieben, sind die Folgeschäden nach einem Systemausfall entsprechend hoch, wenn es keine Ausweichmöglichkeiten gibt.
Beispiele:
- Es wird eine Firmware in ein IT-System eingespielt, die nicht für diesen Systemtyp vorgesehen ist. Das IT-System startet daraufhin nicht mehr fehlerfrei und muss vom Hersteller wieder betriebsbereit gemacht werden.
- Bei einem Internet Service Provider (ISP) führte ein Stromversorgungsfehler in einem Speichersystem dazu, dass dieses abgeschaltet wurde. Obwohl der eigentliche Fehler schnell behoben werden konnte, ließen sich die betroffenen IT-Systeme anschließend nicht wieder hochfahren, da Inkonsistenzen im Dateisystem auftraten. Als Folge waren mehrere vom ISP betriebene Webserver tagelang nicht erreichbar.</t>
  </si>
  <si>
    <t xml:space="preserve">G 0.26</t>
  </si>
  <si>
    <t xml:space="preserve">Fehlfunktion von Geräten oder Systemen</t>
  </si>
  <si>
    <t xml:space="preserve">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
Beispiele:
- Aufgrund eines verstopften Lüftungsgitters kommt es zur Überhitzung eines Speichersystems, das daraufhin nicht komplett ausfällt, sondern nur sporadische Fehlfunktionen aufweist. Erst einige Wochen später wird bemerkt, dass die gespeicherten Informationen unvollständig sind.
- Eine wissenschaftliche Standard-Anwendung wird genutzt, um eine statistische Analyse für einen vorab erhobenen Datenbestand durchzuführen, der in einer Datenbank gespeichert ist. Laut Dokumentation ist die Anwendung jedoch für das eingesetzte Datenbank-Produkt nicht freigegeben. Die Analyse scheint zwar zu funktionieren, durch Stichproben stellt sich allerdings heraus, dass die berechneten Ergebnisse falsch sind. Als Ursache wurden Kompatibilitätsprobleme zwischen der Anwendung und der Datenbank identifiziert.</t>
  </si>
  <si>
    <t xml:space="preserve">G 0.27</t>
  </si>
  <si>
    <t xml:space="preserve">Ressourcenmangel</t>
  </si>
  <si>
    <t xml:space="preserve">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
Beispiele:
- Überlastete Elektroleitungen erhitzen sich, dies kann bei ungünstiger Verlegung zu einem Schwelbrand führen.
- Werden neue Anwendungen mit einem höheren als zum Planungszeitpunkt berücksichtigten Bandbreitenbedarf auf dem Netz betrieben, kann dies zu einem Verlust der Verfügbarkeit des gesamten Netzes führen, wenn die Netzinfrastruktur nicht ausreichend skaliert werden kann.
- Wenn die Administratoren wegen Überlastung die Protokoll-Dateien der von ihnen betreuten IT nur sporadisch kontrollieren, werden eventuell Angriffe nicht zeitnah erkannt.
- Webserver können durch eine hohe Menge zeitgleich eintreffender Anfragen so überlastet werden, dass ein geregelter Zugriff auf Daten fast unmöglich wird.
- Wenn sich ein Unternehmen in einem Insolvenzverfahren befindet, kann es passieren, dass kein Geld für dringend benötigte Ersatzteile vorhanden ist oder dass wichtige Dienstleister nicht bezahlt werden können.</t>
  </si>
  <si>
    <t xml:space="preserve">G 0.28</t>
  </si>
  <si>
    <t xml:space="preserve">Software-Schwachstellen oder -Fehler</t>
  </si>
  <si>
    <t xml:space="preserve">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
Beispiele:
- Die meisten Warnmeldungen der Computer Emergency Response Teams (CERTs) in den letzten Jahren bezogen sich auf sicherheitsrelevante Programmierfehler. Dies sind Fehler, die bei der Erstellung von Software entstehen und dazu führen, dass diese Software von Angreifern missbraucht werden kann. Ein großer Teil dieser Fehler wurde durch Speicherüberläufe (Buffer Overflow) hervorgerufen.
- Internet-Browser sind heute eine wichtige Software-Komponente auf Clients. Browser werden häufig nicht nur zum Zugriff auf das Internet, sondern auch für interne Web-Anwendungen in Unternehmen und Behörden genutzt. Software-Schwachstellen oder -Fehler in Browsern können deshalb die Informationssicherheit insgesamt besonders stark beeinträchtigen.</t>
  </si>
  <si>
    <t xml:space="preserve">G 0.29</t>
  </si>
  <si>
    <t xml:space="preserve">Verstoß gegen Gesetze oder Regelungen</t>
  </si>
  <si>
    <t xml:space="preserve">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 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</si>
  <si>
    <t xml:space="preserve">G 0.30</t>
  </si>
  <si>
    <t xml:space="preserve">Unberechtigte Nutzung oder Administration von Geräten und Systemen</t>
  </si>
  <si>
    <t xml:space="preserve">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
Beispiel:
- Bei der Kontrolle von Protokollierungsdaten stieß ein Netzadministrator auf zunächst unerklärliche Ereignisse, die an verschiedenen Tagen, aber häufig am frühen Morgen und am Nachmittag aufgetreten sind. Bei näherer Untersuchung stellte sich heraus, dass ein WLAN-Router unsicher konfiguriert war. Wartende Personen an der Bushaltestelle vor dem Firmengebäude haben diesen Zugang genutzt, um während der Wartezeit mit ihren mobilen Endgeräten im Internet zu surfen.</t>
  </si>
  <si>
    <t xml:space="preserve">G 0.31</t>
  </si>
  <si>
    <t xml:space="preserve">Fehlerhafte Nutzung oder Administration von Geräten und Systemen</t>
  </si>
  <si>
    <t xml:space="preserve">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</si>
  <si>
    <t xml:space="preserve">G 0.32</t>
  </si>
  <si>
    <t xml:space="preserve">Missbrauch von Berechtigungen</t>
  </si>
  <si>
    <t xml:space="preserve">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
Beispiele:
- Je feingranularer die Zugriffsrechte auf Informationen gestaltet werden, desto größer ist oft auch der Pflegeaufwand, um diese Berechtigungen auf dem aktuellen Stand zu halten. Es besteht deshalb die Gefahr, dass bei der Vergabe der Zugriffsrechte zu wenig zwischen den unterschiedlichen Rollen differenziert wird und dadurch der Missbrauch der Berechtigungen erleichtert wird.
- Bei verschiedenen Anwendungen werden Zugriffsberechtigungen oder Passwörter in Systembereichen gespeichert, auf die auch andere Benutzer zugreifen können. Dadurch könnten Angreifer die Berechtigungen ändern oder Passwörter auslesen.
- Personen mit zu großzügig vergebenen Berechtigungen könnten versucht sein, auf fremde Dateien zuzugreifen, beispielsweise eine fremde E-Mail einzusehen, weil bestimmte Informationen dringend benötigt werden.</t>
  </si>
  <si>
    <t xml:space="preserve">G 0.33</t>
  </si>
  <si>
    <t xml:space="preserve">Personalausfall</t>
  </si>
  <si>
    <t xml:space="preserve">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 B. durch einen Urlaubsanspruch verkürzt wird. Ein Personalausfall kann auch durch einen internen Wechsel des Arbeitsplatzes verursacht werden.
Beispiele:
- Aufgrund längerer Krankheit blieb der Netzadministrator einer Firma vom Dienst fern. In der betroffenen Firma lief das Netz zunächst fehlerfrei weiter. Nach zwei Wochen jedoch war nach einem Systemabsturz niemand in der Lage, den Fehler zu beheben, da es nur diesen in den Netzbetrieb eingearbeiteten Administrator gab. Dies führte zu einem Ausfall des Netzes über mehrere Tage.
- Während des Urlaubs eines Administrators musste in einer Institution auf die Backup-Medien im Datensicherungstresor zurückgegriffen werden. Der Zugangscode zum Tresor wurde erst kurz zuvor geändert und war nur diesem Administrator bekannt. Erst nach mehreren Tagen konnte die Datenrestaurierung durchgeführt werden, da der Administrator nicht eher im Urlaub erreichbar war.
- Im Falle eine Pandemie fällt nach und nach längerfristig immer mehr Personal aus, sei es durch die Krankheit selbst, durch die notwendige Pflege von Angehörigen oder durch die Betreuung von Kindern. Auch aus Angst vor Ansteckung in öffentlichen Verkehrsmitteln oder in der Institution bleiben einige Mitarbeiter vom Dienst fern. Als Folge können nur noch die notwendigsten Arbeiten erledigt werden. Die erforderliche Wartung der Systeme, sei es der zentrale Server oder die Klimaanlage im Rechenzentrum, ist nicht mehr zu leisten. Nach und nach fallen dadurch immer mehr Systeme aus.</t>
  </si>
  <si>
    <t xml:space="preserve">G 0.35</t>
  </si>
  <si>
    <t xml:space="preserve">Nötigung, Erpressung oder Korruption</t>
  </si>
  <si>
    <t xml:space="preserve">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</si>
  <si>
    <t xml:space="preserve">G 0.36</t>
  </si>
  <si>
    <t xml:space="preserve">Identitätsdiebstahl</t>
  </si>
  <si>
    <t xml:space="preserve">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
Beispiele:
- Bei verschiedenen E-Mail-Providern und Auktionsplattformen im Internet reichte es zur Anmeldung anfangs, sich einen Phantasienamen auszudenken und diesen mit einer passenden Adresse aus dem Telefonbuch zu unterlegen. Zunächst konnten sich Angreifer auch unter erkennbar ausgedachten Namen anmelden, beispielsweise von Comicfiguren. Als dann schärfere Plausibilitätstests eingeführt wurden, sind hierfür auch Namen, Adressen und Kontonummern von echten Personen verwendet worden. Die Betroffenen haben hiervon erst erfahren, als die ersten Zahlungsaufforderungen bei ihnen eintrafen.
- Die Absender-Adressen von E-Mails lassen sich leicht fälschen. Es passiert immer wieder, dass Anwendern auf diese Weise vorgetäuscht wird, dass eine E-Mail von einem vertrauenswürdigen Kommunikationspartner stammt. Ähnliche Angriffe sind durch die Manipulation der Rufnummernanzeige bei Sprachverbindungen oder durch die Manipulation der Absenderkennung bei Faxverbindungen möglich.
- Ein Angreifer kann durch eine Maskerade versuchen, sich in eine bereits bestehende Verbindung einzuhängen, ohne sich selber authentisieren zu müssen, da dieser Schritt bereits von den originären Kommunikationsteilnehmern durchlaufen wurde.</t>
  </si>
  <si>
    <t xml:space="preserve">G 0.37</t>
  </si>
  <si>
    <t xml:space="preserve">Abstreiten von Handlungen</t>
  </si>
  <si>
    <t xml:space="preserve">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 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E-Mail-Nutzung.
Beispiel:
- Ein dringend benötigtes Ersatzteil wird elektronisch bestellt. Nach einer Woche wird das Fehlen reklamiert, inzwischen sind durch den Produktionsausfall hohe Kosten entstanden. Der Lieferant leugnet, je eine Bestellung erhalten zu haben.</t>
  </si>
  <si>
    <t xml:space="preserve">G 0.38</t>
  </si>
  <si>
    <t xml:space="preserve">Missbrauch personenbezogener Daten</t>
  </si>
  <si>
    <t xml:space="preserve">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
Beispiele:
- Personenbezogene Daten dürfen nur für den Zweck verarbeitet werden, für den sie erhoben oder erstmals gespeichert worden sind. Es ist daher unzulässig, Protokolldateien, in denen die An- und Abmeldung von Benutzern an IT-Systemen ausschließlich für die Zugriffskontrolle festgehalten werden, zur Anwesenheits- und Verhaltenskontrolle zu nutzen.
- Personen, die Zugriff auf personenbezogene Daten haben, könnten diese unbefugt weitergeben. Beispielsweise könnte ein Mitarbeiter am Empfang eines Hotels die Anmeldedaten von Gästen an Werbefirmen verkaufen.</t>
  </si>
  <si>
    <t xml:space="preserve">G 0.39</t>
  </si>
  <si>
    <t xml:space="preserve">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
Beispiele:
- In der Vergangenheit verbreitete sich das Schadprogramm W32/Bugbear auf zwei Wegen: Es suchte in lokalen Netzen nach Computern mit Freigaben, auf die schreibender Zugriff möglich war, und kopierte sich darauf. Zudem schickte es sich selbst als HTML-E-Mail an Empfänger im E-Mail-Adressbuch von befallenen Computern. Durch einen Fehler in der HTML-Routine bestimmter E-Mail-Programme wurde das Schadprogramm dort beim Öffnen der Nachricht ohne weiteres Zutun des Empfängers ausgeführt.
- Das Schadprogramm W32/Klez verbreitete sich in verschiedenen Varianten. Befallene Computer schickten den Virus an alle Empfänger im E-Mail-Adressbuch des Computers. Hatte dieser Virus einen Computer befallen, verhinderte er durch fortlaufende Manipulationen am Betriebssystem die Installation von Viren-Schutzprogrammen verbreiteter Hersteller und erschwerte so die Desinfektion der befallenen Computer erheblich.</t>
  </si>
  <si>
    <t xml:space="preserve">G 0.40</t>
  </si>
  <si>
    <t xml:space="preserve">Verhinderung von Diensten (Denial of Service)</t>
  </si>
  <si>
    <t xml:space="preserve">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 B. durch Überflutung der Auftragsannahme mit fehlerhaften Bestellungen,
- Beeinträchtigungen der Infrastruktur, z. B. durch Blockieren der Türen der Institution,
- Herbeiführen von IT-Ausfällen, indem z. 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 B. die folgenden Ressourcen künstlich verknappt werden:
Prozesse, CPU-Zeit, Arbeitsspeicher, Plattenplatz, Übertragungskapazität.
Beispiel:
- Im Frühjahr 2007 fanden über einen längeren Zeitraum starke DoS-Angriffe auf zahlreiche Internet-Angebote in Estland statt. Dadurch kam es in Estland zu erheblichen Beeinträchtigungen bei der Nutzung von Informationsangeboten und Dienstleistungen im Internet.</t>
  </si>
  <si>
    <t xml:space="preserve">G 0.41</t>
  </si>
  <si>
    <t xml:space="preserve">Sabotage</t>
  </si>
  <si>
    <t xml:space="preserve">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
Beispiele:
- In einem großen Rechenzentrum führte die Manipulation an der USV zu einem vorübergehenden Totalausfall. Der Täter hatte wiederholt die USV von Hand auf Bypass geschaltet und dann die Hauptstromversorgung des Gebäudes manipuliert. Insgesamt fanden in drei Jahren vier Ausfälle statt. Teilweise kam es sogar zu Hardware-Schäden. Die Betriebsunterbrechungen dauerten zwischen 40 und 130 Minuten.
- Innerhalb eines Rechenzentrums waren auch sanitäre Einrichtungen untergebracht. Durch Verstopfen der Abflüsse und gleichzeitiges Öffnen der Wasserzufuhr drang Wasser in zentrale Technikkomponenten ein. Die auf diese Weise verursachten Schäden führten zu Betriebsunterbrechungen des Produktivsystems.
- Für elektronische Archive stellt Sabotage ein besonderes Risiko dar, da hier meist auf kleinem Raum viele schützenswerte Dokumente verwahrt werden. Dadurch kann unter Umständen durch gezielte, wenig aufwendige Manipulationen ein großer Schaden verursacht werden.</t>
  </si>
  <si>
    <t xml:space="preserve">G 0.42</t>
  </si>
  <si>
    <t xml:space="preserve">Social Engineering</t>
  </si>
  <si>
    <t xml:space="preserve">Social Engineering ist eine Methode, um unberechtigten Zugang zu Informationen oder IT-Systemen durch soziale Handlungen zu erlangen. Beim Social Engineering werden menschliche Eigenschaften wie z. 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 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 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</si>
  <si>
    <t xml:space="preserve">G 0.43</t>
  </si>
  <si>
    <t xml:space="preserve">Einspielen von Nachrichten</t>
  </si>
  <si>
    <t xml:space="preserve">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
Beispiele:
- Ein Angreifer zeichnet die Authentisierungsdaten (z. B. Benutzerkennung und Passwort) während des Anmeldevorgangs eines Benutzers auf und verwendet diese Informationen, um sich Zugang zu einem System zu verschaffen. Bei rein statischen Authentisierungsprotokollen kann damit auch ein verschlüsselt übertragenes Passwort benutzt werden, um unbefugt auf ein fremdes System zuzugreifen.
- Um finanziellen Schaden beim Arbeitgeber (Unternehmen oder Behörde) zu verursachen, gibt ein Mitarbeiter eine genehmigte Bestellung mehrmals auf.</t>
  </si>
  <si>
    <t xml:space="preserve">G 0.44</t>
  </si>
  <si>
    <t xml:space="preserve">Unbefugtes Eindringen in Räumlichkeiten</t>
  </si>
  <si>
    <t xml:space="preserve">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
Beispiele:
- Vandalismus
- Bei einem Einbruch in ein Unternehmen an einem Wochenende wurde nur Bagatellschaden durch Aufhebeln eines Fensters angerichtet, lediglich eine Kaffeekasse und kleinere Einrichtungsgegenstände wurden entwendet. Bei einer Routinekontrolle wurde jedoch später festgestellt, dass ein zentraler Server genau zum Zeitpunkt des Einbruchs geschickt manipuliert wurde.</t>
  </si>
  <si>
    <t xml:space="preserve">G 0.45</t>
  </si>
  <si>
    <t xml:space="preserve">Datenverlust</t>
  </si>
  <si>
    <t xml:space="preserve">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
Beispiele:
- Der PDA fällt aus der Hemdtasche und zerschellt auf den Fliesen, ein Mobiltelefon wird statt der Zeitung vom Hund apportiert, leider mit Folgen. Solche und ähnliche Ereignisse sind die Ursachen von vielen Totalverlusten der Daten mobiler Endgeräte.
- Es gibt Schadprogramme, die gezielt Daten auf infizierten IT-Systemen löschen. Bei einigen Schädlingen wird die Löschfunktion nicht sofort bei der Infektion ausgeführt, sondern erst, wenn ein definiertes Ereignis eintritt, zum Beispiel wenn die Systemuhr ein bestimmtes Datum erreicht.
- Viele Internet-Dienste können genutzt werden, um online Informationen zu speichern. Wenn das Passwort vergessen wird und nicht hinterlegt ist, kann es passieren, dass auf die gespeicherten Informationen nicht mehr zugegriffen werden kann, sofern der Dienstleister kein geeignetes Verfahren zum Zurücksetzen des Passwortes anbietet.
- Festplatten und andere Massenspeichermedien haben nur eine begrenzte Lebensdauer. Wenn keine geeigneten Redundanzmaßnahmen getroffen sind, kann es durch technische Defekte zu Datenverlusten kommen.</t>
  </si>
  <si>
    <t xml:space="preserve">G 0.46</t>
  </si>
  <si>
    <t xml:space="preserve">Integritätsverlust schützenswerter Informationen</t>
  </si>
  <si>
    <t xml:space="preserve">Die Integrität von Informationen kann durch verschiedene Ursachen beeinträchtigt werden, z. 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 B. um Zugriff auf weitere IT-Systeme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</si>
  <si>
    <t xml:space="preserve">G 0.47</t>
  </si>
  <si>
    <t xml:space="preserve">Schädliche Seiteneffekte IT-gestützter Angriffe</t>
  </si>
  <si>
    <t xml:space="preserve">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
Beispiele:
- Auf IT-Systemen installierte Bots, mit denen die Täter verteilte Denial-of-Service-Angriffe (DDoS-Angriffe) durchführen können, stellen für die infizierten IT-Systeme selbst oft keine direkte Gefahr dar, weil sich die DDoS-Angriffe in der Regel gegen IT-Systeme Dritter richten.
- Schwachstellen von IoT-Geräten in WLANs können von Tätern als Einfallstor genutzt werden, um andere wichtigere Geräte im gleichen WLAN anzugreifen. Deshalb müssen solche IoT-Geräte auch dann geschützt werden, wenn sie selbst nur einen geringen Schutzbedarf haben.
- Ransomware-Angriffe auf IT-Systeme können unter Umständen Kettenreaktionen auslösen und damit auch Kritische Infrastrukturen treffen. Dies wiederum könnte zu Versorgungsengpässen der Bevölkerung führen, auch wenn die Täter dies möglicherweise gar nicht beabsichtigt haben.</t>
  </si>
  <si>
    <t xml:space="preserve">Quelle: BSI, documentation/namespaces/basethreats.csv. Aufgeführt sind nur die in diesem Katalog referenzierten Gefährdungen.</t>
  </si>
  <si>
    <t xml:space="preserve">Nein</t>
  </si>
  <si>
    <t xml:space="preserve">Nein, in anderem SiKo betrachtet</t>
  </si>
</sst>
</file>

<file path=xl/styles.xml><?xml version="1.0" encoding="utf-8"?>
<styleSheet xmlns="http://schemas.openxmlformats.org/spreadsheetml/2006/main">
  <numFmts count="3">
    <numFmt numFmtId="164" formatCode="General"/>
    <numFmt numFmtId="165" formatCode="dd\.mm\.yyyy"/>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ptos"/>
      <family val="0"/>
      <charset val="1"/>
    </font>
    <font>
      <sz val="11"/>
      <name val="Aptos"/>
      <family val="0"/>
      <charset val="1"/>
    </font>
    <font>
      <b val="true"/>
      <sz val="11"/>
      <name val="Aptos"/>
      <family val="0"/>
      <charset val="1"/>
    </font>
    <font>
      <i val="true"/>
      <sz val="9"/>
      <color rgb="FF808080"/>
      <name val="Aptos"/>
      <family val="0"/>
      <charset val="1"/>
    </font>
    <font>
      <b val="true"/>
      <sz val="12"/>
      <name val="Aptos"/>
      <family val="0"/>
      <charset val="1"/>
    </font>
    <font>
      <i val="true"/>
      <sz val="11"/>
      <name val="Aptos"/>
      <family val="0"/>
      <charset val="1"/>
    </font>
    <font>
      <i val="true"/>
      <sz val="9"/>
      <color rgb="FF6F6F6F"/>
      <name val="Aptos"/>
      <family val="0"/>
      <charset val="1"/>
    </font>
  </fonts>
  <fills count="5">
    <fill>
      <patternFill patternType="none"/>
    </fill>
    <fill>
      <patternFill patternType="gray125"/>
    </fill>
    <fill>
      <patternFill patternType="solid">
        <fgColor rgb="FF56A3BC"/>
        <bgColor rgb="FF33CCCC"/>
      </patternFill>
    </fill>
    <fill>
      <patternFill patternType="solid">
        <fgColor rgb="FFF0F0F0"/>
        <bgColor rgb="FFFDF6E3"/>
      </patternFill>
    </fill>
    <fill>
      <patternFill patternType="solid">
        <fgColor rgb="FFFDF6E3"/>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5" fontId="5" fillId="4"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56A3BC"/>
          <bgColor rgb="FF000000"/>
        </patternFill>
      </fill>
    </dxf>
    <dxf>
      <fill>
        <patternFill patternType="solid">
          <bgColor rgb="FF000000"/>
        </patternFill>
      </fill>
    </dxf>
    <dxf>
      <fill>
        <patternFill patternType="solid">
          <fgColor rgb="FFFFFFFF"/>
          <bgColor rgb="FF000000"/>
        </patternFill>
      </fill>
    </dxf>
    <dxf>
      <font>
        <name val="Aptos"/>
        <charset val="1"/>
        <family val="0"/>
        <color rgb="FF1E5B2E"/>
        <sz val="11"/>
      </font>
      <fill>
        <patternFill>
          <bgColor rgb="FFD6E9D4"/>
        </patternFill>
      </fill>
    </dxf>
    <dxf>
      <font>
        <name val="Aptos"/>
        <charset val="1"/>
        <family val="0"/>
        <color rgb="FF8C1D18"/>
        <sz val="11"/>
      </font>
      <fill>
        <patternFill>
          <bgColor rgb="FFF4CCCC"/>
        </patternFill>
      </fill>
    </dxf>
    <dxf>
      <font>
        <name val="Aptos"/>
        <charset val="1"/>
        <family val="0"/>
        <color rgb="FF7F6000"/>
        <sz val="11"/>
      </font>
      <fill>
        <patternFill>
          <bgColor rgb="FFFFF2CC"/>
        </patternFill>
      </fill>
    </dxf>
    <dxf>
      <font>
        <name val="Aptos"/>
        <charset val="1"/>
        <family val="0"/>
        <color rgb="FF6F6F6F"/>
        <sz val="11"/>
      </font>
      <fill>
        <patternFill>
          <bgColor rgb="FFE4E4E4"/>
        </patternFill>
      </fill>
    </dxf>
    <dxf>
      <font>
        <name val="Aptos"/>
        <charset val="1"/>
        <family val="0"/>
        <color rgb="FF1F4E79"/>
        <sz val="11"/>
      </font>
      <fill>
        <patternFill>
          <bgColor rgb="FFD9E6F2"/>
        </patternFill>
      </fill>
    </dxf>
    <dxf>
      <font>
        <name val="Aptos"/>
        <charset val="1"/>
        <family val="0"/>
        <color rgb="FF9C4500"/>
        <sz val="11"/>
      </font>
      <fill>
        <patternFill>
          <bgColor rgb="FFFCE0C8"/>
        </patternFill>
      </fill>
    </dxf>
  </dxfs>
  <colors>
    <indexedColors>
      <rgbColor rgb="FF000000"/>
      <rgbColor rgb="FFFFFFFF"/>
      <rgbColor rgb="FFFF0000"/>
      <rgbColor rgb="FF00FF00"/>
      <rgbColor rgb="FF0000FF"/>
      <rgbColor rgb="FFFFFF00"/>
      <rgbColor rgb="FFFF00FF"/>
      <rgbColor rgb="FF00FFFF"/>
      <rgbColor rgb="FF8C1D18"/>
      <rgbColor rgb="FF008000"/>
      <rgbColor rgb="FF000080"/>
      <rgbColor rgb="FF7F6000"/>
      <rgbColor rgb="FF800080"/>
      <rgbColor rgb="FF008080"/>
      <rgbColor rgb="FFFCE0C8"/>
      <rgbColor rgb="FF808080"/>
      <rgbColor rgb="FF9999FF"/>
      <rgbColor rgb="FF993366"/>
      <rgbColor rgb="FFFFF2CC"/>
      <rgbColor rgb="FFD9E6F2"/>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F0F0F0"/>
      <rgbColor rgb="FFD6E9D4"/>
      <rgbColor rgb="FFFDF6E3"/>
      <rgbColor rgb="FF99CCFF"/>
      <rgbColor rgb="FFFF99CC"/>
      <rgbColor rgb="FFCC99FF"/>
      <rgbColor rgb="FFF4CCCC"/>
      <rgbColor rgb="FF3366FF"/>
      <rgbColor rgb="FF33CCCC"/>
      <rgbColor rgb="FF99CC00"/>
      <rgbColor rgb="FFFFCC00"/>
      <rgbColor rgb="FFFF9900"/>
      <rgbColor rgb="FFFF6600"/>
      <rgbColor rgb="FF6F6F6F"/>
      <rgbColor rgb="FF969696"/>
      <rgbColor rgb="FF003366"/>
      <rgbColor rgb="FF56A3BC"/>
      <rgbColor rgb="FF003300"/>
      <rgbColor rgb="FF333300"/>
      <rgbColor rgb="FF9C4500"/>
      <rgbColor rgb="FF993366"/>
      <rgbColor rgb="FF1F4E79"/>
      <rgbColor rgb="FF1E5B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5.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78"/>
  </cols>
  <sheetData>
    <row r="1" customFormat="false" ht="15" hidden="false" customHeight="true" outlineLevel="0" collapsed="false">
      <c r="A1" s="2" t="s">
        <v>0</v>
      </c>
      <c r="B1" s="3"/>
    </row>
    <row r="2" customFormat="false" ht="15" hidden="false" customHeight="true" outlineLevel="0" collapsed="false">
      <c r="A2" s="3" t="s">
        <v>1</v>
      </c>
      <c r="B2" s="3" t="s">
        <v>2</v>
      </c>
    </row>
    <row r="3" customFormat="false" ht="15" hidden="false" customHeight="true" outlineLevel="0" collapsed="false">
      <c r="A3" s="3" t="s">
        <v>3</v>
      </c>
      <c r="B3" s="3" t="s">
        <v>4</v>
      </c>
    </row>
    <row r="4" customFormat="false" ht="15" hidden="false" customHeight="true" outlineLevel="0" collapsed="false">
      <c r="A4" s="3" t="s">
        <v>5</v>
      </c>
      <c r="B4" s="3" t="s">
        <v>6</v>
      </c>
    </row>
    <row r="5" customFormat="false" ht="15" hidden="false" customHeight="true" outlineLevel="0" collapsed="false">
      <c r="A5" s="3" t="s">
        <v>7</v>
      </c>
      <c r="B5" s="3" t="s">
        <v>8</v>
      </c>
    </row>
    <row r="6" customFormat="false" ht="15" hidden="false" customHeight="true" outlineLevel="0" collapsed="false">
      <c r="A6" s="3" t="s">
        <v>9</v>
      </c>
      <c r="B6" s="3" t="s">
        <v>10</v>
      </c>
    </row>
    <row r="7" customFormat="false" ht="15" hidden="false" customHeight="true" outlineLevel="0" collapsed="false">
      <c r="A7" s="4"/>
      <c r="B7" s="3"/>
    </row>
    <row r="8" customFormat="false" ht="15" hidden="false" customHeight="true" outlineLevel="0" collapsed="false">
      <c r="A8" s="4" t="s">
        <v>11</v>
      </c>
      <c r="B8" s="3"/>
    </row>
    <row r="9" customFormat="false" ht="15" hidden="false" customHeight="true" outlineLevel="0" collapsed="false">
      <c r="A9" s="3" t="s">
        <v>12</v>
      </c>
      <c r="B9" s="3" t="s">
        <v>13</v>
      </c>
    </row>
    <row r="10" customFormat="false" ht="15" hidden="false" customHeight="true" outlineLevel="0" collapsed="false">
      <c r="A10" s="3" t="s">
        <v>14</v>
      </c>
      <c r="B10" s="3" t="s">
        <v>15</v>
      </c>
    </row>
    <row r="11" customFormat="false" ht="15" hidden="false" customHeight="true" outlineLevel="0" collapsed="false">
      <c r="A11" s="3" t="s">
        <v>16</v>
      </c>
      <c r="B11" s="3" t="s">
        <v>17</v>
      </c>
    </row>
    <row r="12" customFormat="false" ht="15" hidden="false" customHeight="true" outlineLevel="0" collapsed="false">
      <c r="A12" s="3" t="s">
        <v>18</v>
      </c>
      <c r="B12" s="3" t="s">
        <v>19</v>
      </c>
    </row>
    <row r="13" customFormat="false" ht="15" hidden="false" customHeight="true" outlineLevel="0" collapsed="false">
      <c r="A13" s="3" t="s">
        <v>20</v>
      </c>
      <c r="B13" s="3" t="n">
        <v>1000</v>
      </c>
    </row>
    <row r="14" customFormat="false" ht="15" hidden="false" customHeight="true" outlineLevel="0" collapsed="false">
      <c r="A14" s="4"/>
      <c r="B14" s="3"/>
    </row>
    <row r="15" customFormat="false" ht="15" hidden="false" customHeight="true" outlineLevel="0" collapsed="false">
      <c r="A15" s="4" t="s">
        <v>21</v>
      </c>
      <c r="B15" s="3"/>
    </row>
    <row r="16" customFormat="false" ht="15" hidden="false" customHeight="true" outlineLevel="0" collapsed="false">
      <c r="A16" s="3" t="s">
        <v>22</v>
      </c>
      <c r="B16"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6"/>
    <col collapsed="false" customWidth="true" hidden="false" outlineLevel="0" max="3" min="3" style="1" width="62"/>
  </cols>
  <sheetData>
    <row r="1" customFormat="false" ht="15" hidden="false" customHeight="true" outlineLevel="0" collapsed="false">
      <c r="B1" s="2" t="s">
        <v>24</v>
      </c>
    </row>
    <row r="3" customFormat="false" ht="15" hidden="false" customHeight="true" outlineLevel="0" collapsed="false">
      <c r="B3" s="4" t="s">
        <v>25</v>
      </c>
      <c r="C3" s="5" t="s">
        <v>26</v>
      </c>
    </row>
    <row r="4" customFormat="false" ht="15" hidden="false" customHeight="true" outlineLevel="0" collapsed="false">
      <c r="B4" s="4" t="s">
        <v>27</v>
      </c>
      <c r="C4" s="5" t="s">
        <v>28</v>
      </c>
    </row>
    <row r="5" customFormat="false" ht="15" hidden="false" customHeight="true" outlineLevel="0" collapsed="false">
      <c r="B5" s="4" t="s">
        <v>11</v>
      </c>
      <c r="C5" s="5" t="s">
        <v>29</v>
      </c>
    </row>
    <row r="6" customFormat="false" ht="15" hidden="false" customHeight="true" outlineLevel="0" collapsed="false">
      <c r="B6" s="4" t="s">
        <v>14</v>
      </c>
      <c r="C6" s="5" t="s">
        <v>15</v>
      </c>
    </row>
    <row r="7" customFormat="false" ht="15" hidden="false" customHeight="true" outlineLevel="0" collapsed="false">
      <c r="B7" s="4" t="s">
        <v>30</v>
      </c>
      <c r="C7" s="5" t="s">
        <v>4</v>
      </c>
    </row>
    <row r="8" customFormat="false" ht="27.75" hidden="false" customHeight="true" outlineLevel="0" collapsed="false">
      <c r="B8" s="4" t="s">
        <v>7</v>
      </c>
      <c r="C8" s="5" t="s">
        <v>8</v>
      </c>
    </row>
    <row r="9" customFormat="false" ht="15" hidden="false" customHeight="true" outlineLevel="0" collapsed="false">
      <c r="B9" s="4" t="s">
        <v>31</v>
      </c>
      <c r="C9" s="5" t="s">
        <v>10</v>
      </c>
    </row>
    <row r="10" customFormat="false" ht="15" hidden="false" customHeight="true" outlineLevel="0" collapsed="false">
      <c r="B10" s="4" t="s">
        <v>32</v>
      </c>
      <c r="C10" s="5" t="s">
        <v>33</v>
      </c>
    </row>
    <row r="11" customFormat="false" ht="15" hidden="false" customHeight="true" outlineLevel="0" collapsed="false">
      <c r="B11" s="4"/>
      <c r="C11" s="5"/>
    </row>
    <row r="12" customFormat="false" ht="15" hidden="false" customHeight="true" outlineLevel="0" collapsed="false">
      <c r="B12" s="4" t="s">
        <v>34</v>
      </c>
      <c r="C12" s="5" t="n">
        <v>652</v>
      </c>
    </row>
    <row r="13" customFormat="false" ht="15" hidden="false" customHeight="true" outlineLevel="0" collapsed="false">
      <c r="B13" s="4" t="s">
        <v>35</v>
      </c>
      <c r="C13" s="5" t="n">
        <v>974</v>
      </c>
    </row>
    <row r="14" customFormat="false" ht="15" hidden="false" customHeight="true" outlineLevel="0" collapsed="false">
      <c r="B14" s="4"/>
      <c r="C14" s="5"/>
    </row>
    <row r="15" customFormat="false" ht="15" hidden="false" customHeight="true" outlineLevel="0" collapsed="false">
      <c r="B15" s="4" t="s">
        <v>36</v>
      </c>
      <c r="C15" s="5"/>
    </row>
    <row r="16" customFormat="false" ht="27.75" hidden="false" customHeight="true" outlineLevel="0" collapsed="false">
      <c r="B16" s="4" t="s">
        <v>1</v>
      </c>
      <c r="C16" s="5" t="s">
        <v>37</v>
      </c>
    </row>
    <row r="17" customFormat="false" ht="48" hidden="false" customHeight="true" outlineLevel="0" collapsed="false">
      <c r="B17" s="4" t="s">
        <v>38</v>
      </c>
      <c r="C17" s="5" t="s">
        <v>39</v>
      </c>
    </row>
    <row r="18" customFormat="false" ht="15" hidden="false" customHeight="true" outlineLevel="0" collapsed="false">
      <c r="B18" s="4"/>
      <c r="C18" s="5"/>
    </row>
    <row r="19" customFormat="false" ht="15" hidden="false" customHeight="true" outlineLevel="0" collapsed="false">
      <c r="B19" s="4" t="s">
        <v>40</v>
      </c>
      <c r="C19" s="5"/>
    </row>
    <row r="20" customFormat="false" ht="75.75" hidden="false" customHeight="true" outlineLevel="0" collapsed="false">
      <c r="B20" s="4" t="s">
        <v>41</v>
      </c>
      <c r="C20" s="5" t="s">
        <v>42</v>
      </c>
    </row>
    <row r="21" customFormat="false" ht="61.5" hidden="false" customHeight="true" outlineLevel="0" collapsed="false">
      <c r="B21" s="4" t="s">
        <v>43</v>
      </c>
      <c r="C21" s="5" t="s">
        <v>44</v>
      </c>
    </row>
    <row r="22" customFormat="false" ht="15" hidden="false" customHeight="true" outlineLevel="0" collapsed="false">
      <c r="B22" s="4"/>
      <c r="C22" s="5"/>
    </row>
    <row r="23" customFormat="false" ht="15" hidden="false" customHeight="true" outlineLevel="0" collapsed="false">
      <c r="B23" s="4" t="s">
        <v>45</v>
      </c>
      <c r="C23" s="5"/>
    </row>
    <row r="24" customFormat="false" ht="61.5" hidden="false" customHeight="true" outlineLevel="0" collapsed="false">
      <c r="B24" s="4" t="s">
        <v>46</v>
      </c>
      <c r="C24"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48</v>
      </c>
      <c r="B3" s="7" t="s">
        <v>49</v>
      </c>
    </row>
    <row r="4" customFormat="false" ht="15" hidden="false" customHeight="true" outlineLevel="0" collapsed="false">
      <c r="A4" s="4" t="s">
        <v>50</v>
      </c>
      <c r="B4" s="8" t="str">
        <f aca="false">IF(Praktiken!D5="","",Praktiken!D5)</f>
        <v/>
      </c>
    </row>
    <row r="5" customFormat="false" ht="15" hidden="false" customHeight="true" outlineLevel="0" collapsed="false">
      <c r="A5" s="4" t="s">
        <v>51</v>
      </c>
      <c r="B5" s="8" t="str">
        <f aca="false">IF(Praktiken!S5="","",Praktiken!S5)</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62" hidden="false" customHeight="true" outlineLevel="0" collapsed="false">
      <c r="A7" s="10" t="s">
        <v>76</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80</v>
      </c>
      <c r="O7" s="12" t="s">
        <v>81</v>
      </c>
      <c r="P7" s="5" t="s">
        <v>82</v>
      </c>
      <c r="Q7" s="12"/>
      <c r="R7" s="12"/>
      <c r="S7" s="5" t="s">
        <v>83</v>
      </c>
      <c r="T7" s="5" t="s">
        <v>84</v>
      </c>
      <c r="U7" s="12" t="n">
        <v>0</v>
      </c>
      <c r="V7" s="12" t="n">
        <v>1</v>
      </c>
      <c r="W7" s="12" t="n">
        <v>1</v>
      </c>
      <c r="X7" s="12" t="n">
        <v>1</v>
      </c>
      <c r="Y7" s="12" t="n">
        <v>1</v>
      </c>
    </row>
    <row r="8" customFormat="false" ht="216" hidden="false" customHeight="true" outlineLevel="0" collapsed="false">
      <c r="A8" s="12" t="s">
        <v>76</v>
      </c>
      <c r="B8" s="5" t="s">
        <v>77</v>
      </c>
      <c r="C8" s="12" t="s">
        <v>85</v>
      </c>
      <c r="D8" s="12" t="s">
        <v>78</v>
      </c>
      <c r="E8" s="5" t="s">
        <v>86</v>
      </c>
      <c r="F8" s="14"/>
      <c r="G8" s="14"/>
      <c r="H8" s="14" t="s">
        <v>87</v>
      </c>
      <c r="I8" s="14"/>
      <c r="J8" s="14"/>
      <c r="K8" s="14"/>
      <c r="L8" s="15"/>
      <c r="M8" s="12" t="s">
        <v>88</v>
      </c>
      <c r="N8" s="5" t="s">
        <v>89</v>
      </c>
      <c r="O8" s="12" t="s">
        <v>90</v>
      </c>
      <c r="P8" s="5" t="s">
        <v>91</v>
      </c>
      <c r="Q8" s="12"/>
      <c r="R8" s="12" t="s">
        <v>92</v>
      </c>
      <c r="S8" s="5" t="s">
        <v>93</v>
      </c>
      <c r="T8" s="5" t="s">
        <v>94</v>
      </c>
      <c r="U8" s="12" t="n">
        <v>0</v>
      </c>
      <c r="V8" s="12" t="n">
        <v>2</v>
      </c>
      <c r="W8" s="12" t="n">
        <v>2</v>
      </c>
      <c r="X8" s="12" t="n">
        <v>1</v>
      </c>
      <c r="Y8" s="12" t="n">
        <v>1</v>
      </c>
    </row>
    <row r="9" customFormat="false" ht="336.75" hidden="false" customHeight="true" outlineLevel="0" collapsed="false">
      <c r="A9" s="12" t="s">
        <v>76</v>
      </c>
      <c r="B9" s="5" t="s">
        <v>77</v>
      </c>
      <c r="C9" s="12" t="s">
        <v>95</v>
      </c>
      <c r="D9" s="12" t="s">
        <v>78</v>
      </c>
      <c r="E9" s="5" t="s">
        <v>96</v>
      </c>
      <c r="F9" s="14"/>
      <c r="G9" s="14"/>
      <c r="H9" s="14" t="s">
        <v>87</v>
      </c>
      <c r="I9" s="14"/>
      <c r="J9" s="14"/>
      <c r="K9" s="14"/>
      <c r="L9" s="15"/>
      <c r="M9" s="12"/>
      <c r="N9" s="5" t="s">
        <v>97</v>
      </c>
      <c r="O9" s="12" t="s">
        <v>98</v>
      </c>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76</v>
      </c>
      <c r="B10" s="5" t="s">
        <v>77</v>
      </c>
      <c r="C10" s="12" t="s">
        <v>103</v>
      </c>
      <c r="D10" s="12" t="s">
        <v>78</v>
      </c>
      <c r="E10" s="5" t="s">
        <v>104</v>
      </c>
      <c r="F10" s="14"/>
      <c r="G10" s="14"/>
      <c r="H10" s="14" t="s">
        <v>87</v>
      </c>
      <c r="I10" s="14"/>
      <c r="J10" s="14"/>
      <c r="K10" s="14"/>
      <c r="L10" s="15"/>
      <c r="M10" s="12"/>
      <c r="N10" s="5" t="s">
        <v>105</v>
      </c>
      <c r="O10" s="12" t="s">
        <v>106</v>
      </c>
      <c r="P10" s="5" t="s">
        <v>107</v>
      </c>
      <c r="Q10" s="12"/>
      <c r="R10" s="12" t="s">
        <v>92</v>
      </c>
      <c r="S10" s="5" t="s">
        <v>108</v>
      </c>
      <c r="T10" s="5" t="s">
        <v>109</v>
      </c>
      <c r="U10" s="12" t="n">
        <v>0</v>
      </c>
      <c r="V10" s="12" t="n">
        <v>1</v>
      </c>
      <c r="W10" s="12" t="n">
        <v>1</v>
      </c>
      <c r="X10" s="12" t="n">
        <v>1</v>
      </c>
      <c r="Y10" s="12" t="n">
        <v>0</v>
      </c>
    </row>
    <row r="11" customFormat="false" ht="189" hidden="false" customHeight="true" outlineLevel="0" collapsed="false">
      <c r="A11" s="10" t="s">
        <v>110</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t="s">
        <v>112</v>
      </c>
      <c r="O11" s="12" t="s">
        <v>113</v>
      </c>
      <c r="P11" s="5" t="s">
        <v>114</v>
      </c>
      <c r="Q11" s="12"/>
      <c r="R11" s="12" t="s">
        <v>115</v>
      </c>
      <c r="S11" s="5" t="s">
        <v>93</v>
      </c>
      <c r="T11" s="5" t="s">
        <v>116</v>
      </c>
      <c r="U11" s="12" t="n">
        <v>0</v>
      </c>
      <c r="V11" s="12" t="n">
        <v>1</v>
      </c>
      <c r="W11" s="12" t="n">
        <v>1</v>
      </c>
      <c r="X11" s="12" t="n">
        <v>1</v>
      </c>
      <c r="Y11" s="12" t="n">
        <v>0</v>
      </c>
    </row>
    <row r="12" customFormat="false" ht="189" hidden="false" customHeight="true" outlineLevel="0" collapsed="false">
      <c r="A12" s="12" t="s">
        <v>110</v>
      </c>
      <c r="B12" s="5" t="s">
        <v>111</v>
      </c>
      <c r="C12" s="12" t="s">
        <v>110</v>
      </c>
      <c r="D12" s="12" t="s">
        <v>78</v>
      </c>
      <c r="E12" s="5" t="s">
        <v>117</v>
      </c>
      <c r="F12" s="14"/>
      <c r="G12" s="14"/>
      <c r="H12" s="14" t="s">
        <v>87</v>
      </c>
      <c r="I12" s="14"/>
      <c r="J12" s="14"/>
      <c r="K12" s="14"/>
      <c r="L12" s="15"/>
      <c r="M12" s="12"/>
      <c r="N12" s="5" t="s">
        <v>112</v>
      </c>
      <c r="O12" s="12" t="s">
        <v>113</v>
      </c>
      <c r="P12" s="5" t="s">
        <v>114</v>
      </c>
      <c r="Q12" s="12"/>
      <c r="R12" s="12" t="s">
        <v>115</v>
      </c>
      <c r="S12" s="5" t="s">
        <v>93</v>
      </c>
      <c r="T12" s="5" t="s">
        <v>116</v>
      </c>
      <c r="U12" s="12" t="n">
        <v>0</v>
      </c>
      <c r="V12" s="12" t="n">
        <v>1</v>
      </c>
      <c r="W12" s="12" t="n">
        <v>1</v>
      </c>
      <c r="X12" s="12" t="n">
        <v>1</v>
      </c>
      <c r="Y12" s="12" t="n">
        <v>0</v>
      </c>
    </row>
    <row r="13" customFormat="false" ht="297" hidden="false" customHeight="true" outlineLevel="0" collapsed="false">
      <c r="A13" s="10" t="s">
        <v>118</v>
      </c>
      <c r="B13" s="11" t="s">
        <v>119</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88</v>
      </c>
      <c r="N13" s="5" t="s">
        <v>121</v>
      </c>
      <c r="O13" s="12" t="s">
        <v>122</v>
      </c>
      <c r="P13" s="5" t="s">
        <v>123</v>
      </c>
      <c r="Q13" s="12" t="s">
        <v>124</v>
      </c>
      <c r="R13" s="12" t="s">
        <v>125</v>
      </c>
      <c r="S13" s="5" t="s">
        <v>126</v>
      </c>
      <c r="T13" s="5" t="s">
        <v>127</v>
      </c>
      <c r="U13" s="12" t="n">
        <v>2</v>
      </c>
      <c r="V13" s="12" t="n">
        <v>2</v>
      </c>
      <c r="W13" s="12" t="n">
        <v>2</v>
      </c>
      <c r="X13" s="12" t="n">
        <v>1</v>
      </c>
      <c r="Y13" s="12" t="n">
        <v>1</v>
      </c>
    </row>
    <row r="14" customFormat="false" ht="297" hidden="false" customHeight="true" outlineLevel="0" collapsed="false">
      <c r="A14" s="12" t="s">
        <v>118</v>
      </c>
      <c r="B14" s="5" t="s">
        <v>119</v>
      </c>
      <c r="C14" s="12" t="s">
        <v>118</v>
      </c>
      <c r="D14" s="12" t="s">
        <v>120</v>
      </c>
      <c r="E14" s="5" t="s">
        <v>128</v>
      </c>
      <c r="F14" s="14"/>
      <c r="G14" s="14"/>
      <c r="H14" s="14" t="s">
        <v>87</v>
      </c>
      <c r="I14" s="14"/>
      <c r="J14" s="14"/>
      <c r="K14" s="14"/>
      <c r="L14" s="15"/>
      <c r="M14" s="12" t="s">
        <v>88</v>
      </c>
      <c r="N14" s="5" t="s">
        <v>121</v>
      </c>
      <c r="O14" s="12" t="s">
        <v>122</v>
      </c>
      <c r="P14" s="5" t="s">
        <v>123</v>
      </c>
      <c r="Q14" s="12" t="s">
        <v>124</v>
      </c>
      <c r="R14" s="12" t="s">
        <v>125</v>
      </c>
      <c r="S14" s="5" t="s">
        <v>126</v>
      </c>
      <c r="T14" s="5" t="s">
        <v>127</v>
      </c>
      <c r="U14" s="12" t="n">
        <v>2</v>
      </c>
      <c r="V14" s="12" t="n">
        <v>2</v>
      </c>
      <c r="W14" s="12" t="n">
        <v>2</v>
      </c>
      <c r="X14" s="12" t="n">
        <v>1</v>
      </c>
      <c r="Y14" s="12" t="n">
        <v>1</v>
      </c>
    </row>
    <row r="15" customFormat="false" ht="323.25" hidden="false" customHeight="true" outlineLevel="0" collapsed="false">
      <c r="A15" s="10" t="s">
        <v>129</v>
      </c>
      <c r="B15" s="11" t="s">
        <v>130</v>
      </c>
      <c r="C15" s="12"/>
      <c r="D15" s="12" t="s">
        <v>120</v>
      </c>
      <c r="E15" s="5" t="s">
        <v>79</v>
      </c>
      <c r="F15" s="12"/>
      <c r="G15" s="12"/>
      <c r="H15" s="13" t="str">
        <f aca="false">IF(OR(COUNTBLANK($H$16:$H$28)&gt;0,COUNTIF($H$16:$H$28,"unbearbeitet")=COUNTA($H$16:$H$28)),"Bitte Teilanforderungen ausfüllen",IF(COUNTIF($H$16:$H$28,"zu klären")&gt;0,"zu klären",IF(COUNTIF($H$16:$H$28,"entbehrlich")=COUNTA($H$16:$H$28),"entbehrlich",IF(COUNTIF($H$16:$H$28,"verwiesen")=COUNTA($H$16:$H$28),"verwiesen",IF(COUNTIF($H$16:$H$28,"nein")+COUNTIF($H$16:$H$28,"entbehrlich")=COUNTA($H$16:$H$28),"nein",IF(COUNTIF($H$16:$H$28,"ja")+COUNTIF($H$16:$H$28,"entbehrlich")+COUNTIF($H$16:$H$28,"verwiesen")=COUNTA($H$16:$H$28),"ja","teilweise"))))))</f>
        <v>Bitte Teilanforderungen ausfüllen</v>
      </c>
      <c r="I15" s="12"/>
      <c r="J15" s="12"/>
      <c r="K15" s="12"/>
      <c r="L15" s="12"/>
      <c r="M15" s="12"/>
      <c r="N15" s="5" t="s">
        <v>131</v>
      </c>
      <c r="O15" s="12" t="s">
        <v>132</v>
      </c>
      <c r="P15" s="5" t="s">
        <v>133</v>
      </c>
      <c r="Q15" s="12" t="s">
        <v>124</v>
      </c>
      <c r="R15" s="12" t="s">
        <v>125</v>
      </c>
      <c r="S15" s="5" t="s">
        <v>134</v>
      </c>
      <c r="T15" s="5" t="s">
        <v>135</v>
      </c>
      <c r="U15" s="12" t="n">
        <v>2</v>
      </c>
      <c r="V15" s="12" t="n">
        <v>1</v>
      </c>
      <c r="W15" s="12" t="n">
        <v>1</v>
      </c>
      <c r="X15" s="12" t="n">
        <v>1</v>
      </c>
      <c r="Y15" s="12" t="n">
        <v>0</v>
      </c>
    </row>
    <row r="16" customFormat="false" ht="323.25" hidden="false" customHeight="true" outlineLevel="0" collapsed="false">
      <c r="A16" s="12" t="s">
        <v>129</v>
      </c>
      <c r="B16" s="5" t="s">
        <v>130</v>
      </c>
      <c r="C16" s="12" t="s">
        <v>129</v>
      </c>
      <c r="D16" s="12" t="s">
        <v>120</v>
      </c>
      <c r="E16" s="5" t="s">
        <v>136</v>
      </c>
      <c r="F16" s="14"/>
      <c r="G16" s="14"/>
      <c r="H16" s="14" t="s">
        <v>87</v>
      </c>
      <c r="I16" s="14"/>
      <c r="J16" s="14"/>
      <c r="K16" s="14"/>
      <c r="L16" s="15"/>
      <c r="M16" s="12"/>
      <c r="N16" s="5" t="s">
        <v>131</v>
      </c>
      <c r="O16" s="12" t="s">
        <v>132</v>
      </c>
      <c r="P16" s="5" t="s">
        <v>133</v>
      </c>
      <c r="Q16" s="12" t="s">
        <v>124</v>
      </c>
      <c r="R16" s="12" t="s">
        <v>125</v>
      </c>
      <c r="S16" s="5" t="s">
        <v>134</v>
      </c>
      <c r="T16" s="5" t="s">
        <v>135</v>
      </c>
      <c r="U16" s="12" t="n">
        <v>2</v>
      </c>
      <c r="V16" s="12" t="n">
        <v>1</v>
      </c>
      <c r="W16" s="12" t="n">
        <v>1</v>
      </c>
      <c r="X16" s="12" t="n">
        <v>1</v>
      </c>
      <c r="Y16" s="12" t="n">
        <v>0</v>
      </c>
    </row>
    <row r="17" customFormat="false" ht="162" hidden="false" customHeight="true" outlineLevel="0" collapsed="false">
      <c r="A17" s="12" t="s">
        <v>129</v>
      </c>
      <c r="B17" s="5" t="s">
        <v>130</v>
      </c>
      <c r="C17" s="12" t="s">
        <v>137</v>
      </c>
      <c r="D17" s="12" t="s">
        <v>120</v>
      </c>
      <c r="E17" s="5" t="s">
        <v>138</v>
      </c>
      <c r="F17" s="14"/>
      <c r="G17" s="14"/>
      <c r="H17" s="14" t="s">
        <v>87</v>
      </c>
      <c r="I17" s="14"/>
      <c r="J17" s="14"/>
      <c r="K17" s="14"/>
      <c r="L17" s="15"/>
      <c r="M17" s="12" t="s">
        <v>139</v>
      </c>
      <c r="N17" s="5" t="s">
        <v>140</v>
      </c>
      <c r="O17" s="12" t="s">
        <v>141</v>
      </c>
      <c r="P17" s="5" t="s">
        <v>142</v>
      </c>
      <c r="Q17" s="12" t="s">
        <v>124</v>
      </c>
      <c r="R17" s="12" t="s">
        <v>125</v>
      </c>
      <c r="S17" s="5" t="s">
        <v>143</v>
      </c>
      <c r="T17" s="5" t="s">
        <v>144</v>
      </c>
      <c r="U17" s="12" t="n">
        <v>2</v>
      </c>
      <c r="V17" s="12" t="n">
        <v>2</v>
      </c>
      <c r="W17" s="12" t="n">
        <v>1</v>
      </c>
      <c r="X17" s="12" t="n">
        <v>2</v>
      </c>
      <c r="Y17" s="12" t="n">
        <v>0</v>
      </c>
    </row>
    <row r="18" customFormat="false" ht="162" hidden="false" customHeight="true" outlineLevel="0" collapsed="false">
      <c r="A18" s="12" t="s">
        <v>129</v>
      </c>
      <c r="B18" s="5" t="s">
        <v>130</v>
      </c>
      <c r="C18" s="12" t="s">
        <v>145</v>
      </c>
      <c r="D18" s="12" t="s">
        <v>120</v>
      </c>
      <c r="E18" s="5" t="s">
        <v>146</v>
      </c>
      <c r="F18" s="14"/>
      <c r="G18" s="14"/>
      <c r="H18" s="14" t="s">
        <v>87</v>
      </c>
      <c r="I18" s="14"/>
      <c r="J18" s="14"/>
      <c r="K18" s="14"/>
      <c r="L18" s="15"/>
      <c r="M18" s="12"/>
      <c r="N18" s="5" t="s">
        <v>147</v>
      </c>
      <c r="O18" s="12" t="s">
        <v>148</v>
      </c>
      <c r="P18" s="5" t="s">
        <v>149</v>
      </c>
      <c r="Q18" s="12" t="s">
        <v>124</v>
      </c>
      <c r="R18" s="12" t="s">
        <v>125</v>
      </c>
      <c r="S18" s="5" t="s">
        <v>150</v>
      </c>
      <c r="T18" s="5" t="s">
        <v>151</v>
      </c>
      <c r="U18" s="12" t="n">
        <v>2</v>
      </c>
      <c r="V18" s="12" t="n">
        <v>1</v>
      </c>
      <c r="W18" s="12" t="n">
        <v>1</v>
      </c>
      <c r="X18" s="12" t="n">
        <v>0</v>
      </c>
      <c r="Y18" s="12" t="n">
        <v>0</v>
      </c>
    </row>
    <row r="19" customFormat="false" ht="108.75" hidden="false" customHeight="true" outlineLevel="0" collapsed="false">
      <c r="A19" s="12" t="s">
        <v>129</v>
      </c>
      <c r="B19" s="5" t="s">
        <v>130</v>
      </c>
      <c r="C19" s="12" t="s">
        <v>152</v>
      </c>
      <c r="D19" s="12" t="s">
        <v>120</v>
      </c>
      <c r="E19" s="5" t="s">
        <v>153</v>
      </c>
      <c r="F19" s="14"/>
      <c r="G19" s="14"/>
      <c r="H19" s="14" t="s">
        <v>87</v>
      </c>
      <c r="I19" s="14"/>
      <c r="J19" s="14"/>
      <c r="K19" s="14"/>
      <c r="L19" s="15"/>
      <c r="M19" s="12"/>
      <c r="N19" s="5" t="s">
        <v>154</v>
      </c>
      <c r="O19" s="12" t="s">
        <v>155</v>
      </c>
      <c r="P19" s="5" t="s">
        <v>156</v>
      </c>
      <c r="Q19" s="12" t="s">
        <v>124</v>
      </c>
      <c r="R19" s="12" t="s">
        <v>125</v>
      </c>
      <c r="S19" s="5" t="s">
        <v>157</v>
      </c>
      <c r="T19" s="5" t="s">
        <v>158</v>
      </c>
      <c r="U19" s="12" t="n">
        <v>3</v>
      </c>
      <c r="V19" s="12" t="n">
        <v>1</v>
      </c>
      <c r="W19" s="12" t="n">
        <v>1</v>
      </c>
      <c r="X19" s="12" t="n">
        <v>1</v>
      </c>
      <c r="Y19" s="12" t="n">
        <v>0</v>
      </c>
    </row>
    <row r="20" customFormat="false" ht="95.25" hidden="false" customHeight="true" outlineLevel="0" collapsed="false">
      <c r="A20" s="12" t="s">
        <v>129</v>
      </c>
      <c r="B20" s="5" t="s">
        <v>130</v>
      </c>
      <c r="C20" s="12" t="s">
        <v>159</v>
      </c>
      <c r="D20" s="12" t="s">
        <v>160</v>
      </c>
      <c r="E20" s="5" t="s">
        <v>161</v>
      </c>
      <c r="F20" s="14"/>
      <c r="G20" s="14"/>
      <c r="H20" s="14" t="s">
        <v>87</v>
      </c>
      <c r="I20" s="14"/>
      <c r="J20" s="14"/>
      <c r="K20" s="14"/>
      <c r="L20" s="15"/>
      <c r="M20" s="12" t="s">
        <v>74</v>
      </c>
      <c r="N20" s="5" t="s">
        <v>162</v>
      </c>
      <c r="O20" s="12" t="s">
        <v>163</v>
      </c>
      <c r="P20" s="5" t="s">
        <v>164</v>
      </c>
      <c r="Q20" s="12" t="s">
        <v>124</v>
      </c>
      <c r="R20" s="12" t="s">
        <v>125</v>
      </c>
      <c r="S20" s="5" t="s">
        <v>165</v>
      </c>
      <c r="T20" s="5" t="s">
        <v>158</v>
      </c>
      <c r="U20" s="12" t="n">
        <v>5</v>
      </c>
      <c r="V20" s="12" t="n">
        <v>1</v>
      </c>
      <c r="W20" s="12" t="n">
        <v>1</v>
      </c>
      <c r="X20" s="12" t="n">
        <v>2</v>
      </c>
      <c r="Y20" s="12" t="n">
        <v>0</v>
      </c>
    </row>
    <row r="21" customFormat="false" ht="135.75" hidden="false" customHeight="true" outlineLevel="0" collapsed="false">
      <c r="A21" s="12" t="s">
        <v>129</v>
      </c>
      <c r="B21" s="5" t="s">
        <v>130</v>
      </c>
      <c r="C21" s="12" t="s">
        <v>166</v>
      </c>
      <c r="D21" s="12" t="s">
        <v>120</v>
      </c>
      <c r="E21" s="5" t="s">
        <v>167</v>
      </c>
      <c r="F21" s="14"/>
      <c r="G21" s="14"/>
      <c r="H21" s="14" t="s">
        <v>87</v>
      </c>
      <c r="I21" s="14"/>
      <c r="J21" s="14"/>
      <c r="K21" s="14"/>
      <c r="L21" s="15"/>
      <c r="M21" s="12" t="s">
        <v>74</v>
      </c>
      <c r="N21" s="5" t="s">
        <v>168</v>
      </c>
      <c r="O21" s="12" t="s">
        <v>169</v>
      </c>
      <c r="P21" s="5" t="s">
        <v>170</v>
      </c>
      <c r="Q21" s="12" t="s">
        <v>124</v>
      </c>
      <c r="R21" s="12" t="s">
        <v>125</v>
      </c>
      <c r="S21" s="5" t="s">
        <v>171</v>
      </c>
      <c r="T21" s="5" t="s">
        <v>158</v>
      </c>
      <c r="U21" s="12" t="n">
        <v>3</v>
      </c>
      <c r="V21" s="12" t="n">
        <v>1</v>
      </c>
      <c r="W21" s="12" t="n">
        <v>1</v>
      </c>
      <c r="X21" s="12" t="n">
        <v>2</v>
      </c>
      <c r="Y21" s="12" t="n">
        <v>0</v>
      </c>
    </row>
    <row r="22" customFormat="false" ht="202.5" hidden="false" customHeight="true" outlineLevel="0" collapsed="false">
      <c r="A22" s="12" t="s">
        <v>129</v>
      </c>
      <c r="B22" s="5" t="s">
        <v>130</v>
      </c>
      <c r="C22" s="12" t="s">
        <v>172</v>
      </c>
      <c r="D22" s="12" t="s">
        <v>120</v>
      </c>
      <c r="E22" s="5" t="s">
        <v>173</v>
      </c>
      <c r="F22" s="14"/>
      <c r="G22" s="14"/>
      <c r="H22" s="14" t="s">
        <v>87</v>
      </c>
      <c r="I22" s="14"/>
      <c r="J22" s="14"/>
      <c r="K22" s="14"/>
      <c r="L22" s="15"/>
      <c r="M22" s="12" t="s">
        <v>88</v>
      </c>
      <c r="N22" s="5" t="s">
        <v>174</v>
      </c>
      <c r="O22" s="12" t="s">
        <v>175</v>
      </c>
      <c r="P22" s="5" t="s">
        <v>176</v>
      </c>
      <c r="Q22" s="12" t="s">
        <v>124</v>
      </c>
      <c r="R22" s="12" t="s">
        <v>125</v>
      </c>
      <c r="S22" s="5" t="s">
        <v>177</v>
      </c>
      <c r="T22" s="5" t="s">
        <v>178</v>
      </c>
      <c r="U22" s="12" t="n">
        <v>3</v>
      </c>
      <c r="V22" s="12" t="n">
        <v>2</v>
      </c>
      <c r="W22" s="12" t="n">
        <v>2</v>
      </c>
      <c r="X22" s="12" t="n">
        <v>1</v>
      </c>
      <c r="Y22" s="12" t="n">
        <v>0</v>
      </c>
    </row>
    <row r="23" customFormat="false" ht="122.25" hidden="false" customHeight="true" outlineLevel="0" collapsed="false">
      <c r="A23" s="12" t="s">
        <v>129</v>
      </c>
      <c r="B23" s="5" t="s">
        <v>130</v>
      </c>
      <c r="C23" s="12" t="s">
        <v>179</v>
      </c>
      <c r="D23" s="12" t="s">
        <v>120</v>
      </c>
      <c r="E23" s="5" t="s">
        <v>180</v>
      </c>
      <c r="F23" s="14"/>
      <c r="G23" s="14"/>
      <c r="H23" s="14" t="s">
        <v>87</v>
      </c>
      <c r="I23" s="14"/>
      <c r="J23" s="14"/>
      <c r="K23" s="14"/>
      <c r="L23" s="15"/>
      <c r="M23" s="12" t="s">
        <v>72</v>
      </c>
      <c r="N23" s="5" t="s">
        <v>181</v>
      </c>
      <c r="O23" s="12" t="s">
        <v>182</v>
      </c>
      <c r="P23" s="5" t="s">
        <v>183</v>
      </c>
      <c r="Q23" s="12" t="s">
        <v>124</v>
      </c>
      <c r="R23" s="12" t="s">
        <v>125</v>
      </c>
      <c r="S23" s="5" t="s">
        <v>184</v>
      </c>
      <c r="T23" s="5" t="s">
        <v>185</v>
      </c>
      <c r="U23" s="12" t="n">
        <v>3</v>
      </c>
      <c r="V23" s="12" t="n">
        <v>2</v>
      </c>
      <c r="W23" s="12" t="n">
        <v>1</v>
      </c>
      <c r="X23" s="12" t="n">
        <v>1</v>
      </c>
      <c r="Y23" s="12" t="n">
        <v>1</v>
      </c>
    </row>
    <row r="24" customFormat="false" ht="81.75" hidden="false" customHeight="true" outlineLevel="0" collapsed="false">
      <c r="A24" s="12" t="s">
        <v>129</v>
      </c>
      <c r="B24" s="5" t="s">
        <v>130</v>
      </c>
      <c r="C24" s="12" t="s">
        <v>186</v>
      </c>
      <c r="D24" s="12" t="s">
        <v>120</v>
      </c>
      <c r="E24" s="5" t="s">
        <v>187</v>
      </c>
      <c r="F24" s="14"/>
      <c r="G24" s="14"/>
      <c r="H24" s="14" t="s">
        <v>87</v>
      </c>
      <c r="I24" s="14"/>
      <c r="J24" s="14"/>
      <c r="K24" s="14"/>
      <c r="L24" s="15"/>
      <c r="M24" s="12" t="s">
        <v>88</v>
      </c>
      <c r="N24" s="5" t="s">
        <v>188</v>
      </c>
      <c r="O24" s="12" t="s">
        <v>189</v>
      </c>
      <c r="P24" s="5" t="s">
        <v>190</v>
      </c>
      <c r="Q24" s="12" t="s">
        <v>124</v>
      </c>
      <c r="R24" s="12" t="s">
        <v>125</v>
      </c>
      <c r="S24" s="5" t="s">
        <v>191</v>
      </c>
      <c r="T24" s="5" t="s">
        <v>192</v>
      </c>
      <c r="U24" s="12" t="n">
        <v>4</v>
      </c>
      <c r="V24" s="12" t="n">
        <v>2</v>
      </c>
      <c r="W24" s="12" t="n">
        <v>2</v>
      </c>
      <c r="X24" s="12" t="n">
        <v>1</v>
      </c>
      <c r="Y24" s="12" t="n">
        <v>1</v>
      </c>
    </row>
    <row r="25" customFormat="false" ht="68.25" hidden="false" customHeight="true" outlineLevel="0" collapsed="false">
      <c r="A25" s="12" t="s">
        <v>129</v>
      </c>
      <c r="B25" s="5" t="s">
        <v>130</v>
      </c>
      <c r="C25" s="12" t="s">
        <v>193</v>
      </c>
      <c r="D25" s="12" t="s">
        <v>120</v>
      </c>
      <c r="E25" s="5" t="s">
        <v>194</v>
      </c>
      <c r="F25" s="14"/>
      <c r="G25" s="14"/>
      <c r="H25" s="14" t="s">
        <v>87</v>
      </c>
      <c r="I25" s="14"/>
      <c r="J25" s="14"/>
      <c r="K25" s="14"/>
      <c r="L25" s="15"/>
      <c r="M25" s="12" t="s">
        <v>88</v>
      </c>
      <c r="N25" s="5" t="s">
        <v>195</v>
      </c>
      <c r="O25" s="12" t="s">
        <v>196</v>
      </c>
      <c r="P25" s="5" t="s">
        <v>197</v>
      </c>
      <c r="Q25" s="12" t="s">
        <v>124</v>
      </c>
      <c r="R25" s="12" t="s">
        <v>125</v>
      </c>
      <c r="S25" s="5" t="s">
        <v>198</v>
      </c>
      <c r="T25" s="5" t="s">
        <v>199</v>
      </c>
      <c r="U25" s="12" t="n">
        <v>4</v>
      </c>
      <c r="V25" s="12" t="n">
        <v>2</v>
      </c>
      <c r="W25" s="12" t="n">
        <v>2</v>
      </c>
      <c r="X25" s="12" t="n">
        <v>1</v>
      </c>
      <c r="Y25" s="12" t="n">
        <v>0</v>
      </c>
    </row>
    <row r="26" customFormat="false" ht="68.25" hidden="false" customHeight="true" outlineLevel="0" collapsed="false">
      <c r="A26" s="12" t="s">
        <v>129</v>
      </c>
      <c r="B26" s="5" t="s">
        <v>130</v>
      </c>
      <c r="C26" s="12" t="s">
        <v>200</v>
      </c>
      <c r="D26" s="12" t="s">
        <v>120</v>
      </c>
      <c r="E26" s="5" t="s">
        <v>201</v>
      </c>
      <c r="F26" s="14"/>
      <c r="G26" s="14"/>
      <c r="H26" s="14" t="s">
        <v>87</v>
      </c>
      <c r="I26" s="14"/>
      <c r="J26" s="14"/>
      <c r="K26" s="14"/>
      <c r="L26" s="15"/>
      <c r="M26" s="12"/>
      <c r="N26" s="5" t="s">
        <v>202</v>
      </c>
      <c r="O26" s="12" t="s">
        <v>203</v>
      </c>
      <c r="P26" s="5" t="s">
        <v>204</v>
      </c>
      <c r="Q26" s="12" t="s">
        <v>124</v>
      </c>
      <c r="R26" s="12" t="s">
        <v>125</v>
      </c>
      <c r="S26" s="5" t="s">
        <v>205</v>
      </c>
      <c r="T26" s="5" t="s">
        <v>206</v>
      </c>
      <c r="U26" s="12" t="n">
        <v>4</v>
      </c>
      <c r="V26" s="12" t="n">
        <v>1</v>
      </c>
      <c r="W26" s="12" t="n">
        <v>1</v>
      </c>
      <c r="X26" s="12" t="n">
        <v>1</v>
      </c>
      <c r="Y26" s="12" t="n">
        <v>1</v>
      </c>
    </row>
    <row r="27" customFormat="false" ht="81.75" hidden="false" customHeight="true" outlineLevel="0" collapsed="false">
      <c r="A27" s="12" t="s">
        <v>129</v>
      </c>
      <c r="B27" s="5" t="s">
        <v>130</v>
      </c>
      <c r="C27" s="12" t="s">
        <v>207</v>
      </c>
      <c r="D27" s="12" t="s">
        <v>160</v>
      </c>
      <c r="E27" s="5" t="s">
        <v>208</v>
      </c>
      <c r="F27" s="14"/>
      <c r="G27" s="14"/>
      <c r="H27" s="14" t="s">
        <v>87</v>
      </c>
      <c r="I27" s="14"/>
      <c r="J27" s="14"/>
      <c r="K27" s="14"/>
      <c r="L27" s="15"/>
      <c r="M27" s="12"/>
      <c r="N27" s="5" t="s">
        <v>209</v>
      </c>
      <c r="O27" s="12" t="s">
        <v>210</v>
      </c>
      <c r="P27" s="5" t="s">
        <v>211</v>
      </c>
      <c r="Q27" s="12" t="s">
        <v>124</v>
      </c>
      <c r="R27" s="12" t="s">
        <v>125</v>
      </c>
      <c r="S27" s="5" t="s">
        <v>212</v>
      </c>
      <c r="T27" s="5" t="s">
        <v>213</v>
      </c>
      <c r="U27" s="12" t="n">
        <v>5</v>
      </c>
      <c r="V27" s="12" t="n">
        <v>1</v>
      </c>
      <c r="W27" s="12" t="n">
        <v>1</v>
      </c>
      <c r="X27" s="12" t="n">
        <v>1</v>
      </c>
      <c r="Y27" s="12" t="n">
        <v>0</v>
      </c>
    </row>
    <row r="28" customFormat="false" ht="202.5" hidden="false" customHeight="true" outlineLevel="0" collapsed="false">
      <c r="A28" s="12" t="s">
        <v>129</v>
      </c>
      <c r="B28" s="5" t="s">
        <v>130</v>
      </c>
      <c r="C28" s="12" t="s">
        <v>214</v>
      </c>
      <c r="D28" s="12" t="s">
        <v>160</v>
      </c>
      <c r="E28" s="5" t="s">
        <v>215</v>
      </c>
      <c r="F28" s="14"/>
      <c r="G28" s="14"/>
      <c r="H28" s="14" t="s">
        <v>87</v>
      </c>
      <c r="I28" s="14"/>
      <c r="J28" s="14"/>
      <c r="K28" s="14"/>
      <c r="L28" s="15"/>
      <c r="M28" s="12" t="s">
        <v>72</v>
      </c>
      <c r="N28" s="5" t="s">
        <v>216</v>
      </c>
      <c r="O28" s="12" t="s">
        <v>217</v>
      </c>
      <c r="P28" s="5" t="s">
        <v>218</v>
      </c>
      <c r="Q28" s="12"/>
      <c r="R28" s="12" t="s">
        <v>125</v>
      </c>
      <c r="S28" s="5" t="s">
        <v>219</v>
      </c>
      <c r="T28" s="5" t="s">
        <v>220</v>
      </c>
      <c r="U28" s="12" t="n">
        <v>5</v>
      </c>
      <c r="V28" s="12" t="n">
        <v>2</v>
      </c>
      <c r="W28" s="12" t="n">
        <v>1</v>
      </c>
      <c r="X28" s="12" t="n">
        <v>1</v>
      </c>
      <c r="Y28" s="12" t="n">
        <v>1</v>
      </c>
    </row>
    <row r="29" customFormat="false" ht="122.25" hidden="false" customHeight="true" outlineLevel="0" collapsed="false">
      <c r="A29" s="10" t="s">
        <v>221</v>
      </c>
      <c r="B29" s="11" t="s">
        <v>222</v>
      </c>
      <c r="C29" s="12"/>
      <c r="D29" s="12" t="s">
        <v>160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t="s">
        <v>72</v>
      </c>
      <c r="N29" s="5" t="s">
        <v>223</v>
      </c>
      <c r="O29" s="12" t="s">
        <v>224</v>
      </c>
      <c r="P29" s="5" t="s">
        <v>225</v>
      </c>
      <c r="Q29" s="12" t="s">
        <v>226</v>
      </c>
      <c r="R29" s="12" t="s">
        <v>125</v>
      </c>
      <c r="S29" s="5" t="s">
        <v>227</v>
      </c>
      <c r="T29" s="5" t="s">
        <v>220</v>
      </c>
      <c r="U29" s="12" t="n">
        <v>5</v>
      </c>
      <c r="V29" s="12" t="n">
        <v>2</v>
      </c>
      <c r="W29" s="12" t="n">
        <v>1</v>
      </c>
      <c r="X29" s="12" t="n">
        <v>1</v>
      </c>
      <c r="Y29" s="12" t="n">
        <v>1</v>
      </c>
    </row>
    <row r="30" customFormat="false" ht="122.25" hidden="false" customHeight="true" outlineLevel="0" collapsed="false">
      <c r="A30" s="12" t="s">
        <v>221</v>
      </c>
      <c r="B30" s="5" t="s">
        <v>222</v>
      </c>
      <c r="C30" s="12" t="s">
        <v>221</v>
      </c>
      <c r="D30" s="12" t="s">
        <v>160</v>
      </c>
      <c r="E30" s="5" t="s">
        <v>228</v>
      </c>
      <c r="F30" s="14"/>
      <c r="G30" s="14"/>
      <c r="H30" s="14" t="s">
        <v>87</v>
      </c>
      <c r="I30" s="14"/>
      <c r="J30" s="14"/>
      <c r="K30" s="14"/>
      <c r="L30" s="15"/>
      <c r="M30" s="12" t="s">
        <v>72</v>
      </c>
      <c r="N30" s="5" t="s">
        <v>223</v>
      </c>
      <c r="O30" s="12" t="s">
        <v>224</v>
      </c>
      <c r="P30" s="5" t="s">
        <v>225</v>
      </c>
      <c r="Q30" s="12" t="s">
        <v>226</v>
      </c>
      <c r="R30" s="12" t="s">
        <v>125</v>
      </c>
      <c r="S30" s="5" t="s">
        <v>227</v>
      </c>
      <c r="T30" s="5" t="s">
        <v>220</v>
      </c>
      <c r="U30" s="12" t="n">
        <v>5</v>
      </c>
      <c r="V30" s="12" t="n">
        <v>2</v>
      </c>
      <c r="W30" s="12" t="n">
        <v>1</v>
      </c>
      <c r="X30" s="12" t="n">
        <v>1</v>
      </c>
      <c r="Y30" s="12" t="n">
        <v>1</v>
      </c>
    </row>
    <row r="31" customFormat="false" ht="377.25" hidden="false" customHeight="true" outlineLevel="0" collapsed="false">
      <c r="A31" s="10" t="s">
        <v>229</v>
      </c>
      <c r="B31" s="11" t="s">
        <v>230</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t="s">
        <v>88</v>
      </c>
      <c r="N31" s="5" t="s">
        <v>231</v>
      </c>
      <c r="O31" s="12" t="s">
        <v>232</v>
      </c>
      <c r="P31" s="5" t="s">
        <v>233</v>
      </c>
      <c r="Q31" s="12"/>
      <c r="R31" s="12" t="s">
        <v>125</v>
      </c>
      <c r="S31" s="5" t="s">
        <v>234</v>
      </c>
      <c r="T31" s="5" t="s">
        <v>235</v>
      </c>
      <c r="U31" s="12" t="n">
        <v>2</v>
      </c>
      <c r="V31" s="12" t="n">
        <v>2</v>
      </c>
      <c r="W31" s="12" t="n">
        <v>2</v>
      </c>
      <c r="X31" s="12" t="n">
        <v>1</v>
      </c>
      <c r="Y31" s="12" t="n">
        <v>1</v>
      </c>
    </row>
    <row r="32" customFormat="false" ht="377.25" hidden="false" customHeight="true" outlineLevel="0" collapsed="false">
      <c r="A32" s="12" t="s">
        <v>229</v>
      </c>
      <c r="B32" s="5" t="s">
        <v>230</v>
      </c>
      <c r="C32" s="12" t="s">
        <v>229</v>
      </c>
      <c r="D32" s="12" t="s">
        <v>120</v>
      </c>
      <c r="E32" s="5" t="s">
        <v>236</v>
      </c>
      <c r="F32" s="14"/>
      <c r="G32" s="14"/>
      <c r="H32" s="14" t="s">
        <v>87</v>
      </c>
      <c r="I32" s="14"/>
      <c r="J32" s="14"/>
      <c r="K32" s="14"/>
      <c r="L32" s="15"/>
      <c r="M32" s="12" t="s">
        <v>88</v>
      </c>
      <c r="N32" s="5" t="s">
        <v>231</v>
      </c>
      <c r="O32" s="12" t="s">
        <v>232</v>
      </c>
      <c r="P32" s="5" t="s">
        <v>233</v>
      </c>
      <c r="Q32" s="12"/>
      <c r="R32" s="12" t="s">
        <v>125</v>
      </c>
      <c r="S32" s="5" t="s">
        <v>234</v>
      </c>
      <c r="T32" s="5" t="s">
        <v>235</v>
      </c>
      <c r="U32" s="12" t="n">
        <v>2</v>
      </c>
      <c r="V32" s="12" t="n">
        <v>2</v>
      </c>
      <c r="W32" s="12" t="n">
        <v>2</v>
      </c>
      <c r="X32" s="12" t="n">
        <v>1</v>
      </c>
      <c r="Y32" s="12" t="n">
        <v>1</v>
      </c>
    </row>
    <row r="33" customFormat="false" ht="202.5" hidden="false" customHeight="true" outlineLevel="0" collapsed="false">
      <c r="A33" s="10" t="s">
        <v>237</v>
      </c>
      <c r="B33" s="11" t="s">
        <v>125</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88</v>
      </c>
      <c r="N33" s="5" t="s">
        <v>238</v>
      </c>
      <c r="O33" s="12" t="s">
        <v>239</v>
      </c>
      <c r="P33" s="5" t="s">
        <v>240</v>
      </c>
      <c r="Q33" s="12" t="s">
        <v>124</v>
      </c>
      <c r="R33" s="12" t="s">
        <v>125</v>
      </c>
      <c r="S33" s="5" t="s">
        <v>241</v>
      </c>
      <c r="T33" s="5" t="s">
        <v>242</v>
      </c>
      <c r="U33" s="12" t="n">
        <v>2</v>
      </c>
      <c r="V33" s="12" t="n">
        <v>2</v>
      </c>
      <c r="W33" s="12" t="n">
        <v>2</v>
      </c>
      <c r="X33" s="12" t="n">
        <v>1</v>
      </c>
      <c r="Y33" s="12" t="n">
        <v>1</v>
      </c>
    </row>
    <row r="34" customFormat="false" ht="202.5" hidden="false" customHeight="true" outlineLevel="0" collapsed="false">
      <c r="A34" s="12" t="s">
        <v>237</v>
      </c>
      <c r="B34" s="5" t="s">
        <v>125</v>
      </c>
      <c r="C34" s="12" t="s">
        <v>237</v>
      </c>
      <c r="D34" s="12" t="s">
        <v>120</v>
      </c>
      <c r="E34" s="5" t="s">
        <v>243</v>
      </c>
      <c r="F34" s="14"/>
      <c r="G34" s="14"/>
      <c r="H34" s="14" t="s">
        <v>87</v>
      </c>
      <c r="I34" s="14"/>
      <c r="J34" s="14"/>
      <c r="K34" s="14"/>
      <c r="L34" s="15"/>
      <c r="M34" s="12" t="s">
        <v>88</v>
      </c>
      <c r="N34" s="5" t="s">
        <v>238</v>
      </c>
      <c r="O34" s="12" t="s">
        <v>239</v>
      </c>
      <c r="P34" s="5" t="s">
        <v>240</v>
      </c>
      <c r="Q34" s="12" t="s">
        <v>124</v>
      </c>
      <c r="R34" s="12" t="s">
        <v>125</v>
      </c>
      <c r="S34" s="5" t="s">
        <v>241</v>
      </c>
      <c r="T34" s="5" t="s">
        <v>242</v>
      </c>
      <c r="U34" s="12" t="n">
        <v>2</v>
      </c>
      <c r="V34" s="12" t="n">
        <v>2</v>
      </c>
      <c r="W34" s="12" t="n">
        <v>2</v>
      </c>
      <c r="X34" s="12" t="n">
        <v>1</v>
      </c>
      <c r="Y34" s="12" t="n">
        <v>1</v>
      </c>
    </row>
    <row r="35" customFormat="false" ht="81.75" hidden="false" customHeight="true" outlineLevel="0" collapsed="false">
      <c r="A35" s="10" t="s">
        <v>244</v>
      </c>
      <c r="B35" s="11" t="s">
        <v>245</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t="s">
        <v>246</v>
      </c>
      <c r="O35" s="12" t="s">
        <v>247</v>
      </c>
      <c r="P35" s="5" t="s">
        <v>248</v>
      </c>
      <c r="Q35" s="12" t="s">
        <v>124</v>
      </c>
      <c r="R35" s="12" t="s">
        <v>92</v>
      </c>
      <c r="S35" s="5" t="s">
        <v>249</v>
      </c>
      <c r="T35" s="5" t="s">
        <v>250</v>
      </c>
      <c r="U35" s="12" t="n">
        <v>4</v>
      </c>
      <c r="V35" s="12" t="n">
        <v>1</v>
      </c>
      <c r="W35" s="12" t="n">
        <v>1</v>
      </c>
      <c r="X35" s="12" t="n">
        <v>1</v>
      </c>
      <c r="Y35" s="12" t="n">
        <v>1</v>
      </c>
    </row>
    <row r="36" customFormat="false" ht="81.75" hidden="false" customHeight="true" outlineLevel="0" collapsed="false">
      <c r="A36" s="12" t="s">
        <v>244</v>
      </c>
      <c r="B36" s="5" t="s">
        <v>245</v>
      </c>
      <c r="C36" s="12" t="s">
        <v>244</v>
      </c>
      <c r="D36" s="12" t="s">
        <v>120</v>
      </c>
      <c r="E36" s="5" t="s">
        <v>251</v>
      </c>
      <c r="F36" s="14"/>
      <c r="G36" s="14"/>
      <c r="H36" s="14" t="s">
        <v>87</v>
      </c>
      <c r="I36" s="14"/>
      <c r="J36" s="14"/>
      <c r="K36" s="14"/>
      <c r="L36" s="15"/>
      <c r="M36" s="12"/>
      <c r="N36" s="5" t="s">
        <v>246</v>
      </c>
      <c r="O36" s="12" t="s">
        <v>247</v>
      </c>
      <c r="P36" s="5" t="s">
        <v>248</v>
      </c>
      <c r="Q36" s="12" t="s">
        <v>124</v>
      </c>
      <c r="R36" s="12" t="s">
        <v>92</v>
      </c>
      <c r="S36" s="5" t="s">
        <v>249</v>
      </c>
      <c r="T36" s="5" t="s">
        <v>250</v>
      </c>
      <c r="U36" s="12" t="n">
        <v>4</v>
      </c>
      <c r="V36" s="12" t="n">
        <v>1</v>
      </c>
      <c r="W36" s="12" t="n">
        <v>1</v>
      </c>
      <c r="X36" s="12" t="n">
        <v>1</v>
      </c>
      <c r="Y36" s="12" t="n">
        <v>1</v>
      </c>
    </row>
    <row r="37" customFormat="false" ht="216" hidden="false" customHeight="true" outlineLevel="0" collapsed="false">
      <c r="A37" s="10" t="s">
        <v>252</v>
      </c>
      <c r="B37" s="11" t="s">
        <v>253</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88</v>
      </c>
      <c r="N37" s="5" t="s">
        <v>254</v>
      </c>
      <c r="O37" s="12" t="s">
        <v>255</v>
      </c>
      <c r="P37" s="5" t="s">
        <v>256</v>
      </c>
      <c r="Q37" s="12" t="s">
        <v>257</v>
      </c>
      <c r="R37" s="12" t="s">
        <v>125</v>
      </c>
      <c r="S37" s="5" t="s">
        <v>258</v>
      </c>
      <c r="T37" s="5" t="s">
        <v>259</v>
      </c>
      <c r="U37" s="12" t="n">
        <v>2</v>
      </c>
      <c r="V37" s="12" t="n">
        <v>2</v>
      </c>
      <c r="W37" s="12" t="n">
        <v>2</v>
      </c>
      <c r="X37" s="12" t="n">
        <v>1</v>
      </c>
      <c r="Y37" s="12" t="n">
        <v>1</v>
      </c>
    </row>
    <row r="38" customFormat="false" ht="216" hidden="false" customHeight="true" outlineLevel="0" collapsed="false">
      <c r="A38" s="12" t="s">
        <v>252</v>
      </c>
      <c r="B38" s="5" t="s">
        <v>253</v>
      </c>
      <c r="C38" s="12" t="s">
        <v>252</v>
      </c>
      <c r="D38" s="12" t="s">
        <v>120</v>
      </c>
      <c r="E38" s="5" t="s">
        <v>260</v>
      </c>
      <c r="F38" s="14"/>
      <c r="G38" s="14"/>
      <c r="H38" s="14" t="s">
        <v>87</v>
      </c>
      <c r="I38" s="14"/>
      <c r="J38" s="14"/>
      <c r="K38" s="14"/>
      <c r="L38" s="15"/>
      <c r="M38" s="12" t="s">
        <v>88</v>
      </c>
      <c r="N38" s="5" t="s">
        <v>254</v>
      </c>
      <c r="O38" s="12" t="s">
        <v>255</v>
      </c>
      <c r="P38" s="5" t="s">
        <v>256</v>
      </c>
      <c r="Q38" s="12" t="s">
        <v>257</v>
      </c>
      <c r="R38" s="12" t="s">
        <v>125</v>
      </c>
      <c r="S38" s="5" t="s">
        <v>258</v>
      </c>
      <c r="T38" s="5" t="s">
        <v>259</v>
      </c>
      <c r="U38" s="12" t="n">
        <v>2</v>
      </c>
      <c r="V38" s="12" t="n">
        <v>2</v>
      </c>
      <c r="W38" s="12" t="n">
        <v>2</v>
      </c>
      <c r="X38" s="12" t="n">
        <v>1</v>
      </c>
      <c r="Y38" s="12" t="n">
        <v>1</v>
      </c>
    </row>
    <row r="39" customFormat="false" ht="54.75" hidden="false" customHeight="true" outlineLevel="0" collapsed="false">
      <c r="A39" s="10" t="s">
        <v>261</v>
      </c>
      <c r="B39" s="11" t="s">
        <v>262</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t="s">
        <v>139</v>
      </c>
      <c r="N39" s="5" t="s">
        <v>263</v>
      </c>
      <c r="O39" s="12" t="s">
        <v>264</v>
      </c>
      <c r="P39" s="5" t="s">
        <v>265</v>
      </c>
      <c r="Q39" s="12" t="s">
        <v>257</v>
      </c>
      <c r="R39" s="12" t="s">
        <v>125</v>
      </c>
      <c r="S39" s="5" t="s">
        <v>266</v>
      </c>
      <c r="T39" s="5" t="s">
        <v>267</v>
      </c>
      <c r="U39" s="12" t="n">
        <v>4</v>
      </c>
      <c r="V39" s="12" t="n">
        <v>2</v>
      </c>
      <c r="W39" s="12" t="n">
        <v>1</v>
      </c>
      <c r="X39" s="12" t="n">
        <v>2</v>
      </c>
      <c r="Y39" s="12" t="n">
        <v>0</v>
      </c>
    </row>
    <row r="40" customFormat="false" ht="54.75" hidden="false" customHeight="true" outlineLevel="0" collapsed="false">
      <c r="A40" s="12" t="s">
        <v>261</v>
      </c>
      <c r="B40" s="5" t="s">
        <v>262</v>
      </c>
      <c r="C40" s="12" t="s">
        <v>261</v>
      </c>
      <c r="D40" s="12" t="s">
        <v>160</v>
      </c>
      <c r="E40" s="5" t="s">
        <v>268</v>
      </c>
      <c r="F40" s="14"/>
      <c r="G40" s="14"/>
      <c r="H40" s="14" t="s">
        <v>87</v>
      </c>
      <c r="I40" s="14"/>
      <c r="J40" s="14"/>
      <c r="K40" s="14"/>
      <c r="L40" s="15"/>
      <c r="M40" s="12" t="s">
        <v>139</v>
      </c>
      <c r="N40" s="5" t="s">
        <v>263</v>
      </c>
      <c r="O40" s="12" t="s">
        <v>264</v>
      </c>
      <c r="P40" s="5" t="s">
        <v>265</v>
      </c>
      <c r="Q40" s="12" t="s">
        <v>257</v>
      </c>
      <c r="R40" s="12" t="s">
        <v>125</v>
      </c>
      <c r="S40" s="5" t="s">
        <v>266</v>
      </c>
      <c r="T40" s="5" t="s">
        <v>267</v>
      </c>
      <c r="U40" s="12" t="n">
        <v>4</v>
      </c>
      <c r="V40" s="12" t="n">
        <v>2</v>
      </c>
      <c r="W40" s="12" t="n">
        <v>1</v>
      </c>
      <c r="X40" s="12" t="n">
        <v>2</v>
      </c>
      <c r="Y40" s="12" t="n">
        <v>0</v>
      </c>
    </row>
    <row r="41" customFormat="false" ht="81.75" hidden="false" customHeight="true" outlineLevel="0" collapsed="false">
      <c r="A41" s="10" t="s">
        <v>269</v>
      </c>
      <c r="B41" s="11" t="s">
        <v>270</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88</v>
      </c>
      <c r="N41" s="5" t="s">
        <v>271</v>
      </c>
      <c r="O41" s="12" t="s">
        <v>272</v>
      </c>
      <c r="P41" s="5" t="s">
        <v>273</v>
      </c>
      <c r="Q41" s="12" t="s">
        <v>257</v>
      </c>
      <c r="R41" s="12" t="s">
        <v>125</v>
      </c>
      <c r="S41" s="5" t="s">
        <v>274</v>
      </c>
      <c r="T41" s="5" t="s">
        <v>275</v>
      </c>
      <c r="U41" s="12" t="n">
        <v>2</v>
      </c>
      <c r="V41" s="12" t="n">
        <v>2</v>
      </c>
      <c r="W41" s="12" t="n">
        <v>2</v>
      </c>
      <c r="X41" s="12" t="n">
        <v>1</v>
      </c>
      <c r="Y41" s="12" t="n">
        <v>0</v>
      </c>
    </row>
    <row r="42" customFormat="false" ht="81.75" hidden="false" customHeight="true" outlineLevel="0" collapsed="false">
      <c r="A42" s="12" t="s">
        <v>269</v>
      </c>
      <c r="B42" s="5" t="s">
        <v>270</v>
      </c>
      <c r="C42" s="12" t="s">
        <v>269</v>
      </c>
      <c r="D42" s="12" t="s">
        <v>120</v>
      </c>
      <c r="E42" s="5" t="s">
        <v>276</v>
      </c>
      <c r="F42" s="14"/>
      <c r="G42" s="14"/>
      <c r="H42" s="14" t="s">
        <v>87</v>
      </c>
      <c r="I42" s="14"/>
      <c r="J42" s="14"/>
      <c r="K42" s="14"/>
      <c r="L42" s="15"/>
      <c r="M42" s="12" t="s">
        <v>88</v>
      </c>
      <c r="N42" s="5" t="s">
        <v>271</v>
      </c>
      <c r="O42" s="12" t="s">
        <v>272</v>
      </c>
      <c r="P42" s="5" t="s">
        <v>273</v>
      </c>
      <c r="Q42" s="12" t="s">
        <v>257</v>
      </c>
      <c r="R42" s="12" t="s">
        <v>125</v>
      </c>
      <c r="S42" s="5" t="s">
        <v>274</v>
      </c>
      <c r="T42" s="5" t="s">
        <v>275</v>
      </c>
      <c r="U42" s="12" t="n">
        <v>2</v>
      </c>
      <c r="V42" s="12" t="n">
        <v>2</v>
      </c>
      <c r="W42" s="12" t="n">
        <v>2</v>
      </c>
      <c r="X42" s="12" t="n">
        <v>1</v>
      </c>
      <c r="Y42" s="12" t="n">
        <v>0</v>
      </c>
    </row>
    <row r="43" customFormat="false" ht="189" hidden="false" customHeight="true" outlineLevel="0" collapsed="false">
      <c r="A43" s="10" t="s">
        <v>277</v>
      </c>
      <c r="B43" s="11" t="s">
        <v>278</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72</v>
      </c>
      <c r="N43" s="5" t="s">
        <v>279</v>
      </c>
      <c r="O43" s="12" t="s">
        <v>280</v>
      </c>
      <c r="P43" s="5" t="s">
        <v>281</v>
      </c>
      <c r="Q43" s="12" t="s">
        <v>257</v>
      </c>
      <c r="R43" s="12" t="s">
        <v>282</v>
      </c>
      <c r="S43" s="5" t="s">
        <v>283</v>
      </c>
      <c r="T43" s="5" t="s">
        <v>284</v>
      </c>
      <c r="U43" s="12" t="n">
        <v>2</v>
      </c>
      <c r="V43" s="12" t="n">
        <v>2</v>
      </c>
      <c r="W43" s="12" t="n">
        <v>1</v>
      </c>
      <c r="X43" s="12" t="n">
        <v>1</v>
      </c>
      <c r="Y43" s="12" t="n">
        <v>1</v>
      </c>
    </row>
    <row r="44" customFormat="false" ht="189" hidden="false" customHeight="true" outlineLevel="0" collapsed="false">
      <c r="A44" s="12" t="s">
        <v>277</v>
      </c>
      <c r="B44" s="5" t="s">
        <v>278</v>
      </c>
      <c r="C44" s="12" t="s">
        <v>277</v>
      </c>
      <c r="D44" s="12" t="s">
        <v>120</v>
      </c>
      <c r="E44" s="5" t="s">
        <v>285</v>
      </c>
      <c r="F44" s="14"/>
      <c r="G44" s="14"/>
      <c r="H44" s="14" t="s">
        <v>87</v>
      </c>
      <c r="I44" s="14"/>
      <c r="J44" s="14"/>
      <c r="K44" s="14"/>
      <c r="L44" s="15"/>
      <c r="M44" s="12" t="s">
        <v>72</v>
      </c>
      <c r="N44" s="5" t="s">
        <v>279</v>
      </c>
      <c r="O44" s="12" t="s">
        <v>280</v>
      </c>
      <c r="P44" s="5" t="s">
        <v>281</v>
      </c>
      <c r="Q44" s="12" t="s">
        <v>257</v>
      </c>
      <c r="R44" s="12" t="s">
        <v>282</v>
      </c>
      <c r="S44" s="5" t="s">
        <v>283</v>
      </c>
      <c r="T44" s="5" t="s">
        <v>284</v>
      </c>
      <c r="U44" s="12" t="n">
        <v>2</v>
      </c>
      <c r="V44" s="12" t="n">
        <v>2</v>
      </c>
      <c r="W44" s="12" t="n">
        <v>1</v>
      </c>
      <c r="X44" s="12" t="n">
        <v>1</v>
      </c>
      <c r="Y44" s="12" t="n">
        <v>1</v>
      </c>
    </row>
    <row r="45" customFormat="false" ht="565.5" hidden="false" customHeight="true" outlineLevel="0" collapsed="false">
      <c r="A45" s="10" t="s">
        <v>286</v>
      </c>
      <c r="B45" s="11" t="s">
        <v>287</v>
      </c>
      <c r="C45" s="12"/>
      <c r="D45" s="12" t="s">
        <v>120</v>
      </c>
      <c r="E45" s="5" t="s">
        <v>79</v>
      </c>
      <c r="F45" s="12"/>
      <c r="G45" s="12"/>
      <c r="H45" s="13" t="str">
        <f aca="false">IF(OR(COUNTBLANK($H$46:$H$48)&gt;0,COUNTIF($H$46:$H$48,"unbearbeitet")=COUNTA($H$46:$H$48)),"Bitte Teilanforderungen ausfüllen",IF(COUNTIF($H$46:$H$48,"zu klären")&gt;0,"zu klären",IF(COUNTIF($H$46:$H$48,"entbehrlich")=COUNTA($H$46:$H$48),"entbehrlich",IF(COUNTIF($H$46:$H$48,"verwiesen")=COUNTA($H$46:$H$48),"verwiesen",IF(COUNTIF($H$46:$H$48,"nein")+COUNTIF($H$46:$H$48,"entbehrlich")=COUNTA($H$46:$H$48),"nein",IF(COUNTIF($H$46:$H$48,"ja")+COUNTIF($H$46:$H$48,"entbehrlich")+COUNTIF($H$46:$H$48,"verwiesen")=COUNTA($H$46:$H$48),"ja","teilweise"))))))</f>
        <v>Bitte Teilanforderungen ausfüllen</v>
      </c>
      <c r="I45" s="12"/>
      <c r="J45" s="12"/>
      <c r="K45" s="12"/>
      <c r="L45" s="12"/>
      <c r="M45" s="12" t="s">
        <v>88</v>
      </c>
      <c r="N45" s="5" t="s">
        <v>288</v>
      </c>
      <c r="O45" s="12" t="s">
        <v>289</v>
      </c>
      <c r="P45" s="5" t="s">
        <v>290</v>
      </c>
      <c r="Q45" s="12" t="s">
        <v>291</v>
      </c>
      <c r="R45" s="12" t="s">
        <v>282</v>
      </c>
      <c r="S45" s="5" t="s">
        <v>292</v>
      </c>
      <c r="T45" s="5" t="s">
        <v>275</v>
      </c>
      <c r="U45" s="12" t="n">
        <v>3</v>
      </c>
      <c r="V45" s="12" t="n">
        <v>2</v>
      </c>
      <c r="W45" s="12" t="n">
        <v>2</v>
      </c>
      <c r="X45" s="12" t="n">
        <v>1</v>
      </c>
      <c r="Y45" s="12" t="n">
        <v>0</v>
      </c>
    </row>
    <row r="46" customFormat="false" ht="565.5" hidden="false" customHeight="true" outlineLevel="0" collapsed="false">
      <c r="A46" s="12" t="s">
        <v>286</v>
      </c>
      <c r="B46" s="5" t="s">
        <v>287</v>
      </c>
      <c r="C46" s="12" t="s">
        <v>286</v>
      </c>
      <c r="D46" s="12" t="s">
        <v>120</v>
      </c>
      <c r="E46" s="5" t="s">
        <v>293</v>
      </c>
      <c r="F46" s="14"/>
      <c r="G46" s="14"/>
      <c r="H46" s="14" t="s">
        <v>87</v>
      </c>
      <c r="I46" s="14"/>
      <c r="J46" s="14"/>
      <c r="K46" s="14"/>
      <c r="L46" s="15"/>
      <c r="M46" s="12" t="s">
        <v>88</v>
      </c>
      <c r="N46" s="5" t="s">
        <v>288</v>
      </c>
      <c r="O46" s="12" t="s">
        <v>289</v>
      </c>
      <c r="P46" s="5" t="s">
        <v>290</v>
      </c>
      <c r="Q46" s="12" t="s">
        <v>291</v>
      </c>
      <c r="R46" s="12" t="s">
        <v>282</v>
      </c>
      <c r="S46" s="5" t="s">
        <v>292</v>
      </c>
      <c r="T46" s="5" t="s">
        <v>275</v>
      </c>
      <c r="U46" s="12" t="n">
        <v>3</v>
      </c>
      <c r="V46" s="12" t="n">
        <v>2</v>
      </c>
      <c r="W46" s="12" t="n">
        <v>2</v>
      </c>
      <c r="X46" s="12" t="n">
        <v>1</v>
      </c>
      <c r="Y46" s="12" t="n">
        <v>0</v>
      </c>
    </row>
    <row r="47" customFormat="false" ht="175.5" hidden="false" customHeight="true" outlineLevel="0" collapsed="false">
      <c r="A47" s="12" t="s">
        <v>286</v>
      </c>
      <c r="B47" s="5" t="s">
        <v>287</v>
      </c>
      <c r="C47" s="12" t="s">
        <v>294</v>
      </c>
      <c r="D47" s="12" t="s">
        <v>120</v>
      </c>
      <c r="E47" s="5" t="s">
        <v>295</v>
      </c>
      <c r="F47" s="14"/>
      <c r="G47" s="14"/>
      <c r="H47" s="14" t="s">
        <v>87</v>
      </c>
      <c r="I47" s="14"/>
      <c r="J47" s="14"/>
      <c r="K47" s="14"/>
      <c r="L47" s="15"/>
      <c r="M47" s="12"/>
      <c r="N47" s="5" t="s">
        <v>296</v>
      </c>
      <c r="O47" s="12" t="s">
        <v>297</v>
      </c>
      <c r="P47" s="5" t="s">
        <v>298</v>
      </c>
      <c r="Q47" s="12" t="s">
        <v>291</v>
      </c>
      <c r="R47" s="12" t="s">
        <v>282</v>
      </c>
      <c r="S47" s="5" t="s">
        <v>292</v>
      </c>
      <c r="T47" s="5" t="s">
        <v>299</v>
      </c>
      <c r="U47" s="12" t="n">
        <v>4</v>
      </c>
      <c r="V47" s="12" t="n">
        <v>1</v>
      </c>
      <c r="W47" s="12" t="n">
        <v>1</v>
      </c>
      <c r="X47" s="12" t="n">
        <v>1</v>
      </c>
      <c r="Y47" s="12" t="n">
        <v>0</v>
      </c>
    </row>
    <row r="48" customFormat="false" ht="122.25" hidden="false" customHeight="true" outlineLevel="0" collapsed="false">
      <c r="A48" s="12" t="s">
        <v>286</v>
      </c>
      <c r="B48" s="5" t="s">
        <v>287</v>
      </c>
      <c r="C48" s="12" t="s">
        <v>300</v>
      </c>
      <c r="D48" s="12" t="s">
        <v>160</v>
      </c>
      <c r="E48" s="5" t="s">
        <v>301</v>
      </c>
      <c r="F48" s="14"/>
      <c r="G48" s="14"/>
      <c r="H48" s="14" t="s">
        <v>87</v>
      </c>
      <c r="I48" s="14"/>
      <c r="J48" s="14"/>
      <c r="K48" s="14"/>
      <c r="L48" s="15"/>
      <c r="M48" s="12"/>
      <c r="N48" s="5" t="s">
        <v>302</v>
      </c>
      <c r="O48" s="12" t="s">
        <v>303</v>
      </c>
      <c r="P48" s="5" t="s">
        <v>304</v>
      </c>
      <c r="Q48" s="12" t="s">
        <v>291</v>
      </c>
      <c r="R48" s="12" t="s">
        <v>282</v>
      </c>
      <c r="S48" s="5" t="s">
        <v>305</v>
      </c>
      <c r="T48" s="5" t="s">
        <v>306</v>
      </c>
      <c r="U48" s="12" t="n">
        <v>5</v>
      </c>
      <c r="V48" s="12" t="n">
        <v>1</v>
      </c>
      <c r="W48" s="12" t="n">
        <v>1</v>
      </c>
      <c r="X48" s="12" t="n">
        <v>1</v>
      </c>
      <c r="Y48" s="12" t="n">
        <v>0</v>
      </c>
    </row>
    <row r="49" customFormat="false" ht="404.25" hidden="false" customHeight="true" outlineLevel="0" collapsed="false">
      <c r="A49" s="10" t="s">
        <v>307</v>
      </c>
      <c r="B49" s="11" t="s">
        <v>308</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73</v>
      </c>
      <c r="N49" s="5" t="s">
        <v>309</v>
      </c>
      <c r="O49" s="12" t="s">
        <v>310</v>
      </c>
      <c r="P49" s="5" t="s">
        <v>311</v>
      </c>
      <c r="Q49" s="12" t="s">
        <v>124</v>
      </c>
      <c r="R49" s="12" t="s">
        <v>282</v>
      </c>
      <c r="S49" s="5" t="s">
        <v>312</v>
      </c>
      <c r="T49" s="5" t="s">
        <v>313</v>
      </c>
      <c r="U49" s="12" t="n">
        <v>3</v>
      </c>
      <c r="V49" s="12" t="n">
        <v>1</v>
      </c>
      <c r="W49" s="12" t="n">
        <v>2</v>
      </c>
      <c r="X49" s="12" t="n">
        <v>1</v>
      </c>
      <c r="Y49" s="12" t="n">
        <v>1</v>
      </c>
    </row>
    <row r="50" customFormat="false" ht="404.25" hidden="false" customHeight="true" outlineLevel="0" collapsed="false">
      <c r="A50" s="12" t="s">
        <v>307</v>
      </c>
      <c r="B50" s="5" t="s">
        <v>308</v>
      </c>
      <c r="C50" s="12" t="s">
        <v>307</v>
      </c>
      <c r="D50" s="12" t="s">
        <v>120</v>
      </c>
      <c r="E50" s="5" t="s">
        <v>314</v>
      </c>
      <c r="F50" s="14"/>
      <c r="G50" s="14"/>
      <c r="H50" s="14" t="s">
        <v>87</v>
      </c>
      <c r="I50" s="14"/>
      <c r="J50" s="14"/>
      <c r="K50" s="14"/>
      <c r="L50" s="15"/>
      <c r="M50" s="12" t="s">
        <v>73</v>
      </c>
      <c r="N50" s="5" t="s">
        <v>309</v>
      </c>
      <c r="O50" s="12" t="s">
        <v>310</v>
      </c>
      <c r="P50" s="5" t="s">
        <v>311</v>
      </c>
      <c r="Q50" s="12" t="s">
        <v>124</v>
      </c>
      <c r="R50" s="12" t="s">
        <v>282</v>
      </c>
      <c r="S50" s="5" t="s">
        <v>312</v>
      </c>
      <c r="T50" s="5" t="s">
        <v>313</v>
      </c>
      <c r="U50" s="12" t="n">
        <v>3</v>
      </c>
      <c r="V50" s="12" t="n">
        <v>1</v>
      </c>
      <c r="W50" s="12" t="n">
        <v>2</v>
      </c>
      <c r="X50" s="12" t="n">
        <v>1</v>
      </c>
      <c r="Y50" s="12" t="n">
        <v>1</v>
      </c>
    </row>
    <row r="51" customFormat="false" ht="108.75" hidden="false" customHeight="true" outlineLevel="0" collapsed="false">
      <c r="A51" s="10" t="s">
        <v>315</v>
      </c>
      <c r="B51" s="11" t="s">
        <v>316</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t="s">
        <v>88</v>
      </c>
      <c r="N51" s="5" t="s">
        <v>317</v>
      </c>
      <c r="O51" s="12" t="s">
        <v>318</v>
      </c>
      <c r="P51" s="5" t="s">
        <v>319</v>
      </c>
      <c r="Q51" s="12" t="s">
        <v>124</v>
      </c>
      <c r="R51" s="12" t="s">
        <v>282</v>
      </c>
      <c r="S51" s="5" t="s">
        <v>320</v>
      </c>
      <c r="T51" s="5" t="s">
        <v>275</v>
      </c>
      <c r="U51" s="12" t="n">
        <v>3</v>
      </c>
      <c r="V51" s="12" t="n">
        <v>2</v>
      </c>
      <c r="W51" s="12" t="n">
        <v>2</v>
      </c>
      <c r="X51" s="12" t="n">
        <v>1</v>
      </c>
      <c r="Y51" s="12" t="n">
        <v>0</v>
      </c>
    </row>
    <row r="52" customFormat="false" ht="108.75" hidden="false" customHeight="true" outlineLevel="0" collapsed="false">
      <c r="A52" s="12" t="s">
        <v>315</v>
      </c>
      <c r="B52" s="5" t="s">
        <v>316</v>
      </c>
      <c r="C52" s="12" t="s">
        <v>315</v>
      </c>
      <c r="D52" s="12" t="s">
        <v>120</v>
      </c>
      <c r="E52" s="5" t="s">
        <v>321</v>
      </c>
      <c r="F52" s="14"/>
      <c r="G52" s="14"/>
      <c r="H52" s="14" t="s">
        <v>87</v>
      </c>
      <c r="I52" s="14"/>
      <c r="J52" s="14"/>
      <c r="K52" s="14"/>
      <c r="L52" s="15"/>
      <c r="M52" s="12" t="s">
        <v>88</v>
      </c>
      <c r="N52" s="5" t="s">
        <v>317</v>
      </c>
      <c r="O52" s="12" t="s">
        <v>318</v>
      </c>
      <c r="P52" s="5" t="s">
        <v>319</v>
      </c>
      <c r="Q52" s="12" t="s">
        <v>124</v>
      </c>
      <c r="R52" s="12" t="s">
        <v>282</v>
      </c>
      <c r="S52" s="5" t="s">
        <v>320</v>
      </c>
      <c r="T52" s="5" t="s">
        <v>275</v>
      </c>
      <c r="U52" s="12" t="n">
        <v>3</v>
      </c>
      <c r="V52" s="12" t="n">
        <v>2</v>
      </c>
      <c r="W52" s="12" t="n">
        <v>2</v>
      </c>
      <c r="X52" s="12" t="n">
        <v>1</v>
      </c>
      <c r="Y52" s="12" t="n">
        <v>0</v>
      </c>
    </row>
    <row r="53" customFormat="false" ht="202.5" hidden="false" customHeight="true" outlineLevel="0" collapsed="false">
      <c r="A53" s="10" t="s">
        <v>322</v>
      </c>
      <c r="B53" s="11" t="s">
        <v>323</v>
      </c>
      <c r="C53" s="12"/>
      <c r="D53" s="12" t="s">
        <v>120</v>
      </c>
      <c r="E53" s="5" t="s">
        <v>79</v>
      </c>
      <c r="F53" s="12"/>
      <c r="G53" s="12"/>
      <c r="H53" s="13" t="str">
        <f aca="false">IF(OR(COUNTBLANK($H$54:$H$70)&gt;0,COUNTIF($H$54:$H$70,"unbearbeitet")=COUNTA($H$54:$H$70)),"Bitte Teilanforderungen ausfüllen",IF(COUNTIF($H$54:$H$70,"zu klären")&gt;0,"zu klären",IF(COUNTIF($H$54:$H$70,"entbehrlich")=COUNTA($H$54:$H$70),"entbehrlich",IF(COUNTIF($H$54:$H$70,"verwiesen")=COUNTA($H$54:$H$70),"verwiesen",IF(COUNTIF($H$54:$H$70,"nein")+COUNTIF($H$54:$H$70,"entbehrlich")=COUNTA($H$54:$H$70),"nein",IF(COUNTIF($H$54:$H$70,"ja")+COUNTIF($H$54:$H$70,"entbehrlich")+COUNTIF($H$54:$H$70,"verwiesen")=COUNTA($H$54:$H$70),"ja","teilweise"))))))</f>
        <v>Bitte Teilanforderungen ausfüllen</v>
      </c>
      <c r="I53" s="12"/>
      <c r="J53" s="12"/>
      <c r="K53" s="12"/>
      <c r="L53" s="12"/>
      <c r="M53" s="12" t="s">
        <v>72</v>
      </c>
      <c r="N53" s="5" t="s">
        <v>324</v>
      </c>
      <c r="O53" s="12" t="s">
        <v>325</v>
      </c>
      <c r="P53" s="5" t="s">
        <v>326</v>
      </c>
      <c r="Q53" s="12" t="s">
        <v>124</v>
      </c>
      <c r="R53" s="12" t="s">
        <v>327</v>
      </c>
      <c r="S53" s="5" t="s">
        <v>328</v>
      </c>
      <c r="T53" s="5" t="s">
        <v>329</v>
      </c>
      <c r="U53" s="12" t="n">
        <v>2</v>
      </c>
      <c r="V53" s="12" t="n">
        <v>2</v>
      </c>
      <c r="W53" s="12" t="n">
        <v>1</v>
      </c>
      <c r="X53" s="12" t="n">
        <v>1</v>
      </c>
      <c r="Y53" s="12" t="n">
        <v>1</v>
      </c>
    </row>
    <row r="54" customFormat="false" ht="202.5" hidden="false" customHeight="true" outlineLevel="0" collapsed="false">
      <c r="A54" s="12" t="s">
        <v>322</v>
      </c>
      <c r="B54" s="5" t="s">
        <v>323</v>
      </c>
      <c r="C54" s="12" t="s">
        <v>322</v>
      </c>
      <c r="D54" s="12" t="s">
        <v>120</v>
      </c>
      <c r="E54" s="5" t="s">
        <v>330</v>
      </c>
      <c r="F54" s="14"/>
      <c r="G54" s="14"/>
      <c r="H54" s="14" t="s">
        <v>87</v>
      </c>
      <c r="I54" s="14"/>
      <c r="J54" s="14"/>
      <c r="K54" s="14"/>
      <c r="L54" s="15"/>
      <c r="M54" s="12" t="s">
        <v>72</v>
      </c>
      <c r="N54" s="5" t="s">
        <v>324</v>
      </c>
      <c r="O54" s="12" t="s">
        <v>325</v>
      </c>
      <c r="P54" s="5" t="s">
        <v>326</v>
      </c>
      <c r="Q54" s="12" t="s">
        <v>124</v>
      </c>
      <c r="R54" s="12" t="s">
        <v>327</v>
      </c>
      <c r="S54" s="5" t="s">
        <v>328</v>
      </c>
      <c r="T54" s="5" t="s">
        <v>329</v>
      </c>
      <c r="U54" s="12" t="n">
        <v>2</v>
      </c>
      <c r="V54" s="12" t="n">
        <v>2</v>
      </c>
      <c r="W54" s="12" t="n">
        <v>1</v>
      </c>
      <c r="X54" s="12" t="n">
        <v>1</v>
      </c>
      <c r="Y54" s="12" t="n">
        <v>1</v>
      </c>
    </row>
    <row r="55" customFormat="false" ht="54.75" hidden="false" customHeight="true" outlineLevel="0" collapsed="false">
      <c r="A55" s="12" t="s">
        <v>322</v>
      </c>
      <c r="B55" s="5" t="s">
        <v>323</v>
      </c>
      <c r="C55" s="12" t="s">
        <v>331</v>
      </c>
      <c r="D55" s="12" t="s">
        <v>120</v>
      </c>
      <c r="E55" s="5" t="s">
        <v>332</v>
      </c>
      <c r="F55" s="14"/>
      <c r="G55" s="14"/>
      <c r="H55" s="14" t="s">
        <v>87</v>
      </c>
      <c r="I55" s="14"/>
      <c r="J55" s="14"/>
      <c r="K55" s="14"/>
      <c r="L55" s="15"/>
      <c r="M55" s="12" t="s">
        <v>88</v>
      </c>
      <c r="N55" s="5" t="s">
        <v>333</v>
      </c>
      <c r="O55" s="12" t="s">
        <v>334</v>
      </c>
      <c r="P55" s="5" t="s">
        <v>335</v>
      </c>
      <c r="Q55" s="12" t="s">
        <v>124</v>
      </c>
      <c r="R55" s="12" t="s">
        <v>327</v>
      </c>
      <c r="S55" s="5" t="s">
        <v>336</v>
      </c>
      <c r="T55" s="5" t="s">
        <v>151</v>
      </c>
      <c r="U55" s="12" t="n">
        <v>3</v>
      </c>
      <c r="V55" s="12" t="n">
        <v>2</v>
      </c>
      <c r="W55" s="12" t="n">
        <v>2</v>
      </c>
      <c r="X55" s="12" t="n">
        <v>1</v>
      </c>
      <c r="Y55" s="12" t="n">
        <v>0</v>
      </c>
    </row>
    <row r="56" customFormat="false" ht="54.75" hidden="false" customHeight="true" outlineLevel="0" collapsed="false">
      <c r="A56" s="12" t="s">
        <v>322</v>
      </c>
      <c r="B56" s="5" t="s">
        <v>323</v>
      </c>
      <c r="C56" s="12" t="s">
        <v>337</v>
      </c>
      <c r="D56" s="12" t="s">
        <v>120</v>
      </c>
      <c r="E56" s="5" t="s">
        <v>338</v>
      </c>
      <c r="F56" s="14"/>
      <c r="G56" s="14"/>
      <c r="H56" s="14" t="s">
        <v>87</v>
      </c>
      <c r="I56" s="14"/>
      <c r="J56" s="14"/>
      <c r="K56" s="14"/>
      <c r="L56" s="15"/>
      <c r="M56" s="12"/>
      <c r="N56" s="5" t="s">
        <v>339</v>
      </c>
      <c r="O56" s="12" t="s">
        <v>340</v>
      </c>
      <c r="P56" s="5" t="s">
        <v>341</v>
      </c>
      <c r="Q56" s="12" t="s">
        <v>124</v>
      </c>
      <c r="R56" s="12" t="s">
        <v>327</v>
      </c>
      <c r="S56" s="5" t="s">
        <v>342</v>
      </c>
      <c r="T56" s="5" t="s">
        <v>343</v>
      </c>
      <c r="U56" s="12" t="n">
        <v>4</v>
      </c>
      <c r="V56" s="12" t="n">
        <v>1</v>
      </c>
      <c r="W56" s="12" t="n">
        <v>1</v>
      </c>
      <c r="X56" s="12" t="n">
        <v>1</v>
      </c>
      <c r="Y56" s="12" t="n">
        <v>0</v>
      </c>
    </row>
    <row r="57" customFormat="false" ht="95.25" hidden="false" customHeight="true" outlineLevel="0" collapsed="false">
      <c r="A57" s="12" t="s">
        <v>322</v>
      </c>
      <c r="B57" s="5" t="s">
        <v>323</v>
      </c>
      <c r="C57" s="12" t="s">
        <v>344</v>
      </c>
      <c r="D57" s="12" t="s">
        <v>120</v>
      </c>
      <c r="E57" s="5" t="s">
        <v>345</v>
      </c>
      <c r="F57" s="14"/>
      <c r="G57" s="14"/>
      <c r="H57" s="14" t="s">
        <v>87</v>
      </c>
      <c r="I57" s="14"/>
      <c r="J57" s="14"/>
      <c r="K57" s="14"/>
      <c r="L57" s="15"/>
      <c r="M57" s="12"/>
      <c r="N57" s="5" t="s">
        <v>346</v>
      </c>
      <c r="O57" s="12" t="s">
        <v>347</v>
      </c>
      <c r="P57" s="5" t="s">
        <v>348</v>
      </c>
      <c r="Q57" s="12" t="s">
        <v>124</v>
      </c>
      <c r="R57" s="12" t="s">
        <v>327</v>
      </c>
      <c r="S57" s="5" t="s">
        <v>349</v>
      </c>
      <c r="T57" s="5" t="s">
        <v>343</v>
      </c>
      <c r="U57" s="12" t="n">
        <v>4</v>
      </c>
      <c r="V57" s="12" t="n">
        <v>1</v>
      </c>
      <c r="W57" s="12" t="n">
        <v>1</v>
      </c>
      <c r="X57" s="12" t="n">
        <v>1</v>
      </c>
      <c r="Y57" s="12" t="n">
        <v>0</v>
      </c>
    </row>
    <row r="58" customFormat="false" ht="162" hidden="false" customHeight="true" outlineLevel="0" collapsed="false">
      <c r="A58" s="12" t="s">
        <v>322</v>
      </c>
      <c r="B58" s="5" t="s">
        <v>323</v>
      </c>
      <c r="C58" s="12" t="s">
        <v>350</v>
      </c>
      <c r="D58" s="12" t="s">
        <v>120</v>
      </c>
      <c r="E58" s="5" t="s">
        <v>351</v>
      </c>
      <c r="F58" s="14"/>
      <c r="G58" s="14"/>
      <c r="H58" s="14" t="s">
        <v>87</v>
      </c>
      <c r="I58" s="14"/>
      <c r="J58" s="14"/>
      <c r="K58" s="14"/>
      <c r="L58" s="15"/>
      <c r="M58" s="12"/>
      <c r="N58" s="5" t="s">
        <v>352</v>
      </c>
      <c r="O58" s="12" t="s">
        <v>353</v>
      </c>
      <c r="P58" s="5" t="s">
        <v>354</v>
      </c>
      <c r="Q58" s="12" t="s">
        <v>124</v>
      </c>
      <c r="R58" s="12" t="s">
        <v>327</v>
      </c>
      <c r="S58" s="5" t="s">
        <v>355</v>
      </c>
      <c r="T58" s="5" t="s">
        <v>343</v>
      </c>
      <c r="U58" s="12" t="n">
        <v>4</v>
      </c>
      <c r="V58" s="12" t="n">
        <v>1</v>
      </c>
      <c r="W58" s="12" t="n">
        <v>1</v>
      </c>
      <c r="X58" s="12" t="n">
        <v>1</v>
      </c>
      <c r="Y58" s="12" t="n">
        <v>0</v>
      </c>
    </row>
    <row r="59" customFormat="false" ht="108.75" hidden="false" customHeight="true" outlineLevel="0" collapsed="false">
      <c r="A59" s="12" t="s">
        <v>322</v>
      </c>
      <c r="B59" s="5" t="s">
        <v>323</v>
      </c>
      <c r="C59" s="12" t="s">
        <v>356</v>
      </c>
      <c r="D59" s="12" t="s">
        <v>120</v>
      </c>
      <c r="E59" s="5" t="s">
        <v>357</v>
      </c>
      <c r="F59" s="14"/>
      <c r="G59" s="14"/>
      <c r="H59" s="14" t="s">
        <v>87</v>
      </c>
      <c r="I59" s="14"/>
      <c r="J59" s="14"/>
      <c r="K59" s="14"/>
      <c r="L59" s="15"/>
      <c r="M59" s="12" t="s">
        <v>72</v>
      </c>
      <c r="N59" s="5" t="s">
        <v>358</v>
      </c>
      <c r="O59" s="12" t="s">
        <v>310</v>
      </c>
      <c r="P59" s="5" t="s">
        <v>359</v>
      </c>
      <c r="Q59" s="12" t="s">
        <v>360</v>
      </c>
      <c r="R59" s="12" t="s">
        <v>327</v>
      </c>
      <c r="S59" s="5" t="s">
        <v>361</v>
      </c>
      <c r="T59" s="5" t="s">
        <v>362</v>
      </c>
      <c r="U59" s="12" t="n">
        <v>3</v>
      </c>
      <c r="V59" s="12" t="n">
        <v>2</v>
      </c>
      <c r="W59" s="12" t="n">
        <v>1</v>
      </c>
      <c r="X59" s="12" t="n">
        <v>1</v>
      </c>
      <c r="Y59" s="12" t="n">
        <v>0</v>
      </c>
    </row>
    <row r="60" customFormat="false" ht="108.75" hidden="false" customHeight="true" outlineLevel="0" collapsed="false">
      <c r="A60" s="12" t="s">
        <v>322</v>
      </c>
      <c r="B60" s="5" t="s">
        <v>323</v>
      </c>
      <c r="C60" s="12" t="s">
        <v>363</v>
      </c>
      <c r="D60" s="12" t="s">
        <v>120</v>
      </c>
      <c r="E60" s="5" t="s">
        <v>364</v>
      </c>
      <c r="F60" s="14"/>
      <c r="G60" s="14"/>
      <c r="H60" s="14" t="s">
        <v>87</v>
      </c>
      <c r="I60" s="14"/>
      <c r="J60" s="14"/>
      <c r="K60" s="14"/>
      <c r="L60" s="15"/>
      <c r="M60" s="12"/>
      <c r="N60" s="5" t="s">
        <v>365</v>
      </c>
      <c r="O60" s="12" t="s">
        <v>366</v>
      </c>
      <c r="P60" s="5" t="s">
        <v>367</v>
      </c>
      <c r="Q60" s="12" t="s">
        <v>360</v>
      </c>
      <c r="R60" s="12" t="s">
        <v>327</v>
      </c>
      <c r="S60" s="5" t="s">
        <v>368</v>
      </c>
      <c r="T60" s="5" t="s">
        <v>343</v>
      </c>
      <c r="U60" s="12" t="n">
        <v>3</v>
      </c>
      <c r="V60" s="12" t="n">
        <v>1</v>
      </c>
      <c r="W60" s="12" t="n">
        <v>1</v>
      </c>
      <c r="X60" s="12" t="n">
        <v>1</v>
      </c>
      <c r="Y60" s="12" t="n">
        <v>0</v>
      </c>
    </row>
    <row r="61" customFormat="false" ht="68.25" hidden="false" customHeight="true" outlineLevel="0" collapsed="false">
      <c r="A61" s="12" t="s">
        <v>322</v>
      </c>
      <c r="B61" s="5" t="s">
        <v>323</v>
      </c>
      <c r="C61" s="12" t="s">
        <v>369</v>
      </c>
      <c r="D61" s="12" t="s">
        <v>120</v>
      </c>
      <c r="E61" s="5" t="s">
        <v>370</v>
      </c>
      <c r="F61" s="14"/>
      <c r="G61" s="14"/>
      <c r="H61" s="14" t="s">
        <v>87</v>
      </c>
      <c r="I61" s="14"/>
      <c r="J61" s="14"/>
      <c r="K61" s="14"/>
      <c r="L61" s="15"/>
      <c r="M61" s="12" t="s">
        <v>88</v>
      </c>
      <c r="N61" s="5" t="s">
        <v>371</v>
      </c>
      <c r="O61" s="12" t="s">
        <v>372</v>
      </c>
      <c r="P61" s="5" t="s">
        <v>373</v>
      </c>
      <c r="Q61" s="12" t="s">
        <v>360</v>
      </c>
      <c r="R61" s="12" t="s">
        <v>327</v>
      </c>
      <c r="S61" s="5" t="s">
        <v>374</v>
      </c>
      <c r="T61" s="5" t="s">
        <v>375</v>
      </c>
      <c r="U61" s="12" t="n">
        <v>3</v>
      </c>
      <c r="V61" s="12" t="n">
        <v>2</v>
      </c>
      <c r="W61" s="12" t="n">
        <v>2</v>
      </c>
      <c r="X61" s="12" t="n">
        <v>1</v>
      </c>
      <c r="Y61" s="12" t="n">
        <v>1</v>
      </c>
    </row>
    <row r="62" customFormat="false" ht="243" hidden="false" customHeight="true" outlineLevel="0" collapsed="false">
      <c r="A62" s="12" t="s">
        <v>322</v>
      </c>
      <c r="B62" s="5" t="s">
        <v>323</v>
      </c>
      <c r="C62" s="12" t="s">
        <v>376</v>
      </c>
      <c r="D62" s="12" t="s">
        <v>120</v>
      </c>
      <c r="E62" s="5" t="s">
        <v>377</v>
      </c>
      <c r="F62" s="14"/>
      <c r="G62" s="14"/>
      <c r="H62" s="14" t="s">
        <v>87</v>
      </c>
      <c r="I62" s="14"/>
      <c r="J62" s="14"/>
      <c r="K62" s="14"/>
      <c r="L62" s="15"/>
      <c r="M62" s="12" t="s">
        <v>88</v>
      </c>
      <c r="N62" s="5" t="s">
        <v>378</v>
      </c>
      <c r="O62" s="12" t="s">
        <v>379</v>
      </c>
      <c r="P62" s="5" t="s">
        <v>380</v>
      </c>
      <c r="Q62" s="12" t="s">
        <v>360</v>
      </c>
      <c r="R62" s="12" t="s">
        <v>327</v>
      </c>
      <c r="S62" s="5" t="s">
        <v>381</v>
      </c>
      <c r="T62" s="5" t="s">
        <v>382</v>
      </c>
      <c r="U62" s="12" t="n">
        <v>4</v>
      </c>
      <c r="V62" s="12" t="n">
        <v>2</v>
      </c>
      <c r="W62" s="12" t="n">
        <v>2</v>
      </c>
      <c r="X62" s="12" t="n">
        <v>1</v>
      </c>
      <c r="Y62" s="12" t="n">
        <v>1</v>
      </c>
    </row>
    <row r="63" customFormat="false" ht="95.25" hidden="false" customHeight="true" outlineLevel="0" collapsed="false">
      <c r="A63" s="12" t="s">
        <v>322</v>
      </c>
      <c r="B63" s="5" t="s">
        <v>323</v>
      </c>
      <c r="C63" s="12" t="s">
        <v>383</v>
      </c>
      <c r="D63" s="12" t="s">
        <v>120</v>
      </c>
      <c r="E63" s="5" t="s">
        <v>384</v>
      </c>
      <c r="F63" s="14"/>
      <c r="G63" s="14"/>
      <c r="H63" s="14" t="s">
        <v>87</v>
      </c>
      <c r="I63" s="14"/>
      <c r="J63" s="14"/>
      <c r="K63" s="14"/>
      <c r="L63" s="15"/>
      <c r="M63" s="12" t="s">
        <v>72</v>
      </c>
      <c r="N63" s="5" t="s">
        <v>385</v>
      </c>
      <c r="O63" s="12" t="s">
        <v>386</v>
      </c>
      <c r="P63" s="5" t="s">
        <v>387</v>
      </c>
      <c r="Q63" s="12" t="s">
        <v>360</v>
      </c>
      <c r="R63" s="12" t="s">
        <v>327</v>
      </c>
      <c r="S63" s="5" t="s">
        <v>388</v>
      </c>
      <c r="T63" s="5" t="s">
        <v>389</v>
      </c>
      <c r="U63" s="12" t="n">
        <v>3</v>
      </c>
      <c r="V63" s="12" t="n">
        <v>2</v>
      </c>
      <c r="W63" s="12" t="n">
        <v>1</v>
      </c>
      <c r="X63" s="12" t="n">
        <v>1</v>
      </c>
      <c r="Y63" s="12" t="n">
        <v>0</v>
      </c>
    </row>
    <row r="64" customFormat="false" ht="216" hidden="false" customHeight="true" outlineLevel="0" collapsed="false">
      <c r="A64" s="12" t="s">
        <v>322</v>
      </c>
      <c r="B64" s="5" t="s">
        <v>323</v>
      </c>
      <c r="C64" s="12" t="s">
        <v>390</v>
      </c>
      <c r="D64" s="12" t="s">
        <v>120</v>
      </c>
      <c r="E64" s="5" t="s">
        <v>391</v>
      </c>
      <c r="F64" s="14"/>
      <c r="G64" s="14"/>
      <c r="H64" s="14" t="s">
        <v>87</v>
      </c>
      <c r="I64" s="14"/>
      <c r="J64" s="14"/>
      <c r="K64" s="14"/>
      <c r="L64" s="15"/>
      <c r="M64" s="12" t="s">
        <v>72</v>
      </c>
      <c r="N64" s="5" t="s">
        <v>392</v>
      </c>
      <c r="O64" s="12" t="s">
        <v>393</v>
      </c>
      <c r="P64" s="5" t="s">
        <v>394</v>
      </c>
      <c r="Q64" s="12" t="s">
        <v>360</v>
      </c>
      <c r="R64" s="12" t="s">
        <v>327</v>
      </c>
      <c r="S64" s="5" t="s">
        <v>395</v>
      </c>
      <c r="T64" s="5" t="s">
        <v>396</v>
      </c>
      <c r="U64" s="12" t="n">
        <v>2</v>
      </c>
      <c r="V64" s="12" t="n">
        <v>2</v>
      </c>
      <c r="W64" s="12" t="n">
        <v>1</v>
      </c>
      <c r="X64" s="12" t="n">
        <v>1</v>
      </c>
      <c r="Y64" s="12" t="n">
        <v>0</v>
      </c>
    </row>
    <row r="65" customFormat="false" ht="68.25" hidden="false" customHeight="true" outlineLevel="0" collapsed="false">
      <c r="A65" s="12" t="s">
        <v>322</v>
      </c>
      <c r="B65" s="5" t="s">
        <v>323</v>
      </c>
      <c r="C65" s="12" t="s">
        <v>397</v>
      </c>
      <c r="D65" s="12" t="s">
        <v>120</v>
      </c>
      <c r="E65" s="5" t="s">
        <v>398</v>
      </c>
      <c r="F65" s="14"/>
      <c r="G65" s="14"/>
      <c r="H65" s="14" t="s">
        <v>87</v>
      </c>
      <c r="I65" s="14"/>
      <c r="J65" s="14"/>
      <c r="K65" s="14"/>
      <c r="L65" s="15"/>
      <c r="M65" s="12" t="s">
        <v>72</v>
      </c>
      <c r="N65" s="5" t="s">
        <v>399</v>
      </c>
      <c r="O65" s="12" t="s">
        <v>400</v>
      </c>
      <c r="P65" s="5" t="s">
        <v>401</v>
      </c>
      <c r="Q65" s="12" t="s">
        <v>360</v>
      </c>
      <c r="R65" s="12" t="s">
        <v>327</v>
      </c>
      <c r="S65" s="5" t="s">
        <v>402</v>
      </c>
      <c r="T65" s="5" t="s">
        <v>396</v>
      </c>
      <c r="U65" s="12" t="n">
        <v>2</v>
      </c>
      <c r="V65" s="12" t="n">
        <v>2</v>
      </c>
      <c r="W65" s="12" t="n">
        <v>1</v>
      </c>
      <c r="X65" s="12" t="n">
        <v>1</v>
      </c>
      <c r="Y65" s="12" t="n">
        <v>0</v>
      </c>
    </row>
    <row r="66" customFormat="false" ht="95.25" hidden="false" customHeight="true" outlineLevel="0" collapsed="false">
      <c r="A66" s="12" t="s">
        <v>322</v>
      </c>
      <c r="B66" s="5" t="s">
        <v>323</v>
      </c>
      <c r="C66" s="12" t="s">
        <v>403</v>
      </c>
      <c r="D66" s="12" t="s">
        <v>120</v>
      </c>
      <c r="E66" s="5" t="s">
        <v>404</v>
      </c>
      <c r="F66" s="14"/>
      <c r="G66" s="14"/>
      <c r="H66" s="14" t="s">
        <v>87</v>
      </c>
      <c r="I66" s="14"/>
      <c r="J66" s="14"/>
      <c r="K66" s="14"/>
      <c r="L66" s="15"/>
      <c r="M66" s="12" t="s">
        <v>72</v>
      </c>
      <c r="N66" s="5" t="s">
        <v>405</v>
      </c>
      <c r="O66" s="12" t="s">
        <v>406</v>
      </c>
      <c r="P66" s="5" t="s">
        <v>407</v>
      </c>
      <c r="Q66" s="12" t="s">
        <v>360</v>
      </c>
      <c r="R66" s="12" t="s">
        <v>327</v>
      </c>
      <c r="S66" s="5" t="s">
        <v>408</v>
      </c>
      <c r="T66" s="5" t="s">
        <v>396</v>
      </c>
      <c r="U66" s="12" t="n">
        <v>2</v>
      </c>
      <c r="V66" s="12" t="n">
        <v>2</v>
      </c>
      <c r="W66" s="12" t="n">
        <v>1</v>
      </c>
      <c r="X66" s="12" t="n">
        <v>1</v>
      </c>
      <c r="Y66" s="12" t="n">
        <v>0</v>
      </c>
    </row>
    <row r="67" customFormat="false" ht="68.25" hidden="false" customHeight="true" outlineLevel="0" collapsed="false">
      <c r="A67" s="12" t="s">
        <v>322</v>
      </c>
      <c r="B67" s="5" t="s">
        <v>323</v>
      </c>
      <c r="C67" s="12" t="s">
        <v>409</v>
      </c>
      <c r="D67" s="12" t="s">
        <v>120</v>
      </c>
      <c r="E67" s="5" t="s">
        <v>410</v>
      </c>
      <c r="F67" s="14"/>
      <c r="G67" s="14"/>
      <c r="H67" s="14" t="s">
        <v>87</v>
      </c>
      <c r="I67" s="14"/>
      <c r="J67" s="14"/>
      <c r="K67" s="14"/>
      <c r="L67" s="15"/>
      <c r="M67" s="12" t="s">
        <v>72</v>
      </c>
      <c r="N67" s="5" t="s">
        <v>411</v>
      </c>
      <c r="O67" s="12" t="s">
        <v>412</v>
      </c>
      <c r="P67" s="5" t="s">
        <v>413</v>
      </c>
      <c r="Q67" s="12" t="s">
        <v>360</v>
      </c>
      <c r="R67" s="12" t="s">
        <v>327</v>
      </c>
      <c r="S67" s="5" t="s">
        <v>414</v>
      </c>
      <c r="T67" s="5" t="s">
        <v>396</v>
      </c>
      <c r="U67" s="12" t="n">
        <v>3</v>
      </c>
      <c r="V67" s="12" t="n">
        <v>2</v>
      </c>
      <c r="W67" s="12" t="n">
        <v>1</v>
      </c>
      <c r="X67" s="12" t="n">
        <v>1</v>
      </c>
      <c r="Y67" s="12" t="n">
        <v>0</v>
      </c>
    </row>
    <row r="68" customFormat="false" ht="95.25" hidden="false" customHeight="true" outlineLevel="0" collapsed="false">
      <c r="A68" s="12" t="s">
        <v>322</v>
      </c>
      <c r="B68" s="5" t="s">
        <v>323</v>
      </c>
      <c r="C68" s="12" t="s">
        <v>415</v>
      </c>
      <c r="D68" s="12" t="s">
        <v>120</v>
      </c>
      <c r="E68" s="5" t="s">
        <v>416</v>
      </c>
      <c r="F68" s="14"/>
      <c r="G68" s="14"/>
      <c r="H68" s="14" t="s">
        <v>87</v>
      </c>
      <c r="I68" s="14"/>
      <c r="J68" s="14"/>
      <c r="K68" s="14"/>
      <c r="L68" s="15"/>
      <c r="M68" s="12" t="s">
        <v>139</v>
      </c>
      <c r="N68" s="5" t="s">
        <v>417</v>
      </c>
      <c r="O68" s="12" t="s">
        <v>418</v>
      </c>
      <c r="P68" s="5" t="s">
        <v>419</v>
      </c>
      <c r="Q68" s="12" t="s">
        <v>360</v>
      </c>
      <c r="R68" s="12" t="s">
        <v>92</v>
      </c>
      <c r="S68" s="5" t="s">
        <v>420</v>
      </c>
      <c r="T68" s="5" t="s">
        <v>421</v>
      </c>
      <c r="U68" s="12" t="n">
        <v>4</v>
      </c>
      <c r="V68" s="12" t="n">
        <v>2</v>
      </c>
      <c r="W68" s="12" t="n">
        <v>1</v>
      </c>
      <c r="X68" s="12" t="n">
        <v>2</v>
      </c>
      <c r="Y68" s="12" t="n">
        <v>1</v>
      </c>
    </row>
    <row r="69" customFormat="false" ht="297" hidden="false" customHeight="true" outlineLevel="0" collapsed="false">
      <c r="A69" s="12" t="s">
        <v>322</v>
      </c>
      <c r="B69" s="5" t="s">
        <v>323</v>
      </c>
      <c r="C69" s="12" t="s">
        <v>422</v>
      </c>
      <c r="D69" s="12" t="s">
        <v>160</v>
      </c>
      <c r="E69" s="5" t="s">
        <v>423</v>
      </c>
      <c r="F69" s="14"/>
      <c r="G69" s="14"/>
      <c r="H69" s="14" t="s">
        <v>87</v>
      </c>
      <c r="I69" s="14"/>
      <c r="J69" s="14"/>
      <c r="K69" s="14"/>
      <c r="L69" s="15"/>
      <c r="M69" s="12" t="s">
        <v>72</v>
      </c>
      <c r="N69" s="5" t="s">
        <v>424</v>
      </c>
      <c r="O69" s="12" t="s">
        <v>425</v>
      </c>
      <c r="P69" s="5" t="s">
        <v>426</v>
      </c>
      <c r="Q69" s="12" t="s">
        <v>124</v>
      </c>
      <c r="R69" s="12" t="s">
        <v>92</v>
      </c>
      <c r="S69" s="5" t="s">
        <v>328</v>
      </c>
      <c r="T69" s="5" t="s">
        <v>427</v>
      </c>
      <c r="U69" s="12" t="n">
        <v>5</v>
      </c>
      <c r="V69" s="12" t="n">
        <v>2</v>
      </c>
      <c r="W69" s="12" t="n">
        <v>1</v>
      </c>
      <c r="X69" s="12" t="n">
        <v>1</v>
      </c>
      <c r="Y69" s="12" t="n">
        <v>1</v>
      </c>
    </row>
    <row r="70" customFormat="false" ht="68.25" hidden="false" customHeight="true" outlineLevel="0" collapsed="false">
      <c r="A70" s="12" t="s">
        <v>322</v>
      </c>
      <c r="B70" s="5" t="s">
        <v>323</v>
      </c>
      <c r="C70" s="12" t="s">
        <v>428</v>
      </c>
      <c r="D70" s="12" t="s">
        <v>160</v>
      </c>
      <c r="E70" s="5" t="s">
        <v>429</v>
      </c>
      <c r="F70" s="14"/>
      <c r="G70" s="14"/>
      <c r="H70" s="14" t="s">
        <v>87</v>
      </c>
      <c r="I70" s="14"/>
      <c r="J70" s="14"/>
      <c r="K70" s="14"/>
      <c r="L70" s="15"/>
      <c r="M70" s="12" t="s">
        <v>72</v>
      </c>
      <c r="N70" s="5" t="s">
        <v>430</v>
      </c>
      <c r="O70" s="12" t="s">
        <v>272</v>
      </c>
      <c r="P70" s="5" t="s">
        <v>431</v>
      </c>
      <c r="Q70" s="12" t="s">
        <v>360</v>
      </c>
      <c r="R70" s="12" t="s">
        <v>92</v>
      </c>
      <c r="S70" s="5" t="s">
        <v>432</v>
      </c>
      <c r="T70" s="5" t="s">
        <v>427</v>
      </c>
      <c r="U70" s="12" t="n">
        <v>5</v>
      </c>
      <c r="V70" s="12" t="n">
        <v>2</v>
      </c>
      <c r="W70" s="12" t="n">
        <v>1</v>
      </c>
      <c r="X70" s="12" t="n">
        <v>1</v>
      </c>
      <c r="Y70" s="12" t="n">
        <v>1</v>
      </c>
    </row>
    <row r="71" customFormat="false" ht="54.75" hidden="false" customHeight="true" outlineLevel="0" collapsed="false">
      <c r="A71" s="10" t="s">
        <v>433</v>
      </c>
      <c r="B71" s="11" t="s">
        <v>434</v>
      </c>
      <c r="C71" s="12"/>
      <c r="D71" s="12" t="s">
        <v>120</v>
      </c>
      <c r="E71" s="5" t="s">
        <v>79</v>
      </c>
      <c r="F71" s="12"/>
      <c r="G71" s="12"/>
      <c r="H71" s="13" t="str">
        <f aca="false">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2"/>
      <c r="J71" s="12"/>
      <c r="K71" s="12"/>
      <c r="L71" s="12"/>
      <c r="M71" s="12" t="s">
        <v>72</v>
      </c>
      <c r="N71" s="5" t="s">
        <v>435</v>
      </c>
      <c r="O71" s="12" t="s">
        <v>436</v>
      </c>
      <c r="P71" s="5" t="s">
        <v>437</v>
      </c>
      <c r="Q71" s="12" t="s">
        <v>226</v>
      </c>
      <c r="R71" s="12" t="s">
        <v>327</v>
      </c>
      <c r="S71" s="5" t="s">
        <v>438</v>
      </c>
      <c r="T71" s="5" t="s">
        <v>362</v>
      </c>
      <c r="U71" s="12" t="n">
        <v>4</v>
      </c>
      <c r="V71" s="12" t="n">
        <v>2</v>
      </c>
      <c r="W71" s="12" t="n">
        <v>1</v>
      </c>
      <c r="X71" s="12" t="n">
        <v>1</v>
      </c>
      <c r="Y71" s="12" t="n">
        <v>0</v>
      </c>
    </row>
    <row r="72" customFormat="false" ht="54.75" hidden="false" customHeight="true" outlineLevel="0" collapsed="false">
      <c r="A72" s="12" t="s">
        <v>433</v>
      </c>
      <c r="B72" s="5" t="s">
        <v>434</v>
      </c>
      <c r="C72" s="12" t="s">
        <v>433</v>
      </c>
      <c r="D72" s="12" t="s">
        <v>120</v>
      </c>
      <c r="E72" s="5" t="s">
        <v>439</v>
      </c>
      <c r="F72" s="14"/>
      <c r="G72" s="14"/>
      <c r="H72" s="14" t="s">
        <v>87</v>
      </c>
      <c r="I72" s="14"/>
      <c r="J72" s="14"/>
      <c r="K72" s="14"/>
      <c r="L72" s="15"/>
      <c r="M72" s="12" t="s">
        <v>72</v>
      </c>
      <c r="N72" s="5" t="s">
        <v>435</v>
      </c>
      <c r="O72" s="12" t="s">
        <v>436</v>
      </c>
      <c r="P72" s="5" t="s">
        <v>437</v>
      </c>
      <c r="Q72" s="12" t="s">
        <v>226</v>
      </c>
      <c r="R72" s="12" t="s">
        <v>327</v>
      </c>
      <c r="S72" s="5" t="s">
        <v>438</v>
      </c>
      <c r="T72" s="5" t="s">
        <v>362</v>
      </c>
      <c r="U72" s="12" t="n">
        <v>4</v>
      </c>
      <c r="V72" s="12" t="n">
        <v>2</v>
      </c>
      <c r="W72" s="12" t="n">
        <v>1</v>
      </c>
      <c r="X72" s="12" t="n">
        <v>1</v>
      </c>
      <c r="Y72" s="12" t="n">
        <v>0</v>
      </c>
    </row>
    <row r="73" customFormat="false" ht="297" hidden="false" customHeight="true" outlineLevel="0" collapsed="false">
      <c r="A73" s="10" t="s">
        <v>440</v>
      </c>
      <c r="B73" s="11" t="s">
        <v>441</v>
      </c>
      <c r="C73" s="12"/>
      <c r="D73" s="12" t="s">
        <v>160</v>
      </c>
      <c r="E73" s="5" t="s">
        <v>79</v>
      </c>
      <c r="F73" s="12"/>
      <c r="G73" s="12"/>
      <c r="H73" s="13" t="str">
        <f aca="false">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2"/>
      <c r="J73" s="12"/>
      <c r="K73" s="12"/>
      <c r="L73" s="12"/>
      <c r="M73" s="12" t="s">
        <v>72</v>
      </c>
      <c r="N73" s="5" t="s">
        <v>442</v>
      </c>
      <c r="O73" s="12" t="s">
        <v>443</v>
      </c>
      <c r="P73" s="5" t="s">
        <v>444</v>
      </c>
      <c r="Q73" s="12" t="s">
        <v>360</v>
      </c>
      <c r="R73" s="12" t="s">
        <v>92</v>
      </c>
      <c r="S73" s="5" t="s">
        <v>445</v>
      </c>
      <c r="T73" s="5" t="s">
        <v>362</v>
      </c>
      <c r="U73" s="12" t="n">
        <v>5</v>
      </c>
      <c r="V73" s="12" t="n">
        <v>2</v>
      </c>
      <c r="W73" s="12" t="n">
        <v>1</v>
      </c>
      <c r="X73" s="12" t="n">
        <v>1</v>
      </c>
      <c r="Y73" s="12" t="n">
        <v>0</v>
      </c>
    </row>
    <row r="74" customFormat="false" ht="297" hidden="false" customHeight="true" outlineLevel="0" collapsed="false">
      <c r="A74" s="12" t="s">
        <v>440</v>
      </c>
      <c r="B74" s="5" t="s">
        <v>441</v>
      </c>
      <c r="C74" s="12" t="s">
        <v>440</v>
      </c>
      <c r="D74" s="12" t="s">
        <v>160</v>
      </c>
      <c r="E74" s="5" t="s">
        <v>446</v>
      </c>
      <c r="F74" s="14"/>
      <c r="G74" s="14"/>
      <c r="H74" s="14" t="s">
        <v>87</v>
      </c>
      <c r="I74" s="14"/>
      <c r="J74" s="14"/>
      <c r="K74" s="14"/>
      <c r="L74" s="15"/>
      <c r="M74" s="12" t="s">
        <v>72</v>
      </c>
      <c r="N74" s="5" t="s">
        <v>442</v>
      </c>
      <c r="O74" s="12" t="s">
        <v>443</v>
      </c>
      <c r="P74" s="5" t="s">
        <v>444</v>
      </c>
      <c r="Q74" s="12" t="s">
        <v>360</v>
      </c>
      <c r="R74" s="12" t="s">
        <v>92</v>
      </c>
      <c r="S74" s="5" t="s">
        <v>445</v>
      </c>
      <c r="T74" s="5" t="s">
        <v>362</v>
      </c>
      <c r="U74" s="12" t="n">
        <v>5</v>
      </c>
      <c r="V74" s="12" t="n">
        <v>2</v>
      </c>
      <c r="W74" s="12" t="n">
        <v>1</v>
      </c>
      <c r="X74" s="12" t="n">
        <v>1</v>
      </c>
      <c r="Y74" s="12" t="n">
        <v>0</v>
      </c>
    </row>
    <row r="75" customFormat="false" ht="336.75" hidden="false" customHeight="true" outlineLevel="0" collapsed="false">
      <c r="A75" s="10" t="s">
        <v>447</v>
      </c>
      <c r="B75" s="11" t="s">
        <v>448</v>
      </c>
      <c r="C75" s="12"/>
      <c r="D75" s="12" t="s">
        <v>120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t="s">
        <v>72</v>
      </c>
      <c r="N75" s="5" t="s">
        <v>449</v>
      </c>
      <c r="O75" s="12" t="s">
        <v>450</v>
      </c>
      <c r="P75" s="5" t="s">
        <v>451</v>
      </c>
      <c r="Q75" s="12" t="s">
        <v>360</v>
      </c>
      <c r="R75" s="12" t="s">
        <v>282</v>
      </c>
      <c r="S75" s="5" t="s">
        <v>452</v>
      </c>
      <c r="T75" s="5" t="s">
        <v>453</v>
      </c>
      <c r="U75" s="12" t="n">
        <v>3</v>
      </c>
      <c r="V75" s="12" t="n">
        <v>2</v>
      </c>
      <c r="W75" s="12" t="n">
        <v>1</v>
      </c>
      <c r="X75" s="12" t="n">
        <v>1</v>
      </c>
      <c r="Y75" s="12" t="n">
        <v>0</v>
      </c>
    </row>
    <row r="76" customFormat="false" ht="336.75" hidden="false" customHeight="true" outlineLevel="0" collapsed="false">
      <c r="A76" s="12" t="s">
        <v>447</v>
      </c>
      <c r="B76" s="5" t="s">
        <v>448</v>
      </c>
      <c r="C76" s="12" t="s">
        <v>447</v>
      </c>
      <c r="D76" s="12" t="s">
        <v>120</v>
      </c>
      <c r="E76" s="5" t="s">
        <v>454</v>
      </c>
      <c r="F76" s="14"/>
      <c r="G76" s="14"/>
      <c r="H76" s="14" t="s">
        <v>87</v>
      </c>
      <c r="I76" s="14"/>
      <c r="J76" s="14"/>
      <c r="K76" s="14"/>
      <c r="L76" s="15"/>
      <c r="M76" s="12" t="s">
        <v>72</v>
      </c>
      <c r="N76" s="5" t="s">
        <v>449</v>
      </c>
      <c r="O76" s="12" t="s">
        <v>450</v>
      </c>
      <c r="P76" s="5" t="s">
        <v>451</v>
      </c>
      <c r="Q76" s="12" t="s">
        <v>360</v>
      </c>
      <c r="R76" s="12" t="s">
        <v>282</v>
      </c>
      <c r="S76" s="5" t="s">
        <v>452</v>
      </c>
      <c r="T76" s="5" t="s">
        <v>453</v>
      </c>
      <c r="U76" s="12" t="n">
        <v>3</v>
      </c>
      <c r="V76" s="12" t="n">
        <v>2</v>
      </c>
      <c r="W76" s="12" t="n">
        <v>1</v>
      </c>
      <c r="X76" s="12" t="n">
        <v>1</v>
      </c>
      <c r="Y76" s="12" t="n">
        <v>0</v>
      </c>
    </row>
    <row r="77" customFormat="false" ht="323.25" hidden="false" customHeight="true" outlineLevel="0" collapsed="false">
      <c r="A77" s="10" t="s">
        <v>455</v>
      </c>
      <c r="B77" s="11" t="s">
        <v>456</v>
      </c>
      <c r="C77" s="12"/>
      <c r="D77" s="12" t="s">
        <v>120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t="s">
        <v>72</v>
      </c>
      <c r="N77" s="5" t="s">
        <v>457</v>
      </c>
      <c r="O77" s="12" t="s">
        <v>458</v>
      </c>
      <c r="P77" s="5" t="s">
        <v>459</v>
      </c>
      <c r="Q77" s="12" t="s">
        <v>460</v>
      </c>
      <c r="R77" s="12" t="s">
        <v>282</v>
      </c>
      <c r="S77" s="5" t="s">
        <v>461</v>
      </c>
      <c r="T77" s="5" t="s">
        <v>462</v>
      </c>
      <c r="U77" s="12" t="n">
        <v>3</v>
      </c>
      <c r="V77" s="12" t="n">
        <v>2</v>
      </c>
      <c r="W77" s="12" t="n">
        <v>1</v>
      </c>
      <c r="X77" s="12" t="n">
        <v>1</v>
      </c>
      <c r="Y77" s="12" t="n">
        <v>0</v>
      </c>
    </row>
    <row r="78" customFormat="false" ht="323.25" hidden="false" customHeight="true" outlineLevel="0" collapsed="false">
      <c r="A78" s="12" t="s">
        <v>455</v>
      </c>
      <c r="B78" s="5" t="s">
        <v>456</v>
      </c>
      <c r="C78" s="12" t="s">
        <v>455</v>
      </c>
      <c r="D78" s="12" t="s">
        <v>120</v>
      </c>
      <c r="E78" s="5" t="s">
        <v>463</v>
      </c>
      <c r="F78" s="14"/>
      <c r="G78" s="14"/>
      <c r="H78" s="14" t="s">
        <v>87</v>
      </c>
      <c r="I78" s="14"/>
      <c r="J78" s="14"/>
      <c r="K78" s="14"/>
      <c r="L78" s="15"/>
      <c r="M78" s="12" t="s">
        <v>72</v>
      </c>
      <c r="N78" s="5" t="s">
        <v>457</v>
      </c>
      <c r="O78" s="12" t="s">
        <v>458</v>
      </c>
      <c r="P78" s="5" t="s">
        <v>459</v>
      </c>
      <c r="Q78" s="12" t="s">
        <v>460</v>
      </c>
      <c r="R78" s="12" t="s">
        <v>282</v>
      </c>
      <c r="S78" s="5" t="s">
        <v>461</v>
      </c>
      <c r="T78" s="5" t="s">
        <v>462</v>
      </c>
      <c r="U78" s="12" t="n">
        <v>3</v>
      </c>
      <c r="V78" s="12" t="n">
        <v>2</v>
      </c>
      <c r="W78" s="12" t="n">
        <v>1</v>
      </c>
      <c r="X78" s="12" t="n">
        <v>1</v>
      </c>
      <c r="Y78" s="12" t="n">
        <v>0</v>
      </c>
    </row>
    <row r="79" customFormat="false" ht="41.25" hidden="false" customHeight="true" outlineLevel="0" collapsed="false">
      <c r="A79" s="10" t="s">
        <v>464</v>
      </c>
      <c r="B79" s="11" t="s">
        <v>465</v>
      </c>
      <c r="C79" s="12"/>
      <c r="D79" s="12" t="s">
        <v>160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t="s">
        <v>74</v>
      </c>
      <c r="N79" s="5" t="s">
        <v>466</v>
      </c>
      <c r="O79" s="12" t="s">
        <v>467</v>
      </c>
      <c r="P79" s="5" t="s">
        <v>468</v>
      </c>
      <c r="Q79" s="12" t="s">
        <v>469</v>
      </c>
      <c r="R79" s="12" t="s">
        <v>282</v>
      </c>
      <c r="S79" s="5" t="s">
        <v>470</v>
      </c>
      <c r="T79" s="5" t="s">
        <v>471</v>
      </c>
      <c r="U79" s="12" t="n">
        <v>5</v>
      </c>
      <c r="V79" s="12" t="n">
        <v>1</v>
      </c>
      <c r="W79" s="12" t="n">
        <v>1</v>
      </c>
      <c r="X79" s="12" t="n">
        <v>2</v>
      </c>
      <c r="Y79" s="12" t="n">
        <v>0</v>
      </c>
    </row>
    <row r="80" customFormat="false" ht="41.25" hidden="false" customHeight="true" outlineLevel="0" collapsed="false">
      <c r="A80" s="12" t="s">
        <v>464</v>
      </c>
      <c r="B80" s="5" t="s">
        <v>465</v>
      </c>
      <c r="C80" s="12" t="s">
        <v>464</v>
      </c>
      <c r="D80" s="12" t="s">
        <v>160</v>
      </c>
      <c r="E80" s="5" t="s">
        <v>472</v>
      </c>
      <c r="F80" s="14"/>
      <c r="G80" s="14"/>
      <c r="H80" s="14" t="s">
        <v>87</v>
      </c>
      <c r="I80" s="14"/>
      <c r="J80" s="14"/>
      <c r="K80" s="14"/>
      <c r="L80" s="15"/>
      <c r="M80" s="12" t="s">
        <v>74</v>
      </c>
      <c r="N80" s="5" t="s">
        <v>466</v>
      </c>
      <c r="O80" s="12" t="s">
        <v>467</v>
      </c>
      <c r="P80" s="5" t="s">
        <v>468</v>
      </c>
      <c r="Q80" s="12" t="s">
        <v>469</v>
      </c>
      <c r="R80" s="12" t="s">
        <v>282</v>
      </c>
      <c r="S80" s="5" t="s">
        <v>470</v>
      </c>
      <c r="T80" s="5" t="s">
        <v>471</v>
      </c>
      <c r="U80" s="12" t="n">
        <v>5</v>
      </c>
      <c r="V80" s="12" t="n">
        <v>1</v>
      </c>
      <c r="W80" s="12" t="n">
        <v>1</v>
      </c>
      <c r="X80" s="12" t="n">
        <v>2</v>
      </c>
      <c r="Y80" s="12" t="n">
        <v>0</v>
      </c>
    </row>
    <row r="81" customFormat="false" ht="256.5" hidden="false" customHeight="true" outlineLevel="0" collapsed="false">
      <c r="A81" s="10" t="s">
        <v>473</v>
      </c>
      <c r="B81" s="11" t="s">
        <v>474</v>
      </c>
      <c r="C81" s="12"/>
      <c r="D81" s="12" t="s">
        <v>120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139</v>
      </c>
      <c r="N81" s="5" t="s">
        <v>475</v>
      </c>
      <c r="O81" s="12" t="s">
        <v>476</v>
      </c>
      <c r="P81" s="5" t="s">
        <v>477</v>
      </c>
      <c r="Q81" s="12" t="s">
        <v>478</v>
      </c>
      <c r="R81" s="12" t="s">
        <v>282</v>
      </c>
      <c r="S81" s="5" t="s">
        <v>479</v>
      </c>
      <c r="T81" s="5" t="s">
        <v>480</v>
      </c>
      <c r="U81" s="12" t="n">
        <v>4</v>
      </c>
      <c r="V81" s="12" t="n">
        <v>2</v>
      </c>
      <c r="W81" s="12" t="n">
        <v>1</v>
      </c>
      <c r="X81" s="12" t="n">
        <v>2</v>
      </c>
      <c r="Y81" s="12" t="n">
        <v>0</v>
      </c>
    </row>
    <row r="82" customFormat="false" ht="256.5" hidden="false" customHeight="true" outlineLevel="0" collapsed="false">
      <c r="A82" s="12" t="s">
        <v>473</v>
      </c>
      <c r="B82" s="5" t="s">
        <v>474</v>
      </c>
      <c r="C82" s="12" t="s">
        <v>473</v>
      </c>
      <c r="D82" s="12" t="s">
        <v>120</v>
      </c>
      <c r="E82" s="5" t="s">
        <v>481</v>
      </c>
      <c r="F82" s="14"/>
      <c r="G82" s="14"/>
      <c r="H82" s="14" t="s">
        <v>87</v>
      </c>
      <c r="I82" s="14"/>
      <c r="J82" s="14"/>
      <c r="K82" s="14"/>
      <c r="L82" s="15"/>
      <c r="M82" s="12" t="s">
        <v>139</v>
      </c>
      <c r="N82" s="5" t="s">
        <v>475</v>
      </c>
      <c r="O82" s="12" t="s">
        <v>476</v>
      </c>
      <c r="P82" s="5" t="s">
        <v>477</v>
      </c>
      <c r="Q82" s="12" t="s">
        <v>478</v>
      </c>
      <c r="R82" s="12" t="s">
        <v>282</v>
      </c>
      <c r="S82" s="5" t="s">
        <v>479</v>
      </c>
      <c r="T82" s="5" t="s">
        <v>480</v>
      </c>
      <c r="U82" s="12" t="n">
        <v>4</v>
      </c>
      <c r="V82" s="12" t="n">
        <v>2</v>
      </c>
      <c r="W82" s="12" t="n">
        <v>1</v>
      </c>
      <c r="X82" s="12" t="n">
        <v>2</v>
      </c>
      <c r="Y82" s="12" t="n">
        <v>0</v>
      </c>
    </row>
    <row r="83" customFormat="false" ht="81.75" hidden="false" customHeight="true" outlineLevel="0" collapsed="false">
      <c r="A83" s="10" t="s">
        <v>482</v>
      </c>
      <c r="B83" s="11" t="s">
        <v>483</v>
      </c>
      <c r="C83" s="12"/>
      <c r="D83" s="12" t="s">
        <v>120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c r="N83" s="5" t="s">
        <v>484</v>
      </c>
      <c r="O83" s="12" t="s">
        <v>485</v>
      </c>
      <c r="P83" s="5" t="s">
        <v>486</v>
      </c>
      <c r="Q83" s="12" t="s">
        <v>124</v>
      </c>
      <c r="R83" s="12" t="s">
        <v>282</v>
      </c>
      <c r="S83" s="5" t="s">
        <v>487</v>
      </c>
      <c r="T83" s="5" t="s">
        <v>488</v>
      </c>
      <c r="U83" s="12" t="n">
        <v>4</v>
      </c>
      <c r="V83" s="12" t="n">
        <v>1</v>
      </c>
      <c r="W83" s="12" t="n">
        <v>1</v>
      </c>
      <c r="X83" s="12" t="n">
        <v>1</v>
      </c>
      <c r="Y83" s="12" t="n">
        <v>0</v>
      </c>
    </row>
    <row r="84" customFormat="false" ht="81.75" hidden="false" customHeight="true" outlineLevel="0" collapsed="false">
      <c r="A84" s="12" t="s">
        <v>482</v>
      </c>
      <c r="B84" s="5" t="s">
        <v>483</v>
      </c>
      <c r="C84" s="12" t="s">
        <v>482</v>
      </c>
      <c r="D84" s="12" t="s">
        <v>120</v>
      </c>
      <c r="E84" s="5" t="s">
        <v>489</v>
      </c>
      <c r="F84" s="14"/>
      <c r="G84" s="14"/>
      <c r="H84" s="14" t="s">
        <v>87</v>
      </c>
      <c r="I84" s="14"/>
      <c r="J84" s="14"/>
      <c r="K84" s="14"/>
      <c r="L84" s="15"/>
      <c r="M84" s="12"/>
      <c r="N84" s="5" t="s">
        <v>484</v>
      </c>
      <c r="O84" s="12" t="s">
        <v>485</v>
      </c>
      <c r="P84" s="5" t="s">
        <v>486</v>
      </c>
      <c r="Q84" s="12" t="s">
        <v>124</v>
      </c>
      <c r="R84" s="12" t="s">
        <v>282</v>
      </c>
      <c r="S84" s="5" t="s">
        <v>487</v>
      </c>
      <c r="T84" s="5" t="s">
        <v>488</v>
      </c>
      <c r="U84" s="12" t="n">
        <v>4</v>
      </c>
      <c r="V84" s="12" t="n">
        <v>1</v>
      </c>
      <c r="W84" s="12" t="n">
        <v>1</v>
      </c>
      <c r="X84" s="12" t="n">
        <v>1</v>
      </c>
      <c r="Y84" s="12" t="n">
        <v>0</v>
      </c>
    </row>
    <row r="85" customFormat="false" ht="68.25" hidden="false" customHeight="true" outlineLevel="0" collapsed="false">
      <c r="A85" s="10" t="s">
        <v>490</v>
      </c>
      <c r="B85" s="11" t="s">
        <v>491</v>
      </c>
      <c r="C85" s="12"/>
      <c r="D85" s="12" t="s">
        <v>160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t="s">
        <v>74</v>
      </c>
      <c r="N85" s="5" t="s">
        <v>492</v>
      </c>
      <c r="O85" s="12" t="s">
        <v>493</v>
      </c>
      <c r="P85" s="5" t="s">
        <v>494</v>
      </c>
      <c r="Q85" s="12" t="s">
        <v>360</v>
      </c>
      <c r="R85" s="12" t="s">
        <v>282</v>
      </c>
      <c r="S85" s="5" t="s">
        <v>495</v>
      </c>
      <c r="T85" s="5" t="s">
        <v>496</v>
      </c>
      <c r="U85" s="12" t="n">
        <v>4</v>
      </c>
      <c r="V85" s="12" t="n">
        <v>1</v>
      </c>
      <c r="W85" s="12" t="n">
        <v>1</v>
      </c>
      <c r="X85" s="12" t="n">
        <v>2</v>
      </c>
      <c r="Y85" s="12" t="n">
        <v>0</v>
      </c>
    </row>
    <row r="86" customFormat="false" ht="68.25" hidden="false" customHeight="true" outlineLevel="0" collapsed="false">
      <c r="A86" s="12" t="s">
        <v>490</v>
      </c>
      <c r="B86" s="5" t="s">
        <v>491</v>
      </c>
      <c r="C86" s="12" t="s">
        <v>490</v>
      </c>
      <c r="D86" s="12" t="s">
        <v>160</v>
      </c>
      <c r="E86" s="5" t="s">
        <v>497</v>
      </c>
      <c r="F86" s="14"/>
      <c r="G86" s="14"/>
      <c r="H86" s="14" t="s">
        <v>87</v>
      </c>
      <c r="I86" s="14"/>
      <c r="J86" s="14"/>
      <c r="K86" s="14"/>
      <c r="L86" s="15"/>
      <c r="M86" s="12" t="s">
        <v>74</v>
      </c>
      <c r="N86" s="5" t="s">
        <v>492</v>
      </c>
      <c r="O86" s="12" t="s">
        <v>493</v>
      </c>
      <c r="P86" s="5" t="s">
        <v>494</v>
      </c>
      <c r="Q86" s="12" t="s">
        <v>360</v>
      </c>
      <c r="R86" s="12" t="s">
        <v>282</v>
      </c>
      <c r="S86" s="5" t="s">
        <v>495</v>
      </c>
      <c r="T86" s="5" t="s">
        <v>496</v>
      </c>
      <c r="U86" s="12" t="n">
        <v>4</v>
      </c>
      <c r="V86" s="12" t="n">
        <v>1</v>
      </c>
      <c r="W86" s="12" t="n">
        <v>1</v>
      </c>
      <c r="X86" s="12" t="n">
        <v>2</v>
      </c>
      <c r="Y86" s="12" t="n">
        <v>0</v>
      </c>
    </row>
    <row r="87" customFormat="false" ht="122.25" hidden="false" customHeight="true" outlineLevel="0" collapsed="false">
      <c r="A87" s="10" t="s">
        <v>498</v>
      </c>
      <c r="B87" s="11" t="s">
        <v>499</v>
      </c>
      <c r="C87" s="12"/>
      <c r="D87" s="12" t="s">
        <v>160</v>
      </c>
      <c r="E87" s="5" t="s">
        <v>79</v>
      </c>
      <c r="F87" s="12"/>
      <c r="G87" s="12"/>
      <c r="H87" s="13" t="str">
        <f aca="false">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2"/>
      <c r="J87" s="12"/>
      <c r="K87" s="12"/>
      <c r="L87" s="12"/>
      <c r="M87" s="12" t="s">
        <v>74</v>
      </c>
      <c r="N87" s="5" t="s">
        <v>500</v>
      </c>
      <c r="O87" s="12" t="s">
        <v>501</v>
      </c>
      <c r="P87" s="5" t="s">
        <v>502</v>
      </c>
      <c r="Q87" s="12" t="s">
        <v>460</v>
      </c>
      <c r="R87" s="12" t="s">
        <v>282</v>
      </c>
      <c r="S87" s="5" t="s">
        <v>503</v>
      </c>
      <c r="T87" s="5" t="s">
        <v>504</v>
      </c>
      <c r="U87" s="12" t="n">
        <v>5</v>
      </c>
      <c r="V87" s="12" t="n">
        <v>1</v>
      </c>
      <c r="W87" s="12" t="n">
        <v>1</v>
      </c>
      <c r="X87" s="12" t="n">
        <v>2</v>
      </c>
      <c r="Y87" s="12" t="n">
        <v>0</v>
      </c>
    </row>
    <row r="88" customFormat="false" ht="122.25" hidden="false" customHeight="true" outlineLevel="0" collapsed="false">
      <c r="A88" s="12" t="s">
        <v>498</v>
      </c>
      <c r="B88" s="5" t="s">
        <v>499</v>
      </c>
      <c r="C88" s="12" t="s">
        <v>498</v>
      </c>
      <c r="D88" s="12" t="s">
        <v>160</v>
      </c>
      <c r="E88" s="5" t="s">
        <v>505</v>
      </c>
      <c r="F88" s="14"/>
      <c r="G88" s="14"/>
      <c r="H88" s="14" t="s">
        <v>87</v>
      </c>
      <c r="I88" s="14"/>
      <c r="J88" s="14"/>
      <c r="K88" s="14"/>
      <c r="L88" s="15"/>
      <c r="M88" s="12" t="s">
        <v>74</v>
      </c>
      <c r="N88" s="5" t="s">
        <v>500</v>
      </c>
      <c r="O88" s="12" t="s">
        <v>501</v>
      </c>
      <c r="P88" s="5" t="s">
        <v>502</v>
      </c>
      <c r="Q88" s="12" t="s">
        <v>460</v>
      </c>
      <c r="R88" s="12" t="s">
        <v>282</v>
      </c>
      <c r="S88" s="5" t="s">
        <v>503</v>
      </c>
      <c r="T88" s="5" t="s">
        <v>504</v>
      </c>
      <c r="U88" s="12" t="n">
        <v>5</v>
      </c>
      <c r="V88" s="12" t="n">
        <v>1</v>
      </c>
      <c r="W88" s="12" t="n">
        <v>1</v>
      </c>
      <c r="X88" s="12" t="n">
        <v>2</v>
      </c>
      <c r="Y88" s="12" t="n">
        <v>0</v>
      </c>
    </row>
    <row r="89" customFormat="false" ht="283.5" hidden="false" customHeight="true" outlineLevel="0" collapsed="false">
      <c r="A89" s="10" t="s">
        <v>506</v>
      </c>
      <c r="B89" s="11" t="s">
        <v>507</v>
      </c>
      <c r="C89" s="12"/>
      <c r="D89" s="12" t="s">
        <v>120</v>
      </c>
      <c r="E89" s="5" t="s">
        <v>79</v>
      </c>
      <c r="F89" s="12"/>
      <c r="G89" s="12"/>
      <c r="H89" s="13" t="str">
        <f aca="false">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Bitte Teilanforderungen ausfüllen</v>
      </c>
      <c r="I89" s="12"/>
      <c r="J89" s="12"/>
      <c r="K89" s="12"/>
      <c r="L89" s="12"/>
      <c r="M89" s="12" t="s">
        <v>74</v>
      </c>
      <c r="N89" s="5" t="s">
        <v>508</v>
      </c>
      <c r="O89" s="12" t="s">
        <v>509</v>
      </c>
      <c r="P89" s="5" t="s">
        <v>510</v>
      </c>
      <c r="Q89" s="12" t="s">
        <v>124</v>
      </c>
      <c r="R89" s="12" t="s">
        <v>92</v>
      </c>
      <c r="S89" s="5" t="s">
        <v>511</v>
      </c>
      <c r="T89" s="5" t="s">
        <v>512</v>
      </c>
      <c r="U89" s="12" t="n">
        <v>3</v>
      </c>
      <c r="V89" s="12" t="n">
        <v>1</v>
      </c>
      <c r="W89" s="12" t="n">
        <v>1</v>
      </c>
      <c r="X89" s="12" t="n">
        <v>2</v>
      </c>
      <c r="Y89" s="12" t="n">
        <v>0</v>
      </c>
    </row>
    <row r="90" customFormat="false" ht="283.5" hidden="false" customHeight="true" outlineLevel="0" collapsed="false">
      <c r="A90" s="12" t="s">
        <v>506</v>
      </c>
      <c r="B90" s="5" t="s">
        <v>507</v>
      </c>
      <c r="C90" s="12" t="s">
        <v>506</v>
      </c>
      <c r="D90" s="12" t="s">
        <v>120</v>
      </c>
      <c r="E90" s="5" t="s">
        <v>513</v>
      </c>
      <c r="F90" s="14"/>
      <c r="G90" s="14"/>
      <c r="H90" s="14" t="s">
        <v>87</v>
      </c>
      <c r="I90" s="14"/>
      <c r="J90" s="14"/>
      <c r="K90" s="14"/>
      <c r="L90" s="15"/>
      <c r="M90" s="12" t="s">
        <v>74</v>
      </c>
      <c r="N90" s="5" t="s">
        <v>508</v>
      </c>
      <c r="O90" s="12" t="s">
        <v>509</v>
      </c>
      <c r="P90" s="5" t="s">
        <v>510</v>
      </c>
      <c r="Q90" s="12" t="s">
        <v>124</v>
      </c>
      <c r="R90" s="12" t="s">
        <v>92</v>
      </c>
      <c r="S90" s="5" t="s">
        <v>511</v>
      </c>
      <c r="T90" s="5" t="s">
        <v>512</v>
      </c>
      <c r="U90" s="12" t="n">
        <v>3</v>
      </c>
      <c r="V90" s="12" t="n">
        <v>1</v>
      </c>
      <c r="W90" s="12" t="n">
        <v>1</v>
      </c>
      <c r="X90" s="12" t="n">
        <v>2</v>
      </c>
      <c r="Y90" s="12" t="n">
        <v>0</v>
      </c>
    </row>
    <row r="91" customFormat="false" ht="336.75" hidden="false" customHeight="true" outlineLevel="0" collapsed="false">
      <c r="A91" s="10" t="s">
        <v>514</v>
      </c>
      <c r="B91" s="11" t="s">
        <v>515</v>
      </c>
      <c r="C91" s="12"/>
      <c r="D91" s="12" t="s">
        <v>160</v>
      </c>
      <c r="E91" s="5" t="s">
        <v>79</v>
      </c>
      <c r="F91" s="12"/>
      <c r="G91" s="12"/>
      <c r="H91" s="13" t="str">
        <f aca="false">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2"/>
      <c r="J91" s="12"/>
      <c r="K91" s="12"/>
      <c r="L91" s="12"/>
      <c r="M91" s="12" t="s">
        <v>74</v>
      </c>
      <c r="N91" s="5" t="s">
        <v>516</v>
      </c>
      <c r="O91" s="12" t="s">
        <v>517</v>
      </c>
      <c r="P91" s="5" t="s">
        <v>518</v>
      </c>
      <c r="Q91" s="12" t="s">
        <v>460</v>
      </c>
      <c r="R91" s="12" t="s">
        <v>282</v>
      </c>
      <c r="S91" s="5" t="s">
        <v>519</v>
      </c>
      <c r="T91" s="5" t="s">
        <v>512</v>
      </c>
      <c r="U91" s="12" t="n">
        <v>5</v>
      </c>
      <c r="V91" s="12" t="n">
        <v>1</v>
      </c>
      <c r="W91" s="12" t="n">
        <v>1</v>
      </c>
      <c r="X91" s="12" t="n">
        <v>2</v>
      </c>
      <c r="Y91" s="12" t="n">
        <v>0</v>
      </c>
    </row>
    <row r="92" customFormat="false" ht="336.75" hidden="false" customHeight="true" outlineLevel="0" collapsed="false">
      <c r="A92" s="12" t="s">
        <v>514</v>
      </c>
      <c r="B92" s="5" t="s">
        <v>515</v>
      </c>
      <c r="C92" s="12" t="s">
        <v>514</v>
      </c>
      <c r="D92" s="12" t="s">
        <v>160</v>
      </c>
      <c r="E92" s="5" t="s">
        <v>520</v>
      </c>
      <c r="F92" s="14"/>
      <c r="G92" s="14"/>
      <c r="H92" s="14" t="s">
        <v>87</v>
      </c>
      <c r="I92" s="14"/>
      <c r="J92" s="14"/>
      <c r="K92" s="14"/>
      <c r="L92" s="15"/>
      <c r="M92" s="12" t="s">
        <v>74</v>
      </c>
      <c r="N92" s="5" t="s">
        <v>516</v>
      </c>
      <c r="O92" s="12" t="s">
        <v>517</v>
      </c>
      <c r="P92" s="5" t="s">
        <v>518</v>
      </c>
      <c r="Q92" s="12" t="s">
        <v>460</v>
      </c>
      <c r="R92" s="12" t="s">
        <v>282</v>
      </c>
      <c r="S92" s="5" t="s">
        <v>519</v>
      </c>
      <c r="T92" s="5" t="s">
        <v>512</v>
      </c>
      <c r="U92" s="12" t="n">
        <v>5</v>
      </c>
      <c r="V92" s="12" t="n">
        <v>1</v>
      </c>
      <c r="W92" s="12" t="n">
        <v>1</v>
      </c>
      <c r="X92" s="12" t="n">
        <v>2</v>
      </c>
      <c r="Y92" s="12" t="n">
        <v>0</v>
      </c>
    </row>
    <row r="93" customFormat="false" ht="336.75" hidden="false" customHeight="true" outlineLevel="0" collapsed="false">
      <c r="A93" s="10" t="s">
        <v>521</v>
      </c>
      <c r="B93" s="11" t="s">
        <v>522</v>
      </c>
      <c r="C93" s="12"/>
      <c r="D93" s="12" t="s">
        <v>160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c r="N93" s="5" t="s">
        <v>523</v>
      </c>
      <c r="O93" s="12" t="s">
        <v>524</v>
      </c>
      <c r="P93" s="5" t="s">
        <v>525</v>
      </c>
      <c r="Q93" s="12" t="s">
        <v>460</v>
      </c>
      <c r="R93" s="12" t="s">
        <v>282</v>
      </c>
      <c r="S93" s="5" t="s">
        <v>526</v>
      </c>
      <c r="T93" s="5" t="s">
        <v>527</v>
      </c>
      <c r="U93" s="12" t="n">
        <v>5</v>
      </c>
      <c r="V93" s="12" t="n">
        <v>0</v>
      </c>
      <c r="W93" s="12" t="n">
        <v>0</v>
      </c>
      <c r="X93" s="12" t="n">
        <v>1</v>
      </c>
      <c r="Y93" s="12" t="n">
        <v>0</v>
      </c>
    </row>
    <row r="94" customFormat="false" ht="336.75" hidden="false" customHeight="true" outlineLevel="0" collapsed="false">
      <c r="A94" s="12" t="s">
        <v>521</v>
      </c>
      <c r="B94" s="5" t="s">
        <v>522</v>
      </c>
      <c r="C94" s="12" t="s">
        <v>521</v>
      </c>
      <c r="D94" s="12" t="s">
        <v>160</v>
      </c>
      <c r="E94" s="5" t="s">
        <v>528</v>
      </c>
      <c r="F94" s="14"/>
      <c r="G94" s="14"/>
      <c r="H94" s="14" t="s">
        <v>87</v>
      </c>
      <c r="I94" s="14"/>
      <c r="J94" s="14"/>
      <c r="K94" s="14"/>
      <c r="L94" s="15"/>
      <c r="M94" s="12"/>
      <c r="N94" s="5" t="s">
        <v>523</v>
      </c>
      <c r="O94" s="12" t="s">
        <v>524</v>
      </c>
      <c r="P94" s="5" t="s">
        <v>525</v>
      </c>
      <c r="Q94" s="12" t="s">
        <v>460</v>
      </c>
      <c r="R94" s="12" t="s">
        <v>282</v>
      </c>
      <c r="S94" s="5" t="s">
        <v>526</v>
      </c>
      <c r="T94" s="5" t="s">
        <v>527</v>
      </c>
      <c r="U94" s="12" t="n">
        <v>5</v>
      </c>
      <c r="V94" s="12" t="n">
        <v>0</v>
      </c>
      <c r="W94" s="12" t="n">
        <v>0</v>
      </c>
      <c r="X94" s="12" t="n">
        <v>1</v>
      </c>
      <c r="Y94" s="12" t="n">
        <v>0</v>
      </c>
    </row>
    <row r="95" customFormat="false" ht="81.75" hidden="false" customHeight="true" outlineLevel="0" collapsed="false">
      <c r="A95" s="10" t="s">
        <v>529</v>
      </c>
      <c r="B95" s="11" t="s">
        <v>530</v>
      </c>
      <c r="C95" s="12"/>
      <c r="D95" s="12" t="s">
        <v>160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c r="N95" s="5" t="s">
        <v>531</v>
      </c>
      <c r="O95" s="12" t="s">
        <v>532</v>
      </c>
      <c r="P95" s="5" t="s">
        <v>533</v>
      </c>
      <c r="Q95" s="12" t="s">
        <v>460</v>
      </c>
      <c r="R95" s="12" t="s">
        <v>282</v>
      </c>
      <c r="S95" s="5" t="s">
        <v>534</v>
      </c>
      <c r="T95" s="5" t="s">
        <v>535</v>
      </c>
      <c r="U95" s="12" t="n">
        <v>5</v>
      </c>
      <c r="V95" s="12" t="n">
        <v>1</v>
      </c>
      <c r="W95" s="12" t="n">
        <v>1</v>
      </c>
      <c r="X95" s="12" t="n">
        <v>1</v>
      </c>
      <c r="Y95" s="12" t="n">
        <v>0</v>
      </c>
    </row>
    <row r="96" customFormat="false" ht="81.75" hidden="false" customHeight="true" outlineLevel="0" collapsed="false">
      <c r="A96" s="12" t="s">
        <v>529</v>
      </c>
      <c r="B96" s="5" t="s">
        <v>530</v>
      </c>
      <c r="C96" s="12" t="s">
        <v>529</v>
      </c>
      <c r="D96" s="12" t="s">
        <v>160</v>
      </c>
      <c r="E96" s="5" t="s">
        <v>536</v>
      </c>
      <c r="F96" s="14"/>
      <c r="G96" s="14"/>
      <c r="H96" s="14" t="s">
        <v>87</v>
      </c>
      <c r="I96" s="14"/>
      <c r="J96" s="14"/>
      <c r="K96" s="14"/>
      <c r="L96" s="15"/>
      <c r="M96" s="12"/>
      <c r="N96" s="5" t="s">
        <v>531</v>
      </c>
      <c r="O96" s="12" t="s">
        <v>532</v>
      </c>
      <c r="P96" s="5" t="s">
        <v>533</v>
      </c>
      <c r="Q96" s="12" t="s">
        <v>460</v>
      </c>
      <c r="R96" s="12" t="s">
        <v>282</v>
      </c>
      <c r="S96" s="5" t="s">
        <v>534</v>
      </c>
      <c r="T96" s="5" t="s">
        <v>535</v>
      </c>
      <c r="U96" s="12" t="n">
        <v>5</v>
      </c>
      <c r="V96" s="12" t="n">
        <v>1</v>
      </c>
      <c r="W96" s="12" t="n">
        <v>1</v>
      </c>
      <c r="X96" s="12" t="n">
        <v>1</v>
      </c>
      <c r="Y96" s="12" t="n">
        <v>0</v>
      </c>
    </row>
    <row r="97" customFormat="false" ht="54.75" hidden="false" customHeight="true" outlineLevel="0" collapsed="false">
      <c r="A97" s="10" t="s">
        <v>537</v>
      </c>
      <c r="B97" s="11" t="s">
        <v>538</v>
      </c>
      <c r="C97" s="12"/>
      <c r="D97" s="12" t="s">
        <v>160</v>
      </c>
      <c r="E97" s="5" t="s">
        <v>79</v>
      </c>
      <c r="F97" s="12"/>
      <c r="G97" s="12"/>
      <c r="H97" s="13" t="str">
        <f aca="false">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2"/>
      <c r="J97" s="12"/>
      <c r="K97" s="12"/>
      <c r="L97" s="12"/>
      <c r="M97" s="12"/>
      <c r="N97" s="5" t="s">
        <v>539</v>
      </c>
      <c r="O97" s="12" t="s">
        <v>540</v>
      </c>
      <c r="P97" s="5" t="s">
        <v>541</v>
      </c>
      <c r="Q97" s="12" t="s">
        <v>124</v>
      </c>
      <c r="R97" s="12" t="s">
        <v>282</v>
      </c>
      <c r="S97" s="5" t="s">
        <v>542</v>
      </c>
      <c r="T97" s="5" t="s">
        <v>543</v>
      </c>
      <c r="U97" s="12" t="n">
        <v>5</v>
      </c>
      <c r="V97" s="12" t="n">
        <v>0</v>
      </c>
      <c r="W97" s="12" t="n">
        <v>0</v>
      </c>
      <c r="X97" s="12" t="n">
        <v>1</v>
      </c>
      <c r="Y97" s="12" t="n">
        <v>0</v>
      </c>
    </row>
    <row r="98" customFormat="false" ht="54.75" hidden="false" customHeight="true" outlineLevel="0" collapsed="false">
      <c r="A98" s="12" t="s">
        <v>537</v>
      </c>
      <c r="B98" s="5" t="s">
        <v>538</v>
      </c>
      <c r="C98" s="12" t="s">
        <v>537</v>
      </c>
      <c r="D98" s="12" t="s">
        <v>160</v>
      </c>
      <c r="E98" s="5" t="s">
        <v>544</v>
      </c>
      <c r="F98" s="14"/>
      <c r="G98" s="14"/>
      <c r="H98" s="14" t="s">
        <v>87</v>
      </c>
      <c r="I98" s="14"/>
      <c r="J98" s="14"/>
      <c r="K98" s="14"/>
      <c r="L98" s="15"/>
      <c r="M98" s="12"/>
      <c r="N98" s="5" t="s">
        <v>539</v>
      </c>
      <c r="O98" s="12" t="s">
        <v>540</v>
      </c>
      <c r="P98" s="5" t="s">
        <v>541</v>
      </c>
      <c r="Q98" s="12" t="s">
        <v>124</v>
      </c>
      <c r="R98" s="12" t="s">
        <v>282</v>
      </c>
      <c r="S98" s="5" t="s">
        <v>542</v>
      </c>
      <c r="T98" s="5" t="s">
        <v>543</v>
      </c>
      <c r="U98" s="12" t="n">
        <v>5</v>
      </c>
      <c r="V98" s="12" t="n">
        <v>0</v>
      </c>
      <c r="W98" s="12" t="n">
        <v>0</v>
      </c>
      <c r="X98" s="12" t="n">
        <v>1</v>
      </c>
      <c r="Y98" s="12" t="n">
        <v>0</v>
      </c>
    </row>
  </sheetData>
  <autoFilter ref="A6:Y6"/>
  <conditionalFormatting sqref="H7:H9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H28 H30 H32 H34 H36 H38 H40 H42 H44 H46:H48 H50 H52 H54:H70 H72 H74 H76 H78 H80 H82 H84 H86 H88 H90 H92 H94 H96 H9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4"/>
    <col collapsed="false" customWidth="true" hidden="false" outlineLevel="0" max="3" min="3" style="1" width="14"/>
  </cols>
  <sheetData>
    <row r="2" customFormat="false" ht="15" hidden="false" customHeight="true" outlineLevel="0" collapsed="false">
      <c r="B2" s="2" t="s">
        <v>545</v>
      </c>
      <c r="C2" s="2" t="s">
        <v>546</v>
      </c>
    </row>
    <row r="3" customFormat="false" ht="15" hidden="false" customHeight="true" outlineLevel="0" collapsed="false">
      <c r="B3" s="3" t="s">
        <v>547</v>
      </c>
      <c r="C3" s="3" t="n">
        <f aca="false">COUNTIF(Praktiken!$C$5:$C$24,"Ja")</f>
        <v>1</v>
      </c>
    </row>
    <row r="4" customFormat="false" ht="15" hidden="false" customHeight="true" outlineLevel="0" collapsed="false">
      <c r="B4" s="3" t="s">
        <v>548</v>
      </c>
      <c r="C4" s="3" t="n">
        <f aca="false">COUNTIFS(Praktiken!$C$5:$C$24,"Ja",Praktiken!$G$5:$G$24,1)</f>
        <v>0</v>
      </c>
    </row>
    <row r="5" customFormat="false" ht="15" hidden="false" customHeight="true" outlineLevel="0" collapsed="false">
      <c r="B5" s="3" t="s">
        <v>549</v>
      </c>
      <c r="C5" s="3" t="n">
        <f aca="false">COUNTIFS(Praktiken!$C$5:$C$24,"Ja",Praktiken!$G$5:$G$24,"&gt;0",Praktiken!$G$5:$G$24,"&lt;1")</f>
        <v>1</v>
      </c>
    </row>
    <row r="6" customFormat="false" ht="15" hidden="false" customHeight="true" outlineLevel="0" collapsed="false">
      <c r="B6" s="3"/>
      <c r="C6" s="3"/>
    </row>
    <row r="7" customFormat="false" ht="15" hidden="false" customHeight="true" outlineLevel="0" collapsed="false">
      <c r="B7" s="2" t="s">
        <v>550</v>
      </c>
      <c r="C7" s="2" t="s">
        <v>546</v>
      </c>
    </row>
    <row r="8" customFormat="false" ht="15" hidden="false" customHeight="true" outlineLevel="0" collapsed="false">
      <c r="B8" s="3" t="s">
        <v>551</v>
      </c>
      <c r="C8" s="3" t="n">
        <f aca="false">SUMIFS(Praktiken!$H$5:$H$24,Praktiken!$C$5:$C$24,"Ja")</f>
        <v>1</v>
      </c>
    </row>
    <row r="9" customFormat="false" ht="15" hidden="false" customHeight="true" outlineLevel="0" collapsed="false">
      <c r="B9" s="3" t="s">
        <v>552</v>
      </c>
      <c r="C9" s="3" t="n">
        <f aca="false">SUMIFS(Praktiken!$I$5:$I$24,Praktiken!$C$5:$C$24,"Ja")</f>
        <v>0</v>
      </c>
    </row>
    <row r="10" customFormat="false" ht="15" hidden="false" customHeight="true" outlineLevel="0" collapsed="false">
      <c r="B10" s="3" t="s">
        <v>553</v>
      </c>
      <c r="C10" s="3" t="n">
        <f aca="false">SUMIFS(Praktiken!$J$5:$J$24,Praktiken!$C$5:$C$24,"Ja")</f>
        <v>0</v>
      </c>
    </row>
    <row r="11" customFormat="false" ht="15" hidden="false" customHeight="true" outlineLevel="0" collapsed="false">
      <c r="B11" s="3" t="s">
        <v>554</v>
      </c>
      <c r="C11" s="3" t="n">
        <f aca="false">SUMIFS(Praktiken!$K$5:$K$24,Praktiken!$C$5:$C$24,"Ja")</f>
        <v>0</v>
      </c>
    </row>
    <row r="12" customFormat="false" ht="15" hidden="false" customHeight="true" outlineLevel="0" collapsed="false">
      <c r="B12" s="3" t="s">
        <v>555</v>
      </c>
      <c r="C12" s="3" t="n">
        <f aca="false">SUMIFS(Praktiken!$L$5:$L$24,Praktiken!$C$5:$C$24,"Ja")</f>
        <v>0</v>
      </c>
    </row>
    <row r="13" customFormat="false" ht="15" hidden="false" customHeight="true" outlineLevel="0" collapsed="false">
      <c r="B13" s="3" t="s">
        <v>556</v>
      </c>
      <c r="C13" s="3" t="n">
        <f aca="false">SUMIFS(Praktiken!$M$5:$M$24,Praktiken!$C$5:$C$24,"Ja")</f>
        <v>0</v>
      </c>
    </row>
    <row r="14" customFormat="false" ht="15" hidden="false" customHeight="true" outlineLevel="0" collapsed="false">
      <c r="B14" s="3" t="s">
        <v>557</v>
      </c>
      <c r="C14" s="3" t="n">
        <f aca="false">SUMIFS(Praktiken!$N$5:$N$24,Praktiken!$C$5:$C$24,"Ja")</f>
        <v>56</v>
      </c>
    </row>
    <row r="15" customFormat="false" ht="15" hidden="false" customHeight="true" outlineLevel="0" collapsed="false">
      <c r="B15" s="3"/>
      <c r="C15" s="3"/>
    </row>
    <row r="16" customFormat="false" ht="15" hidden="false" customHeight="true" outlineLevel="0" collapsed="false">
      <c r="B16" s="3" t="s">
        <v>558</v>
      </c>
      <c r="C16" s="3" t="s">
        <v>559</v>
      </c>
    </row>
    <row r="17" customFormat="false" ht="15" hidden="false" customHeight="true" outlineLevel="0" collapsed="false">
      <c r="B17" s="3" t="s">
        <v>72</v>
      </c>
      <c r="C17" s="3" t="n">
        <f aca="false">SUMIFS(Praktiken!$O$5:$O$24,Praktiken!$C$5:$C$24,"Ja")</f>
        <v>2</v>
      </c>
    </row>
    <row r="18" customFormat="false" ht="15" hidden="false" customHeight="true" outlineLevel="0" collapsed="false">
      <c r="B18" s="3" t="s">
        <v>73</v>
      </c>
      <c r="C18" s="3" t="n">
        <f aca="false">SUMIFS(Praktiken!$P$5:$P$24,Praktiken!$C$5:$C$24,"Ja")</f>
        <v>2</v>
      </c>
    </row>
    <row r="19" customFormat="false" ht="15" hidden="false" customHeight="true" outlineLevel="0" collapsed="false">
      <c r="B19" s="3" t="s">
        <v>74</v>
      </c>
      <c r="C19" s="3" t="n">
        <f aca="false">SUMIFS(Praktiken!$Q$5:$Q$24,Praktiken!$C$5:$C$24,"Ja")</f>
        <v>1</v>
      </c>
    </row>
    <row r="20" customFormat="false" ht="15" hidden="false" customHeight="true" outlineLevel="0" collapsed="false">
      <c r="B20" s="3" t="s">
        <v>75</v>
      </c>
      <c r="C20" s="3" t="n">
        <f aca="false">SUMIFS(Praktiken!$R$5:$R$24,Praktiken!$C$5:$C$24,"Ja")</f>
        <v>1</v>
      </c>
    </row>
    <row r="21" customFormat="false" ht="15" hidden="false" customHeight="true" outlineLevel="0" collapsed="false">
      <c r="B21" s="3"/>
      <c r="C21" s="3"/>
    </row>
    <row r="23" customFormat="false" ht="15" hidden="false" customHeight="true" outlineLevel="0" collapsed="false">
      <c r="B23" s="16" t="s">
        <v>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T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 collapsed="false" customWidth="true" hidden="false" outlineLevel="0" max="4" min="4" style="1" width="22"/>
    <col collapsed="false" customWidth="true" hidden="false" outlineLevel="0" max="5" min="5" style="1" width="30"/>
    <col collapsed="false" customWidth="true" hidden="false" outlineLevel="0" max="6" min="6" style="1" width="18"/>
    <col collapsed="false" customWidth="true" hidden="false" outlineLevel="0" max="7" min="7" style="1" width="20"/>
    <col collapsed="false" customWidth="true" hidden="false" outlineLevel="0" max="18" min="8" style="1" width="13"/>
    <col collapsed="false" customWidth="true" hidden="false" outlineLevel="0" max="19" min="19" style="1" width="18"/>
    <col collapsed="false" customWidth="true" hidden="false" outlineLevel="0" max="20" min="20" style="1" width="30"/>
  </cols>
  <sheetData>
    <row r="4" customFormat="false" ht="27.75" hidden="false" customHeight="true" outlineLevel="0" collapsed="false">
      <c r="A4" s="9" t="s">
        <v>561</v>
      </c>
      <c r="B4" s="9" t="s">
        <v>562</v>
      </c>
      <c r="C4" s="9" t="s">
        <v>563</v>
      </c>
      <c r="D4" s="9" t="s">
        <v>564</v>
      </c>
      <c r="E4" s="9" t="s">
        <v>565</v>
      </c>
      <c r="F4" s="9" t="s">
        <v>566</v>
      </c>
      <c r="G4" s="9" t="s">
        <v>567</v>
      </c>
      <c r="H4" s="9" t="s">
        <v>568</v>
      </c>
      <c r="I4" s="9" t="s">
        <v>569</v>
      </c>
      <c r="J4" s="9" t="s">
        <v>570</v>
      </c>
      <c r="K4" s="9" t="s">
        <v>571</v>
      </c>
      <c r="L4" s="9" t="s">
        <v>572</v>
      </c>
      <c r="M4" s="9" t="s">
        <v>573</v>
      </c>
      <c r="N4" s="9" t="s">
        <v>87</v>
      </c>
      <c r="O4" s="9" t="s">
        <v>574</v>
      </c>
      <c r="P4" s="9" t="s">
        <v>575</v>
      </c>
      <c r="Q4" s="9" t="s">
        <v>576</v>
      </c>
      <c r="R4" s="9" t="s">
        <v>577</v>
      </c>
      <c r="S4" s="9" t="s">
        <v>51</v>
      </c>
      <c r="T4" s="9" t="s">
        <v>578</v>
      </c>
    </row>
    <row r="5" customFormat="false" ht="15" hidden="false" customHeight="true" outlineLevel="0" collapsed="false">
      <c r="A5" s="4" t="s">
        <v>48</v>
      </c>
      <c r="B5" s="3" t="s">
        <v>49</v>
      </c>
      <c r="C5" s="17"/>
      <c r="D5" s="17"/>
      <c r="E5" s="17"/>
      <c r="F5" s="18" t="str">
        <f aca="false">IF($C5="Ja",IFERROR((COUNTIFS(ARCH!$C$7:$C$98,"&lt;&gt;",ARCH!$H$7:$H$98,"ja")+COUNTIFS(ARCH!$C$7:$C$98,"&lt;&gt;",ARCH!$H$7:$H$98,"entbehrlich")+COUNTIFS(ARCH!$C$7:$C$98,"&lt;&gt;",ARCH!$H$7:$H$98,"verwiesen"))/COUNTA(ARCH!$C$7:$C$98),0),"")</f>
        <v/>
      </c>
      <c r="G5" s="18" t="str">
        <f aca="false">IF($C5="Ja",IFERROR((COUNTA(ARCH!$C$7:$C$98)-COUNTIFS(ARCH!$C$7:$C$98,"&lt;&gt;",ARCH!$H$7:$H$98,"unbearbeitet"))/COUNTA(ARCH!$C$7:$C$98),0),"")</f>
        <v/>
      </c>
      <c r="H5" s="3" t="str">
        <f aca="false">IF($C5="Ja",COUNTIFS(ARCH!$C$7:$C$98,"&lt;&gt;",ARCH!$H$7:$H$98,"ja"),"")</f>
        <v/>
      </c>
      <c r="I5" s="3" t="str">
        <f aca="false">IF($C5="Ja",COUNTIFS(ARCH!$C$7:$C$98,"&lt;&gt;",ARCH!$H$7:$H$98,"nein"),"")</f>
        <v/>
      </c>
      <c r="J5" s="3" t="str">
        <f aca="false">IF($C5="Ja",COUNTIFS(ARCH!$C$7:$C$98,"&lt;&gt;",ARCH!$H$7:$H$98,"teilweise"),"")</f>
        <v/>
      </c>
      <c r="K5" s="3" t="str">
        <f aca="false">IF($C5="Ja",COUNTIFS(ARCH!$C$7:$C$98,"&lt;&gt;",ARCH!$H$7:$H$98,"entbehrlich"),"")</f>
        <v/>
      </c>
      <c r="L5" s="3" t="str">
        <f aca="false">IF($C5="Ja",COUNTIFS(ARCH!$C$7:$C$98,"&lt;&gt;",ARCH!$H$7:$H$98,"verwiesen"),"")</f>
        <v/>
      </c>
      <c r="M5" s="3" t="str">
        <f aca="false">IF($C5="Ja",COUNTIFS(ARCH!$C$7:$C$98,"&lt;&gt;",ARCH!$H$7:$H$98,"zu klären"),"")</f>
        <v/>
      </c>
      <c r="N5" s="3" t="str">
        <f aca="false">IF($C5="Ja",COUNTIFS(ARCH!$C$7:$C$98,"&lt;&gt;",ARCH!$H$7:$H$98,"unbearbeitet"),"")</f>
        <v/>
      </c>
      <c r="O5" s="3" t="str">
        <f aca="false">IF($C5="Ja",SUMIFS(ARCH!$V$7:$V$98,ARCH!$C$7:$C$98,"&lt;&gt;",ARCH!$H$7:$H$98,"ja"),"")</f>
        <v/>
      </c>
      <c r="P5" s="3" t="str">
        <f aca="false">IF($C5="Ja",SUMIFS(ARCH!$W$7:$W$98,ARCH!$C$7:$C$98,"&lt;&gt;",ARCH!$H$7:$H$98,"ja"),"")</f>
        <v/>
      </c>
      <c r="Q5" s="3" t="str">
        <f aca="false">IF($C5="Ja",SUMIFS(ARCH!$X$7:$X$98,ARCH!$C$7:$C$98,"&lt;&gt;",ARCH!$H$7:$H$98,"ja"),"")</f>
        <v/>
      </c>
      <c r="R5" s="3" t="str">
        <f aca="false">IF($C5="Ja",SUMIFS(ARCH!$Y$7:$Y$98,ARCH!$C$7:$C$98,"&lt;&gt;",ARCH!$H$7:$H$98,"ja"),"")</f>
        <v/>
      </c>
      <c r="S5" s="17"/>
      <c r="T5" s="17"/>
    </row>
    <row r="6" customFormat="false" ht="15" hidden="false" customHeight="true" outlineLevel="0" collapsed="false">
      <c r="A6" s="4" t="s">
        <v>579</v>
      </c>
      <c r="B6" s="3" t="s">
        <v>580</v>
      </c>
      <c r="C6" s="17" t="s">
        <v>581</v>
      </c>
      <c r="D6" s="17"/>
      <c r="E6" s="17"/>
      <c r="F6" s="18" t="n">
        <f aca="false">IF($C6="Ja",IFERROR((COUNTIFS(ASST!$C$7:$C$107,"&lt;&gt;",ASST!$H$7:$H$107,"ja")+COUNTIFS(ASST!$C$7:$C$107,"&lt;&gt;",ASST!$H$7:$H$107,"entbehrlich")+COUNTIFS(ASST!$C$7:$C$107,"&lt;&gt;",ASST!$H$7:$H$107,"verwiesen"))/COUNTA(ASST!$C$7:$C$107),0),"")</f>
        <v>0.0175438596491228</v>
      </c>
      <c r="G6" s="18" t="n">
        <f aca="false">IF($C6="Ja",IFERROR((COUNTA(ASST!$C$7:$C$107)-COUNTIFS(ASST!$C$7:$C$107,"&lt;&gt;",ASST!$H$7:$H$107,"unbearbeitet"))/COUNTA(ASST!$C$7:$C$107),0),"")</f>
        <v>0.0175438596491228</v>
      </c>
      <c r="H6" s="3" t="n">
        <f aca="false">IF($C6="Ja",COUNTIFS(ASST!$C$7:$C$107,"&lt;&gt;",ASST!$H$7:$H$107,"ja"),"")</f>
        <v>1</v>
      </c>
      <c r="I6" s="3" t="n">
        <f aca="false">IF($C6="Ja",COUNTIFS(ASST!$C$7:$C$107,"&lt;&gt;",ASST!$H$7:$H$107,"nein"),"")</f>
        <v>0</v>
      </c>
      <c r="J6" s="3" t="n">
        <f aca="false">IF($C6="Ja",COUNTIFS(ASST!$C$7:$C$107,"&lt;&gt;",ASST!$H$7:$H$107,"teilweise"),"")</f>
        <v>0</v>
      </c>
      <c r="K6" s="3" t="n">
        <f aca="false">IF($C6="Ja",COUNTIFS(ASST!$C$7:$C$107,"&lt;&gt;",ASST!$H$7:$H$107,"entbehrlich"),"")</f>
        <v>0</v>
      </c>
      <c r="L6" s="3" t="n">
        <f aca="false">IF($C6="Ja",COUNTIFS(ASST!$C$7:$C$107,"&lt;&gt;",ASST!$H$7:$H$107,"verwiesen"),"")</f>
        <v>0</v>
      </c>
      <c r="M6" s="3" t="n">
        <f aca="false">IF($C6="Ja",COUNTIFS(ASST!$C$7:$C$107,"&lt;&gt;",ASST!$H$7:$H$107,"zu klären"),"")</f>
        <v>0</v>
      </c>
      <c r="N6" s="3" t="n">
        <f aca="false">IF($C6="Ja",COUNTIFS(ASST!$C$7:$C$107,"&lt;&gt;",ASST!$H$7:$H$107,"unbearbeitet"),"")</f>
        <v>56</v>
      </c>
      <c r="O6" s="3" t="n">
        <f aca="false">IF($C6="Ja",SUMIFS(ASST!$V$7:$V$107,ASST!$C$7:$C$107,"&lt;&gt;",ASST!$H$7:$H$107,"ja"),"")</f>
        <v>2</v>
      </c>
      <c r="P6" s="3" t="n">
        <f aca="false">IF($C6="Ja",SUMIFS(ASST!$W$7:$W$107,ASST!$C$7:$C$107,"&lt;&gt;",ASST!$H$7:$H$107,"ja"),"")</f>
        <v>2</v>
      </c>
      <c r="Q6" s="3" t="n">
        <f aca="false">IF($C6="Ja",SUMIFS(ASST!$X$7:$X$107,ASST!$C$7:$C$107,"&lt;&gt;",ASST!$H$7:$H$107,"ja"),"")</f>
        <v>1</v>
      </c>
      <c r="R6" s="3" t="n">
        <f aca="false">IF($C6="Ja",SUMIFS(ASST!$Y$7:$Y$107,ASST!$C$7:$C$107,"&lt;&gt;",ASST!$H$7:$H$107,"ja"),"")</f>
        <v>1</v>
      </c>
      <c r="S6" s="17"/>
      <c r="T6" s="17"/>
    </row>
    <row r="7" customFormat="false" ht="15" hidden="false" customHeight="true" outlineLevel="0" collapsed="false">
      <c r="A7" s="4" t="s">
        <v>582</v>
      </c>
      <c r="B7" s="3" t="s">
        <v>583</v>
      </c>
      <c r="C7" s="17"/>
      <c r="D7" s="17"/>
      <c r="E7" s="17"/>
      <c r="F7" s="18" t="str">
        <f aca="false">IF($C7="Ja",IFERROR((COUNTIFS(BER!$C$7:$C$176,"&lt;&gt;",BER!$H$7:$H$176,"ja")+COUNTIFS(BER!$C$7:$C$176,"&lt;&gt;",BER!$H$7:$H$176,"entbehrlich")+COUNTIFS(BER!$C$7:$C$176,"&lt;&gt;",BER!$H$7:$H$176,"verwiesen"))/COUNTA(BER!$C$7:$C$176),0),"")</f>
        <v/>
      </c>
      <c r="G7" s="18" t="str">
        <f aca="false">IF($C7="Ja",IFERROR((COUNTA(BER!$C$7:$C$176)-COUNTIFS(BER!$C$7:$C$176,"&lt;&gt;",BER!$H$7:$H$176,"unbearbeitet"))/COUNTA(BER!$C$7:$C$176),0),"")</f>
        <v/>
      </c>
      <c r="H7" s="3" t="str">
        <f aca="false">IF($C7="Ja",COUNTIFS(BER!$C$7:$C$176,"&lt;&gt;",BER!$H$7:$H$176,"ja"),"")</f>
        <v/>
      </c>
      <c r="I7" s="3" t="str">
        <f aca="false">IF($C7="Ja",COUNTIFS(BER!$C$7:$C$176,"&lt;&gt;",BER!$H$7:$H$176,"nein"),"")</f>
        <v/>
      </c>
      <c r="J7" s="3" t="str">
        <f aca="false">IF($C7="Ja",COUNTIFS(BER!$C$7:$C$176,"&lt;&gt;",BER!$H$7:$H$176,"teilweise"),"")</f>
        <v/>
      </c>
      <c r="K7" s="3" t="str">
        <f aca="false">IF($C7="Ja",COUNTIFS(BER!$C$7:$C$176,"&lt;&gt;",BER!$H$7:$H$176,"entbehrlich"),"")</f>
        <v/>
      </c>
      <c r="L7" s="3" t="str">
        <f aca="false">IF($C7="Ja",COUNTIFS(BER!$C$7:$C$176,"&lt;&gt;",BER!$H$7:$H$176,"verwiesen"),"")</f>
        <v/>
      </c>
      <c r="M7" s="3" t="str">
        <f aca="false">IF($C7="Ja",COUNTIFS(BER!$C$7:$C$176,"&lt;&gt;",BER!$H$7:$H$176,"zu klären"),"")</f>
        <v/>
      </c>
      <c r="N7" s="3" t="str">
        <f aca="false">IF($C7="Ja",COUNTIFS(BER!$C$7:$C$176,"&lt;&gt;",BER!$H$7:$H$176,"unbearbeitet"),"")</f>
        <v/>
      </c>
      <c r="O7" s="3" t="str">
        <f aca="false">IF($C7="Ja",SUMIFS(BER!$V$7:$V$176,BER!$C$7:$C$176,"&lt;&gt;",BER!$H$7:$H$176,"ja"),"")</f>
        <v/>
      </c>
      <c r="P7" s="3" t="str">
        <f aca="false">IF($C7="Ja",SUMIFS(BER!$W$7:$W$176,BER!$C$7:$C$176,"&lt;&gt;",BER!$H$7:$H$176,"ja"),"")</f>
        <v/>
      </c>
      <c r="Q7" s="3" t="str">
        <f aca="false">IF($C7="Ja",SUMIFS(BER!$X$7:$X$176,BER!$C$7:$C$176,"&lt;&gt;",BER!$H$7:$H$176,"ja"),"")</f>
        <v/>
      </c>
      <c r="R7" s="3" t="str">
        <f aca="false">IF($C7="Ja",SUMIFS(BER!$Y$7:$Y$176,BER!$C$7:$C$176,"&lt;&gt;",BER!$H$7:$H$176,"ja"),"")</f>
        <v/>
      </c>
      <c r="S7" s="17"/>
      <c r="T7" s="17"/>
    </row>
    <row r="8" customFormat="false" ht="15" hidden="false" customHeight="true" outlineLevel="0" collapsed="false">
      <c r="A8" s="4" t="s">
        <v>584</v>
      </c>
      <c r="B8" s="3" t="s">
        <v>585</v>
      </c>
      <c r="C8" s="17"/>
      <c r="D8" s="17"/>
      <c r="E8" s="17"/>
      <c r="F8" s="18" t="str">
        <f aca="false">IF($C8="Ja",IFERROR((COUNTIFS(BES!$C$7:$C$168,"&lt;&gt;",BES!$H$7:$H$168,"ja")+COUNTIFS(BES!$C$7:$C$168,"&lt;&gt;",BES!$H$7:$H$168,"entbehrlich")+COUNTIFS(BES!$C$7:$C$168,"&lt;&gt;",BES!$H$7:$H$168,"verwiesen"))/COUNTA(BES!$C$7:$C$168),0),"")</f>
        <v/>
      </c>
      <c r="G8" s="18" t="str">
        <f aca="false">IF($C8="Ja",IFERROR((COUNTA(BES!$C$7:$C$168)-COUNTIFS(BES!$C$7:$C$168,"&lt;&gt;",BES!$H$7:$H$168,"unbearbeitet"))/COUNTA(BES!$C$7:$C$168),0),"")</f>
        <v/>
      </c>
      <c r="H8" s="3" t="str">
        <f aca="false">IF($C8="Ja",COUNTIFS(BES!$C$7:$C$168,"&lt;&gt;",BES!$H$7:$H$168,"ja"),"")</f>
        <v/>
      </c>
      <c r="I8" s="3" t="str">
        <f aca="false">IF($C8="Ja",COUNTIFS(BES!$C$7:$C$168,"&lt;&gt;",BES!$H$7:$H$168,"nein"),"")</f>
        <v/>
      </c>
      <c r="J8" s="3" t="str">
        <f aca="false">IF($C8="Ja",COUNTIFS(BES!$C$7:$C$168,"&lt;&gt;",BES!$H$7:$H$168,"teilweise"),"")</f>
        <v/>
      </c>
      <c r="K8" s="3" t="str">
        <f aca="false">IF($C8="Ja",COUNTIFS(BES!$C$7:$C$168,"&lt;&gt;",BES!$H$7:$H$168,"entbehrlich"),"")</f>
        <v/>
      </c>
      <c r="L8" s="3" t="str">
        <f aca="false">IF($C8="Ja",COUNTIFS(BES!$C$7:$C$168,"&lt;&gt;",BES!$H$7:$H$168,"verwiesen"),"")</f>
        <v/>
      </c>
      <c r="M8" s="3" t="str">
        <f aca="false">IF($C8="Ja",COUNTIFS(BES!$C$7:$C$168,"&lt;&gt;",BES!$H$7:$H$168,"zu klären"),"")</f>
        <v/>
      </c>
      <c r="N8" s="3" t="str">
        <f aca="false">IF($C8="Ja",COUNTIFS(BES!$C$7:$C$168,"&lt;&gt;",BES!$H$7:$H$168,"unbearbeitet"),"")</f>
        <v/>
      </c>
      <c r="O8" s="3" t="str">
        <f aca="false">IF($C8="Ja",SUMIFS(BES!$V$7:$V$168,BES!$C$7:$C$168,"&lt;&gt;",BES!$H$7:$H$168,"ja"),"")</f>
        <v/>
      </c>
      <c r="P8" s="3" t="str">
        <f aca="false">IF($C8="Ja",SUMIFS(BES!$W$7:$W$168,BES!$C$7:$C$168,"&lt;&gt;",BES!$H$7:$H$168,"ja"),"")</f>
        <v/>
      </c>
      <c r="Q8" s="3" t="str">
        <f aca="false">IF($C8="Ja",SUMIFS(BES!$X$7:$X$168,BES!$C$7:$C$168,"&lt;&gt;",BES!$H$7:$H$168,"ja"),"")</f>
        <v/>
      </c>
      <c r="R8" s="3" t="str">
        <f aca="false">IF($C8="Ja",SUMIFS(BES!$Y$7:$Y$168,BES!$C$7:$C$168,"&lt;&gt;",BES!$H$7:$H$168,"ja"),"")</f>
        <v/>
      </c>
      <c r="S8" s="17"/>
      <c r="T8" s="17"/>
    </row>
    <row r="9" customFormat="false" ht="15" hidden="false" customHeight="true" outlineLevel="0" collapsed="false">
      <c r="A9" s="4" t="s">
        <v>586</v>
      </c>
      <c r="B9" s="3" t="s">
        <v>587</v>
      </c>
      <c r="C9" s="17"/>
      <c r="D9" s="17"/>
      <c r="E9" s="17"/>
      <c r="F9" s="18" t="str">
        <f aca="false">IF($C9="Ja",IFERROR((COUNTIFS(DET!$C$7:$C$129,"&lt;&gt;",DET!$H$7:$H$129,"ja")+COUNTIFS(DET!$C$7:$C$129,"&lt;&gt;",DET!$H$7:$H$129,"entbehrlich")+COUNTIFS(DET!$C$7:$C$129,"&lt;&gt;",DET!$H$7:$H$129,"verwiesen"))/COUNTA(DET!$C$7:$C$129),0),"")</f>
        <v/>
      </c>
      <c r="G9" s="18" t="str">
        <f aca="false">IF($C9="Ja",IFERROR((COUNTA(DET!$C$7:$C$129)-COUNTIFS(DET!$C$7:$C$129,"&lt;&gt;",DET!$H$7:$H$129,"unbearbeitet"))/COUNTA(DET!$C$7:$C$129),0),"")</f>
        <v/>
      </c>
      <c r="H9" s="3" t="str">
        <f aca="false">IF($C9="Ja",COUNTIFS(DET!$C$7:$C$129,"&lt;&gt;",DET!$H$7:$H$129,"ja"),"")</f>
        <v/>
      </c>
      <c r="I9" s="3" t="str">
        <f aca="false">IF($C9="Ja",COUNTIFS(DET!$C$7:$C$129,"&lt;&gt;",DET!$H$7:$H$129,"nein"),"")</f>
        <v/>
      </c>
      <c r="J9" s="3" t="str">
        <f aca="false">IF($C9="Ja",COUNTIFS(DET!$C$7:$C$129,"&lt;&gt;",DET!$H$7:$H$129,"teilweise"),"")</f>
        <v/>
      </c>
      <c r="K9" s="3" t="str">
        <f aca="false">IF($C9="Ja",COUNTIFS(DET!$C$7:$C$129,"&lt;&gt;",DET!$H$7:$H$129,"entbehrlich"),"")</f>
        <v/>
      </c>
      <c r="L9" s="3" t="str">
        <f aca="false">IF($C9="Ja",COUNTIFS(DET!$C$7:$C$129,"&lt;&gt;",DET!$H$7:$H$129,"verwiesen"),"")</f>
        <v/>
      </c>
      <c r="M9" s="3" t="str">
        <f aca="false">IF($C9="Ja",COUNTIFS(DET!$C$7:$C$129,"&lt;&gt;",DET!$H$7:$H$129,"zu klären"),"")</f>
        <v/>
      </c>
      <c r="N9" s="3" t="str">
        <f aca="false">IF($C9="Ja",COUNTIFS(DET!$C$7:$C$129,"&lt;&gt;",DET!$H$7:$H$129,"unbearbeitet"),"")</f>
        <v/>
      </c>
      <c r="O9" s="3" t="str">
        <f aca="false">IF($C9="Ja",SUMIFS(DET!$V$7:$V$129,DET!$C$7:$C$129,"&lt;&gt;",DET!$H$7:$H$129,"ja"),"")</f>
        <v/>
      </c>
      <c r="P9" s="3" t="str">
        <f aca="false">IF($C9="Ja",SUMIFS(DET!$W$7:$W$129,DET!$C$7:$C$129,"&lt;&gt;",DET!$H$7:$H$129,"ja"),"")</f>
        <v/>
      </c>
      <c r="Q9" s="3" t="str">
        <f aca="false">IF($C9="Ja",SUMIFS(DET!$X$7:$X$129,DET!$C$7:$C$129,"&lt;&gt;",DET!$H$7:$H$129,"ja"),"")</f>
        <v/>
      </c>
      <c r="R9" s="3" t="str">
        <f aca="false">IF($C9="Ja",SUMIFS(DET!$Y$7:$Y$129,DET!$C$7:$C$129,"&lt;&gt;",DET!$H$7:$H$129,"ja"),"")</f>
        <v/>
      </c>
      <c r="S9" s="17"/>
      <c r="T9" s="17"/>
    </row>
    <row r="10" customFormat="false" ht="15" hidden="false" customHeight="true" outlineLevel="0" collapsed="false">
      <c r="A10" s="4" t="s">
        <v>588</v>
      </c>
      <c r="B10" s="3" t="s">
        <v>589</v>
      </c>
      <c r="C10" s="17"/>
      <c r="D10" s="17"/>
      <c r="E10" s="17"/>
      <c r="F10" s="18" t="str">
        <f aca="false">IF($C10="Ja",IFERROR((COUNTIFS(DEV!$C$7:$C$68,"&lt;&gt;",DEV!$H$7:$H$68,"ja")+COUNTIFS(DEV!$C$7:$C$68,"&lt;&gt;",DEV!$H$7:$H$68,"entbehrlich")+COUNTIFS(DEV!$C$7:$C$68,"&lt;&gt;",DEV!$H$7:$H$68,"verwiesen"))/COUNTA(DEV!$C$7:$C$68),0),"")</f>
        <v/>
      </c>
      <c r="G10" s="18" t="str">
        <f aca="false">IF($C10="Ja",IFERROR((COUNTA(DEV!$C$7:$C$68)-COUNTIFS(DEV!$C$7:$C$68,"&lt;&gt;",DEV!$H$7:$H$68,"unbearbeitet"))/COUNTA(DEV!$C$7:$C$68),0),"")</f>
        <v/>
      </c>
      <c r="H10" s="3" t="str">
        <f aca="false">IF($C10="Ja",COUNTIFS(DEV!$C$7:$C$68,"&lt;&gt;",DEV!$H$7:$H$68,"ja"),"")</f>
        <v/>
      </c>
      <c r="I10" s="3" t="str">
        <f aca="false">IF($C10="Ja",COUNTIFS(DEV!$C$7:$C$68,"&lt;&gt;",DEV!$H$7:$H$68,"nein"),"")</f>
        <v/>
      </c>
      <c r="J10" s="3" t="str">
        <f aca="false">IF($C10="Ja",COUNTIFS(DEV!$C$7:$C$68,"&lt;&gt;",DEV!$H$7:$H$68,"teilweise"),"")</f>
        <v/>
      </c>
      <c r="K10" s="3" t="str">
        <f aca="false">IF($C10="Ja",COUNTIFS(DEV!$C$7:$C$68,"&lt;&gt;",DEV!$H$7:$H$68,"entbehrlich"),"")</f>
        <v/>
      </c>
      <c r="L10" s="3" t="str">
        <f aca="false">IF($C10="Ja",COUNTIFS(DEV!$C$7:$C$68,"&lt;&gt;",DEV!$H$7:$H$68,"verwiesen"),"")</f>
        <v/>
      </c>
      <c r="M10" s="3" t="str">
        <f aca="false">IF($C10="Ja",COUNTIFS(DEV!$C$7:$C$68,"&lt;&gt;",DEV!$H$7:$H$68,"zu klären"),"")</f>
        <v/>
      </c>
      <c r="N10" s="3" t="str">
        <f aca="false">IF($C10="Ja",COUNTIFS(DEV!$C$7:$C$68,"&lt;&gt;",DEV!$H$7:$H$68,"unbearbeitet"),"")</f>
        <v/>
      </c>
      <c r="O10" s="3" t="str">
        <f aca="false">IF($C10="Ja",SUMIFS(DEV!$V$7:$V$68,DEV!$C$7:$C$68,"&lt;&gt;",DEV!$H$7:$H$68,"ja"),"")</f>
        <v/>
      </c>
      <c r="P10" s="3" t="str">
        <f aca="false">IF($C10="Ja",SUMIFS(DEV!$W$7:$W$68,DEV!$C$7:$C$68,"&lt;&gt;",DEV!$H$7:$H$68,"ja"),"")</f>
        <v/>
      </c>
      <c r="Q10" s="3" t="str">
        <f aca="false">IF($C10="Ja",SUMIFS(DEV!$X$7:$X$68,DEV!$C$7:$C$68,"&lt;&gt;",DEV!$H$7:$H$68,"ja"),"")</f>
        <v/>
      </c>
      <c r="R10" s="3" t="str">
        <f aca="false">IF($C10="Ja",SUMIFS(DEV!$Y$7:$Y$68,DEV!$C$7:$C$68,"&lt;&gt;",DEV!$H$7:$H$68,"ja"),"")</f>
        <v/>
      </c>
      <c r="S10" s="17"/>
      <c r="T10" s="17"/>
    </row>
    <row r="11" customFormat="false" ht="15" hidden="false" customHeight="true" outlineLevel="0" collapsed="false">
      <c r="A11" s="4" t="s">
        <v>590</v>
      </c>
      <c r="B11" s="3" t="s">
        <v>591</v>
      </c>
      <c r="C11" s="17"/>
      <c r="D11" s="17"/>
      <c r="E11" s="17"/>
      <c r="F11" s="18" t="str">
        <f aca="false">IF($C11="Ja",IFERROR((COUNTIFS(DLS!$C$7:$C$35,"&lt;&gt;",DLS!$H$7:$H$35,"ja")+COUNTIFS(DLS!$C$7:$C$35,"&lt;&gt;",DLS!$H$7:$H$35,"entbehrlich")+COUNTIFS(DLS!$C$7:$C$35,"&lt;&gt;",DLS!$H$7:$H$35,"verwiesen"))/COUNTA(DLS!$C$7:$C$35),0),"")</f>
        <v/>
      </c>
      <c r="G11" s="18" t="str">
        <f aca="false">IF($C11="Ja",IFERROR((COUNTA(DLS!$C$7:$C$35)-COUNTIFS(DLS!$C$7:$C$35,"&lt;&gt;",DLS!$H$7:$H$35,"unbearbeitet"))/COUNTA(DLS!$C$7:$C$35),0),"")</f>
        <v/>
      </c>
      <c r="H11" s="3" t="str">
        <f aca="false">IF($C11="Ja",COUNTIFS(DLS!$C$7:$C$35,"&lt;&gt;",DLS!$H$7:$H$35,"ja"),"")</f>
        <v/>
      </c>
      <c r="I11" s="3" t="str">
        <f aca="false">IF($C11="Ja",COUNTIFS(DLS!$C$7:$C$35,"&lt;&gt;",DLS!$H$7:$H$35,"nein"),"")</f>
        <v/>
      </c>
      <c r="J11" s="3" t="str">
        <f aca="false">IF($C11="Ja",COUNTIFS(DLS!$C$7:$C$35,"&lt;&gt;",DLS!$H$7:$H$35,"teilweise"),"")</f>
        <v/>
      </c>
      <c r="K11" s="3" t="str">
        <f aca="false">IF($C11="Ja",COUNTIFS(DLS!$C$7:$C$35,"&lt;&gt;",DLS!$H$7:$H$35,"entbehrlich"),"")</f>
        <v/>
      </c>
      <c r="L11" s="3" t="str">
        <f aca="false">IF($C11="Ja",COUNTIFS(DLS!$C$7:$C$35,"&lt;&gt;",DLS!$H$7:$H$35,"verwiesen"),"")</f>
        <v/>
      </c>
      <c r="M11" s="3" t="str">
        <f aca="false">IF($C11="Ja",COUNTIFS(DLS!$C$7:$C$35,"&lt;&gt;",DLS!$H$7:$H$35,"zu klären"),"")</f>
        <v/>
      </c>
      <c r="N11" s="3" t="str">
        <f aca="false">IF($C11="Ja",COUNTIFS(DLS!$C$7:$C$35,"&lt;&gt;",DLS!$H$7:$H$35,"unbearbeitet"),"")</f>
        <v/>
      </c>
      <c r="O11" s="3" t="str">
        <f aca="false">IF($C11="Ja",SUMIFS(DLS!$V$7:$V$35,DLS!$C$7:$C$35,"&lt;&gt;",DLS!$H$7:$H$35,"ja"),"")</f>
        <v/>
      </c>
      <c r="P11" s="3" t="str">
        <f aca="false">IF($C11="Ja",SUMIFS(DLS!$W$7:$W$35,DLS!$C$7:$C$35,"&lt;&gt;",DLS!$H$7:$H$35,"ja"),"")</f>
        <v/>
      </c>
      <c r="Q11" s="3" t="str">
        <f aca="false">IF($C11="Ja",SUMIFS(DLS!$X$7:$X$35,DLS!$C$7:$C$35,"&lt;&gt;",DLS!$H$7:$H$35,"ja"),"")</f>
        <v/>
      </c>
      <c r="R11" s="3" t="str">
        <f aca="false">IF($C11="Ja",SUMIFS(DLS!$Y$7:$Y$35,DLS!$C$7:$C$35,"&lt;&gt;",DLS!$H$7:$H$35,"ja"),"")</f>
        <v/>
      </c>
      <c r="S11" s="17"/>
      <c r="T11" s="17"/>
    </row>
    <row r="12" customFormat="false" ht="15" hidden="false" customHeight="true" outlineLevel="0" collapsed="false">
      <c r="A12" s="4" t="s">
        <v>592</v>
      </c>
      <c r="B12" s="3" t="s">
        <v>593</v>
      </c>
      <c r="C12" s="17"/>
      <c r="D12" s="17"/>
      <c r="E12" s="17"/>
      <c r="F12" s="18" t="str">
        <f aca="false">IF($C12="Ja",IFERROR((COUNTIFS(GC!$C$7:$C$50,"&lt;&gt;",GC!$H$7:$H$50,"ja")+COUNTIFS(GC!$C$7:$C$50,"&lt;&gt;",GC!$H$7:$H$50,"entbehrlich")+COUNTIFS(GC!$C$7:$C$50,"&lt;&gt;",GC!$H$7:$H$50,"verwiesen"))/COUNTA(GC!$C$7:$C$50),0),"")</f>
        <v/>
      </c>
      <c r="G12" s="18" t="str">
        <f aca="false">IF($C12="Ja",IFERROR((COUNTA(GC!$C$7:$C$50)-COUNTIFS(GC!$C$7:$C$50,"&lt;&gt;",GC!$H$7:$H$50,"unbearbeitet"))/COUNTA(GC!$C$7:$C$50),0),"")</f>
        <v/>
      </c>
      <c r="H12" s="3" t="str">
        <f aca="false">IF($C12="Ja",COUNTIFS(GC!$C$7:$C$50,"&lt;&gt;",GC!$H$7:$H$50,"ja"),"")</f>
        <v/>
      </c>
      <c r="I12" s="3" t="str">
        <f aca="false">IF($C12="Ja",COUNTIFS(GC!$C$7:$C$50,"&lt;&gt;",GC!$H$7:$H$50,"nein"),"")</f>
        <v/>
      </c>
      <c r="J12" s="3" t="str">
        <f aca="false">IF($C12="Ja",COUNTIFS(GC!$C$7:$C$50,"&lt;&gt;",GC!$H$7:$H$50,"teilweise"),"")</f>
        <v/>
      </c>
      <c r="K12" s="3" t="str">
        <f aca="false">IF($C12="Ja",COUNTIFS(GC!$C$7:$C$50,"&lt;&gt;",GC!$H$7:$H$50,"entbehrlich"),"")</f>
        <v/>
      </c>
      <c r="L12" s="3" t="str">
        <f aca="false">IF($C12="Ja",COUNTIFS(GC!$C$7:$C$50,"&lt;&gt;",GC!$H$7:$H$50,"verwiesen"),"")</f>
        <v/>
      </c>
      <c r="M12" s="3" t="str">
        <f aca="false">IF($C12="Ja",COUNTIFS(GC!$C$7:$C$50,"&lt;&gt;",GC!$H$7:$H$50,"zu klären"),"")</f>
        <v/>
      </c>
      <c r="N12" s="3" t="str">
        <f aca="false">IF($C12="Ja",COUNTIFS(GC!$C$7:$C$50,"&lt;&gt;",GC!$H$7:$H$50,"unbearbeitet"),"")</f>
        <v/>
      </c>
      <c r="O12" s="3" t="str">
        <f aca="false">IF($C12="Ja",SUMIFS(GC!$V$7:$V$50,GC!$C$7:$C$50,"&lt;&gt;",GC!$H$7:$H$50,"ja"),"")</f>
        <v/>
      </c>
      <c r="P12" s="3" t="str">
        <f aca="false">IF($C12="Ja",SUMIFS(GC!$W$7:$W$50,GC!$C$7:$C$50,"&lt;&gt;",GC!$H$7:$H$50,"ja"),"")</f>
        <v/>
      </c>
      <c r="Q12" s="3" t="str">
        <f aca="false">IF($C12="Ja",SUMIFS(GC!$X$7:$X$50,GC!$C$7:$C$50,"&lt;&gt;",GC!$H$7:$H$50,"ja"),"")</f>
        <v/>
      </c>
      <c r="R12" s="3" t="str">
        <f aca="false">IF($C12="Ja",SUMIFS(GC!$Y$7:$Y$50,GC!$C$7:$C$50,"&lt;&gt;",GC!$H$7:$H$50,"ja"),"")</f>
        <v/>
      </c>
      <c r="S12" s="17"/>
      <c r="T12" s="17"/>
    </row>
    <row r="13" customFormat="false" ht="15" hidden="false" customHeight="true" outlineLevel="0" collapsed="false">
      <c r="A13" s="4" t="s">
        <v>594</v>
      </c>
      <c r="B13" s="3" t="s">
        <v>595</v>
      </c>
      <c r="C13" s="17"/>
      <c r="D13" s="17"/>
      <c r="E13" s="17"/>
      <c r="F13" s="18" t="str">
        <f aca="false">IF($C13="Ja",IFERROR((COUNTIFS(GEB!$C$7:$C$126,"&lt;&gt;",GEB!$H$7:$H$126,"ja")+COUNTIFS(GEB!$C$7:$C$126,"&lt;&gt;",GEB!$H$7:$H$126,"entbehrlich")+COUNTIFS(GEB!$C$7:$C$126,"&lt;&gt;",GEB!$H$7:$H$126,"verwiesen"))/COUNTA(GEB!$C$7:$C$126),0),"")</f>
        <v/>
      </c>
      <c r="G13" s="18" t="str">
        <f aca="false">IF($C13="Ja",IFERROR((COUNTA(GEB!$C$7:$C$126)-COUNTIFS(GEB!$C$7:$C$126,"&lt;&gt;",GEB!$H$7:$H$126,"unbearbeitet"))/COUNTA(GEB!$C$7:$C$126),0),"")</f>
        <v/>
      </c>
      <c r="H13" s="3" t="str">
        <f aca="false">IF($C13="Ja",COUNTIFS(GEB!$C$7:$C$126,"&lt;&gt;",GEB!$H$7:$H$126,"ja"),"")</f>
        <v/>
      </c>
      <c r="I13" s="3" t="str">
        <f aca="false">IF($C13="Ja",COUNTIFS(GEB!$C$7:$C$126,"&lt;&gt;",GEB!$H$7:$H$126,"nein"),"")</f>
        <v/>
      </c>
      <c r="J13" s="3" t="str">
        <f aca="false">IF($C13="Ja",COUNTIFS(GEB!$C$7:$C$126,"&lt;&gt;",GEB!$H$7:$H$126,"teilweise"),"")</f>
        <v/>
      </c>
      <c r="K13" s="3" t="str">
        <f aca="false">IF($C13="Ja",COUNTIFS(GEB!$C$7:$C$126,"&lt;&gt;",GEB!$H$7:$H$126,"entbehrlich"),"")</f>
        <v/>
      </c>
      <c r="L13" s="3" t="str">
        <f aca="false">IF($C13="Ja",COUNTIFS(GEB!$C$7:$C$126,"&lt;&gt;",GEB!$H$7:$H$126,"verwiesen"),"")</f>
        <v/>
      </c>
      <c r="M13" s="3" t="str">
        <f aca="false">IF($C13="Ja",COUNTIFS(GEB!$C$7:$C$126,"&lt;&gt;",GEB!$H$7:$H$126,"zu klären"),"")</f>
        <v/>
      </c>
      <c r="N13" s="3" t="str">
        <f aca="false">IF($C13="Ja",COUNTIFS(GEB!$C$7:$C$126,"&lt;&gt;",GEB!$H$7:$H$126,"unbearbeitet"),"")</f>
        <v/>
      </c>
      <c r="O13" s="3" t="str">
        <f aca="false">IF($C13="Ja",SUMIFS(GEB!$V$7:$V$126,GEB!$C$7:$C$126,"&lt;&gt;",GEB!$H$7:$H$126,"ja"),"")</f>
        <v/>
      </c>
      <c r="P13" s="3" t="str">
        <f aca="false">IF($C13="Ja",SUMIFS(GEB!$W$7:$W$126,GEB!$C$7:$C$126,"&lt;&gt;",GEB!$H$7:$H$126,"ja"),"")</f>
        <v/>
      </c>
      <c r="Q13" s="3" t="str">
        <f aca="false">IF($C13="Ja",SUMIFS(GEB!$X$7:$X$126,GEB!$C$7:$C$126,"&lt;&gt;",GEB!$H$7:$H$126,"ja"),"")</f>
        <v/>
      </c>
      <c r="R13" s="3" t="str">
        <f aca="false">IF($C13="Ja",SUMIFS(GEB!$Y$7:$Y$126,GEB!$C$7:$C$126,"&lt;&gt;",GEB!$H$7:$H$126,"ja"),"")</f>
        <v/>
      </c>
      <c r="S13" s="17"/>
      <c r="T13" s="17"/>
    </row>
    <row r="14" customFormat="false" ht="15" hidden="false" customHeight="true" outlineLevel="0" collapsed="false">
      <c r="A14" s="4" t="s">
        <v>596</v>
      </c>
      <c r="B14" s="3" t="s">
        <v>597</v>
      </c>
      <c r="C14" s="17"/>
      <c r="D14" s="17"/>
      <c r="E14" s="17"/>
      <c r="F14" s="18" t="str">
        <f aca="false">IF($C14="Ja",IFERROR((COUNTIFS(KONF!$C$7:$C$275,"&lt;&gt;",KONF!$H$7:$H$275,"ja")+COUNTIFS(KONF!$C$7:$C$275,"&lt;&gt;",KONF!$H$7:$H$275,"entbehrlich")+COUNTIFS(KONF!$C$7:$C$275,"&lt;&gt;",KONF!$H$7:$H$275,"verwiesen"))/COUNTA(KONF!$C$7:$C$275),0),"")</f>
        <v/>
      </c>
      <c r="G14" s="18" t="str">
        <f aca="false">IF($C14="Ja",IFERROR((COUNTA(KONF!$C$7:$C$275)-COUNTIFS(KONF!$C$7:$C$275,"&lt;&gt;",KONF!$H$7:$H$275,"unbearbeitet"))/COUNTA(KONF!$C$7:$C$275),0),"")</f>
        <v/>
      </c>
      <c r="H14" s="3" t="str">
        <f aca="false">IF($C14="Ja",COUNTIFS(KONF!$C$7:$C$275,"&lt;&gt;",KONF!$H$7:$H$275,"ja"),"")</f>
        <v/>
      </c>
      <c r="I14" s="3" t="str">
        <f aca="false">IF($C14="Ja",COUNTIFS(KONF!$C$7:$C$275,"&lt;&gt;",KONF!$H$7:$H$275,"nein"),"")</f>
        <v/>
      </c>
      <c r="J14" s="3" t="str">
        <f aca="false">IF($C14="Ja",COUNTIFS(KONF!$C$7:$C$275,"&lt;&gt;",KONF!$H$7:$H$275,"teilweise"),"")</f>
        <v/>
      </c>
      <c r="K14" s="3" t="str">
        <f aca="false">IF($C14="Ja",COUNTIFS(KONF!$C$7:$C$275,"&lt;&gt;",KONF!$H$7:$H$275,"entbehrlich"),"")</f>
        <v/>
      </c>
      <c r="L14" s="3" t="str">
        <f aca="false">IF($C14="Ja",COUNTIFS(KONF!$C$7:$C$275,"&lt;&gt;",KONF!$H$7:$H$275,"verwiesen"),"")</f>
        <v/>
      </c>
      <c r="M14" s="3" t="str">
        <f aca="false">IF($C14="Ja",COUNTIFS(KONF!$C$7:$C$275,"&lt;&gt;",KONF!$H$7:$H$275,"zu klären"),"")</f>
        <v/>
      </c>
      <c r="N14" s="3" t="str">
        <f aca="false">IF($C14="Ja",COUNTIFS(KONF!$C$7:$C$275,"&lt;&gt;",KONF!$H$7:$H$275,"unbearbeitet"),"")</f>
        <v/>
      </c>
      <c r="O14" s="3" t="str">
        <f aca="false">IF($C14="Ja",SUMIFS(KONF!$V$7:$V$275,KONF!$C$7:$C$275,"&lt;&gt;",KONF!$H$7:$H$275,"ja"),"")</f>
        <v/>
      </c>
      <c r="P14" s="3" t="str">
        <f aca="false">IF($C14="Ja",SUMIFS(KONF!$W$7:$W$275,KONF!$C$7:$C$275,"&lt;&gt;",KONF!$H$7:$H$275,"ja"),"")</f>
        <v/>
      </c>
      <c r="Q14" s="3" t="str">
        <f aca="false">IF($C14="Ja",SUMIFS(KONF!$X$7:$X$275,KONF!$C$7:$C$275,"&lt;&gt;",KONF!$H$7:$H$275,"ja"),"")</f>
        <v/>
      </c>
      <c r="R14" s="3" t="str">
        <f aca="false">IF($C14="Ja",SUMIFS(KONF!$Y$7:$Y$275,KONF!$C$7:$C$275,"&lt;&gt;",KONF!$H$7:$H$275,"ja"),"")</f>
        <v/>
      </c>
      <c r="S14" s="17"/>
      <c r="T14" s="17"/>
    </row>
    <row r="15" customFormat="false" ht="15" hidden="false" customHeight="true" outlineLevel="0" collapsed="false">
      <c r="A15" s="4" t="s">
        <v>598</v>
      </c>
      <c r="B15" s="3" t="s">
        <v>599</v>
      </c>
      <c r="C15" s="17"/>
      <c r="D15" s="17"/>
      <c r="E15" s="17"/>
      <c r="F15" s="18" t="str">
        <f aca="false">IF($C15="Ja",IFERROR((COUNTIFS(NOT!$C$7:$C$68,"&lt;&gt;",NOT!$H$7:$H$68,"ja")+COUNTIFS(NOT!$C$7:$C$68,"&lt;&gt;",NOT!$H$7:$H$68,"entbehrlich")+COUNTIFS(NOT!$C$7:$C$68,"&lt;&gt;",NOT!$H$7:$H$68,"verwiesen"))/COUNTA(NOT!$C$7:$C$68),0),"")</f>
        <v/>
      </c>
      <c r="G15" s="18" t="str">
        <f aca="false">IF($C15="Ja",IFERROR((COUNTA(NOT!$C$7:$C$68)-COUNTIFS(NOT!$C$7:$C$68,"&lt;&gt;",NOT!$H$7:$H$68,"unbearbeitet"))/COUNTA(NOT!$C$7:$C$68),0),"")</f>
        <v/>
      </c>
      <c r="H15" s="3" t="str">
        <f aca="false">IF($C15="Ja",COUNTIFS(NOT!$C$7:$C$68,"&lt;&gt;",NOT!$H$7:$H$68,"ja"),"")</f>
        <v/>
      </c>
      <c r="I15" s="3" t="str">
        <f aca="false">IF($C15="Ja",COUNTIFS(NOT!$C$7:$C$68,"&lt;&gt;",NOT!$H$7:$H$68,"nein"),"")</f>
        <v/>
      </c>
      <c r="J15" s="3" t="str">
        <f aca="false">IF($C15="Ja",COUNTIFS(NOT!$C$7:$C$68,"&lt;&gt;",NOT!$H$7:$H$68,"teilweise"),"")</f>
        <v/>
      </c>
      <c r="K15" s="3" t="str">
        <f aca="false">IF($C15="Ja",COUNTIFS(NOT!$C$7:$C$68,"&lt;&gt;",NOT!$H$7:$H$68,"entbehrlich"),"")</f>
        <v/>
      </c>
      <c r="L15" s="3" t="str">
        <f aca="false">IF($C15="Ja",COUNTIFS(NOT!$C$7:$C$68,"&lt;&gt;",NOT!$H$7:$H$68,"verwiesen"),"")</f>
        <v/>
      </c>
      <c r="M15" s="3" t="str">
        <f aca="false">IF($C15="Ja",COUNTIFS(NOT!$C$7:$C$68,"&lt;&gt;",NOT!$H$7:$H$68,"zu klären"),"")</f>
        <v/>
      </c>
      <c r="N15" s="3" t="str">
        <f aca="false">IF($C15="Ja",COUNTIFS(NOT!$C$7:$C$68,"&lt;&gt;",NOT!$H$7:$H$68,"unbearbeitet"),"")</f>
        <v/>
      </c>
      <c r="O15" s="3" t="str">
        <f aca="false">IF($C15="Ja",SUMIFS(NOT!$V$7:$V$68,NOT!$C$7:$C$68,"&lt;&gt;",NOT!$H$7:$H$68,"ja"),"")</f>
        <v/>
      </c>
      <c r="P15" s="3" t="str">
        <f aca="false">IF($C15="Ja",SUMIFS(NOT!$W$7:$W$68,NOT!$C$7:$C$68,"&lt;&gt;",NOT!$H$7:$H$68,"ja"),"")</f>
        <v/>
      </c>
      <c r="Q15" s="3" t="str">
        <f aca="false">IF($C15="Ja",SUMIFS(NOT!$X$7:$X$68,NOT!$C$7:$C$68,"&lt;&gt;",NOT!$H$7:$H$68,"ja"),"")</f>
        <v/>
      </c>
      <c r="R15" s="3" t="str">
        <f aca="false">IF($C15="Ja",SUMIFS(NOT!$Y$7:$Y$68,NOT!$C$7:$C$68,"&lt;&gt;",NOT!$H$7:$H$68,"ja"),"")</f>
        <v/>
      </c>
      <c r="S15" s="17"/>
      <c r="T15" s="17"/>
    </row>
    <row r="16" customFormat="false" ht="15" hidden="false" customHeight="true" outlineLevel="0" collapsed="false">
      <c r="A16" s="4" t="s">
        <v>600</v>
      </c>
      <c r="B16" s="3" t="s">
        <v>601</v>
      </c>
      <c r="C16" s="17"/>
      <c r="D16" s="17"/>
      <c r="E16" s="17"/>
      <c r="F16" s="18" t="str">
        <f aca="false">IF($C16="Ja",IFERROR((COUNTIFS(PERF!$C$7:$C$36,"&lt;&gt;",PERF!$H$7:$H$36,"ja")+COUNTIFS(PERF!$C$7:$C$36,"&lt;&gt;",PERF!$H$7:$H$36,"entbehrlich")+COUNTIFS(PERF!$C$7:$C$36,"&lt;&gt;",PERF!$H$7:$H$36,"verwiesen"))/COUNTA(PERF!$C$7:$C$36),0),"")</f>
        <v/>
      </c>
      <c r="G16" s="18" t="str">
        <f aca="false">IF($C16="Ja",IFERROR((COUNTA(PERF!$C$7:$C$36)-COUNTIFS(PERF!$C$7:$C$36,"&lt;&gt;",PERF!$H$7:$H$36,"unbearbeitet"))/COUNTA(PERF!$C$7:$C$36),0),"")</f>
        <v/>
      </c>
      <c r="H16" s="3" t="str">
        <f aca="false">IF($C16="Ja",COUNTIFS(PERF!$C$7:$C$36,"&lt;&gt;",PERF!$H$7:$H$36,"ja"),"")</f>
        <v/>
      </c>
      <c r="I16" s="3" t="str">
        <f aca="false">IF($C16="Ja",COUNTIFS(PERF!$C$7:$C$36,"&lt;&gt;",PERF!$H$7:$H$36,"nein"),"")</f>
        <v/>
      </c>
      <c r="J16" s="3" t="str">
        <f aca="false">IF($C16="Ja",COUNTIFS(PERF!$C$7:$C$36,"&lt;&gt;",PERF!$H$7:$H$36,"teilweise"),"")</f>
        <v/>
      </c>
      <c r="K16" s="3" t="str">
        <f aca="false">IF($C16="Ja",COUNTIFS(PERF!$C$7:$C$36,"&lt;&gt;",PERF!$H$7:$H$36,"entbehrlich"),"")</f>
        <v/>
      </c>
      <c r="L16" s="3" t="str">
        <f aca="false">IF($C16="Ja",COUNTIFS(PERF!$C$7:$C$36,"&lt;&gt;",PERF!$H$7:$H$36,"verwiesen"),"")</f>
        <v/>
      </c>
      <c r="M16" s="3" t="str">
        <f aca="false">IF($C16="Ja",COUNTIFS(PERF!$C$7:$C$36,"&lt;&gt;",PERF!$H$7:$H$36,"zu klären"),"")</f>
        <v/>
      </c>
      <c r="N16" s="3" t="str">
        <f aca="false">IF($C16="Ja",COUNTIFS(PERF!$C$7:$C$36,"&lt;&gt;",PERF!$H$7:$H$36,"unbearbeitet"),"")</f>
        <v/>
      </c>
      <c r="O16" s="3" t="str">
        <f aca="false">IF($C16="Ja",SUMIFS(PERF!$V$7:$V$36,PERF!$C$7:$C$36,"&lt;&gt;",PERF!$H$7:$H$36,"ja"),"")</f>
        <v/>
      </c>
      <c r="P16" s="3" t="str">
        <f aca="false">IF($C16="Ja",SUMIFS(PERF!$W$7:$W$36,PERF!$C$7:$C$36,"&lt;&gt;",PERF!$H$7:$H$36,"ja"),"")</f>
        <v/>
      </c>
      <c r="Q16" s="3" t="str">
        <f aca="false">IF($C16="Ja",SUMIFS(PERF!$X$7:$X$36,PERF!$C$7:$C$36,"&lt;&gt;",PERF!$H$7:$H$36,"ja"),"")</f>
        <v/>
      </c>
      <c r="R16" s="3" t="str">
        <f aca="false">IF($C16="Ja",SUMIFS(PERF!$Y$7:$Y$36,PERF!$C$7:$C$36,"&lt;&gt;",PERF!$H$7:$H$36,"ja"),"")</f>
        <v/>
      </c>
      <c r="S16" s="17"/>
      <c r="T16" s="17"/>
    </row>
    <row r="17" customFormat="false" ht="15" hidden="false" customHeight="true" outlineLevel="0" collapsed="false">
      <c r="A17" s="4" t="s">
        <v>602</v>
      </c>
      <c r="B17" s="3" t="s">
        <v>603</v>
      </c>
      <c r="C17" s="17"/>
      <c r="D17" s="17"/>
      <c r="E17" s="17"/>
      <c r="F17" s="18" t="str">
        <f aca="false">IF($C17="Ja",IFERROR((COUNTIFS(PERS!$C$7:$C$54,"&lt;&gt;",PERS!$H$7:$H$54,"ja")+COUNTIFS(PERS!$C$7:$C$54,"&lt;&gt;",PERS!$H$7:$H$54,"entbehrlich")+COUNTIFS(PERS!$C$7:$C$54,"&lt;&gt;",PERS!$H$7:$H$54,"verwiesen"))/COUNTA(PERS!$C$7:$C$54),0),"")</f>
        <v/>
      </c>
      <c r="G17" s="18" t="str">
        <f aca="false">IF($C17="Ja",IFERROR((COUNTA(PERS!$C$7:$C$54)-COUNTIFS(PERS!$C$7:$C$54,"&lt;&gt;",PERS!$H$7:$H$54,"unbearbeitet"))/COUNTA(PERS!$C$7:$C$54),0),"")</f>
        <v/>
      </c>
      <c r="H17" s="3" t="str">
        <f aca="false">IF($C17="Ja",COUNTIFS(PERS!$C$7:$C$54,"&lt;&gt;",PERS!$H$7:$H$54,"ja"),"")</f>
        <v/>
      </c>
      <c r="I17" s="3" t="str">
        <f aca="false">IF($C17="Ja",COUNTIFS(PERS!$C$7:$C$54,"&lt;&gt;",PERS!$H$7:$H$54,"nein"),"")</f>
        <v/>
      </c>
      <c r="J17" s="3" t="str">
        <f aca="false">IF($C17="Ja",COUNTIFS(PERS!$C$7:$C$54,"&lt;&gt;",PERS!$H$7:$H$54,"teilweise"),"")</f>
        <v/>
      </c>
      <c r="K17" s="3" t="str">
        <f aca="false">IF($C17="Ja",COUNTIFS(PERS!$C$7:$C$54,"&lt;&gt;",PERS!$H$7:$H$54,"entbehrlich"),"")</f>
        <v/>
      </c>
      <c r="L17" s="3" t="str">
        <f aca="false">IF($C17="Ja",COUNTIFS(PERS!$C$7:$C$54,"&lt;&gt;",PERS!$H$7:$H$54,"verwiesen"),"")</f>
        <v/>
      </c>
      <c r="M17" s="3" t="str">
        <f aca="false">IF($C17="Ja",COUNTIFS(PERS!$C$7:$C$54,"&lt;&gt;",PERS!$H$7:$H$54,"zu klären"),"")</f>
        <v/>
      </c>
      <c r="N17" s="3" t="str">
        <f aca="false">IF($C17="Ja",COUNTIFS(PERS!$C$7:$C$54,"&lt;&gt;",PERS!$H$7:$H$54,"unbearbeitet"),"")</f>
        <v/>
      </c>
      <c r="O17" s="3" t="str">
        <f aca="false">IF($C17="Ja",SUMIFS(PERS!$V$7:$V$54,PERS!$C$7:$C$54,"&lt;&gt;",PERS!$H$7:$H$54,"ja"),"")</f>
        <v/>
      </c>
      <c r="P17" s="3" t="str">
        <f aca="false">IF($C17="Ja",SUMIFS(PERS!$W$7:$W$54,PERS!$C$7:$C$54,"&lt;&gt;",PERS!$H$7:$H$54,"ja"),"")</f>
        <v/>
      </c>
      <c r="Q17" s="3" t="str">
        <f aca="false">IF($C17="Ja",SUMIFS(PERS!$X$7:$X$54,PERS!$C$7:$C$54,"&lt;&gt;",PERS!$H$7:$H$54,"ja"),"")</f>
        <v/>
      </c>
      <c r="R17" s="3" t="str">
        <f aca="false">IF($C17="Ja",SUMIFS(PERS!$Y$7:$Y$54,PERS!$C$7:$C$54,"&lt;&gt;",PERS!$H$7:$H$54,"ja"),"")</f>
        <v/>
      </c>
      <c r="S17" s="17"/>
      <c r="T17" s="17"/>
    </row>
    <row r="18" customFormat="false" ht="15" hidden="false" customHeight="true" outlineLevel="0" collapsed="false">
      <c r="A18" s="4" t="s">
        <v>604</v>
      </c>
      <c r="B18" s="3" t="s">
        <v>605</v>
      </c>
      <c r="C18" s="17"/>
      <c r="D18" s="17"/>
      <c r="E18" s="17"/>
      <c r="F18" s="18" t="str">
        <f aca="false">IF($C18="Ja",IFERROR((COUNTIFS(REA!$C$7:$C$38,"&lt;&gt;",REA!$H$7:$H$38,"ja")+COUNTIFS(REA!$C$7:$C$38,"&lt;&gt;",REA!$H$7:$H$38,"entbehrlich")+COUNTIFS(REA!$C$7:$C$38,"&lt;&gt;",REA!$H$7:$H$38,"verwiesen"))/COUNTA(REA!$C$7:$C$38),0),"")</f>
        <v/>
      </c>
      <c r="G18" s="18" t="str">
        <f aca="false">IF($C18="Ja",IFERROR((COUNTA(REA!$C$7:$C$38)-COUNTIFS(REA!$C$7:$C$38,"&lt;&gt;",REA!$H$7:$H$38,"unbearbeitet"))/COUNTA(REA!$C$7:$C$38),0),"")</f>
        <v/>
      </c>
      <c r="H18" s="3" t="str">
        <f aca="false">IF($C18="Ja",COUNTIFS(REA!$C$7:$C$38,"&lt;&gt;",REA!$H$7:$H$38,"ja"),"")</f>
        <v/>
      </c>
      <c r="I18" s="3" t="str">
        <f aca="false">IF($C18="Ja",COUNTIFS(REA!$C$7:$C$38,"&lt;&gt;",REA!$H$7:$H$38,"nein"),"")</f>
        <v/>
      </c>
      <c r="J18" s="3" t="str">
        <f aca="false">IF($C18="Ja",COUNTIFS(REA!$C$7:$C$38,"&lt;&gt;",REA!$H$7:$H$38,"teilweise"),"")</f>
        <v/>
      </c>
      <c r="K18" s="3" t="str">
        <f aca="false">IF($C18="Ja",COUNTIFS(REA!$C$7:$C$38,"&lt;&gt;",REA!$H$7:$H$38,"entbehrlich"),"")</f>
        <v/>
      </c>
      <c r="L18" s="3" t="str">
        <f aca="false">IF($C18="Ja",COUNTIFS(REA!$C$7:$C$38,"&lt;&gt;",REA!$H$7:$H$38,"verwiesen"),"")</f>
        <v/>
      </c>
      <c r="M18" s="3" t="str">
        <f aca="false">IF($C18="Ja",COUNTIFS(REA!$C$7:$C$38,"&lt;&gt;",REA!$H$7:$H$38,"zu klären"),"")</f>
        <v/>
      </c>
      <c r="N18" s="3" t="str">
        <f aca="false">IF($C18="Ja",COUNTIFS(REA!$C$7:$C$38,"&lt;&gt;",REA!$H$7:$H$38,"unbearbeitet"),"")</f>
        <v/>
      </c>
      <c r="O18" s="3" t="str">
        <f aca="false">IF($C18="Ja",SUMIFS(REA!$V$7:$V$38,REA!$C$7:$C$38,"&lt;&gt;",REA!$H$7:$H$38,"ja"),"")</f>
        <v/>
      </c>
      <c r="P18" s="3" t="str">
        <f aca="false">IF($C18="Ja",SUMIFS(REA!$W$7:$W$38,REA!$C$7:$C$38,"&lt;&gt;",REA!$H$7:$H$38,"ja"),"")</f>
        <v/>
      </c>
      <c r="Q18" s="3" t="str">
        <f aca="false">IF($C18="Ja",SUMIFS(REA!$X$7:$X$38,REA!$C$7:$C$38,"&lt;&gt;",REA!$H$7:$H$38,"ja"),"")</f>
        <v/>
      </c>
      <c r="R18" s="3" t="str">
        <f aca="false">IF($C18="Ja",SUMIFS(REA!$Y$7:$Y$38,REA!$C$7:$C$38,"&lt;&gt;",REA!$H$7:$H$38,"ja"),"")</f>
        <v/>
      </c>
      <c r="S18" s="17"/>
      <c r="T18" s="17"/>
    </row>
    <row r="19" customFormat="false" ht="15" hidden="false" customHeight="true" outlineLevel="0" collapsed="false">
      <c r="A19" s="4" t="s">
        <v>606</v>
      </c>
      <c r="B19" s="3" t="s">
        <v>607</v>
      </c>
      <c r="C19" s="17"/>
      <c r="D19" s="17"/>
      <c r="E19" s="17"/>
      <c r="F19" s="18" t="str">
        <f aca="false">IF($C19="Ja",IFERROR((COUNTIFS(RISK!$C$7:$C$14,"&lt;&gt;",RISK!$H$7:$H$14,"ja")+COUNTIFS(RISK!$C$7:$C$14,"&lt;&gt;",RISK!$H$7:$H$14,"entbehrlich")+COUNTIFS(RISK!$C$7:$C$14,"&lt;&gt;",RISK!$H$7:$H$14,"verwiesen"))/COUNTA(RISK!$C$7:$C$14),0),"")</f>
        <v/>
      </c>
      <c r="G19" s="18" t="str">
        <f aca="false">IF($C19="Ja",IFERROR((COUNTA(RISK!$C$7:$C$14)-COUNTIFS(RISK!$C$7:$C$14,"&lt;&gt;",RISK!$H$7:$H$14,"unbearbeitet"))/COUNTA(RISK!$C$7:$C$14),0),"")</f>
        <v/>
      </c>
      <c r="H19" s="3" t="str">
        <f aca="false">IF($C19="Ja",COUNTIFS(RISK!$C$7:$C$14,"&lt;&gt;",RISK!$H$7:$H$14,"ja"),"")</f>
        <v/>
      </c>
      <c r="I19" s="3" t="str">
        <f aca="false">IF($C19="Ja",COUNTIFS(RISK!$C$7:$C$14,"&lt;&gt;",RISK!$H$7:$H$14,"nein"),"")</f>
        <v/>
      </c>
      <c r="J19" s="3" t="str">
        <f aca="false">IF($C19="Ja",COUNTIFS(RISK!$C$7:$C$14,"&lt;&gt;",RISK!$H$7:$H$14,"teilweise"),"")</f>
        <v/>
      </c>
      <c r="K19" s="3" t="str">
        <f aca="false">IF($C19="Ja",COUNTIFS(RISK!$C$7:$C$14,"&lt;&gt;",RISK!$H$7:$H$14,"entbehrlich"),"")</f>
        <v/>
      </c>
      <c r="L19" s="3" t="str">
        <f aca="false">IF($C19="Ja",COUNTIFS(RISK!$C$7:$C$14,"&lt;&gt;",RISK!$H$7:$H$14,"verwiesen"),"")</f>
        <v/>
      </c>
      <c r="M19" s="3" t="str">
        <f aca="false">IF($C19="Ja",COUNTIFS(RISK!$C$7:$C$14,"&lt;&gt;",RISK!$H$7:$H$14,"zu klären"),"")</f>
        <v/>
      </c>
      <c r="N19" s="3" t="str">
        <f aca="false">IF($C19="Ja",COUNTIFS(RISK!$C$7:$C$14,"&lt;&gt;",RISK!$H$7:$H$14,"unbearbeitet"),"")</f>
        <v/>
      </c>
      <c r="O19" s="3" t="str">
        <f aca="false">IF($C19="Ja",SUMIFS(RISK!$V$7:$V$14,RISK!$C$7:$C$14,"&lt;&gt;",RISK!$H$7:$H$14,"ja"),"")</f>
        <v/>
      </c>
      <c r="P19" s="3" t="str">
        <f aca="false">IF($C19="Ja",SUMIFS(RISK!$W$7:$W$14,RISK!$C$7:$C$14,"&lt;&gt;",RISK!$H$7:$H$14,"ja"),"")</f>
        <v/>
      </c>
      <c r="Q19" s="3" t="str">
        <f aca="false">IF($C19="Ja",SUMIFS(RISK!$X$7:$X$14,RISK!$C$7:$C$14,"&lt;&gt;",RISK!$H$7:$H$14,"ja"),"")</f>
        <v/>
      </c>
      <c r="R19" s="3" t="str">
        <f aca="false">IF($C19="Ja",SUMIFS(RISK!$Y$7:$Y$14,RISK!$C$7:$C$14,"&lt;&gt;",RISK!$H$7:$H$14,"ja"),"")</f>
        <v/>
      </c>
      <c r="S19" s="17"/>
      <c r="T19" s="17"/>
    </row>
    <row r="20" customFormat="false" ht="15" hidden="false" customHeight="true" outlineLevel="0" collapsed="false">
      <c r="A20" s="4" t="s">
        <v>608</v>
      </c>
      <c r="B20" s="3" t="s">
        <v>609</v>
      </c>
      <c r="C20" s="17"/>
      <c r="D20" s="17"/>
      <c r="E20" s="17"/>
      <c r="F20" s="18" t="str">
        <f aca="false">IF($C20="Ja",IFERROR((COUNTIFS(SENS!$C$7:$C$168,"&lt;&gt;",SENS!$H$7:$H$168,"ja")+COUNTIFS(SENS!$C$7:$C$168,"&lt;&gt;",SENS!$H$7:$H$168,"entbehrlich")+COUNTIFS(SENS!$C$7:$C$168,"&lt;&gt;",SENS!$H$7:$H$168,"verwiesen"))/COUNTA(SENS!$C$7:$C$168),0),"")</f>
        <v/>
      </c>
      <c r="G20" s="18" t="str">
        <f aca="false">IF($C20="Ja",IFERROR((COUNTA(SENS!$C$7:$C$168)-COUNTIFS(SENS!$C$7:$C$168,"&lt;&gt;",SENS!$H$7:$H$168,"unbearbeitet"))/COUNTA(SENS!$C$7:$C$168),0),"")</f>
        <v/>
      </c>
      <c r="H20" s="3" t="str">
        <f aca="false">IF($C20="Ja",COUNTIFS(SENS!$C$7:$C$168,"&lt;&gt;",SENS!$H$7:$H$168,"ja"),"")</f>
        <v/>
      </c>
      <c r="I20" s="3" t="str">
        <f aca="false">IF($C20="Ja",COUNTIFS(SENS!$C$7:$C$168,"&lt;&gt;",SENS!$H$7:$H$168,"nein"),"")</f>
        <v/>
      </c>
      <c r="J20" s="3" t="str">
        <f aca="false">IF($C20="Ja",COUNTIFS(SENS!$C$7:$C$168,"&lt;&gt;",SENS!$H$7:$H$168,"teilweise"),"")</f>
        <v/>
      </c>
      <c r="K20" s="3" t="str">
        <f aca="false">IF($C20="Ja",COUNTIFS(SENS!$C$7:$C$168,"&lt;&gt;",SENS!$H$7:$H$168,"entbehrlich"),"")</f>
        <v/>
      </c>
      <c r="L20" s="3" t="str">
        <f aca="false">IF($C20="Ja",COUNTIFS(SENS!$C$7:$C$168,"&lt;&gt;",SENS!$H$7:$H$168,"verwiesen"),"")</f>
        <v/>
      </c>
      <c r="M20" s="3" t="str">
        <f aca="false">IF($C20="Ja",COUNTIFS(SENS!$C$7:$C$168,"&lt;&gt;",SENS!$H$7:$H$168,"zu klären"),"")</f>
        <v/>
      </c>
      <c r="N20" s="3" t="str">
        <f aca="false">IF($C20="Ja",COUNTIFS(SENS!$C$7:$C$168,"&lt;&gt;",SENS!$H$7:$H$168,"unbearbeitet"),"")</f>
        <v/>
      </c>
      <c r="O20" s="3" t="str">
        <f aca="false">IF($C20="Ja",SUMIFS(SENS!$V$7:$V$168,SENS!$C$7:$C$168,"&lt;&gt;",SENS!$H$7:$H$168,"ja"),"")</f>
        <v/>
      </c>
      <c r="P20" s="3" t="str">
        <f aca="false">IF($C20="Ja",SUMIFS(SENS!$W$7:$W$168,SENS!$C$7:$C$168,"&lt;&gt;",SENS!$H$7:$H$168,"ja"),"")</f>
        <v/>
      </c>
      <c r="Q20" s="3" t="str">
        <f aca="false">IF($C20="Ja",SUMIFS(SENS!$X$7:$X$168,SENS!$C$7:$C$168,"&lt;&gt;",SENS!$H$7:$H$168,"ja"),"")</f>
        <v/>
      </c>
      <c r="R20" s="3" t="str">
        <f aca="false">IF($C20="Ja",SUMIFS(SENS!$Y$7:$Y$168,SENS!$C$7:$C$168,"&lt;&gt;",SENS!$H$7:$H$168,"ja"),"")</f>
        <v/>
      </c>
      <c r="S20" s="17"/>
      <c r="T20" s="17"/>
    </row>
    <row r="21" customFormat="false" ht="15" hidden="false" customHeight="true" outlineLevel="0" collapsed="false">
      <c r="A21" s="4" t="s">
        <v>610</v>
      </c>
      <c r="B21" s="3" t="s">
        <v>611</v>
      </c>
      <c r="C21" s="17"/>
      <c r="D21" s="17"/>
      <c r="E21" s="17"/>
      <c r="F21" s="18" t="str">
        <f aca="false">IF($C21="Ja",IFERROR((COUNTIFS(STM!$C$7:$C$25,"&lt;&gt;",STM!$H$7:$H$25,"ja")+COUNTIFS(STM!$C$7:$C$25,"&lt;&gt;",STM!$H$7:$H$25,"entbehrlich")+COUNTIFS(STM!$C$7:$C$25,"&lt;&gt;",STM!$H$7:$H$25,"verwiesen"))/COUNTA(STM!$C$7:$C$25),0),"")</f>
        <v/>
      </c>
      <c r="G21" s="18" t="str">
        <f aca="false">IF($C21="Ja",IFERROR((COUNTA(STM!$C$7:$C$25)-COUNTIFS(STM!$C$7:$C$25,"&lt;&gt;",STM!$H$7:$H$25,"unbearbeitet"))/COUNTA(STM!$C$7:$C$25),0),"")</f>
        <v/>
      </c>
      <c r="H21" s="3" t="str">
        <f aca="false">IF($C21="Ja",COUNTIFS(STM!$C$7:$C$25,"&lt;&gt;",STM!$H$7:$H$25,"ja"),"")</f>
        <v/>
      </c>
      <c r="I21" s="3" t="str">
        <f aca="false">IF($C21="Ja",COUNTIFS(STM!$C$7:$C$25,"&lt;&gt;",STM!$H$7:$H$25,"nein"),"")</f>
        <v/>
      </c>
      <c r="J21" s="3" t="str">
        <f aca="false">IF($C21="Ja",COUNTIFS(STM!$C$7:$C$25,"&lt;&gt;",STM!$H$7:$H$25,"teilweise"),"")</f>
        <v/>
      </c>
      <c r="K21" s="3" t="str">
        <f aca="false">IF($C21="Ja",COUNTIFS(STM!$C$7:$C$25,"&lt;&gt;",STM!$H$7:$H$25,"entbehrlich"),"")</f>
        <v/>
      </c>
      <c r="L21" s="3" t="str">
        <f aca="false">IF($C21="Ja",COUNTIFS(STM!$C$7:$C$25,"&lt;&gt;",STM!$H$7:$H$25,"verwiesen"),"")</f>
        <v/>
      </c>
      <c r="M21" s="3" t="str">
        <f aca="false">IF($C21="Ja",COUNTIFS(STM!$C$7:$C$25,"&lt;&gt;",STM!$H$7:$H$25,"zu klären"),"")</f>
        <v/>
      </c>
      <c r="N21" s="3" t="str">
        <f aca="false">IF($C21="Ja",COUNTIFS(STM!$C$7:$C$25,"&lt;&gt;",STM!$H$7:$H$25,"unbearbeitet"),"")</f>
        <v/>
      </c>
      <c r="O21" s="3" t="str">
        <f aca="false">IF($C21="Ja",SUMIFS(STM!$V$7:$V$25,STM!$C$7:$C$25,"&lt;&gt;",STM!$H$7:$H$25,"ja"),"")</f>
        <v/>
      </c>
      <c r="P21" s="3" t="str">
        <f aca="false">IF($C21="Ja",SUMIFS(STM!$W$7:$W$25,STM!$C$7:$C$25,"&lt;&gt;",STM!$H$7:$H$25,"ja"),"")</f>
        <v/>
      </c>
      <c r="Q21" s="3" t="str">
        <f aca="false">IF($C21="Ja",SUMIFS(STM!$X$7:$X$25,STM!$C$7:$C$25,"&lt;&gt;",STM!$H$7:$H$25,"ja"),"")</f>
        <v/>
      </c>
      <c r="R21" s="3" t="str">
        <f aca="false">IF($C21="Ja",SUMIFS(STM!$Y$7:$Y$25,STM!$C$7:$C$25,"&lt;&gt;",STM!$H$7:$H$25,"ja"),"")</f>
        <v/>
      </c>
      <c r="S21" s="17"/>
      <c r="T21" s="17"/>
    </row>
    <row r="22" customFormat="false" ht="15" hidden="false" customHeight="true" outlineLevel="0" collapsed="false">
      <c r="A22" s="4" t="s">
        <v>612</v>
      </c>
      <c r="B22" s="3" t="s">
        <v>613</v>
      </c>
      <c r="C22" s="17"/>
      <c r="D22" s="17"/>
      <c r="E22" s="17"/>
      <c r="F22" s="18" t="str">
        <f aca="false">IF($C22="Ja",IFERROR((COUNTIFS(TEST!$C$7:$C$57,"&lt;&gt;",TEST!$H$7:$H$57,"ja")+COUNTIFS(TEST!$C$7:$C$57,"&lt;&gt;",TEST!$H$7:$H$57,"entbehrlich")+COUNTIFS(TEST!$C$7:$C$57,"&lt;&gt;",TEST!$H$7:$H$57,"verwiesen"))/COUNTA(TEST!$C$7:$C$57),0),"")</f>
        <v/>
      </c>
      <c r="G22" s="18" t="str">
        <f aca="false">IF($C22="Ja",IFERROR((COUNTA(TEST!$C$7:$C$57)-COUNTIFS(TEST!$C$7:$C$57,"&lt;&gt;",TEST!$H$7:$H$57,"unbearbeitet"))/COUNTA(TEST!$C$7:$C$57),0),"")</f>
        <v/>
      </c>
      <c r="H22" s="3" t="str">
        <f aca="false">IF($C22="Ja",COUNTIFS(TEST!$C$7:$C$57,"&lt;&gt;",TEST!$H$7:$H$57,"ja"),"")</f>
        <v/>
      </c>
      <c r="I22" s="3" t="str">
        <f aca="false">IF($C22="Ja",COUNTIFS(TEST!$C$7:$C$57,"&lt;&gt;",TEST!$H$7:$H$57,"nein"),"")</f>
        <v/>
      </c>
      <c r="J22" s="3" t="str">
        <f aca="false">IF($C22="Ja",COUNTIFS(TEST!$C$7:$C$57,"&lt;&gt;",TEST!$H$7:$H$57,"teilweise"),"")</f>
        <v/>
      </c>
      <c r="K22" s="3" t="str">
        <f aca="false">IF($C22="Ja",COUNTIFS(TEST!$C$7:$C$57,"&lt;&gt;",TEST!$H$7:$H$57,"entbehrlich"),"")</f>
        <v/>
      </c>
      <c r="L22" s="3" t="str">
        <f aca="false">IF($C22="Ja",COUNTIFS(TEST!$C$7:$C$57,"&lt;&gt;",TEST!$H$7:$H$57,"verwiesen"),"")</f>
        <v/>
      </c>
      <c r="M22" s="3" t="str">
        <f aca="false">IF($C22="Ja",COUNTIFS(TEST!$C$7:$C$57,"&lt;&gt;",TEST!$H$7:$H$57,"zu klären"),"")</f>
        <v/>
      </c>
      <c r="N22" s="3" t="str">
        <f aca="false">IF($C22="Ja",COUNTIFS(TEST!$C$7:$C$57,"&lt;&gt;",TEST!$H$7:$H$57,"unbearbeitet"),"")</f>
        <v/>
      </c>
      <c r="O22" s="3" t="str">
        <f aca="false">IF($C22="Ja",SUMIFS(TEST!$V$7:$V$57,TEST!$C$7:$C$57,"&lt;&gt;",TEST!$H$7:$H$57,"ja"),"")</f>
        <v/>
      </c>
      <c r="P22" s="3" t="str">
        <f aca="false">IF($C22="Ja",SUMIFS(TEST!$W$7:$W$57,TEST!$C$7:$C$57,"&lt;&gt;",TEST!$H$7:$H$57,"ja"),"")</f>
        <v/>
      </c>
      <c r="Q22" s="3" t="str">
        <f aca="false">IF($C22="Ja",SUMIFS(TEST!$X$7:$X$57,TEST!$C$7:$C$57,"&lt;&gt;",TEST!$H$7:$H$57,"ja"),"")</f>
        <v/>
      </c>
      <c r="R22" s="3" t="str">
        <f aca="false">IF($C22="Ja",SUMIFS(TEST!$Y$7:$Y$57,TEST!$C$7:$C$57,"&lt;&gt;",TEST!$H$7:$H$57,"ja"),"")</f>
        <v/>
      </c>
      <c r="S22" s="17"/>
      <c r="T22" s="17"/>
    </row>
    <row r="23" customFormat="false" ht="15" hidden="false" customHeight="true" outlineLevel="0" collapsed="false">
      <c r="A23" s="4" t="s">
        <v>614</v>
      </c>
      <c r="B23" s="3" t="s">
        <v>57</v>
      </c>
      <c r="C23" s="17"/>
      <c r="D23" s="17"/>
      <c r="E23" s="17"/>
      <c r="F23" s="18" t="str">
        <f aca="false">IF($C23="Ja",IFERROR((COUNTIFS(UMS!$C$7:$C$28,"&lt;&gt;",UMS!$H$7:$H$28,"ja")+COUNTIFS(UMS!$C$7:$C$28,"&lt;&gt;",UMS!$H$7:$H$28,"entbehrlich")+COUNTIFS(UMS!$C$7:$C$28,"&lt;&gt;",UMS!$H$7:$H$28,"verwiesen"))/COUNTA(UMS!$C$7:$C$28),0),"")</f>
        <v/>
      </c>
      <c r="G23" s="18" t="str">
        <f aca="false">IF($C23="Ja",IFERROR((COUNTA(UMS!$C$7:$C$28)-COUNTIFS(UMS!$C$7:$C$28,"&lt;&gt;",UMS!$H$7:$H$28,"unbearbeitet"))/COUNTA(UMS!$C$7:$C$28),0),"")</f>
        <v/>
      </c>
      <c r="H23" s="3" t="str">
        <f aca="false">IF($C23="Ja",COUNTIFS(UMS!$C$7:$C$28,"&lt;&gt;",UMS!$H$7:$H$28,"ja"),"")</f>
        <v/>
      </c>
      <c r="I23" s="3" t="str">
        <f aca="false">IF($C23="Ja",COUNTIFS(UMS!$C$7:$C$28,"&lt;&gt;",UMS!$H$7:$H$28,"nein"),"")</f>
        <v/>
      </c>
      <c r="J23" s="3" t="str">
        <f aca="false">IF($C23="Ja",COUNTIFS(UMS!$C$7:$C$28,"&lt;&gt;",UMS!$H$7:$H$28,"teilweise"),"")</f>
        <v/>
      </c>
      <c r="K23" s="3" t="str">
        <f aca="false">IF($C23="Ja",COUNTIFS(UMS!$C$7:$C$28,"&lt;&gt;",UMS!$H$7:$H$28,"entbehrlich"),"")</f>
        <v/>
      </c>
      <c r="L23" s="3" t="str">
        <f aca="false">IF($C23="Ja",COUNTIFS(UMS!$C$7:$C$28,"&lt;&gt;",UMS!$H$7:$H$28,"verwiesen"),"")</f>
        <v/>
      </c>
      <c r="M23" s="3" t="str">
        <f aca="false">IF($C23="Ja",COUNTIFS(UMS!$C$7:$C$28,"&lt;&gt;",UMS!$H$7:$H$28,"zu klären"),"")</f>
        <v/>
      </c>
      <c r="N23" s="3" t="str">
        <f aca="false">IF($C23="Ja",COUNTIFS(UMS!$C$7:$C$28,"&lt;&gt;",UMS!$H$7:$H$28,"unbearbeitet"),"")</f>
        <v/>
      </c>
      <c r="O23" s="3" t="str">
        <f aca="false">IF($C23="Ja",SUMIFS(UMS!$V$7:$V$28,UMS!$C$7:$C$28,"&lt;&gt;",UMS!$H$7:$H$28,"ja"),"")</f>
        <v/>
      </c>
      <c r="P23" s="3" t="str">
        <f aca="false">IF($C23="Ja",SUMIFS(UMS!$W$7:$W$28,UMS!$C$7:$C$28,"&lt;&gt;",UMS!$H$7:$H$28,"ja"),"")</f>
        <v/>
      </c>
      <c r="Q23" s="3" t="str">
        <f aca="false">IF($C23="Ja",SUMIFS(UMS!$X$7:$X$28,UMS!$C$7:$C$28,"&lt;&gt;",UMS!$H$7:$H$28,"ja"),"")</f>
        <v/>
      </c>
      <c r="R23" s="3" t="str">
        <f aca="false">IF($C23="Ja",SUMIFS(UMS!$Y$7:$Y$28,UMS!$C$7:$C$28,"&lt;&gt;",UMS!$H$7:$H$28,"ja"),"")</f>
        <v/>
      </c>
      <c r="S23" s="17"/>
      <c r="T23" s="17"/>
    </row>
    <row r="24" customFormat="false" ht="15" hidden="false" customHeight="true" outlineLevel="0" collapsed="false">
      <c r="A24" s="4" t="s">
        <v>615</v>
      </c>
      <c r="B24" s="3" t="s">
        <v>616</v>
      </c>
      <c r="C24" s="17"/>
      <c r="D24" s="17"/>
      <c r="E24" s="17"/>
      <c r="F24" s="18" t="str">
        <f aca="false">IF($C24="Ja",IFERROR((COUNTIFS(VRB!$C$7:$C$26,"&lt;&gt;",VRB!$H$7:$H$26,"ja")+COUNTIFS(VRB!$C$7:$C$26,"&lt;&gt;",VRB!$H$7:$H$26,"entbehrlich")+COUNTIFS(VRB!$C$7:$C$26,"&lt;&gt;",VRB!$H$7:$H$26,"verwiesen"))/COUNTA(VRB!$C$7:$C$26),0),"")</f>
        <v/>
      </c>
      <c r="G24" s="18" t="str">
        <f aca="false">IF($C24="Ja",IFERROR((COUNTA(VRB!$C$7:$C$26)-COUNTIFS(VRB!$C$7:$C$26,"&lt;&gt;",VRB!$H$7:$H$26,"unbearbeitet"))/COUNTA(VRB!$C$7:$C$26),0),"")</f>
        <v/>
      </c>
      <c r="H24" s="3" t="str">
        <f aca="false">IF($C24="Ja",COUNTIFS(VRB!$C$7:$C$26,"&lt;&gt;",VRB!$H$7:$H$26,"ja"),"")</f>
        <v/>
      </c>
      <c r="I24" s="3" t="str">
        <f aca="false">IF($C24="Ja",COUNTIFS(VRB!$C$7:$C$26,"&lt;&gt;",VRB!$H$7:$H$26,"nein"),"")</f>
        <v/>
      </c>
      <c r="J24" s="3" t="str">
        <f aca="false">IF($C24="Ja",COUNTIFS(VRB!$C$7:$C$26,"&lt;&gt;",VRB!$H$7:$H$26,"teilweise"),"")</f>
        <v/>
      </c>
      <c r="K24" s="3" t="str">
        <f aca="false">IF($C24="Ja",COUNTIFS(VRB!$C$7:$C$26,"&lt;&gt;",VRB!$H$7:$H$26,"entbehrlich"),"")</f>
        <v/>
      </c>
      <c r="L24" s="3" t="str">
        <f aca="false">IF($C24="Ja",COUNTIFS(VRB!$C$7:$C$26,"&lt;&gt;",VRB!$H$7:$H$26,"verwiesen"),"")</f>
        <v/>
      </c>
      <c r="M24" s="3" t="str">
        <f aca="false">IF($C24="Ja",COUNTIFS(VRB!$C$7:$C$26,"&lt;&gt;",VRB!$H$7:$H$26,"zu klären"),"")</f>
        <v/>
      </c>
      <c r="N24" s="3" t="str">
        <f aca="false">IF($C24="Ja",COUNTIFS(VRB!$C$7:$C$26,"&lt;&gt;",VRB!$H$7:$H$26,"unbearbeitet"),"")</f>
        <v/>
      </c>
      <c r="O24" s="3" t="str">
        <f aca="false">IF($C24="Ja",SUMIFS(VRB!$V$7:$V$26,VRB!$C$7:$C$26,"&lt;&gt;",VRB!$H$7:$H$26,"ja"),"")</f>
        <v/>
      </c>
      <c r="P24" s="3" t="str">
        <f aca="false">IF($C24="Ja",SUMIFS(VRB!$W$7:$W$26,VRB!$C$7:$C$26,"&lt;&gt;",VRB!$H$7:$H$26,"ja"),"")</f>
        <v/>
      </c>
      <c r="Q24" s="3" t="str">
        <f aca="false">IF($C24="Ja",SUMIFS(VRB!$X$7:$X$26,VRB!$C$7:$C$26,"&lt;&gt;",VRB!$H$7:$H$26,"ja"),"")</f>
        <v/>
      </c>
      <c r="R24" s="3" t="str">
        <f aca="false">IF($C24="Ja",SUMIFS(VRB!$Y$7:$Y$26,VRB!$C$7:$C$26,"&lt;&gt;",VRB!$H$7:$H$26,"ja"),"")</f>
        <v/>
      </c>
      <c r="S24" s="17"/>
      <c r="T24" s="17"/>
    </row>
    <row r="27" customFormat="false" ht="15" hidden="false" customHeight="true" outlineLevel="0" collapsed="false">
      <c r="B27" s="6" t="s">
        <v>617</v>
      </c>
    </row>
  </sheetData>
  <dataValidations count="1">
    <dataValidation allowBlank="true" errorStyle="stop" operator="between" showDropDown="false" showErrorMessage="false" showInputMessage="false" sqref="C5:C24" type="list">
      <formula1>"Ja,Nein,Nein,in anderem SiKo betrachtet"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579</v>
      </c>
      <c r="B3" s="7" t="s">
        <v>580</v>
      </c>
    </row>
    <row r="4" customFormat="false" ht="15" hidden="false" customHeight="true" outlineLevel="0" collapsed="false">
      <c r="A4" s="4" t="s">
        <v>50</v>
      </c>
      <c r="B4" s="8" t="str">
        <f aca="false">IF(Praktiken!D6="","",Praktiken!D6)</f>
        <v/>
      </c>
    </row>
    <row r="5" customFormat="false" ht="15" hidden="false" customHeight="true" outlineLevel="0" collapsed="false">
      <c r="A5" s="4" t="s">
        <v>51</v>
      </c>
      <c r="B5" s="8" t="str">
        <f aca="false">IF(Praktiken!S6="","",Praktiken!S6)</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618</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teilweise</v>
      </c>
      <c r="I7" s="12"/>
      <c r="J7" s="12"/>
      <c r="K7" s="12"/>
      <c r="L7" s="12"/>
      <c r="M7" s="12" t="s">
        <v>72</v>
      </c>
      <c r="N7" s="5"/>
      <c r="O7" s="12"/>
      <c r="P7" s="5" t="s">
        <v>619</v>
      </c>
      <c r="Q7" s="12"/>
      <c r="R7" s="12" t="s">
        <v>92</v>
      </c>
      <c r="S7" s="5" t="s">
        <v>620</v>
      </c>
      <c r="T7" s="5" t="s">
        <v>621</v>
      </c>
      <c r="U7" s="12" t="n">
        <v>0</v>
      </c>
      <c r="V7" s="12" t="n">
        <v>2</v>
      </c>
      <c r="W7" s="12" t="n">
        <v>1</v>
      </c>
      <c r="X7" s="12" t="n">
        <v>1</v>
      </c>
      <c r="Y7" s="12" t="n">
        <v>0</v>
      </c>
    </row>
    <row r="8" customFormat="false" ht="216" hidden="false" customHeight="true" outlineLevel="0" collapsed="false">
      <c r="A8" s="12" t="s">
        <v>618</v>
      </c>
      <c r="B8" s="5" t="s">
        <v>77</v>
      </c>
      <c r="C8" s="12" t="s">
        <v>622</v>
      </c>
      <c r="D8" s="12" t="s">
        <v>78</v>
      </c>
      <c r="E8" s="5" t="s">
        <v>623</v>
      </c>
      <c r="F8" s="14"/>
      <c r="G8" s="14"/>
      <c r="H8" s="14" t="s">
        <v>568</v>
      </c>
      <c r="I8" s="14"/>
      <c r="J8" s="14"/>
      <c r="K8" s="14"/>
      <c r="L8" s="15"/>
      <c r="M8" s="12" t="s">
        <v>88</v>
      </c>
      <c r="N8" s="5"/>
      <c r="O8" s="12"/>
      <c r="P8" s="5" t="s">
        <v>624</v>
      </c>
      <c r="Q8" s="12"/>
      <c r="R8" s="12" t="s">
        <v>92</v>
      </c>
      <c r="S8" s="5" t="s">
        <v>93</v>
      </c>
      <c r="T8" s="5" t="s">
        <v>625</v>
      </c>
      <c r="U8" s="12" t="n">
        <v>0</v>
      </c>
      <c r="V8" s="12" t="n">
        <v>2</v>
      </c>
      <c r="W8" s="12" t="n">
        <v>2</v>
      </c>
      <c r="X8" s="12" t="n">
        <v>1</v>
      </c>
      <c r="Y8" s="12" t="n">
        <v>1</v>
      </c>
    </row>
    <row r="9" customFormat="false" ht="336.75" hidden="false" customHeight="true" outlineLevel="0" collapsed="false">
      <c r="A9" s="12" t="s">
        <v>618</v>
      </c>
      <c r="B9" s="5" t="s">
        <v>77</v>
      </c>
      <c r="C9" s="12" t="s">
        <v>626</v>
      </c>
      <c r="D9" s="12" t="s">
        <v>78</v>
      </c>
      <c r="E9" s="5" t="s">
        <v>627</v>
      </c>
      <c r="F9" s="14"/>
      <c r="G9" s="14"/>
      <c r="H9" s="14" t="s">
        <v>87</v>
      </c>
      <c r="I9" s="14"/>
      <c r="J9" s="14"/>
      <c r="K9" s="14"/>
      <c r="L9" s="15"/>
      <c r="M9" s="12"/>
      <c r="N9" s="5"/>
      <c r="O9" s="12"/>
      <c r="P9" s="5" t="s">
        <v>628</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618</v>
      </c>
      <c r="B10" s="5" t="s">
        <v>77</v>
      </c>
      <c r="C10" s="12" t="s">
        <v>629</v>
      </c>
      <c r="D10" s="12" t="s">
        <v>78</v>
      </c>
      <c r="E10" s="5" t="s">
        <v>630</v>
      </c>
      <c r="F10" s="14"/>
      <c r="G10" s="14"/>
      <c r="H10" s="14" t="s">
        <v>87</v>
      </c>
      <c r="I10" s="14"/>
      <c r="J10" s="14"/>
      <c r="K10" s="14"/>
      <c r="L10" s="15"/>
      <c r="M10" s="12"/>
      <c r="N10" s="5"/>
      <c r="O10" s="12"/>
      <c r="P10" s="5" t="s">
        <v>631</v>
      </c>
      <c r="Q10" s="12"/>
      <c r="R10" s="12" t="s">
        <v>92</v>
      </c>
      <c r="S10" s="5" t="s">
        <v>108</v>
      </c>
      <c r="T10" s="5" t="s">
        <v>102</v>
      </c>
      <c r="U10" s="12" t="n">
        <v>0</v>
      </c>
      <c r="V10" s="12" t="n">
        <v>1</v>
      </c>
      <c r="W10" s="12" t="n">
        <v>1</v>
      </c>
      <c r="X10" s="12" t="n">
        <v>1</v>
      </c>
      <c r="Y10" s="12" t="n">
        <v>0</v>
      </c>
    </row>
    <row r="11" customFormat="false" ht="189" hidden="false" customHeight="true" outlineLevel="0" collapsed="false">
      <c r="A11" s="10" t="s">
        <v>632</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632</v>
      </c>
      <c r="B12" s="5" t="s">
        <v>111</v>
      </c>
      <c r="C12" s="12" t="s">
        <v>632</v>
      </c>
      <c r="D12" s="12" t="s">
        <v>78</v>
      </c>
      <c r="E12" s="5" t="s">
        <v>633</v>
      </c>
      <c r="F12" s="14"/>
      <c r="G12" s="14"/>
      <c r="H12" s="14" t="s">
        <v>87</v>
      </c>
      <c r="I12" s="14"/>
      <c r="J12" s="14"/>
      <c r="K12" s="14"/>
      <c r="L12" s="15"/>
      <c r="M12" s="12"/>
      <c r="N12" s="5"/>
      <c r="O12" s="12"/>
      <c r="P12" s="5" t="s">
        <v>114</v>
      </c>
      <c r="Q12" s="12"/>
      <c r="R12" s="12" t="s">
        <v>115</v>
      </c>
      <c r="S12" s="5" t="s">
        <v>93</v>
      </c>
      <c r="T12" s="5" t="s">
        <v>306</v>
      </c>
      <c r="U12" s="12" t="n">
        <v>0</v>
      </c>
      <c r="V12" s="12" t="n">
        <v>1</v>
      </c>
      <c r="W12" s="12" t="n">
        <v>1</v>
      </c>
      <c r="X12" s="12" t="n">
        <v>1</v>
      </c>
      <c r="Y12" s="12" t="n">
        <v>0</v>
      </c>
    </row>
    <row r="13" customFormat="false" ht="336.75" hidden="false" customHeight="true" outlineLevel="0" collapsed="false">
      <c r="A13" s="10" t="s">
        <v>634</v>
      </c>
      <c r="B13" s="11" t="s">
        <v>635</v>
      </c>
      <c r="C13" s="12"/>
      <c r="D13" s="12" t="s">
        <v>120</v>
      </c>
      <c r="E13" s="5" t="s">
        <v>79</v>
      </c>
      <c r="F13" s="12"/>
      <c r="G13" s="12"/>
      <c r="H13" s="13" t="str">
        <f aca="false">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2"/>
      <c r="J13" s="12"/>
      <c r="K13" s="12"/>
      <c r="L13" s="12"/>
      <c r="M13" s="12"/>
      <c r="N13" s="5"/>
      <c r="O13" s="12"/>
      <c r="P13" s="5" t="s">
        <v>636</v>
      </c>
      <c r="Q13" s="12"/>
      <c r="R13" s="12" t="s">
        <v>637</v>
      </c>
      <c r="S13" s="5" t="s">
        <v>638</v>
      </c>
      <c r="T13" s="5" t="s">
        <v>639</v>
      </c>
      <c r="U13" s="12" t="n">
        <v>3</v>
      </c>
      <c r="V13" s="12" t="n">
        <v>1</v>
      </c>
      <c r="W13" s="12" t="n">
        <v>1</v>
      </c>
      <c r="X13" s="12" t="n">
        <v>1</v>
      </c>
      <c r="Y13" s="12" t="n">
        <v>0</v>
      </c>
    </row>
    <row r="14" customFormat="false" ht="336.75" hidden="false" customHeight="true" outlineLevel="0" collapsed="false">
      <c r="A14" s="12" t="s">
        <v>634</v>
      </c>
      <c r="B14" s="5" t="s">
        <v>635</v>
      </c>
      <c r="C14" s="12" t="s">
        <v>634</v>
      </c>
      <c r="D14" s="12" t="s">
        <v>120</v>
      </c>
      <c r="E14" s="5" t="s">
        <v>640</v>
      </c>
      <c r="F14" s="14"/>
      <c r="G14" s="14"/>
      <c r="H14" s="14" t="s">
        <v>87</v>
      </c>
      <c r="I14" s="14"/>
      <c r="J14" s="14"/>
      <c r="K14" s="14"/>
      <c r="L14" s="15"/>
      <c r="M14" s="12"/>
      <c r="N14" s="5"/>
      <c r="O14" s="12"/>
      <c r="P14" s="5" t="s">
        <v>636</v>
      </c>
      <c r="Q14" s="12"/>
      <c r="R14" s="12" t="s">
        <v>637</v>
      </c>
      <c r="S14" s="5" t="s">
        <v>638</v>
      </c>
      <c r="T14" s="5" t="s">
        <v>639</v>
      </c>
      <c r="U14" s="12" t="n">
        <v>3</v>
      </c>
      <c r="V14" s="12" t="n">
        <v>1</v>
      </c>
      <c r="W14" s="12" t="n">
        <v>1</v>
      </c>
      <c r="X14" s="12" t="n">
        <v>1</v>
      </c>
      <c r="Y14" s="12" t="n">
        <v>0</v>
      </c>
    </row>
    <row r="15" customFormat="false" ht="149.25" hidden="false" customHeight="true" outlineLevel="0" collapsed="false">
      <c r="A15" s="12" t="s">
        <v>634</v>
      </c>
      <c r="B15" s="5" t="s">
        <v>635</v>
      </c>
      <c r="C15" s="12" t="s">
        <v>641</v>
      </c>
      <c r="D15" s="12" t="s">
        <v>120</v>
      </c>
      <c r="E15" s="5" t="s">
        <v>642</v>
      </c>
      <c r="F15" s="14"/>
      <c r="G15" s="14"/>
      <c r="H15" s="14" t="s">
        <v>87</v>
      </c>
      <c r="I15" s="14"/>
      <c r="J15" s="14"/>
      <c r="K15" s="14"/>
      <c r="L15" s="15"/>
      <c r="M15" s="12" t="s">
        <v>74</v>
      </c>
      <c r="N15" s="5"/>
      <c r="O15" s="12"/>
      <c r="P15" s="5" t="s">
        <v>643</v>
      </c>
      <c r="Q15" s="12" t="s">
        <v>644</v>
      </c>
      <c r="R15" s="12" t="s">
        <v>637</v>
      </c>
      <c r="S15" s="5" t="s">
        <v>645</v>
      </c>
      <c r="T15" s="5" t="s">
        <v>639</v>
      </c>
      <c r="U15" s="12" t="n">
        <v>3</v>
      </c>
      <c r="V15" s="12" t="n">
        <v>1</v>
      </c>
      <c r="W15" s="12" t="n">
        <v>1</v>
      </c>
      <c r="X15" s="12" t="n">
        <v>2</v>
      </c>
      <c r="Y15" s="12" t="n">
        <v>0</v>
      </c>
    </row>
    <row r="16" customFormat="false" ht="189" hidden="false" customHeight="true" outlineLevel="0" collapsed="false">
      <c r="A16" s="10" t="s">
        <v>646</v>
      </c>
      <c r="B16" s="11" t="s">
        <v>647</v>
      </c>
      <c r="C16" s="12"/>
      <c r="D16" s="12" t="s">
        <v>120</v>
      </c>
      <c r="E16" s="5" t="s">
        <v>79</v>
      </c>
      <c r="F16" s="12"/>
      <c r="G16" s="12"/>
      <c r="H16" s="13" t="str">
        <f aca="false">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Bitte Teilanforderungen ausfüllen</v>
      </c>
      <c r="I16" s="12"/>
      <c r="J16" s="12"/>
      <c r="K16" s="12"/>
      <c r="L16" s="12"/>
      <c r="M16" s="12" t="s">
        <v>74</v>
      </c>
      <c r="N16" s="5" t="s">
        <v>648</v>
      </c>
      <c r="O16" s="12" t="s">
        <v>524</v>
      </c>
      <c r="P16" s="5" t="s">
        <v>649</v>
      </c>
      <c r="Q16" s="12"/>
      <c r="R16" s="12" t="s">
        <v>650</v>
      </c>
      <c r="S16" s="5" t="s">
        <v>651</v>
      </c>
      <c r="T16" s="5" t="s">
        <v>652</v>
      </c>
      <c r="U16" s="12" t="n">
        <v>2</v>
      </c>
      <c r="V16" s="12" t="n">
        <v>1</v>
      </c>
      <c r="W16" s="12" t="n">
        <v>1</v>
      </c>
      <c r="X16" s="12" t="n">
        <v>2</v>
      </c>
      <c r="Y16" s="12" t="n">
        <v>0</v>
      </c>
    </row>
    <row r="17" customFormat="false" ht="189" hidden="false" customHeight="true" outlineLevel="0" collapsed="false">
      <c r="A17" s="12" t="s">
        <v>646</v>
      </c>
      <c r="B17" s="5" t="s">
        <v>647</v>
      </c>
      <c r="C17" s="12" t="s">
        <v>646</v>
      </c>
      <c r="D17" s="12" t="s">
        <v>120</v>
      </c>
      <c r="E17" s="5" t="s">
        <v>653</v>
      </c>
      <c r="F17" s="14"/>
      <c r="G17" s="14"/>
      <c r="H17" s="14" t="s">
        <v>87</v>
      </c>
      <c r="I17" s="14"/>
      <c r="J17" s="14"/>
      <c r="K17" s="14"/>
      <c r="L17" s="15"/>
      <c r="M17" s="12" t="s">
        <v>74</v>
      </c>
      <c r="N17" s="5" t="s">
        <v>648</v>
      </c>
      <c r="O17" s="12" t="s">
        <v>524</v>
      </c>
      <c r="P17" s="5" t="s">
        <v>649</v>
      </c>
      <c r="Q17" s="12"/>
      <c r="R17" s="12" t="s">
        <v>650</v>
      </c>
      <c r="S17" s="5" t="s">
        <v>651</v>
      </c>
      <c r="T17" s="5" t="s">
        <v>652</v>
      </c>
      <c r="U17" s="12" t="n">
        <v>2</v>
      </c>
      <c r="V17" s="12" t="n">
        <v>1</v>
      </c>
      <c r="W17" s="12" t="n">
        <v>1</v>
      </c>
      <c r="X17" s="12" t="n">
        <v>2</v>
      </c>
      <c r="Y17" s="12" t="n">
        <v>0</v>
      </c>
    </row>
    <row r="18" customFormat="false" ht="95.25" hidden="false" customHeight="true" outlineLevel="0" collapsed="false">
      <c r="A18" s="12" t="s">
        <v>646</v>
      </c>
      <c r="B18" s="5" t="s">
        <v>647</v>
      </c>
      <c r="C18" s="12" t="s">
        <v>654</v>
      </c>
      <c r="D18" s="12" t="s">
        <v>120</v>
      </c>
      <c r="E18" s="5" t="s">
        <v>655</v>
      </c>
      <c r="F18" s="14"/>
      <c r="G18" s="14"/>
      <c r="H18" s="14" t="s">
        <v>87</v>
      </c>
      <c r="I18" s="14"/>
      <c r="J18" s="14"/>
      <c r="K18" s="14"/>
      <c r="L18" s="15"/>
      <c r="M18" s="12" t="s">
        <v>74</v>
      </c>
      <c r="N18" s="5"/>
      <c r="O18" s="12"/>
      <c r="P18" s="5" t="s">
        <v>656</v>
      </c>
      <c r="Q18" s="12" t="s">
        <v>124</v>
      </c>
      <c r="R18" s="12" t="s">
        <v>282</v>
      </c>
      <c r="S18" s="5" t="s">
        <v>657</v>
      </c>
      <c r="T18" s="5" t="s">
        <v>652</v>
      </c>
      <c r="U18" s="12" t="n">
        <v>4</v>
      </c>
      <c r="V18" s="12" t="n">
        <v>1</v>
      </c>
      <c r="W18" s="12" t="n">
        <v>1</v>
      </c>
      <c r="X18" s="12" t="n">
        <v>2</v>
      </c>
      <c r="Y18" s="12" t="n">
        <v>0</v>
      </c>
    </row>
    <row r="19" customFormat="false" ht="377.25" hidden="false" customHeight="true" outlineLevel="0" collapsed="false">
      <c r="A19" s="10" t="s">
        <v>658</v>
      </c>
      <c r="B19" s="11" t="s">
        <v>659</v>
      </c>
      <c r="C19" s="12"/>
      <c r="D19" s="12" t="s">
        <v>120</v>
      </c>
      <c r="E19" s="5" t="s">
        <v>79</v>
      </c>
      <c r="F19" s="12"/>
      <c r="G19" s="12"/>
      <c r="H19" s="13" t="str">
        <f aca="false">IF(OR(COUNTBLANK($H$20:$H$23)&gt;0,COUNTIF($H$20:$H$23,"unbearbeitet")=COUNTA($H$20:$H$23)),"Bitte Teilanforderungen ausfüllen",IF(COUNTIF($H$20:$H$23,"zu klären")&gt;0,"zu klären",IF(COUNTIF($H$20:$H$23,"entbehrlich")=COUNTA($H$20:$H$23),"entbehrlich",IF(COUNTIF($H$20:$H$23,"verwiesen")=COUNTA($H$20:$H$23),"verwiesen",IF(COUNTIF($H$20:$H$23,"nein")+COUNTIF($H$20:$H$23,"entbehrlich")=COUNTA($H$20:$H$23),"nein",IF(COUNTIF($H$20:$H$23,"ja")+COUNTIF($H$20:$H$23,"entbehrlich")+COUNTIF($H$20:$H$23,"verwiesen")=COUNTA($H$20:$H$23),"ja","teilweise"))))))</f>
        <v>Bitte Teilanforderungen ausfüllen</v>
      </c>
      <c r="I19" s="12"/>
      <c r="J19" s="12"/>
      <c r="K19" s="12"/>
      <c r="L19" s="12"/>
      <c r="M19" s="12" t="s">
        <v>74</v>
      </c>
      <c r="N19" s="5" t="s">
        <v>660</v>
      </c>
      <c r="O19" s="12" t="s">
        <v>661</v>
      </c>
      <c r="P19" s="5" t="s">
        <v>662</v>
      </c>
      <c r="Q19" s="12"/>
      <c r="R19" s="12" t="s">
        <v>663</v>
      </c>
      <c r="S19" s="5" t="s">
        <v>664</v>
      </c>
      <c r="T19" s="5" t="s">
        <v>639</v>
      </c>
      <c r="U19" s="12" t="n">
        <v>2</v>
      </c>
      <c r="V19" s="12" t="n">
        <v>1</v>
      </c>
      <c r="W19" s="12" t="n">
        <v>1</v>
      </c>
      <c r="X19" s="12" t="n">
        <v>2</v>
      </c>
      <c r="Y19" s="12" t="n">
        <v>0</v>
      </c>
    </row>
    <row r="20" customFormat="false" ht="377.25" hidden="false" customHeight="true" outlineLevel="0" collapsed="false">
      <c r="A20" s="12" t="s">
        <v>658</v>
      </c>
      <c r="B20" s="5" t="s">
        <v>659</v>
      </c>
      <c r="C20" s="12" t="s">
        <v>658</v>
      </c>
      <c r="D20" s="12" t="s">
        <v>120</v>
      </c>
      <c r="E20" s="5" t="s">
        <v>665</v>
      </c>
      <c r="F20" s="14"/>
      <c r="G20" s="14"/>
      <c r="H20" s="14" t="s">
        <v>87</v>
      </c>
      <c r="I20" s="14"/>
      <c r="J20" s="14"/>
      <c r="K20" s="14"/>
      <c r="L20" s="15"/>
      <c r="M20" s="12" t="s">
        <v>74</v>
      </c>
      <c r="N20" s="5" t="s">
        <v>660</v>
      </c>
      <c r="O20" s="12" t="s">
        <v>661</v>
      </c>
      <c r="P20" s="5" t="s">
        <v>662</v>
      </c>
      <c r="Q20" s="12"/>
      <c r="R20" s="12" t="s">
        <v>663</v>
      </c>
      <c r="S20" s="5" t="s">
        <v>664</v>
      </c>
      <c r="T20" s="5" t="s">
        <v>639</v>
      </c>
      <c r="U20" s="12" t="n">
        <v>2</v>
      </c>
      <c r="V20" s="12" t="n">
        <v>1</v>
      </c>
      <c r="W20" s="12" t="n">
        <v>1</v>
      </c>
      <c r="X20" s="12" t="n">
        <v>2</v>
      </c>
      <c r="Y20" s="12" t="n">
        <v>0</v>
      </c>
    </row>
    <row r="21" customFormat="false" ht="270" hidden="false" customHeight="true" outlineLevel="0" collapsed="false">
      <c r="A21" s="12" t="s">
        <v>658</v>
      </c>
      <c r="B21" s="5" t="s">
        <v>659</v>
      </c>
      <c r="C21" s="12" t="s">
        <v>666</v>
      </c>
      <c r="D21" s="12" t="s">
        <v>120</v>
      </c>
      <c r="E21" s="5" t="s">
        <v>667</v>
      </c>
      <c r="F21" s="14"/>
      <c r="G21" s="14"/>
      <c r="H21" s="14" t="s">
        <v>87</v>
      </c>
      <c r="I21" s="14"/>
      <c r="J21" s="14"/>
      <c r="K21" s="14"/>
      <c r="L21" s="15"/>
      <c r="M21" s="12" t="s">
        <v>74</v>
      </c>
      <c r="N21" s="5"/>
      <c r="O21" s="12"/>
      <c r="P21" s="5" t="s">
        <v>668</v>
      </c>
      <c r="Q21" s="12" t="s">
        <v>226</v>
      </c>
      <c r="R21" s="12" t="s">
        <v>663</v>
      </c>
      <c r="S21" s="5" t="s">
        <v>669</v>
      </c>
      <c r="T21" s="5" t="s">
        <v>639</v>
      </c>
      <c r="U21" s="12" t="n">
        <v>3</v>
      </c>
      <c r="V21" s="12" t="n">
        <v>1</v>
      </c>
      <c r="W21" s="12" t="n">
        <v>1</v>
      </c>
      <c r="X21" s="12" t="n">
        <v>2</v>
      </c>
      <c r="Y21" s="12" t="n">
        <v>0</v>
      </c>
    </row>
    <row r="22" customFormat="false" ht="189" hidden="false" customHeight="true" outlineLevel="0" collapsed="false">
      <c r="A22" s="12" t="s">
        <v>658</v>
      </c>
      <c r="B22" s="5" t="s">
        <v>659</v>
      </c>
      <c r="C22" s="12" t="s">
        <v>670</v>
      </c>
      <c r="D22" s="12" t="s">
        <v>120</v>
      </c>
      <c r="E22" s="5" t="s">
        <v>671</v>
      </c>
      <c r="F22" s="14"/>
      <c r="G22" s="14"/>
      <c r="H22" s="14" t="s">
        <v>87</v>
      </c>
      <c r="I22" s="14"/>
      <c r="J22" s="14"/>
      <c r="K22" s="14"/>
      <c r="L22" s="15"/>
      <c r="M22" s="12" t="s">
        <v>74</v>
      </c>
      <c r="N22" s="5"/>
      <c r="O22" s="12"/>
      <c r="P22" s="5" t="s">
        <v>672</v>
      </c>
      <c r="Q22" s="12" t="s">
        <v>460</v>
      </c>
      <c r="R22" s="12" t="s">
        <v>663</v>
      </c>
      <c r="S22" s="5" t="s">
        <v>673</v>
      </c>
      <c r="T22" s="5" t="s">
        <v>639</v>
      </c>
      <c r="U22" s="12" t="n">
        <v>4</v>
      </c>
      <c r="V22" s="12" t="n">
        <v>1</v>
      </c>
      <c r="W22" s="12" t="n">
        <v>1</v>
      </c>
      <c r="X22" s="12" t="n">
        <v>2</v>
      </c>
      <c r="Y22" s="12" t="n">
        <v>0</v>
      </c>
    </row>
    <row r="23" customFormat="false" ht="390.75" hidden="false" customHeight="true" outlineLevel="0" collapsed="false">
      <c r="A23" s="12" t="s">
        <v>658</v>
      </c>
      <c r="B23" s="5" t="s">
        <v>659</v>
      </c>
      <c r="C23" s="12" t="s">
        <v>674</v>
      </c>
      <c r="D23" s="12" t="s">
        <v>160</v>
      </c>
      <c r="E23" s="5" t="s">
        <v>675</v>
      </c>
      <c r="F23" s="14"/>
      <c r="G23" s="14"/>
      <c r="H23" s="14" t="s">
        <v>87</v>
      </c>
      <c r="I23" s="14"/>
      <c r="J23" s="14"/>
      <c r="K23" s="14"/>
      <c r="L23" s="15"/>
      <c r="M23" s="12" t="s">
        <v>74</v>
      </c>
      <c r="N23" s="5"/>
      <c r="O23" s="12"/>
      <c r="P23" s="5" t="s">
        <v>676</v>
      </c>
      <c r="Q23" s="12"/>
      <c r="R23" s="12" t="s">
        <v>92</v>
      </c>
      <c r="S23" s="5" t="s">
        <v>677</v>
      </c>
      <c r="T23" s="5" t="s">
        <v>639</v>
      </c>
      <c r="U23" s="12" t="n">
        <v>5</v>
      </c>
      <c r="V23" s="12" t="n">
        <v>1</v>
      </c>
      <c r="W23" s="12" t="n">
        <v>1</v>
      </c>
      <c r="X23" s="12" t="n">
        <v>2</v>
      </c>
      <c r="Y23" s="12" t="n">
        <v>0</v>
      </c>
    </row>
    <row r="24" customFormat="false" ht="297" hidden="false" customHeight="true" outlineLevel="0" collapsed="false">
      <c r="A24" s="10" t="s">
        <v>678</v>
      </c>
      <c r="B24" s="11" t="s">
        <v>679</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72</v>
      </c>
      <c r="N24" s="5"/>
      <c r="O24" s="12"/>
      <c r="P24" s="5" t="s">
        <v>680</v>
      </c>
      <c r="Q24" s="12" t="s">
        <v>644</v>
      </c>
      <c r="R24" s="12" t="s">
        <v>637</v>
      </c>
      <c r="S24" s="5" t="s">
        <v>681</v>
      </c>
      <c r="T24" s="5" t="s">
        <v>682</v>
      </c>
      <c r="U24" s="12" t="n">
        <v>3</v>
      </c>
      <c r="V24" s="12" t="n">
        <v>2</v>
      </c>
      <c r="W24" s="12" t="n">
        <v>1</v>
      </c>
      <c r="X24" s="12" t="n">
        <v>1</v>
      </c>
      <c r="Y24" s="12" t="n">
        <v>0</v>
      </c>
    </row>
    <row r="25" customFormat="false" ht="297" hidden="false" customHeight="true" outlineLevel="0" collapsed="false">
      <c r="A25" s="12" t="s">
        <v>678</v>
      </c>
      <c r="B25" s="5" t="s">
        <v>679</v>
      </c>
      <c r="C25" s="12" t="s">
        <v>678</v>
      </c>
      <c r="D25" s="12" t="s">
        <v>120</v>
      </c>
      <c r="E25" s="5" t="s">
        <v>683</v>
      </c>
      <c r="F25" s="14"/>
      <c r="G25" s="14"/>
      <c r="H25" s="14" t="s">
        <v>87</v>
      </c>
      <c r="I25" s="14"/>
      <c r="J25" s="14"/>
      <c r="K25" s="14"/>
      <c r="L25" s="15"/>
      <c r="M25" s="12" t="s">
        <v>72</v>
      </c>
      <c r="N25" s="5"/>
      <c r="O25" s="12"/>
      <c r="P25" s="5" t="s">
        <v>680</v>
      </c>
      <c r="Q25" s="12" t="s">
        <v>644</v>
      </c>
      <c r="R25" s="12" t="s">
        <v>637</v>
      </c>
      <c r="S25" s="5" t="s">
        <v>681</v>
      </c>
      <c r="T25" s="5" t="s">
        <v>682</v>
      </c>
      <c r="U25" s="12" t="n">
        <v>3</v>
      </c>
      <c r="V25" s="12" t="n">
        <v>2</v>
      </c>
      <c r="W25" s="12" t="n">
        <v>1</v>
      </c>
      <c r="X25" s="12" t="n">
        <v>1</v>
      </c>
      <c r="Y25" s="12" t="n">
        <v>0</v>
      </c>
    </row>
    <row r="26" customFormat="false" ht="122.25" hidden="false" customHeight="true" outlineLevel="0" collapsed="false">
      <c r="A26" s="10" t="s">
        <v>684</v>
      </c>
      <c r="B26" s="11" t="s">
        <v>685</v>
      </c>
      <c r="C26" s="12"/>
      <c r="D26" s="12" t="s">
        <v>120</v>
      </c>
      <c r="E26" s="5" t="s">
        <v>79</v>
      </c>
      <c r="F26" s="12"/>
      <c r="G26" s="12"/>
      <c r="H26" s="13" t="str">
        <f aca="false">IF(OR(COUNTBLANK($H$27:$H$28)&gt;0,COUNTIF($H$27:$H$28,"unbearbeitet")=COUNTA($H$27:$H$28)),"Bitte Teilanforderungen ausfüllen",IF(COUNTIF($H$27:$H$28,"zu klären")&gt;0,"zu klären",IF(COUNTIF($H$27:$H$28,"entbehrlich")=COUNTA($H$27:$H$28),"entbehrlich",IF(COUNTIF($H$27:$H$28,"verwiesen")=COUNTA($H$27:$H$28),"verwiesen",IF(COUNTIF($H$27:$H$28,"nein")+COUNTIF($H$27:$H$28,"entbehrlich")=COUNTA($H$27:$H$28),"nein",IF(COUNTIF($H$27:$H$28,"ja")+COUNTIF($H$27:$H$28,"entbehrlich")+COUNTIF($H$27:$H$28,"verwiesen")=COUNTA($H$27:$H$28),"ja","teilweise"))))))</f>
        <v>Bitte Teilanforderungen ausfüllen</v>
      </c>
      <c r="I26" s="12"/>
      <c r="J26" s="12"/>
      <c r="K26" s="12"/>
      <c r="L26" s="12"/>
      <c r="M26" s="12"/>
      <c r="N26" s="5"/>
      <c r="O26" s="12"/>
      <c r="P26" s="5" t="s">
        <v>686</v>
      </c>
      <c r="Q26" s="12" t="s">
        <v>687</v>
      </c>
      <c r="R26" s="12" t="s">
        <v>688</v>
      </c>
      <c r="S26" s="5" t="s">
        <v>689</v>
      </c>
      <c r="T26" s="5" t="s">
        <v>306</v>
      </c>
      <c r="U26" s="12" t="n">
        <v>2</v>
      </c>
      <c r="V26" s="12" t="n">
        <v>1</v>
      </c>
      <c r="W26" s="12" t="n">
        <v>1</v>
      </c>
      <c r="X26" s="12" t="n">
        <v>1</v>
      </c>
      <c r="Y26" s="12" t="n">
        <v>0</v>
      </c>
    </row>
    <row r="27" customFormat="false" ht="122.25" hidden="false" customHeight="true" outlineLevel="0" collapsed="false">
      <c r="A27" s="12" t="s">
        <v>684</v>
      </c>
      <c r="B27" s="5" t="s">
        <v>685</v>
      </c>
      <c r="C27" s="12" t="s">
        <v>684</v>
      </c>
      <c r="D27" s="12" t="s">
        <v>120</v>
      </c>
      <c r="E27" s="5" t="s">
        <v>690</v>
      </c>
      <c r="F27" s="14"/>
      <c r="G27" s="14"/>
      <c r="H27" s="14" t="s">
        <v>87</v>
      </c>
      <c r="I27" s="14"/>
      <c r="J27" s="14"/>
      <c r="K27" s="14"/>
      <c r="L27" s="15"/>
      <c r="M27" s="12"/>
      <c r="N27" s="5"/>
      <c r="O27" s="12"/>
      <c r="P27" s="5" t="s">
        <v>686</v>
      </c>
      <c r="Q27" s="12" t="s">
        <v>687</v>
      </c>
      <c r="R27" s="12" t="s">
        <v>688</v>
      </c>
      <c r="S27" s="5" t="s">
        <v>689</v>
      </c>
      <c r="T27" s="5" t="s">
        <v>306</v>
      </c>
      <c r="U27" s="12" t="n">
        <v>2</v>
      </c>
      <c r="V27" s="12" t="n">
        <v>1</v>
      </c>
      <c r="W27" s="12" t="n">
        <v>1</v>
      </c>
      <c r="X27" s="12" t="n">
        <v>1</v>
      </c>
      <c r="Y27" s="12" t="n">
        <v>0</v>
      </c>
    </row>
    <row r="28" customFormat="false" ht="81.75" hidden="false" customHeight="true" outlineLevel="0" collapsed="false">
      <c r="A28" s="12" t="s">
        <v>684</v>
      </c>
      <c r="B28" s="5" t="s">
        <v>685</v>
      </c>
      <c r="C28" s="12" t="s">
        <v>691</v>
      </c>
      <c r="D28" s="12" t="s">
        <v>120</v>
      </c>
      <c r="E28" s="5" t="s">
        <v>692</v>
      </c>
      <c r="F28" s="14"/>
      <c r="G28" s="14"/>
      <c r="H28" s="14" t="s">
        <v>87</v>
      </c>
      <c r="I28" s="14"/>
      <c r="J28" s="14"/>
      <c r="K28" s="14"/>
      <c r="L28" s="15"/>
      <c r="M28" s="12"/>
      <c r="N28" s="5"/>
      <c r="O28" s="12"/>
      <c r="P28" s="5" t="s">
        <v>693</v>
      </c>
      <c r="Q28" s="12" t="s">
        <v>687</v>
      </c>
      <c r="R28" s="12" t="s">
        <v>688</v>
      </c>
      <c r="S28" s="5" t="s">
        <v>694</v>
      </c>
      <c r="T28" s="5" t="s">
        <v>109</v>
      </c>
      <c r="U28" s="12" t="n">
        <v>2</v>
      </c>
      <c r="V28" s="12" t="n">
        <v>1</v>
      </c>
      <c r="W28" s="12" t="n">
        <v>1</v>
      </c>
      <c r="X28" s="12" t="n">
        <v>1</v>
      </c>
      <c r="Y28" s="12" t="n">
        <v>0</v>
      </c>
    </row>
    <row r="29" customFormat="false" ht="68.25" hidden="false" customHeight="true" outlineLevel="0" collapsed="false">
      <c r="A29" s="10" t="s">
        <v>695</v>
      </c>
      <c r="B29" s="11" t="s">
        <v>696</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c r="O29" s="12"/>
      <c r="P29" s="5" t="s">
        <v>697</v>
      </c>
      <c r="Q29" s="12" t="s">
        <v>644</v>
      </c>
      <c r="R29" s="12" t="s">
        <v>688</v>
      </c>
      <c r="S29" s="5" t="s">
        <v>698</v>
      </c>
      <c r="T29" s="5" t="s">
        <v>306</v>
      </c>
      <c r="U29" s="12" t="n">
        <v>4</v>
      </c>
      <c r="V29" s="12" t="n">
        <v>1</v>
      </c>
      <c r="W29" s="12" t="n">
        <v>1</v>
      </c>
      <c r="X29" s="12" t="n">
        <v>1</v>
      </c>
      <c r="Y29" s="12" t="n">
        <v>0</v>
      </c>
    </row>
    <row r="30" customFormat="false" ht="68.25" hidden="false" customHeight="true" outlineLevel="0" collapsed="false">
      <c r="A30" s="12" t="s">
        <v>695</v>
      </c>
      <c r="B30" s="5" t="s">
        <v>696</v>
      </c>
      <c r="C30" s="12" t="s">
        <v>695</v>
      </c>
      <c r="D30" s="12" t="s">
        <v>120</v>
      </c>
      <c r="E30" s="5" t="s">
        <v>699</v>
      </c>
      <c r="F30" s="14"/>
      <c r="G30" s="14"/>
      <c r="H30" s="14" t="s">
        <v>87</v>
      </c>
      <c r="I30" s="14"/>
      <c r="J30" s="14"/>
      <c r="K30" s="14"/>
      <c r="L30" s="15"/>
      <c r="M30" s="12"/>
      <c r="N30" s="5"/>
      <c r="O30" s="12"/>
      <c r="P30" s="5" t="s">
        <v>697</v>
      </c>
      <c r="Q30" s="12" t="s">
        <v>644</v>
      </c>
      <c r="R30" s="12" t="s">
        <v>688</v>
      </c>
      <c r="S30" s="5" t="s">
        <v>698</v>
      </c>
      <c r="T30" s="5" t="s">
        <v>306</v>
      </c>
      <c r="U30" s="12" t="n">
        <v>4</v>
      </c>
      <c r="V30" s="12" t="n">
        <v>1</v>
      </c>
      <c r="W30" s="12" t="n">
        <v>1</v>
      </c>
      <c r="X30" s="12" t="n">
        <v>1</v>
      </c>
      <c r="Y30" s="12" t="n">
        <v>0</v>
      </c>
    </row>
    <row r="31" customFormat="false" ht="350.25" hidden="false" customHeight="true" outlineLevel="0" collapsed="false">
      <c r="A31" s="10" t="s">
        <v>700</v>
      </c>
      <c r="B31" s="11" t="s">
        <v>701</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c r="N31" s="5"/>
      <c r="O31" s="12"/>
      <c r="P31" s="5" t="s">
        <v>702</v>
      </c>
      <c r="Q31" s="12"/>
      <c r="R31" s="12" t="s">
        <v>688</v>
      </c>
      <c r="S31" s="5" t="s">
        <v>703</v>
      </c>
      <c r="T31" s="5" t="s">
        <v>704</v>
      </c>
      <c r="U31" s="12" t="n">
        <v>3</v>
      </c>
      <c r="V31" s="12" t="n">
        <v>1</v>
      </c>
      <c r="W31" s="12" t="n">
        <v>0</v>
      </c>
      <c r="X31" s="12" t="n">
        <v>0</v>
      </c>
      <c r="Y31" s="12" t="n">
        <v>0</v>
      </c>
    </row>
    <row r="32" customFormat="false" ht="350.25" hidden="false" customHeight="true" outlineLevel="0" collapsed="false">
      <c r="A32" s="12" t="s">
        <v>700</v>
      </c>
      <c r="B32" s="5" t="s">
        <v>701</v>
      </c>
      <c r="C32" s="12" t="s">
        <v>700</v>
      </c>
      <c r="D32" s="12" t="s">
        <v>120</v>
      </c>
      <c r="E32" s="5" t="s">
        <v>705</v>
      </c>
      <c r="F32" s="14"/>
      <c r="G32" s="14"/>
      <c r="H32" s="14" t="s">
        <v>87</v>
      </c>
      <c r="I32" s="14"/>
      <c r="J32" s="14"/>
      <c r="K32" s="14"/>
      <c r="L32" s="15"/>
      <c r="M32" s="12"/>
      <c r="N32" s="5"/>
      <c r="O32" s="12"/>
      <c r="P32" s="5" t="s">
        <v>702</v>
      </c>
      <c r="Q32" s="12"/>
      <c r="R32" s="12" t="s">
        <v>688</v>
      </c>
      <c r="S32" s="5" t="s">
        <v>703</v>
      </c>
      <c r="T32" s="5" t="s">
        <v>704</v>
      </c>
      <c r="U32" s="12" t="n">
        <v>3</v>
      </c>
      <c r="V32" s="12" t="n">
        <v>1</v>
      </c>
      <c r="W32" s="12" t="n">
        <v>0</v>
      </c>
      <c r="X32" s="12" t="n">
        <v>0</v>
      </c>
      <c r="Y32" s="12" t="n">
        <v>0</v>
      </c>
    </row>
    <row r="33" customFormat="false" ht="81.75" hidden="false" customHeight="true" outlineLevel="0" collapsed="false">
      <c r="A33" s="10" t="s">
        <v>706</v>
      </c>
      <c r="B33" s="11" t="s">
        <v>707</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72</v>
      </c>
      <c r="N33" s="5"/>
      <c r="O33" s="12"/>
      <c r="P33" s="5" t="s">
        <v>708</v>
      </c>
      <c r="Q33" s="12" t="s">
        <v>226</v>
      </c>
      <c r="R33" s="12" t="s">
        <v>688</v>
      </c>
      <c r="S33" s="5" t="s">
        <v>707</v>
      </c>
      <c r="T33" s="5" t="s">
        <v>621</v>
      </c>
      <c r="U33" s="12" t="n">
        <v>3</v>
      </c>
      <c r="V33" s="12" t="n">
        <v>2</v>
      </c>
      <c r="W33" s="12" t="n">
        <v>1</v>
      </c>
      <c r="X33" s="12" t="n">
        <v>1</v>
      </c>
      <c r="Y33" s="12" t="n">
        <v>0</v>
      </c>
    </row>
    <row r="34" customFormat="false" ht="81.75" hidden="false" customHeight="true" outlineLevel="0" collapsed="false">
      <c r="A34" s="12" t="s">
        <v>706</v>
      </c>
      <c r="B34" s="5" t="s">
        <v>707</v>
      </c>
      <c r="C34" s="12" t="s">
        <v>706</v>
      </c>
      <c r="D34" s="12" t="s">
        <v>120</v>
      </c>
      <c r="E34" s="5" t="s">
        <v>709</v>
      </c>
      <c r="F34" s="14"/>
      <c r="G34" s="14"/>
      <c r="H34" s="14" t="s">
        <v>87</v>
      </c>
      <c r="I34" s="14"/>
      <c r="J34" s="14"/>
      <c r="K34" s="14"/>
      <c r="L34" s="15"/>
      <c r="M34" s="12" t="s">
        <v>72</v>
      </c>
      <c r="N34" s="5"/>
      <c r="O34" s="12"/>
      <c r="P34" s="5" t="s">
        <v>708</v>
      </c>
      <c r="Q34" s="12" t="s">
        <v>226</v>
      </c>
      <c r="R34" s="12" t="s">
        <v>688</v>
      </c>
      <c r="S34" s="5" t="s">
        <v>707</v>
      </c>
      <c r="T34" s="5" t="s">
        <v>621</v>
      </c>
      <c r="U34" s="12" t="n">
        <v>3</v>
      </c>
      <c r="V34" s="12" t="n">
        <v>2</v>
      </c>
      <c r="W34" s="12" t="n">
        <v>1</v>
      </c>
      <c r="X34" s="12" t="n">
        <v>1</v>
      </c>
      <c r="Y34" s="12" t="n">
        <v>0</v>
      </c>
    </row>
    <row r="35" customFormat="false" ht="404.25" hidden="false" customHeight="true" outlineLevel="0" collapsed="false">
      <c r="A35" s="10" t="s">
        <v>710</v>
      </c>
      <c r="B35" s="11" t="s">
        <v>711</v>
      </c>
      <c r="C35" s="12"/>
      <c r="D35" s="12" t="s">
        <v>160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712</v>
      </c>
      <c r="Q35" s="12" t="s">
        <v>644</v>
      </c>
      <c r="R35" s="12" t="s">
        <v>688</v>
      </c>
      <c r="S35" s="5" t="s">
        <v>713</v>
      </c>
      <c r="T35" s="5" t="s">
        <v>306</v>
      </c>
      <c r="U35" s="12" t="n">
        <v>5</v>
      </c>
      <c r="V35" s="12" t="n">
        <v>1</v>
      </c>
      <c r="W35" s="12" t="n">
        <v>1</v>
      </c>
      <c r="X35" s="12" t="n">
        <v>1</v>
      </c>
      <c r="Y35" s="12" t="n">
        <v>0</v>
      </c>
    </row>
    <row r="36" customFormat="false" ht="404.25" hidden="false" customHeight="true" outlineLevel="0" collapsed="false">
      <c r="A36" s="12" t="s">
        <v>710</v>
      </c>
      <c r="B36" s="5" t="s">
        <v>711</v>
      </c>
      <c r="C36" s="12" t="s">
        <v>710</v>
      </c>
      <c r="D36" s="12" t="s">
        <v>160</v>
      </c>
      <c r="E36" s="5" t="s">
        <v>714</v>
      </c>
      <c r="F36" s="14"/>
      <c r="G36" s="14"/>
      <c r="H36" s="14" t="s">
        <v>87</v>
      </c>
      <c r="I36" s="14"/>
      <c r="J36" s="14"/>
      <c r="K36" s="14"/>
      <c r="L36" s="15"/>
      <c r="M36" s="12"/>
      <c r="N36" s="5"/>
      <c r="O36" s="12"/>
      <c r="P36" s="5" t="s">
        <v>712</v>
      </c>
      <c r="Q36" s="12" t="s">
        <v>644</v>
      </c>
      <c r="R36" s="12" t="s">
        <v>688</v>
      </c>
      <c r="S36" s="5" t="s">
        <v>713</v>
      </c>
      <c r="T36" s="5" t="s">
        <v>306</v>
      </c>
      <c r="U36" s="12" t="n">
        <v>5</v>
      </c>
      <c r="V36" s="12" t="n">
        <v>1</v>
      </c>
      <c r="W36" s="12" t="n">
        <v>1</v>
      </c>
      <c r="X36" s="12" t="n">
        <v>1</v>
      </c>
      <c r="Y36" s="12" t="n">
        <v>0</v>
      </c>
    </row>
    <row r="37" customFormat="false" ht="323.25" hidden="false" customHeight="true" outlineLevel="0" collapsed="false">
      <c r="A37" s="10" t="s">
        <v>715</v>
      </c>
      <c r="B37" s="11" t="s">
        <v>716</v>
      </c>
      <c r="C37" s="12"/>
      <c r="D37" s="12" t="s">
        <v>160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c r="N37" s="5"/>
      <c r="O37" s="12"/>
      <c r="P37" s="5" t="s">
        <v>717</v>
      </c>
      <c r="Q37" s="12" t="s">
        <v>718</v>
      </c>
      <c r="R37" s="12" t="s">
        <v>688</v>
      </c>
      <c r="S37" s="5" t="s">
        <v>719</v>
      </c>
      <c r="T37" s="5" t="s">
        <v>306</v>
      </c>
      <c r="U37" s="12" t="n">
        <v>5</v>
      </c>
      <c r="V37" s="12" t="n">
        <v>1</v>
      </c>
      <c r="W37" s="12" t="n">
        <v>1</v>
      </c>
      <c r="X37" s="12" t="n">
        <v>1</v>
      </c>
      <c r="Y37" s="12" t="n">
        <v>0</v>
      </c>
    </row>
    <row r="38" customFormat="false" ht="323.25" hidden="false" customHeight="true" outlineLevel="0" collapsed="false">
      <c r="A38" s="12" t="s">
        <v>715</v>
      </c>
      <c r="B38" s="5" t="s">
        <v>716</v>
      </c>
      <c r="C38" s="12" t="s">
        <v>715</v>
      </c>
      <c r="D38" s="12" t="s">
        <v>160</v>
      </c>
      <c r="E38" s="5" t="s">
        <v>720</v>
      </c>
      <c r="F38" s="14"/>
      <c r="G38" s="14"/>
      <c r="H38" s="14" t="s">
        <v>87</v>
      </c>
      <c r="I38" s="14"/>
      <c r="J38" s="14"/>
      <c r="K38" s="14"/>
      <c r="L38" s="15"/>
      <c r="M38" s="12"/>
      <c r="N38" s="5"/>
      <c r="O38" s="12"/>
      <c r="P38" s="5" t="s">
        <v>717</v>
      </c>
      <c r="Q38" s="12" t="s">
        <v>718</v>
      </c>
      <c r="R38" s="12" t="s">
        <v>688</v>
      </c>
      <c r="S38" s="5" t="s">
        <v>719</v>
      </c>
      <c r="T38" s="5" t="s">
        <v>306</v>
      </c>
      <c r="U38" s="12" t="n">
        <v>5</v>
      </c>
      <c r="V38" s="12" t="n">
        <v>1</v>
      </c>
      <c r="W38" s="12" t="n">
        <v>1</v>
      </c>
      <c r="X38" s="12" t="n">
        <v>1</v>
      </c>
      <c r="Y38" s="12" t="n">
        <v>0</v>
      </c>
    </row>
    <row r="39" customFormat="false" ht="297" hidden="false" customHeight="true" outlineLevel="0" collapsed="false">
      <c r="A39" s="10" t="s">
        <v>721</v>
      </c>
      <c r="B39" s="11" t="s">
        <v>722</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723</v>
      </c>
      <c r="Q39" s="12" t="s">
        <v>718</v>
      </c>
      <c r="R39" s="12" t="s">
        <v>688</v>
      </c>
      <c r="S39" s="5" t="s">
        <v>724</v>
      </c>
      <c r="T39" s="5" t="s">
        <v>306</v>
      </c>
      <c r="U39" s="12" t="n">
        <v>5</v>
      </c>
      <c r="V39" s="12" t="n">
        <v>1</v>
      </c>
      <c r="W39" s="12" t="n">
        <v>1</v>
      </c>
      <c r="X39" s="12" t="n">
        <v>1</v>
      </c>
      <c r="Y39" s="12" t="n">
        <v>0</v>
      </c>
    </row>
    <row r="40" customFormat="false" ht="297" hidden="false" customHeight="true" outlineLevel="0" collapsed="false">
      <c r="A40" s="12" t="s">
        <v>721</v>
      </c>
      <c r="B40" s="5" t="s">
        <v>722</v>
      </c>
      <c r="C40" s="12" t="s">
        <v>721</v>
      </c>
      <c r="D40" s="12" t="s">
        <v>160</v>
      </c>
      <c r="E40" s="5" t="s">
        <v>725</v>
      </c>
      <c r="F40" s="14"/>
      <c r="G40" s="14"/>
      <c r="H40" s="14" t="s">
        <v>87</v>
      </c>
      <c r="I40" s="14"/>
      <c r="J40" s="14"/>
      <c r="K40" s="14"/>
      <c r="L40" s="15"/>
      <c r="M40" s="12"/>
      <c r="N40" s="5"/>
      <c r="O40" s="12"/>
      <c r="P40" s="5" t="s">
        <v>723</v>
      </c>
      <c r="Q40" s="12" t="s">
        <v>718</v>
      </c>
      <c r="R40" s="12" t="s">
        <v>688</v>
      </c>
      <c r="S40" s="5" t="s">
        <v>724</v>
      </c>
      <c r="T40" s="5" t="s">
        <v>306</v>
      </c>
      <c r="U40" s="12" t="n">
        <v>5</v>
      </c>
      <c r="V40" s="12" t="n">
        <v>1</v>
      </c>
      <c r="W40" s="12" t="n">
        <v>1</v>
      </c>
      <c r="X40" s="12" t="n">
        <v>1</v>
      </c>
      <c r="Y40" s="12" t="n">
        <v>0</v>
      </c>
    </row>
    <row r="41" customFormat="false" ht="216" hidden="false" customHeight="true" outlineLevel="0" collapsed="false">
      <c r="A41" s="10" t="s">
        <v>726</v>
      </c>
      <c r="B41" s="11" t="s">
        <v>727</v>
      </c>
      <c r="C41" s="12"/>
      <c r="D41" s="12" t="s">
        <v>160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c r="N41" s="5"/>
      <c r="O41" s="12"/>
      <c r="P41" s="5" t="s">
        <v>728</v>
      </c>
      <c r="Q41" s="12" t="s">
        <v>718</v>
      </c>
      <c r="R41" s="12" t="s">
        <v>688</v>
      </c>
      <c r="S41" s="5" t="s">
        <v>729</v>
      </c>
      <c r="T41" s="5" t="s">
        <v>306</v>
      </c>
      <c r="U41" s="12" t="n">
        <v>5</v>
      </c>
      <c r="V41" s="12" t="n">
        <v>1</v>
      </c>
      <c r="W41" s="12" t="n">
        <v>1</v>
      </c>
      <c r="X41" s="12" t="n">
        <v>1</v>
      </c>
      <c r="Y41" s="12" t="n">
        <v>0</v>
      </c>
    </row>
    <row r="42" customFormat="false" ht="216" hidden="false" customHeight="true" outlineLevel="0" collapsed="false">
      <c r="A42" s="12" t="s">
        <v>726</v>
      </c>
      <c r="B42" s="5" t="s">
        <v>727</v>
      </c>
      <c r="C42" s="12" t="s">
        <v>726</v>
      </c>
      <c r="D42" s="12" t="s">
        <v>160</v>
      </c>
      <c r="E42" s="5" t="s">
        <v>730</v>
      </c>
      <c r="F42" s="14"/>
      <c r="G42" s="14"/>
      <c r="H42" s="14" t="s">
        <v>87</v>
      </c>
      <c r="I42" s="14"/>
      <c r="J42" s="14"/>
      <c r="K42" s="14"/>
      <c r="L42" s="15"/>
      <c r="M42" s="12"/>
      <c r="N42" s="5"/>
      <c r="O42" s="12"/>
      <c r="P42" s="5" t="s">
        <v>728</v>
      </c>
      <c r="Q42" s="12" t="s">
        <v>718</v>
      </c>
      <c r="R42" s="12" t="s">
        <v>688</v>
      </c>
      <c r="S42" s="5" t="s">
        <v>729</v>
      </c>
      <c r="T42" s="5" t="s">
        <v>306</v>
      </c>
      <c r="U42" s="12" t="n">
        <v>5</v>
      </c>
      <c r="V42" s="12" t="n">
        <v>1</v>
      </c>
      <c r="W42" s="12" t="n">
        <v>1</v>
      </c>
      <c r="X42" s="12" t="n">
        <v>1</v>
      </c>
      <c r="Y42" s="12" t="n">
        <v>0</v>
      </c>
    </row>
    <row r="43" customFormat="false" ht="68.25" hidden="false" customHeight="true" outlineLevel="0" collapsed="false">
      <c r="A43" s="10" t="s">
        <v>731</v>
      </c>
      <c r="B43" s="11" t="s">
        <v>732</v>
      </c>
      <c r="C43" s="12"/>
      <c r="D43" s="12" t="s">
        <v>160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c r="N43" s="5"/>
      <c r="O43" s="12"/>
      <c r="P43" s="5" t="s">
        <v>733</v>
      </c>
      <c r="Q43" s="12" t="s">
        <v>644</v>
      </c>
      <c r="R43" s="12" t="s">
        <v>688</v>
      </c>
      <c r="S43" s="5" t="s">
        <v>734</v>
      </c>
      <c r="T43" s="5" t="s">
        <v>306</v>
      </c>
      <c r="U43" s="12" t="n">
        <v>5</v>
      </c>
      <c r="V43" s="12" t="n">
        <v>1</v>
      </c>
      <c r="W43" s="12" t="n">
        <v>1</v>
      </c>
      <c r="X43" s="12" t="n">
        <v>1</v>
      </c>
      <c r="Y43" s="12" t="n">
        <v>0</v>
      </c>
    </row>
    <row r="44" customFormat="false" ht="68.25" hidden="false" customHeight="true" outlineLevel="0" collapsed="false">
      <c r="A44" s="12" t="s">
        <v>731</v>
      </c>
      <c r="B44" s="5" t="s">
        <v>732</v>
      </c>
      <c r="C44" s="12" t="s">
        <v>731</v>
      </c>
      <c r="D44" s="12" t="s">
        <v>160</v>
      </c>
      <c r="E44" s="5" t="s">
        <v>735</v>
      </c>
      <c r="F44" s="14"/>
      <c r="G44" s="14"/>
      <c r="H44" s="14" t="s">
        <v>87</v>
      </c>
      <c r="I44" s="14"/>
      <c r="J44" s="14"/>
      <c r="K44" s="14"/>
      <c r="L44" s="15"/>
      <c r="M44" s="12"/>
      <c r="N44" s="5"/>
      <c r="O44" s="12"/>
      <c r="P44" s="5" t="s">
        <v>733</v>
      </c>
      <c r="Q44" s="12" t="s">
        <v>644</v>
      </c>
      <c r="R44" s="12" t="s">
        <v>688</v>
      </c>
      <c r="S44" s="5" t="s">
        <v>734</v>
      </c>
      <c r="T44" s="5" t="s">
        <v>306</v>
      </c>
      <c r="U44" s="12" t="n">
        <v>5</v>
      </c>
      <c r="V44" s="12" t="n">
        <v>1</v>
      </c>
      <c r="W44" s="12" t="n">
        <v>1</v>
      </c>
      <c r="X44" s="12" t="n">
        <v>1</v>
      </c>
      <c r="Y44" s="12" t="n">
        <v>0</v>
      </c>
    </row>
    <row r="45" customFormat="false" ht="162" hidden="false" customHeight="true" outlineLevel="0" collapsed="false">
      <c r="A45" s="10" t="s">
        <v>736</v>
      </c>
      <c r="B45" s="11" t="s">
        <v>737</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738</v>
      </c>
      <c r="Q45" s="12" t="s">
        <v>644</v>
      </c>
      <c r="R45" s="12" t="s">
        <v>688</v>
      </c>
      <c r="S45" s="5" t="s">
        <v>739</v>
      </c>
      <c r="T45" s="5" t="s">
        <v>306</v>
      </c>
      <c r="U45" s="12" t="n">
        <v>3</v>
      </c>
      <c r="V45" s="12" t="n">
        <v>1</v>
      </c>
      <c r="W45" s="12" t="n">
        <v>1</v>
      </c>
      <c r="X45" s="12" t="n">
        <v>1</v>
      </c>
      <c r="Y45" s="12" t="n">
        <v>0</v>
      </c>
    </row>
    <row r="46" customFormat="false" ht="162" hidden="false" customHeight="true" outlineLevel="0" collapsed="false">
      <c r="A46" s="12" t="s">
        <v>736</v>
      </c>
      <c r="B46" s="5" t="s">
        <v>737</v>
      </c>
      <c r="C46" s="12" t="s">
        <v>736</v>
      </c>
      <c r="D46" s="12" t="s">
        <v>120</v>
      </c>
      <c r="E46" s="5" t="s">
        <v>740</v>
      </c>
      <c r="F46" s="14"/>
      <c r="G46" s="14"/>
      <c r="H46" s="14" t="s">
        <v>87</v>
      </c>
      <c r="I46" s="14"/>
      <c r="J46" s="14"/>
      <c r="K46" s="14"/>
      <c r="L46" s="15"/>
      <c r="M46" s="12"/>
      <c r="N46" s="5"/>
      <c r="O46" s="12"/>
      <c r="P46" s="5" t="s">
        <v>738</v>
      </c>
      <c r="Q46" s="12" t="s">
        <v>644</v>
      </c>
      <c r="R46" s="12" t="s">
        <v>688</v>
      </c>
      <c r="S46" s="5" t="s">
        <v>739</v>
      </c>
      <c r="T46" s="5" t="s">
        <v>306</v>
      </c>
      <c r="U46" s="12" t="n">
        <v>3</v>
      </c>
      <c r="V46" s="12" t="n">
        <v>1</v>
      </c>
      <c r="W46" s="12" t="n">
        <v>1</v>
      </c>
      <c r="X46" s="12" t="n">
        <v>1</v>
      </c>
      <c r="Y46" s="12" t="n">
        <v>0</v>
      </c>
    </row>
    <row r="47" customFormat="false" ht="135.75" hidden="false" customHeight="true" outlineLevel="0" collapsed="false">
      <c r="A47" s="10" t="s">
        <v>741</v>
      </c>
      <c r="B47" s="11" t="s">
        <v>742</v>
      </c>
      <c r="C47" s="12"/>
      <c r="D47" s="12" t="s">
        <v>120</v>
      </c>
      <c r="E47" s="5" t="s">
        <v>79</v>
      </c>
      <c r="F47" s="12"/>
      <c r="G47" s="12"/>
      <c r="H47" s="13" t="str">
        <f aca="false">IF(OR(COUNTBLANK($H$48:$H$49)&gt;0,COUNTIF($H$48:$H$49,"unbearbeitet")=COUNTA($H$48:$H$49)),"Bitte Teilanforderungen ausfüllen",IF(COUNTIF($H$48:$H$49,"zu klären")&gt;0,"zu klären",IF(COUNTIF($H$48:$H$49,"entbehrlich")=COUNTA($H$48:$H$49),"entbehrlich",IF(COUNTIF($H$48:$H$49,"verwiesen")=COUNTA($H$48:$H$49),"verwiesen",IF(COUNTIF($H$48:$H$49,"nein")+COUNTIF($H$48:$H$49,"entbehrlich")=COUNTA($H$48:$H$49),"nein",IF(COUNTIF($H$48:$H$49,"ja")+COUNTIF($H$48:$H$49,"entbehrlich")+COUNTIF($H$48:$H$49,"verwiesen")=COUNTA($H$48:$H$49),"ja","teilweise"))))))</f>
        <v>Bitte Teilanforderungen ausfüllen</v>
      </c>
      <c r="I47" s="12"/>
      <c r="J47" s="12"/>
      <c r="K47" s="12"/>
      <c r="L47" s="12"/>
      <c r="M47" s="12"/>
      <c r="N47" s="5"/>
      <c r="O47" s="12"/>
      <c r="P47" s="5" t="s">
        <v>743</v>
      </c>
      <c r="Q47" s="12" t="s">
        <v>644</v>
      </c>
      <c r="R47" s="12" t="s">
        <v>688</v>
      </c>
      <c r="S47" s="5" t="s">
        <v>744</v>
      </c>
      <c r="T47" s="5" t="s">
        <v>745</v>
      </c>
      <c r="U47" s="12" t="n">
        <v>3</v>
      </c>
      <c r="V47" s="12" t="n">
        <v>1</v>
      </c>
      <c r="W47" s="12" t="n">
        <v>1</v>
      </c>
      <c r="X47" s="12" t="n">
        <v>1</v>
      </c>
      <c r="Y47" s="12" t="n">
        <v>1</v>
      </c>
    </row>
    <row r="48" customFormat="false" ht="135.75" hidden="false" customHeight="true" outlineLevel="0" collapsed="false">
      <c r="A48" s="12" t="s">
        <v>741</v>
      </c>
      <c r="B48" s="5" t="s">
        <v>742</v>
      </c>
      <c r="C48" s="12" t="s">
        <v>741</v>
      </c>
      <c r="D48" s="12" t="s">
        <v>120</v>
      </c>
      <c r="E48" s="5" t="s">
        <v>746</v>
      </c>
      <c r="F48" s="14"/>
      <c r="G48" s="14"/>
      <c r="H48" s="14" t="s">
        <v>87</v>
      </c>
      <c r="I48" s="14"/>
      <c r="J48" s="14"/>
      <c r="K48" s="14"/>
      <c r="L48" s="15"/>
      <c r="M48" s="12"/>
      <c r="N48" s="5"/>
      <c r="O48" s="12"/>
      <c r="P48" s="5" t="s">
        <v>743</v>
      </c>
      <c r="Q48" s="12" t="s">
        <v>644</v>
      </c>
      <c r="R48" s="12" t="s">
        <v>688</v>
      </c>
      <c r="S48" s="5" t="s">
        <v>744</v>
      </c>
      <c r="T48" s="5" t="s">
        <v>745</v>
      </c>
      <c r="U48" s="12" t="n">
        <v>3</v>
      </c>
      <c r="V48" s="12" t="n">
        <v>1</v>
      </c>
      <c r="W48" s="12" t="n">
        <v>1</v>
      </c>
      <c r="X48" s="12" t="n">
        <v>1</v>
      </c>
      <c r="Y48" s="12" t="n">
        <v>1</v>
      </c>
    </row>
    <row r="49" customFormat="false" ht="377.25" hidden="false" customHeight="true" outlineLevel="0" collapsed="false">
      <c r="A49" s="12" t="s">
        <v>741</v>
      </c>
      <c r="B49" s="5" t="s">
        <v>742</v>
      </c>
      <c r="C49" s="12" t="s">
        <v>747</v>
      </c>
      <c r="D49" s="12" t="s">
        <v>120</v>
      </c>
      <c r="E49" s="5" t="s">
        <v>748</v>
      </c>
      <c r="F49" s="14"/>
      <c r="G49" s="14"/>
      <c r="H49" s="14" t="s">
        <v>87</v>
      </c>
      <c r="I49" s="14"/>
      <c r="J49" s="14"/>
      <c r="K49" s="14"/>
      <c r="L49" s="15"/>
      <c r="M49" s="12"/>
      <c r="N49" s="5"/>
      <c r="O49" s="12"/>
      <c r="P49" s="5" t="s">
        <v>749</v>
      </c>
      <c r="Q49" s="12" t="s">
        <v>644</v>
      </c>
      <c r="R49" s="12" t="s">
        <v>688</v>
      </c>
      <c r="S49" s="5" t="s">
        <v>750</v>
      </c>
      <c r="T49" s="5" t="s">
        <v>745</v>
      </c>
      <c r="U49" s="12" t="n">
        <v>4</v>
      </c>
      <c r="V49" s="12" t="n">
        <v>1</v>
      </c>
      <c r="W49" s="12" t="n">
        <v>1</v>
      </c>
      <c r="X49" s="12" t="n">
        <v>1</v>
      </c>
      <c r="Y49" s="12" t="n">
        <v>1</v>
      </c>
    </row>
    <row r="50" customFormat="false" ht="175.5" hidden="false" customHeight="true" outlineLevel="0" collapsed="false">
      <c r="A50" s="10" t="s">
        <v>751</v>
      </c>
      <c r="B50" s="11" t="s">
        <v>752</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c r="N50" s="5"/>
      <c r="O50" s="12"/>
      <c r="P50" s="5" t="s">
        <v>753</v>
      </c>
      <c r="Q50" s="12" t="s">
        <v>644</v>
      </c>
      <c r="R50" s="12" t="s">
        <v>688</v>
      </c>
      <c r="S50" s="5" t="s">
        <v>754</v>
      </c>
      <c r="T50" s="5" t="s">
        <v>745</v>
      </c>
      <c r="U50" s="12" t="n">
        <v>3</v>
      </c>
      <c r="V50" s="12" t="n">
        <v>1</v>
      </c>
      <c r="W50" s="12" t="n">
        <v>1</v>
      </c>
      <c r="X50" s="12" t="n">
        <v>1</v>
      </c>
      <c r="Y50" s="12" t="n">
        <v>1</v>
      </c>
    </row>
    <row r="51" customFormat="false" ht="175.5" hidden="false" customHeight="true" outlineLevel="0" collapsed="false">
      <c r="A51" s="12" t="s">
        <v>751</v>
      </c>
      <c r="B51" s="5" t="s">
        <v>752</v>
      </c>
      <c r="C51" s="12" t="s">
        <v>751</v>
      </c>
      <c r="D51" s="12" t="s">
        <v>120</v>
      </c>
      <c r="E51" s="5" t="s">
        <v>755</v>
      </c>
      <c r="F51" s="14"/>
      <c r="G51" s="14"/>
      <c r="H51" s="14" t="s">
        <v>87</v>
      </c>
      <c r="I51" s="14"/>
      <c r="J51" s="14"/>
      <c r="K51" s="14"/>
      <c r="L51" s="15"/>
      <c r="M51" s="12"/>
      <c r="N51" s="5"/>
      <c r="O51" s="12"/>
      <c r="P51" s="5" t="s">
        <v>753</v>
      </c>
      <c r="Q51" s="12" t="s">
        <v>644</v>
      </c>
      <c r="R51" s="12" t="s">
        <v>688</v>
      </c>
      <c r="S51" s="5" t="s">
        <v>754</v>
      </c>
      <c r="T51" s="5" t="s">
        <v>745</v>
      </c>
      <c r="U51" s="12" t="n">
        <v>3</v>
      </c>
      <c r="V51" s="12" t="n">
        <v>1</v>
      </c>
      <c r="W51" s="12" t="n">
        <v>1</v>
      </c>
      <c r="X51" s="12" t="n">
        <v>1</v>
      </c>
      <c r="Y51" s="12" t="n">
        <v>1</v>
      </c>
    </row>
    <row r="52" customFormat="false" ht="41.25" hidden="false" customHeight="true" outlineLevel="0" collapsed="false">
      <c r="A52" s="10" t="s">
        <v>756</v>
      </c>
      <c r="B52" s="11" t="s">
        <v>757</v>
      </c>
      <c r="C52" s="12"/>
      <c r="D52" s="12" t="s">
        <v>120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c r="N52" s="5"/>
      <c r="O52" s="12"/>
      <c r="P52" s="5" t="s">
        <v>758</v>
      </c>
      <c r="Q52" s="12" t="s">
        <v>759</v>
      </c>
      <c r="R52" s="12" t="s">
        <v>92</v>
      </c>
      <c r="S52" s="5" t="s">
        <v>760</v>
      </c>
      <c r="T52" s="5" t="s">
        <v>306</v>
      </c>
      <c r="U52" s="12" t="n">
        <v>3</v>
      </c>
      <c r="V52" s="12" t="n">
        <v>1</v>
      </c>
      <c r="W52" s="12" t="n">
        <v>1</v>
      </c>
      <c r="X52" s="12" t="n">
        <v>1</v>
      </c>
      <c r="Y52" s="12" t="n">
        <v>0</v>
      </c>
    </row>
    <row r="53" customFormat="false" ht="41.25" hidden="false" customHeight="true" outlineLevel="0" collapsed="false">
      <c r="A53" s="12" t="s">
        <v>756</v>
      </c>
      <c r="B53" s="5" t="s">
        <v>757</v>
      </c>
      <c r="C53" s="12" t="s">
        <v>756</v>
      </c>
      <c r="D53" s="12" t="s">
        <v>120</v>
      </c>
      <c r="E53" s="5" t="s">
        <v>761</v>
      </c>
      <c r="F53" s="14"/>
      <c r="G53" s="14"/>
      <c r="H53" s="14" t="s">
        <v>87</v>
      </c>
      <c r="I53" s="14"/>
      <c r="J53" s="14"/>
      <c r="K53" s="14"/>
      <c r="L53" s="15"/>
      <c r="M53" s="12"/>
      <c r="N53" s="5"/>
      <c r="O53" s="12"/>
      <c r="P53" s="5" t="s">
        <v>758</v>
      </c>
      <c r="Q53" s="12" t="s">
        <v>759</v>
      </c>
      <c r="R53" s="12" t="s">
        <v>92</v>
      </c>
      <c r="S53" s="5" t="s">
        <v>760</v>
      </c>
      <c r="T53" s="5" t="s">
        <v>306</v>
      </c>
      <c r="U53" s="12" t="n">
        <v>3</v>
      </c>
      <c r="V53" s="12" t="n">
        <v>1</v>
      </c>
      <c r="W53" s="12" t="n">
        <v>1</v>
      </c>
      <c r="X53" s="12" t="n">
        <v>1</v>
      </c>
      <c r="Y53" s="12" t="n">
        <v>0</v>
      </c>
    </row>
    <row r="54" customFormat="false" ht="122.25" hidden="false" customHeight="true" outlineLevel="0" collapsed="false">
      <c r="A54" s="10" t="s">
        <v>762</v>
      </c>
      <c r="B54" s="11" t="s">
        <v>763</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c r="N54" s="5"/>
      <c r="O54" s="12"/>
      <c r="P54" s="5" t="s">
        <v>764</v>
      </c>
      <c r="Q54" s="12"/>
      <c r="R54" s="12" t="s">
        <v>92</v>
      </c>
      <c r="S54" s="5" t="s">
        <v>765</v>
      </c>
      <c r="T54" s="5" t="s">
        <v>306</v>
      </c>
      <c r="U54" s="12" t="n">
        <v>4</v>
      </c>
      <c r="V54" s="12" t="n">
        <v>1</v>
      </c>
      <c r="W54" s="12" t="n">
        <v>1</v>
      </c>
      <c r="X54" s="12" t="n">
        <v>1</v>
      </c>
      <c r="Y54" s="12" t="n">
        <v>0</v>
      </c>
    </row>
    <row r="55" customFormat="false" ht="122.25" hidden="false" customHeight="true" outlineLevel="0" collapsed="false">
      <c r="A55" s="12" t="s">
        <v>762</v>
      </c>
      <c r="B55" s="5" t="s">
        <v>763</v>
      </c>
      <c r="C55" s="12" t="s">
        <v>762</v>
      </c>
      <c r="D55" s="12" t="s">
        <v>120</v>
      </c>
      <c r="E55" s="5" t="s">
        <v>766</v>
      </c>
      <c r="F55" s="14"/>
      <c r="G55" s="14"/>
      <c r="H55" s="14" t="s">
        <v>87</v>
      </c>
      <c r="I55" s="14"/>
      <c r="J55" s="14"/>
      <c r="K55" s="14"/>
      <c r="L55" s="15"/>
      <c r="M55" s="12"/>
      <c r="N55" s="5"/>
      <c r="O55" s="12"/>
      <c r="P55" s="5" t="s">
        <v>764</v>
      </c>
      <c r="Q55" s="12"/>
      <c r="R55" s="12" t="s">
        <v>92</v>
      </c>
      <c r="S55" s="5" t="s">
        <v>765</v>
      </c>
      <c r="T55" s="5" t="s">
        <v>306</v>
      </c>
      <c r="U55" s="12" t="n">
        <v>4</v>
      </c>
      <c r="V55" s="12" t="n">
        <v>1</v>
      </c>
      <c r="W55" s="12" t="n">
        <v>1</v>
      </c>
      <c r="X55" s="12" t="n">
        <v>1</v>
      </c>
      <c r="Y55" s="12" t="n">
        <v>0</v>
      </c>
    </row>
    <row r="56" customFormat="false" ht="135.75" hidden="false" customHeight="true" outlineLevel="0" collapsed="false">
      <c r="A56" s="10" t="s">
        <v>767</v>
      </c>
      <c r="B56" s="11" t="s">
        <v>768</v>
      </c>
      <c r="C56" s="12"/>
      <c r="D56" s="12" t="s">
        <v>160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c r="N56" s="5"/>
      <c r="O56" s="12"/>
      <c r="P56" s="5" t="s">
        <v>769</v>
      </c>
      <c r="Q56" s="12"/>
      <c r="R56" s="12" t="s">
        <v>92</v>
      </c>
      <c r="S56" s="5" t="s">
        <v>770</v>
      </c>
      <c r="T56" s="5" t="s">
        <v>306</v>
      </c>
      <c r="U56" s="12" t="n">
        <v>5</v>
      </c>
      <c r="V56" s="12" t="n">
        <v>1</v>
      </c>
      <c r="W56" s="12" t="n">
        <v>1</v>
      </c>
      <c r="X56" s="12" t="n">
        <v>1</v>
      </c>
      <c r="Y56" s="12" t="n">
        <v>0</v>
      </c>
    </row>
    <row r="57" customFormat="false" ht="135.75" hidden="false" customHeight="true" outlineLevel="0" collapsed="false">
      <c r="A57" s="12" t="s">
        <v>767</v>
      </c>
      <c r="B57" s="5" t="s">
        <v>768</v>
      </c>
      <c r="C57" s="12" t="s">
        <v>767</v>
      </c>
      <c r="D57" s="12" t="s">
        <v>160</v>
      </c>
      <c r="E57" s="5" t="s">
        <v>771</v>
      </c>
      <c r="F57" s="14"/>
      <c r="G57" s="14"/>
      <c r="H57" s="14" t="s">
        <v>87</v>
      </c>
      <c r="I57" s="14"/>
      <c r="J57" s="14"/>
      <c r="K57" s="14"/>
      <c r="L57" s="15"/>
      <c r="M57" s="12"/>
      <c r="N57" s="5"/>
      <c r="O57" s="12"/>
      <c r="P57" s="5" t="s">
        <v>769</v>
      </c>
      <c r="Q57" s="12"/>
      <c r="R57" s="12" t="s">
        <v>92</v>
      </c>
      <c r="S57" s="5" t="s">
        <v>770</v>
      </c>
      <c r="T57" s="5" t="s">
        <v>306</v>
      </c>
      <c r="U57" s="12" t="n">
        <v>5</v>
      </c>
      <c r="V57" s="12" t="n">
        <v>1</v>
      </c>
      <c r="W57" s="12" t="n">
        <v>1</v>
      </c>
      <c r="X57" s="12" t="n">
        <v>1</v>
      </c>
      <c r="Y57" s="12" t="n">
        <v>0</v>
      </c>
    </row>
    <row r="58" customFormat="false" ht="41.25" hidden="false" customHeight="true" outlineLevel="0" collapsed="false">
      <c r="A58" s="10" t="s">
        <v>772</v>
      </c>
      <c r="B58" s="11" t="s">
        <v>773</v>
      </c>
      <c r="C58" s="12"/>
      <c r="D58" s="12" t="s">
        <v>160</v>
      </c>
      <c r="E58" s="5" t="s">
        <v>79</v>
      </c>
      <c r="F58" s="12"/>
      <c r="G58" s="12"/>
      <c r="H58" s="13" t="str">
        <f aca="false">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Bitte Teilanforderungen ausfüllen</v>
      </c>
      <c r="I58" s="12"/>
      <c r="J58" s="12"/>
      <c r="K58" s="12"/>
      <c r="L58" s="12"/>
      <c r="M58" s="12" t="s">
        <v>72</v>
      </c>
      <c r="N58" s="5"/>
      <c r="O58" s="12"/>
      <c r="P58" s="5" t="s">
        <v>774</v>
      </c>
      <c r="Q58" s="12" t="s">
        <v>644</v>
      </c>
      <c r="R58" s="12" t="s">
        <v>688</v>
      </c>
      <c r="S58" s="5" t="s">
        <v>775</v>
      </c>
      <c r="T58" s="5" t="s">
        <v>776</v>
      </c>
      <c r="U58" s="12" t="n">
        <v>4</v>
      </c>
      <c r="V58" s="12" t="n">
        <v>2</v>
      </c>
      <c r="W58" s="12" t="n">
        <v>1</v>
      </c>
      <c r="X58" s="12" t="n">
        <v>0</v>
      </c>
      <c r="Y58" s="12" t="n">
        <v>1</v>
      </c>
    </row>
    <row r="59" customFormat="false" ht="41.25" hidden="false" customHeight="true" outlineLevel="0" collapsed="false">
      <c r="A59" s="12" t="s">
        <v>772</v>
      </c>
      <c r="B59" s="5" t="s">
        <v>773</v>
      </c>
      <c r="C59" s="12" t="s">
        <v>772</v>
      </c>
      <c r="D59" s="12" t="s">
        <v>160</v>
      </c>
      <c r="E59" s="5" t="s">
        <v>777</v>
      </c>
      <c r="F59" s="14"/>
      <c r="G59" s="14"/>
      <c r="H59" s="14" t="s">
        <v>87</v>
      </c>
      <c r="I59" s="14"/>
      <c r="J59" s="14"/>
      <c r="K59" s="14"/>
      <c r="L59" s="15"/>
      <c r="M59" s="12" t="s">
        <v>72</v>
      </c>
      <c r="N59" s="5"/>
      <c r="O59" s="12"/>
      <c r="P59" s="5" t="s">
        <v>774</v>
      </c>
      <c r="Q59" s="12" t="s">
        <v>644</v>
      </c>
      <c r="R59" s="12" t="s">
        <v>688</v>
      </c>
      <c r="S59" s="5" t="s">
        <v>775</v>
      </c>
      <c r="T59" s="5" t="s">
        <v>776</v>
      </c>
      <c r="U59" s="12" t="n">
        <v>4</v>
      </c>
      <c r="V59" s="12" t="n">
        <v>2</v>
      </c>
      <c r="W59" s="12" t="n">
        <v>1</v>
      </c>
      <c r="X59" s="12" t="n">
        <v>0</v>
      </c>
      <c r="Y59" s="12" t="n">
        <v>1</v>
      </c>
    </row>
    <row r="60" customFormat="false" ht="149.25" hidden="false" customHeight="true" outlineLevel="0" collapsed="false">
      <c r="A60" s="10" t="s">
        <v>778</v>
      </c>
      <c r="B60" s="11" t="s">
        <v>779</v>
      </c>
      <c r="C60" s="12"/>
      <c r="D60" s="12" t="s">
        <v>120</v>
      </c>
      <c r="E60" s="5" t="s">
        <v>79</v>
      </c>
      <c r="F60" s="12"/>
      <c r="G60" s="12"/>
      <c r="H60" s="13" t="str">
        <f aca="false">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Bitte Teilanforderungen ausfüllen</v>
      </c>
      <c r="I60" s="12"/>
      <c r="J60" s="12"/>
      <c r="K60" s="12"/>
      <c r="L60" s="12"/>
      <c r="M60" s="12" t="s">
        <v>72</v>
      </c>
      <c r="N60" s="5" t="s">
        <v>780</v>
      </c>
      <c r="O60" s="12" t="s">
        <v>781</v>
      </c>
      <c r="P60" s="5" t="s">
        <v>782</v>
      </c>
      <c r="Q60" s="12" t="s">
        <v>644</v>
      </c>
      <c r="R60" s="12" t="s">
        <v>688</v>
      </c>
      <c r="S60" s="5" t="s">
        <v>779</v>
      </c>
      <c r="T60" s="5" t="s">
        <v>783</v>
      </c>
      <c r="U60" s="12" t="n">
        <v>3</v>
      </c>
      <c r="V60" s="12" t="n">
        <v>2</v>
      </c>
      <c r="W60" s="12" t="n">
        <v>1</v>
      </c>
      <c r="X60" s="12" t="n">
        <v>1</v>
      </c>
      <c r="Y60" s="12" t="n">
        <v>1</v>
      </c>
    </row>
    <row r="61" customFormat="false" ht="149.25" hidden="false" customHeight="true" outlineLevel="0" collapsed="false">
      <c r="A61" s="12" t="s">
        <v>778</v>
      </c>
      <c r="B61" s="5" t="s">
        <v>779</v>
      </c>
      <c r="C61" s="12" t="s">
        <v>778</v>
      </c>
      <c r="D61" s="12" t="s">
        <v>120</v>
      </c>
      <c r="E61" s="5" t="s">
        <v>784</v>
      </c>
      <c r="F61" s="14"/>
      <c r="G61" s="14"/>
      <c r="H61" s="14" t="s">
        <v>87</v>
      </c>
      <c r="I61" s="14"/>
      <c r="J61" s="14"/>
      <c r="K61" s="14"/>
      <c r="L61" s="15"/>
      <c r="M61" s="12" t="s">
        <v>72</v>
      </c>
      <c r="N61" s="5" t="s">
        <v>780</v>
      </c>
      <c r="O61" s="12" t="s">
        <v>781</v>
      </c>
      <c r="P61" s="5" t="s">
        <v>782</v>
      </c>
      <c r="Q61" s="12" t="s">
        <v>644</v>
      </c>
      <c r="R61" s="12" t="s">
        <v>688</v>
      </c>
      <c r="S61" s="5" t="s">
        <v>779</v>
      </c>
      <c r="T61" s="5" t="s">
        <v>783</v>
      </c>
      <c r="U61" s="12" t="n">
        <v>3</v>
      </c>
      <c r="V61" s="12" t="n">
        <v>2</v>
      </c>
      <c r="W61" s="12" t="n">
        <v>1</v>
      </c>
      <c r="X61" s="12" t="n">
        <v>1</v>
      </c>
      <c r="Y61" s="12" t="n">
        <v>1</v>
      </c>
    </row>
    <row r="62" customFormat="false" ht="484.5" hidden="false" customHeight="true" outlineLevel="0" collapsed="false">
      <c r="A62" s="10" t="s">
        <v>785</v>
      </c>
      <c r="B62" s="11" t="s">
        <v>786</v>
      </c>
      <c r="C62" s="12"/>
      <c r="D62" s="12" t="s">
        <v>120</v>
      </c>
      <c r="E62" s="5" t="s">
        <v>79</v>
      </c>
      <c r="F62" s="12"/>
      <c r="G62" s="12"/>
      <c r="H62" s="13" t="str">
        <f aca="false">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Bitte Teilanforderungen ausfüllen</v>
      </c>
      <c r="I62" s="12"/>
      <c r="J62" s="12"/>
      <c r="K62" s="12"/>
      <c r="L62" s="12"/>
      <c r="M62" s="12" t="s">
        <v>72</v>
      </c>
      <c r="N62" s="5"/>
      <c r="O62" s="12"/>
      <c r="P62" s="5" t="s">
        <v>787</v>
      </c>
      <c r="Q62" s="12"/>
      <c r="R62" s="12" t="s">
        <v>688</v>
      </c>
      <c r="S62" s="5" t="s">
        <v>788</v>
      </c>
      <c r="T62" s="5" t="s">
        <v>776</v>
      </c>
      <c r="U62" s="12" t="n">
        <v>3</v>
      </c>
      <c r="V62" s="12" t="n">
        <v>2</v>
      </c>
      <c r="W62" s="12" t="n">
        <v>1</v>
      </c>
      <c r="X62" s="12" t="n">
        <v>0</v>
      </c>
      <c r="Y62" s="12" t="n">
        <v>0</v>
      </c>
    </row>
    <row r="63" customFormat="false" ht="484.5" hidden="false" customHeight="true" outlineLevel="0" collapsed="false">
      <c r="A63" s="12" t="s">
        <v>785</v>
      </c>
      <c r="B63" s="5" t="s">
        <v>786</v>
      </c>
      <c r="C63" s="12" t="s">
        <v>785</v>
      </c>
      <c r="D63" s="12" t="s">
        <v>120</v>
      </c>
      <c r="E63" s="5" t="s">
        <v>789</v>
      </c>
      <c r="F63" s="14"/>
      <c r="G63" s="14"/>
      <c r="H63" s="14" t="s">
        <v>87</v>
      </c>
      <c r="I63" s="14"/>
      <c r="J63" s="14"/>
      <c r="K63" s="14"/>
      <c r="L63" s="15"/>
      <c r="M63" s="12" t="s">
        <v>72</v>
      </c>
      <c r="N63" s="5"/>
      <c r="O63" s="12"/>
      <c r="P63" s="5" t="s">
        <v>787</v>
      </c>
      <c r="Q63" s="12"/>
      <c r="R63" s="12" t="s">
        <v>688</v>
      </c>
      <c r="S63" s="5" t="s">
        <v>788</v>
      </c>
      <c r="T63" s="5" t="s">
        <v>776</v>
      </c>
      <c r="U63" s="12" t="n">
        <v>3</v>
      </c>
      <c r="V63" s="12" t="n">
        <v>2</v>
      </c>
      <c r="W63" s="12" t="n">
        <v>1</v>
      </c>
      <c r="X63" s="12" t="n">
        <v>0</v>
      </c>
      <c r="Y63" s="12" t="n">
        <v>0</v>
      </c>
    </row>
    <row r="64" customFormat="false" ht="350.25" hidden="false" customHeight="true" outlineLevel="0" collapsed="false">
      <c r="A64" s="10" t="s">
        <v>790</v>
      </c>
      <c r="B64" s="11" t="s">
        <v>791</v>
      </c>
      <c r="C64" s="12"/>
      <c r="D64" s="12" t="s">
        <v>160</v>
      </c>
      <c r="E64" s="5" t="s">
        <v>79</v>
      </c>
      <c r="F64" s="12"/>
      <c r="G64" s="12"/>
      <c r="H64" s="13" t="str">
        <f aca="false">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Bitte Teilanforderungen ausfüllen</v>
      </c>
      <c r="I64" s="12"/>
      <c r="J64" s="12"/>
      <c r="K64" s="12"/>
      <c r="L64" s="12"/>
      <c r="M64" s="12" t="s">
        <v>72</v>
      </c>
      <c r="N64" s="5"/>
      <c r="O64" s="12"/>
      <c r="P64" s="5" t="s">
        <v>792</v>
      </c>
      <c r="Q64" s="12" t="s">
        <v>644</v>
      </c>
      <c r="R64" s="12" t="s">
        <v>793</v>
      </c>
      <c r="S64" s="5" t="s">
        <v>794</v>
      </c>
      <c r="T64" s="5" t="s">
        <v>776</v>
      </c>
      <c r="U64" s="12" t="n">
        <v>5</v>
      </c>
      <c r="V64" s="12" t="n">
        <v>2</v>
      </c>
      <c r="W64" s="12" t="n">
        <v>1</v>
      </c>
      <c r="X64" s="12" t="n">
        <v>0</v>
      </c>
      <c r="Y64" s="12" t="n">
        <v>0</v>
      </c>
    </row>
    <row r="65" customFormat="false" ht="350.25" hidden="false" customHeight="true" outlineLevel="0" collapsed="false">
      <c r="A65" s="12" t="s">
        <v>790</v>
      </c>
      <c r="B65" s="5" t="s">
        <v>791</v>
      </c>
      <c r="C65" s="12" t="s">
        <v>790</v>
      </c>
      <c r="D65" s="12" t="s">
        <v>160</v>
      </c>
      <c r="E65" s="5" t="s">
        <v>795</v>
      </c>
      <c r="F65" s="14"/>
      <c r="G65" s="14"/>
      <c r="H65" s="14" t="s">
        <v>87</v>
      </c>
      <c r="I65" s="14"/>
      <c r="J65" s="14"/>
      <c r="K65" s="14"/>
      <c r="L65" s="15"/>
      <c r="M65" s="12" t="s">
        <v>72</v>
      </c>
      <c r="N65" s="5"/>
      <c r="O65" s="12"/>
      <c r="P65" s="5" t="s">
        <v>792</v>
      </c>
      <c r="Q65" s="12" t="s">
        <v>644</v>
      </c>
      <c r="R65" s="12" t="s">
        <v>793</v>
      </c>
      <c r="S65" s="5" t="s">
        <v>794</v>
      </c>
      <c r="T65" s="5" t="s">
        <v>776</v>
      </c>
      <c r="U65" s="12" t="n">
        <v>5</v>
      </c>
      <c r="V65" s="12" t="n">
        <v>2</v>
      </c>
      <c r="W65" s="12" t="n">
        <v>1</v>
      </c>
      <c r="X65" s="12" t="n">
        <v>0</v>
      </c>
      <c r="Y65" s="12" t="n">
        <v>0</v>
      </c>
    </row>
    <row r="66" customFormat="false" ht="149.25" hidden="false" customHeight="true" outlineLevel="0" collapsed="false">
      <c r="A66" s="10" t="s">
        <v>796</v>
      </c>
      <c r="B66" s="11" t="s">
        <v>797</v>
      </c>
      <c r="C66" s="12"/>
      <c r="D66" s="12" t="s">
        <v>120</v>
      </c>
      <c r="E66" s="5" t="s">
        <v>79</v>
      </c>
      <c r="F66" s="12"/>
      <c r="G66" s="12"/>
      <c r="H66" s="13" t="str">
        <f aca="false">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2"/>
      <c r="J66" s="12"/>
      <c r="K66" s="12"/>
      <c r="L66" s="12"/>
      <c r="M66" s="12" t="s">
        <v>72</v>
      </c>
      <c r="N66" s="5"/>
      <c r="O66" s="12"/>
      <c r="P66" s="5" t="s">
        <v>798</v>
      </c>
      <c r="Q66" s="12" t="s">
        <v>644</v>
      </c>
      <c r="R66" s="12" t="s">
        <v>799</v>
      </c>
      <c r="S66" s="5" t="s">
        <v>800</v>
      </c>
      <c r="T66" s="5" t="s">
        <v>776</v>
      </c>
      <c r="U66" s="12" t="n">
        <v>4</v>
      </c>
      <c r="V66" s="12" t="n">
        <v>2</v>
      </c>
      <c r="W66" s="12" t="n">
        <v>1</v>
      </c>
      <c r="X66" s="12" t="n">
        <v>0</v>
      </c>
      <c r="Y66" s="12" t="n">
        <v>0</v>
      </c>
    </row>
    <row r="67" customFormat="false" ht="149.25" hidden="false" customHeight="true" outlineLevel="0" collapsed="false">
      <c r="A67" s="12" t="s">
        <v>796</v>
      </c>
      <c r="B67" s="5" t="s">
        <v>797</v>
      </c>
      <c r="C67" s="12" t="s">
        <v>796</v>
      </c>
      <c r="D67" s="12" t="s">
        <v>120</v>
      </c>
      <c r="E67" s="5" t="s">
        <v>801</v>
      </c>
      <c r="F67" s="14"/>
      <c r="G67" s="14"/>
      <c r="H67" s="14" t="s">
        <v>87</v>
      </c>
      <c r="I67" s="14"/>
      <c r="J67" s="14"/>
      <c r="K67" s="14"/>
      <c r="L67" s="15"/>
      <c r="M67" s="12" t="s">
        <v>72</v>
      </c>
      <c r="N67" s="5"/>
      <c r="O67" s="12"/>
      <c r="P67" s="5" t="s">
        <v>798</v>
      </c>
      <c r="Q67" s="12" t="s">
        <v>644</v>
      </c>
      <c r="R67" s="12" t="s">
        <v>799</v>
      </c>
      <c r="S67" s="5" t="s">
        <v>800</v>
      </c>
      <c r="T67" s="5" t="s">
        <v>776</v>
      </c>
      <c r="U67" s="12" t="n">
        <v>4</v>
      </c>
      <c r="V67" s="12" t="n">
        <v>2</v>
      </c>
      <c r="W67" s="12" t="n">
        <v>1</v>
      </c>
      <c r="X67" s="12" t="n">
        <v>0</v>
      </c>
      <c r="Y67" s="12" t="n">
        <v>0</v>
      </c>
    </row>
    <row r="68" customFormat="false" ht="431.25" hidden="false" customHeight="true" outlineLevel="0" collapsed="false">
      <c r="A68" s="10" t="s">
        <v>802</v>
      </c>
      <c r="B68" s="11" t="s">
        <v>803</v>
      </c>
      <c r="C68" s="12"/>
      <c r="D68" s="12" t="s">
        <v>120</v>
      </c>
      <c r="E68" s="5" t="s">
        <v>79</v>
      </c>
      <c r="F68" s="12"/>
      <c r="G68" s="12"/>
      <c r="H68" s="13" t="str">
        <f aca="false">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2"/>
      <c r="J68" s="12"/>
      <c r="K68" s="12"/>
      <c r="L68" s="12"/>
      <c r="M68" s="12" t="s">
        <v>74</v>
      </c>
      <c r="N68" s="5"/>
      <c r="O68" s="12"/>
      <c r="P68" s="5" t="s">
        <v>804</v>
      </c>
      <c r="Q68" s="12" t="s">
        <v>226</v>
      </c>
      <c r="R68" s="12" t="s">
        <v>805</v>
      </c>
      <c r="S68" s="5" t="s">
        <v>806</v>
      </c>
      <c r="T68" s="5" t="s">
        <v>807</v>
      </c>
      <c r="U68" s="12" t="n">
        <v>3</v>
      </c>
      <c r="V68" s="12" t="n">
        <v>1</v>
      </c>
      <c r="W68" s="12" t="n">
        <v>1</v>
      </c>
      <c r="X68" s="12" t="n">
        <v>2</v>
      </c>
      <c r="Y68" s="12"/>
    </row>
    <row r="69" customFormat="false" ht="431.25" hidden="false" customHeight="true" outlineLevel="0" collapsed="false">
      <c r="A69" s="12" t="s">
        <v>802</v>
      </c>
      <c r="B69" s="5" t="s">
        <v>803</v>
      </c>
      <c r="C69" s="12" t="s">
        <v>802</v>
      </c>
      <c r="D69" s="12" t="s">
        <v>120</v>
      </c>
      <c r="E69" s="5" t="s">
        <v>808</v>
      </c>
      <c r="F69" s="14"/>
      <c r="G69" s="14"/>
      <c r="H69" s="14" t="s">
        <v>87</v>
      </c>
      <c r="I69" s="14"/>
      <c r="J69" s="14"/>
      <c r="K69" s="14"/>
      <c r="L69" s="15"/>
      <c r="M69" s="12" t="s">
        <v>74</v>
      </c>
      <c r="N69" s="5"/>
      <c r="O69" s="12"/>
      <c r="P69" s="5" t="s">
        <v>804</v>
      </c>
      <c r="Q69" s="12" t="s">
        <v>226</v>
      </c>
      <c r="R69" s="12" t="s">
        <v>805</v>
      </c>
      <c r="S69" s="5" t="s">
        <v>806</v>
      </c>
      <c r="T69" s="5" t="s">
        <v>807</v>
      </c>
      <c r="U69" s="12" t="n">
        <v>3</v>
      </c>
      <c r="V69" s="12" t="n">
        <v>1</v>
      </c>
      <c r="W69" s="12" t="n">
        <v>1</v>
      </c>
      <c r="X69" s="12" t="n">
        <v>2</v>
      </c>
      <c r="Y69" s="12"/>
    </row>
    <row r="70" customFormat="false" ht="297" hidden="false" customHeight="true" outlineLevel="0" collapsed="false">
      <c r="A70" s="10" t="s">
        <v>809</v>
      </c>
      <c r="B70" s="11" t="s">
        <v>810</v>
      </c>
      <c r="C70" s="12"/>
      <c r="D70" s="12" t="s">
        <v>120</v>
      </c>
      <c r="E70" s="5" t="s">
        <v>79</v>
      </c>
      <c r="F70" s="12"/>
      <c r="G70" s="12"/>
      <c r="H70" s="13" t="str">
        <f aca="false">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Bitte Teilanforderungen ausfüllen</v>
      </c>
      <c r="I70" s="12"/>
      <c r="J70" s="12"/>
      <c r="K70" s="12"/>
      <c r="L70" s="12"/>
      <c r="M70" s="12" t="s">
        <v>74</v>
      </c>
      <c r="N70" s="5" t="s">
        <v>811</v>
      </c>
      <c r="O70" s="12" t="s">
        <v>524</v>
      </c>
      <c r="P70" s="5" t="s">
        <v>812</v>
      </c>
      <c r="Q70" s="12" t="s">
        <v>226</v>
      </c>
      <c r="R70" s="12" t="s">
        <v>805</v>
      </c>
      <c r="S70" s="5" t="s">
        <v>813</v>
      </c>
      <c r="T70" s="5" t="s">
        <v>814</v>
      </c>
      <c r="U70" s="12" t="n">
        <v>3</v>
      </c>
      <c r="V70" s="12" t="n">
        <v>1</v>
      </c>
      <c r="W70" s="12" t="n">
        <v>1</v>
      </c>
      <c r="X70" s="12" t="n">
        <v>2</v>
      </c>
      <c r="Y70" s="12" t="n">
        <v>0</v>
      </c>
    </row>
    <row r="71" customFormat="false" ht="297" hidden="false" customHeight="true" outlineLevel="0" collapsed="false">
      <c r="A71" s="12" t="s">
        <v>809</v>
      </c>
      <c r="B71" s="5" t="s">
        <v>810</v>
      </c>
      <c r="C71" s="12" t="s">
        <v>809</v>
      </c>
      <c r="D71" s="12" t="s">
        <v>120</v>
      </c>
      <c r="E71" s="5" t="s">
        <v>815</v>
      </c>
      <c r="F71" s="14"/>
      <c r="G71" s="14"/>
      <c r="H71" s="14" t="s">
        <v>87</v>
      </c>
      <c r="I71" s="14"/>
      <c r="J71" s="14"/>
      <c r="K71" s="14"/>
      <c r="L71" s="15"/>
      <c r="M71" s="12" t="s">
        <v>74</v>
      </c>
      <c r="N71" s="5" t="s">
        <v>811</v>
      </c>
      <c r="O71" s="12" t="s">
        <v>524</v>
      </c>
      <c r="P71" s="5" t="s">
        <v>812</v>
      </c>
      <c r="Q71" s="12" t="s">
        <v>226</v>
      </c>
      <c r="R71" s="12" t="s">
        <v>805</v>
      </c>
      <c r="S71" s="5" t="s">
        <v>813</v>
      </c>
      <c r="T71" s="5" t="s">
        <v>814</v>
      </c>
      <c r="U71" s="12" t="n">
        <v>3</v>
      </c>
      <c r="V71" s="12" t="n">
        <v>1</v>
      </c>
      <c r="W71" s="12" t="n">
        <v>1</v>
      </c>
      <c r="X71" s="12" t="n">
        <v>2</v>
      </c>
      <c r="Y71" s="12" t="n">
        <v>0</v>
      </c>
    </row>
    <row r="72" customFormat="false" ht="283.5" hidden="false" customHeight="true" outlineLevel="0" collapsed="false">
      <c r="A72" s="10" t="s">
        <v>816</v>
      </c>
      <c r="B72" s="11" t="s">
        <v>817</v>
      </c>
      <c r="C72" s="12"/>
      <c r="D72" s="12" t="s">
        <v>160</v>
      </c>
      <c r="E72" s="5" t="s">
        <v>79</v>
      </c>
      <c r="F72" s="12"/>
      <c r="G72" s="12"/>
      <c r="H72" s="13" t="str">
        <f aca="false">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2"/>
      <c r="J72" s="12"/>
      <c r="K72" s="12"/>
      <c r="L72" s="12"/>
      <c r="M72" s="12" t="s">
        <v>74</v>
      </c>
      <c r="N72" s="5"/>
      <c r="O72" s="12"/>
      <c r="P72" s="5" t="s">
        <v>818</v>
      </c>
      <c r="Q72" s="12" t="s">
        <v>226</v>
      </c>
      <c r="R72" s="12" t="s">
        <v>92</v>
      </c>
      <c r="S72" s="5" t="s">
        <v>819</v>
      </c>
      <c r="T72" s="5" t="s">
        <v>820</v>
      </c>
      <c r="U72" s="12" t="n">
        <v>4</v>
      </c>
      <c r="V72" s="12" t="n">
        <v>1</v>
      </c>
      <c r="W72" s="12" t="n">
        <v>1</v>
      </c>
      <c r="X72" s="12" t="n">
        <v>2</v>
      </c>
      <c r="Y72" s="12" t="n">
        <v>0</v>
      </c>
    </row>
    <row r="73" customFormat="false" ht="283.5" hidden="false" customHeight="true" outlineLevel="0" collapsed="false">
      <c r="A73" s="12" t="s">
        <v>816</v>
      </c>
      <c r="B73" s="5" t="s">
        <v>817</v>
      </c>
      <c r="C73" s="12" t="s">
        <v>816</v>
      </c>
      <c r="D73" s="12" t="s">
        <v>160</v>
      </c>
      <c r="E73" s="5" t="s">
        <v>821</v>
      </c>
      <c r="F73" s="14"/>
      <c r="G73" s="14"/>
      <c r="H73" s="14" t="s">
        <v>87</v>
      </c>
      <c r="I73" s="14"/>
      <c r="J73" s="14"/>
      <c r="K73" s="14"/>
      <c r="L73" s="15"/>
      <c r="M73" s="12" t="s">
        <v>74</v>
      </c>
      <c r="N73" s="5"/>
      <c r="O73" s="12"/>
      <c r="P73" s="5" t="s">
        <v>818</v>
      </c>
      <c r="Q73" s="12" t="s">
        <v>226</v>
      </c>
      <c r="R73" s="12" t="s">
        <v>92</v>
      </c>
      <c r="S73" s="5" t="s">
        <v>819</v>
      </c>
      <c r="T73" s="5" t="s">
        <v>820</v>
      </c>
      <c r="U73" s="12" t="n">
        <v>4</v>
      </c>
      <c r="V73" s="12" t="n">
        <v>1</v>
      </c>
      <c r="W73" s="12" t="n">
        <v>1</v>
      </c>
      <c r="X73" s="12" t="n">
        <v>2</v>
      </c>
      <c r="Y73" s="12" t="n">
        <v>0</v>
      </c>
    </row>
    <row r="74" customFormat="false" ht="149.25" hidden="false" customHeight="true" outlineLevel="0" collapsed="false">
      <c r="A74" s="10" t="s">
        <v>822</v>
      </c>
      <c r="B74" s="11" t="s">
        <v>823</v>
      </c>
      <c r="C74" s="12"/>
      <c r="D74" s="12" t="s">
        <v>120</v>
      </c>
      <c r="E74" s="5" t="s">
        <v>79</v>
      </c>
      <c r="F74" s="12"/>
      <c r="G74" s="12"/>
      <c r="H74" s="13" t="str">
        <f aca="false">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2"/>
      <c r="J74" s="12"/>
      <c r="K74" s="12"/>
      <c r="L74" s="12"/>
      <c r="M74" s="12" t="s">
        <v>74</v>
      </c>
      <c r="N74" s="5"/>
      <c r="O74" s="12"/>
      <c r="P74" s="5" t="s">
        <v>824</v>
      </c>
      <c r="Q74" s="12" t="s">
        <v>226</v>
      </c>
      <c r="R74" s="12" t="s">
        <v>805</v>
      </c>
      <c r="S74" s="5" t="s">
        <v>825</v>
      </c>
      <c r="T74" s="5" t="s">
        <v>826</v>
      </c>
      <c r="U74" s="12" t="n">
        <v>3</v>
      </c>
      <c r="V74" s="12" t="n">
        <v>1</v>
      </c>
      <c r="W74" s="12" t="n">
        <v>1</v>
      </c>
      <c r="X74" s="12" t="n">
        <v>2</v>
      </c>
      <c r="Y74" s="12" t="n">
        <v>0</v>
      </c>
    </row>
    <row r="75" customFormat="false" ht="149.25" hidden="false" customHeight="true" outlineLevel="0" collapsed="false">
      <c r="A75" s="12" t="s">
        <v>822</v>
      </c>
      <c r="B75" s="5" t="s">
        <v>823</v>
      </c>
      <c r="C75" s="12" t="s">
        <v>822</v>
      </c>
      <c r="D75" s="12" t="s">
        <v>120</v>
      </c>
      <c r="E75" s="5" t="s">
        <v>827</v>
      </c>
      <c r="F75" s="14"/>
      <c r="G75" s="14"/>
      <c r="H75" s="14" t="s">
        <v>87</v>
      </c>
      <c r="I75" s="14"/>
      <c r="J75" s="14"/>
      <c r="K75" s="14"/>
      <c r="L75" s="15"/>
      <c r="M75" s="12" t="s">
        <v>74</v>
      </c>
      <c r="N75" s="5"/>
      <c r="O75" s="12"/>
      <c r="P75" s="5" t="s">
        <v>824</v>
      </c>
      <c r="Q75" s="12" t="s">
        <v>226</v>
      </c>
      <c r="R75" s="12" t="s">
        <v>805</v>
      </c>
      <c r="S75" s="5" t="s">
        <v>825</v>
      </c>
      <c r="T75" s="5" t="s">
        <v>826</v>
      </c>
      <c r="U75" s="12" t="n">
        <v>3</v>
      </c>
      <c r="V75" s="12" t="n">
        <v>1</v>
      </c>
      <c r="W75" s="12" t="n">
        <v>1</v>
      </c>
      <c r="X75" s="12" t="n">
        <v>2</v>
      </c>
      <c r="Y75" s="12" t="n">
        <v>0</v>
      </c>
    </row>
    <row r="76" customFormat="false" ht="135.75" hidden="false" customHeight="true" outlineLevel="0" collapsed="false">
      <c r="A76" s="10" t="s">
        <v>828</v>
      </c>
      <c r="B76" s="11" t="s">
        <v>829</v>
      </c>
      <c r="C76" s="12"/>
      <c r="D76" s="12" t="s">
        <v>120</v>
      </c>
      <c r="E76" s="5" t="s">
        <v>79</v>
      </c>
      <c r="F76" s="12"/>
      <c r="G76" s="12"/>
      <c r="H76" s="13" t="str">
        <f aca="false">IF(OR(COUNTBLANK($H$77:$H$77)&gt;0,COUNTIF($H$77:$H$77,"unbearbeitet")=COUNTA($H$77:$H$77)),"Bitte Teilanforderungen ausfüllen",IF(COUNTIF($H$77:$H$77,"zu klären")&gt;0,"zu klären",IF(COUNTIF($H$77:$H$77,"entbehrlich")=COUNTA($H$77:$H$77),"entbehrlich",IF(COUNTIF($H$77:$H$77,"verwiesen")=COUNTA($H$77:$H$77),"verwiesen",IF(COUNTIF($H$77:$H$77,"nein")+COUNTIF($H$77:$H$77,"entbehrlich")=COUNTA($H$77:$H$77),"nein",IF(COUNTIF($H$77:$H$77,"ja")+COUNTIF($H$77:$H$77,"entbehrlich")+COUNTIF($H$77:$H$77,"verwiesen")=COUNTA($H$77:$H$77),"ja","teilweise"))))))</f>
        <v>Bitte Teilanforderungen ausfüllen</v>
      </c>
      <c r="I76" s="12"/>
      <c r="J76" s="12"/>
      <c r="K76" s="12"/>
      <c r="L76" s="12"/>
      <c r="M76" s="12" t="s">
        <v>74</v>
      </c>
      <c r="N76" s="5"/>
      <c r="O76" s="12"/>
      <c r="P76" s="5" t="s">
        <v>830</v>
      </c>
      <c r="Q76" s="12" t="s">
        <v>226</v>
      </c>
      <c r="R76" s="12" t="s">
        <v>92</v>
      </c>
      <c r="S76" s="5" t="s">
        <v>831</v>
      </c>
      <c r="T76" s="5" t="s">
        <v>814</v>
      </c>
      <c r="U76" s="12" t="n">
        <v>3</v>
      </c>
      <c r="V76" s="12" t="n">
        <v>1</v>
      </c>
      <c r="W76" s="12" t="n">
        <v>1</v>
      </c>
      <c r="X76" s="12" t="n">
        <v>2</v>
      </c>
      <c r="Y76" s="12" t="n">
        <v>0</v>
      </c>
    </row>
    <row r="77" customFormat="false" ht="135.75" hidden="false" customHeight="true" outlineLevel="0" collapsed="false">
      <c r="A77" s="12" t="s">
        <v>828</v>
      </c>
      <c r="B77" s="5" t="s">
        <v>829</v>
      </c>
      <c r="C77" s="12" t="s">
        <v>828</v>
      </c>
      <c r="D77" s="12" t="s">
        <v>120</v>
      </c>
      <c r="E77" s="5" t="s">
        <v>832</v>
      </c>
      <c r="F77" s="14"/>
      <c r="G77" s="14"/>
      <c r="H77" s="14" t="s">
        <v>87</v>
      </c>
      <c r="I77" s="14"/>
      <c r="J77" s="14"/>
      <c r="K77" s="14"/>
      <c r="L77" s="15"/>
      <c r="M77" s="12" t="s">
        <v>74</v>
      </c>
      <c r="N77" s="5"/>
      <c r="O77" s="12"/>
      <c r="P77" s="5" t="s">
        <v>830</v>
      </c>
      <c r="Q77" s="12" t="s">
        <v>226</v>
      </c>
      <c r="R77" s="12" t="s">
        <v>92</v>
      </c>
      <c r="S77" s="5" t="s">
        <v>831</v>
      </c>
      <c r="T77" s="5" t="s">
        <v>814</v>
      </c>
      <c r="U77" s="12" t="n">
        <v>3</v>
      </c>
      <c r="V77" s="12" t="n">
        <v>1</v>
      </c>
      <c r="W77" s="12" t="n">
        <v>1</v>
      </c>
      <c r="X77" s="12" t="n">
        <v>2</v>
      </c>
      <c r="Y77" s="12" t="n">
        <v>0</v>
      </c>
    </row>
    <row r="78" customFormat="false" ht="323.25" hidden="false" customHeight="true" outlineLevel="0" collapsed="false">
      <c r="A78" s="10" t="s">
        <v>833</v>
      </c>
      <c r="B78" s="11" t="s">
        <v>834</v>
      </c>
      <c r="C78" s="12"/>
      <c r="D78" s="12" t="s">
        <v>160</v>
      </c>
      <c r="E78" s="5" t="s">
        <v>79</v>
      </c>
      <c r="F78" s="12"/>
      <c r="G78" s="12"/>
      <c r="H78" s="13" t="str">
        <f aca="false">IF(OR(COUNTBLANK($H$79:$H$79)&gt;0,COUNTIF($H$79:$H$79,"unbearbeitet")=COUNTA($H$79:$H$79)),"Bitte Teilanforderungen ausfüllen",IF(COUNTIF($H$79:$H$79,"zu klären")&gt;0,"zu klären",IF(COUNTIF($H$79:$H$79,"entbehrlich")=COUNTA($H$79:$H$79),"entbehrlich",IF(COUNTIF($H$79:$H$79,"verwiesen")=COUNTA($H$79:$H$79),"verwiesen",IF(COUNTIF($H$79:$H$79,"nein")+COUNTIF($H$79:$H$79,"entbehrlich")=COUNTA($H$79:$H$79),"nein",IF(COUNTIF($H$79:$H$79,"ja")+COUNTIF($H$79:$H$79,"entbehrlich")+COUNTIF($H$79:$H$79,"verwiesen")=COUNTA($H$79:$H$79),"ja","teilweise"))))))</f>
        <v>Bitte Teilanforderungen ausfüllen</v>
      </c>
      <c r="I78" s="12"/>
      <c r="J78" s="12"/>
      <c r="K78" s="12"/>
      <c r="L78" s="12"/>
      <c r="M78" s="12" t="s">
        <v>74</v>
      </c>
      <c r="N78" s="5"/>
      <c r="O78" s="12"/>
      <c r="P78" s="5" t="s">
        <v>835</v>
      </c>
      <c r="Q78" s="12" t="s">
        <v>836</v>
      </c>
      <c r="R78" s="12" t="s">
        <v>92</v>
      </c>
      <c r="S78" s="5" t="s">
        <v>837</v>
      </c>
      <c r="T78" s="5" t="s">
        <v>814</v>
      </c>
      <c r="U78" s="12" t="n">
        <v>4</v>
      </c>
      <c r="V78" s="12" t="n">
        <v>1</v>
      </c>
      <c r="W78" s="12" t="n">
        <v>1</v>
      </c>
      <c r="X78" s="12" t="n">
        <v>2</v>
      </c>
      <c r="Y78" s="12" t="n">
        <v>0</v>
      </c>
    </row>
    <row r="79" customFormat="false" ht="323.25" hidden="false" customHeight="true" outlineLevel="0" collapsed="false">
      <c r="A79" s="12" t="s">
        <v>833</v>
      </c>
      <c r="B79" s="5" t="s">
        <v>834</v>
      </c>
      <c r="C79" s="12" t="s">
        <v>833</v>
      </c>
      <c r="D79" s="12" t="s">
        <v>160</v>
      </c>
      <c r="E79" s="5" t="s">
        <v>838</v>
      </c>
      <c r="F79" s="14"/>
      <c r="G79" s="14"/>
      <c r="H79" s="14" t="s">
        <v>87</v>
      </c>
      <c r="I79" s="14"/>
      <c r="J79" s="14"/>
      <c r="K79" s="14"/>
      <c r="L79" s="15"/>
      <c r="M79" s="12" t="s">
        <v>74</v>
      </c>
      <c r="N79" s="5"/>
      <c r="O79" s="12"/>
      <c r="P79" s="5" t="s">
        <v>835</v>
      </c>
      <c r="Q79" s="12" t="s">
        <v>836</v>
      </c>
      <c r="R79" s="12" t="s">
        <v>92</v>
      </c>
      <c r="S79" s="5" t="s">
        <v>837</v>
      </c>
      <c r="T79" s="5" t="s">
        <v>814</v>
      </c>
      <c r="U79" s="12" t="n">
        <v>4</v>
      </c>
      <c r="V79" s="12" t="n">
        <v>1</v>
      </c>
      <c r="W79" s="12" t="n">
        <v>1</v>
      </c>
      <c r="X79" s="12" t="n">
        <v>2</v>
      </c>
      <c r="Y79" s="12" t="n">
        <v>0</v>
      </c>
    </row>
    <row r="80" customFormat="false" ht="216" hidden="false" customHeight="true" outlineLevel="0" collapsed="false">
      <c r="A80" s="10" t="s">
        <v>839</v>
      </c>
      <c r="B80" s="11" t="s">
        <v>840</v>
      </c>
      <c r="C80" s="12"/>
      <c r="D80" s="12" t="s">
        <v>120</v>
      </c>
      <c r="E80" s="5" t="s">
        <v>79</v>
      </c>
      <c r="F80" s="12"/>
      <c r="G80" s="12"/>
      <c r="H80" s="13" t="str">
        <f aca="false">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Bitte Teilanforderungen ausfüllen</v>
      </c>
      <c r="I80" s="12"/>
      <c r="J80" s="12"/>
      <c r="K80" s="12"/>
      <c r="L80" s="12"/>
      <c r="M80" s="12" t="s">
        <v>74</v>
      </c>
      <c r="N80" s="5" t="s">
        <v>841</v>
      </c>
      <c r="O80" s="12" t="s">
        <v>524</v>
      </c>
      <c r="P80" s="5" t="s">
        <v>842</v>
      </c>
      <c r="Q80" s="12" t="s">
        <v>226</v>
      </c>
      <c r="R80" s="12" t="s">
        <v>92</v>
      </c>
      <c r="S80" s="5" t="s">
        <v>819</v>
      </c>
      <c r="T80" s="5" t="s">
        <v>843</v>
      </c>
      <c r="U80" s="12" t="n">
        <v>3</v>
      </c>
      <c r="V80" s="12" t="n">
        <v>1</v>
      </c>
      <c r="W80" s="12" t="n">
        <v>1</v>
      </c>
      <c r="X80" s="12" t="n">
        <v>2</v>
      </c>
      <c r="Y80" s="12" t="n">
        <v>0</v>
      </c>
    </row>
    <row r="81" customFormat="false" ht="216" hidden="false" customHeight="true" outlineLevel="0" collapsed="false">
      <c r="A81" s="12" t="s">
        <v>839</v>
      </c>
      <c r="B81" s="5" t="s">
        <v>840</v>
      </c>
      <c r="C81" s="12" t="s">
        <v>839</v>
      </c>
      <c r="D81" s="12" t="s">
        <v>120</v>
      </c>
      <c r="E81" s="5" t="s">
        <v>844</v>
      </c>
      <c r="F81" s="14"/>
      <c r="G81" s="14"/>
      <c r="H81" s="14" t="s">
        <v>87</v>
      </c>
      <c r="I81" s="14"/>
      <c r="J81" s="14"/>
      <c r="K81" s="14"/>
      <c r="L81" s="15"/>
      <c r="M81" s="12" t="s">
        <v>74</v>
      </c>
      <c r="N81" s="5" t="s">
        <v>841</v>
      </c>
      <c r="O81" s="12" t="s">
        <v>524</v>
      </c>
      <c r="P81" s="5" t="s">
        <v>842</v>
      </c>
      <c r="Q81" s="12" t="s">
        <v>226</v>
      </c>
      <c r="R81" s="12" t="s">
        <v>92</v>
      </c>
      <c r="S81" s="5" t="s">
        <v>819</v>
      </c>
      <c r="T81" s="5" t="s">
        <v>843</v>
      </c>
      <c r="U81" s="12" t="n">
        <v>3</v>
      </c>
      <c r="V81" s="12" t="n">
        <v>1</v>
      </c>
      <c r="W81" s="12" t="n">
        <v>1</v>
      </c>
      <c r="X81" s="12" t="n">
        <v>2</v>
      </c>
      <c r="Y81" s="12" t="n">
        <v>0</v>
      </c>
    </row>
    <row r="82" customFormat="false" ht="243" hidden="false" customHeight="true" outlineLevel="0" collapsed="false">
      <c r="A82" s="10" t="s">
        <v>845</v>
      </c>
      <c r="B82" s="11" t="s">
        <v>846</v>
      </c>
      <c r="C82" s="12"/>
      <c r="D82" s="12" t="s">
        <v>120</v>
      </c>
      <c r="E82" s="5" t="s">
        <v>79</v>
      </c>
      <c r="F82" s="12"/>
      <c r="G82" s="12"/>
      <c r="H82" s="13" t="str">
        <f aca="false">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Bitte Teilanforderungen ausfüllen</v>
      </c>
      <c r="I82" s="12"/>
      <c r="J82" s="12"/>
      <c r="K82" s="12"/>
      <c r="L82" s="12"/>
      <c r="M82" s="12"/>
      <c r="N82" s="5"/>
      <c r="O82" s="12"/>
      <c r="P82" s="5" t="s">
        <v>847</v>
      </c>
      <c r="Q82" s="12"/>
      <c r="R82" s="12" t="s">
        <v>688</v>
      </c>
      <c r="S82" s="5" t="s">
        <v>848</v>
      </c>
      <c r="T82" s="5" t="s">
        <v>306</v>
      </c>
      <c r="U82" s="12" t="n">
        <v>4</v>
      </c>
      <c r="V82" s="12" t="n">
        <v>1</v>
      </c>
      <c r="W82" s="12" t="n">
        <v>1</v>
      </c>
      <c r="X82" s="12" t="n">
        <v>1</v>
      </c>
      <c r="Y82" s="12" t="n">
        <v>0</v>
      </c>
    </row>
    <row r="83" customFormat="false" ht="243" hidden="false" customHeight="true" outlineLevel="0" collapsed="false">
      <c r="A83" s="12" t="s">
        <v>845</v>
      </c>
      <c r="B83" s="5" t="s">
        <v>846</v>
      </c>
      <c r="C83" s="12" t="s">
        <v>845</v>
      </c>
      <c r="D83" s="12" t="s">
        <v>120</v>
      </c>
      <c r="E83" s="5" t="s">
        <v>849</v>
      </c>
      <c r="F83" s="14"/>
      <c r="G83" s="14"/>
      <c r="H83" s="14" t="s">
        <v>87</v>
      </c>
      <c r="I83" s="14"/>
      <c r="J83" s="14"/>
      <c r="K83" s="14"/>
      <c r="L83" s="15"/>
      <c r="M83" s="12"/>
      <c r="N83" s="5"/>
      <c r="O83" s="12"/>
      <c r="P83" s="5" t="s">
        <v>847</v>
      </c>
      <c r="Q83" s="12"/>
      <c r="R83" s="12" t="s">
        <v>688</v>
      </c>
      <c r="S83" s="5" t="s">
        <v>848</v>
      </c>
      <c r="T83" s="5" t="s">
        <v>306</v>
      </c>
      <c r="U83" s="12" t="n">
        <v>4</v>
      </c>
      <c r="V83" s="12" t="n">
        <v>1</v>
      </c>
      <c r="W83" s="12" t="n">
        <v>1</v>
      </c>
      <c r="X83" s="12" t="n">
        <v>1</v>
      </c>
      <c r="Y83" s="12" t="n">
        <v>0</v>
      </c>
    </row>
    <row r="84" customFormat="false" ht="336.75" hidden="false" customHeight="true" outlineLevel="0" collapsed="false">
      <c r="A84" s="10" t="s">
        <v>850</v>
      </c>
      <c r="B84" s="11" t="s">
        <v>851</v>
      </c>
      <c r="C84" s="12"/>
      <c r="D84" s="12" t="s">
        <v>120</v>
      </c>
      <c r="E84" s="5" t="s">
        <v>79</v>
      </c>
      <c r="F84" s="12"/>
      <c r="G84" s="12"/>
      <c r="H84" s="13" t="str">
        <f aca="false">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Bitte Teilanforderungen ausfüllen</v>
      </c>
      <c r="I84" s="12"/>
      <c r="J84" s="12"/>
      <c r="K84" s="12"/>
      <c r="L84" s="12"/>
      <c r="M84" s="12"/>
      <c r="N84" s="5"/>
      <c r="O84" s="12"/>
      <c r="P84" s="5" t="s">
        <v>852</v>
      </c>
      <c r="Q84" s="12"/>
      <c r="R84" s="12" t="s">
        <v>688</v>
      </c>
      <c r="S84" s="5" t="s">
        <v>853</v>
      </c>
      <c r="T84" s="5" t="s">
        <v>306</v>
      </c>
      <c r="U84" s="12" t="n">
        <v>4</v>
      </c>
      <c r="V84" s="12" t="n">
        <v>1</v>
      </c>
      <c r="W84" s="12" t="n">
        <v>1</v>
      </c>
      <c r="X84" s="12" t="n">
        <v>1</v>
      </c>
      <c r="Y84" s="12" t="n">
        <v>0</v>
      </c>
    </row>
    <row r="85" customFormat="false" ht="336.75" hidden="false" customHeight="true" outlineLevel="0" collapsed="false">
      <c r="A85" s="12" t="s">
        <v>850</v>
      </c>
      <c r="B85" s="5" t="s">
        <v>851</v>
      </c>
      <c r="C85" s="12" t="s">
        <v>850</v>
      </c>
      <c r="D85" s="12" t="s">
        <v>120</v>
      </c>
      <c r="E85" s="5" t="s">
        <v>854</v>
      </c>
      <c r="F85" s="14"/>
      <c r="G85" s="14"/>
      <c r="H85" s="14" t="s">
        <v>87</v>
      </c>
      <c r="I85" s="14"/>
      <c r="J85" s="14"/>
      <c r="K85" s="14"/>
      <c r="L85" s="15"/>
      <c r="M85" s="12"/>
      <c r="N85" s="5"/>
      <c r="O85" s="12"/>
      <c r="P85" s="5" t="s">
        <v>852</v>
      </c>
      <c r="Q85" s="12"/>
      <c r="R85" s="12" t="s">
        <v>688</v>
      </c>
      <c r="S85" s="5" t="s">
        <v>853</v>
      </c>
      <c r="T85" s="5" t="s">
        <v>306</v>
      </c>
      <c r="U85" s="12" t="n">
        <v>4</v>
      </c>
      <c r="V85" s="12" t="n">
        <v>1</v>
      </c>
      <c r="W85" s="12" t="n">
        <v>1</v>
      </c>
      <c r="X85" s="12" t="n">
        <v>1</v>
      </c>
      <c r="Y85" s="12" t="n">
        <v>0</v>
      </c>
    </row>
    <row r="86" customFormat="false" ht="149.25" hidden="false" customHeight="true" outlineLevel="0" collapsed="false">
      <c r="A86" s="10" t="s">
        <v>855</v>
      </c>
      <c r="B86" s="11" t="s">
        <v>856</v>
      </c>
      <c r="C86" s="12"/>
      <c r="D86" s="12" t="s">
        <v>160</v>
      </c>
      <c r="E86" s="5" t="s">
        <v>79</v>
      </c>
      <c r="F86" s="12"/>
      <c r="G86" s="12"/>
      <c r="H86" s="13" t="str">
        <f aca="false">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Bitte Teilanforderungen ausfüllen</v>
      </c>
      <c r="I86" s="12"/>
      <c r="J86" s="12"/>
      <c r="K86" s="12"/>
      <c r="L86" s="12"/>
      <c r="M86" s="12"/>
      <c r="N86" s="5"/>
      <c r="O86" s="12"/>
      <c r="P86" s="5" t="s">
        <v>857</v>
      </c>
      <c r="Q86" s="12" t="s">
        <v>226</v>
      </c>
      <c r="R86" s="12" t="s">
        <v>688</v>
      </c>
      <c r="S86" s="5" t="s">
        <v>858</v>
      </c>
      <c r="T86" s="5" t="s">
        <v>306</v>
      </c>
      <c r="U86" s="12" t="n">
        <v>5</v>
      </c>
      <c r="V86" s="12" t="n">
        <v>1</v>
      </c>
      <c r="W86" s="12" t="n">
        <v>1</v>
      </c>
      <c r="X86" s="12" t="n">
        <v>1</v>
      </c>
      <c r="Y86" s="12" t="n">
        <v>0</v>
      </c>
    </row>
    <row r="87" customFormat="false" ht="149.25" hidden="false" customHeight="true" outlineLevel="0" collapsed="false">
      <c r="A87" s="12" t="s">
        <v>855</v>
      </c>
      <c r="B87" s="5" t="s">
        <v>856</v>
      </c>
      <c r="C87" s="12" t="s">
        <v>855</v>
      </c>
      <c r="D87" s="12" t="s">
        <v>160</v>
      </c>
      <c r="E87" s="5" t="s">
        <v>859</v>
      </c>
      <c r="F87" s="14"/>
      <c r="G87" s="14"/>
      <c r="H87" s="14" t="s">
        <v>87</v>
      </c>
      <c r="I87" s="14"/>
      <c r="J87" s="14"/>
      <c r="K87" s="14"/>
      <c r="L87" s="15"/>
      <c r="M87" s="12"/>
      <c r="N87" s="5"/>
      <c r="O87" s="12"/>
      <c r="P87" s="5" t="s">
        <v>857</v>
      </c>
      <c r="Q87" s="12" t="s">
        <v>226</v>
      </c>
      <c r="R87" s="12" t="s">
        <v>688</v>
      </c>
      <c r="S87" s="5" t="s">
        <v>858</v>
      </c>
      <c r="T87" s="5" t="s">
        <v>306</v>
      </c>
      <c r="U87" s="12" t="n">
        <v>5</v>
      </c>
      <c r="V87" s="12" t="n">
        <v>1</v>
      </c>
      <c r="W87" s="12" t="n">
        <v>1</v>
      </c>
      <c r="X87" s="12" t="n">
        <v>1</v>
      </c>
      <c r="Y87" s="12" t="n">
        <v>0</v>
      </c>
    </row>
    <row r="88" customFormat="false" ht="135.75" hidden="false" customHeight="true" outlineLevel="0" collapsed="false">
      <c r="A88" s="10" t="s">
        <v>860</v>
      </c>
      <c r="B88" s="11" t="s">
        <v>861</v>
      </c>
      <c r="C88" s="12"/>
      <c r="D88" s="12" t="s">
        <v>120</v>
      </c>
      <c r="E88" s="5" t="s">
        <v>79</v>
      </c>
      <c r="F88" s="12"/>
      <c r="G88" s="12"/>
      <c r="H88" s="13" t="str">
        <f aca="false">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2"/>
      <c r="J88" s="12"/>
      <c r="K88" s="12"/>
      <c r="L88" s="12"/>
      <c r="M88" s="12"/>
      <c r="N88" s="5" t="s">
        <v>862</v>
      </c>
      <c r="O88" s="12" t="s">
        <v>524</v>
      </c>
      <c r="P88" s="5" t="s">
        <v>863</v>
      </c>
      <c r="Q88" s="12" t="s">
        <v>226</v>
      </c>
      <c r="R88" s="12" t="s">
        <v>92</v>
      </c>
      <c r="S88" s="5" t="s">
        <v>864</v>
      </c>
      <c r="T88" s="5" t="s">
        <v>306</v>
      </c>
      <c r="U88" s="12" t="n">
        <v>3</v>
      </c>
      <c r="V88" s="12" t="n">
        <v>1</v>
      </c>
      <c r="W88" s="12" t="n">
        <v>1</v>
      </c>
      <c r="X88" s="12" t="n">
        <v>1</v>
      </c>
      <c r="Y88" s="12" t="n">
        <v>0</v>
      </c>
    </row>
    <row r="89" customFormat="false" ht="135.75" hidden="false" customHeight="true" outlineLevel="0" collapsed="false">
      <c r="A89" s="12" t="s">
        <v>860</v>
      </c>
      <c r="B89" s="5" t="s">
        <v>861</v>
      </c>
      <c r="C89" s="12" t="s">
        <v>860</v>
      </c>
      <c r="D89" s="12" t="s">
        <v>120</v>
      </c>
      <c r="E89" s="5" t="s">
        <v>865</v>
      </c>
      <c r="F89" s="14"/>
      <c r="G89" s="14"/>
      <c r="H89" s="14" t="s">
        <v>87</v>
      </c>
      <c r="I89" s="14"/>
      <c r="J89" s="14"/>
      <c r="K89" s="14"/>
      <c r="L89" s="15"/>
      <c r="M89" s="12"/>
      <c r="N89" s="5" t="s">
        <v>862</v>
      </c>
      <c r="O89" s="12" t="s">
        <v>524</v>
      </c>
      <c r="P89" s="5" t="s">
        <v>863</v>
      </c>
      <c r="Q89" s="12" t="s">
        <v>226</v>
      </c>
      <c r="R89" s="12" t="s">
        <v>92</v>
      </c>
      <c r="S89" s="5" t="s">
        <v>864</v>
      </c>
      <c r="T89" s="5" t="s">
        <v>306</v>
      </c>
      <c r="U89" s="12" t="n">
        <v>3</v>
      </c>
      <c r="V89" s="12" t="n">
        <v>1</v>
      </c>
      <c r="W89" s="12" t="n">
        <v>1</v>
      </c>
      <c r="X89" s="12" t="n">
        <v>1</v>
      </c>
      <c r="Y89" s="12" t="n">
        <v>0</v>
      </c>
    </row>
    <row r="90" customFormat="false" ht="283.5" hidden="false" customHeight="true" outlineLevel="0" collapsed="false">
      <c r="A90" s="10" t="s">
        <v>866</v>
      </c>
      <c r="B90" s="11" t="s">
        <v>867</v>
      </c>
      <c r="C90" s="12"/>
      <c r="D90" s="12" t="s">
        <v>120</v>
      </c>
      <c r="E90" s="5" t="s">
        <v>79</v>
      </c>
      <c r="F90" s="12"/>
      <c r="G90" s="12"/>
      <c r="H90" s="13" t="str">
        <f aca="false">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Bitte Teilanforderungen ausfüllen</v>
      </c>
      <c r="I90" s="12"/>
      <c r="J90" s="12"/>
      <c r="K90" s="12"/>
      <c r="L90" s="12"/>
      <c r="M90" s="12" t="s">
        <v>139</v>
      </c>
      <c r="N90" s="5"/>
      <c r="O90" s="12"/>
      <c r="P90" s="5" t="s">
        <v>868</v>
      </c>
      <c r="Q90" s="12" t="s">
        <v>460</v>
      </c>
      <c r="R90" s="12" t="s">
        <v>92</v>
      </c>
      <c r="S90" s="5" t="s">
        <v>869</v>
      </c>
      <c r="T90" s="5" t="s">
        <v>870</v>
      </c>
      <c r="U90" s="12" t="n">
        <v>3</v>
      </c>
      <c r="V90" s="12" t="n">
        <v>2</v>
      </c>
      <c r="W90" s="12" t="n">
        <v>0</v>
      </c>
      <c r="X90" s="12" t="n">
        <v>2</v>
      </c>
      <c r="Y90" s="12" t="n">
        <v>0</v>
      </c>
    </row>
    <row r="91" customFormat="false" ht="283.5" hidden="false" customHeight="true" outlineLevel="0" collapsed="false">
      <c r="A91" s="12" t="s">
        <v>866</v>
      </c>
      <c r="B91" s="5" t="s">
        <v>867</v>
      </c>
      <c r="C91" s="12" t="s">
        <v>866</v>
      </c>
      <c r="D91" s="12" t="s">
        <v>120</v>
      </c>
      <c r="E91" s="5" t="s">
        <v>871</v>
      </c>
      <c r="F91" s="14"/>
      <c r="G91" s="14"/>
      <c r="H91" s="14" t="s">
        <v>87</v>
      </c>
      <c r="I91" s="14"/>
      <c r="J91" s="14"/>
      <c r="K91" s="14"/>
      <c r="L91" s="15"/>
      <c r="M91" s="12" t="s">
        <v>139</v>
      </c>
      <c r="N91" s="5"/>
      <c r="O91" s="12"/>
      <c r="P91" s="5" t="s">
        <v>868</v>
      </c>
      <c r="Q91" s="12" t="s">
        <v>460</v>
      </c>
      <c r="R91" s="12" t="s">
        <v>92</v>
      </c>
      <c r="S91" s="5" t="s">
        <v>869</v>
      </c>
      <c r="T91" s="5" t="s">
        <v>870</v>
      </c>
      <c r="U91" s="12" t="n">
        <v>3</v>
      </c>
      <c r="V91" s="12" t="n">
        <v>2</v>
      </c>
      <c r="W91" s="12" t="n">
        <v>0</v>
      </c>
      <c r="X91" s="12" t="n">
        <v>2</v>
      </c>
      <c r="Y91" s="12" t="n">
        <v>0</v>
      </c>
    </row>
    <row r="92" customFormat="false" ht="283.5" hidden="false" customHeight="true" outlineLevel="0" collapsed="false">
      <c r="A92" s="10" t="s">
        <v>872</v>
      </c>
      <c r="B92" s="11" t="s">
        <v>873</v>
      </c>
      <c r="C92" s="12"/>
      <c r="D92" s="12" t="s">
        <v>120</v>
      </c>
      <c r="E92" s="5" t="s">
        <v>79</v>
      </c>
      <c r="F92" s="12"/>
      <c r="G92" s="12"/>
      <c r="H92" s="13" t="str">
        <f aca="false">IF(OR(COUNTBLANK($H$93:$H$94)&gt;0,COUNTIF($H$93:$H$94,"unbearbeitet")=COUNTA($H$93:$H$94)),"Bitte Teilanforderungen ausfüllen",IF(COUNTIF($H$93:$H$94,"zu klären")&gt;0,"zu klären",IF(COUNTIF($H$93:$H$94,"entbehrlich")=COUNTA($H$93:$H$94),"entbehrlich",IF(COUNTIF($H$93:$H$94,"verwiesen")=COUNTA($H$93:$H$94),"verwiesen",IF(COUNTIF($H$93:$H$94,"nein")+COUNTIF($H$93:$H$94,"entbehrlich")=COUNTA($H$93:$H$94),"nein",IF(COUNTIF($H$93:$H$94,"ja")+COUNTIF($H$93:$H$94,"entbehrlich")+COUNTIF($H$93:$H$94,"verwiesen")=COUNTA($H$93:$H$94),"ja","teilweise"))))))</f>
        <v>Bitte Teilanforderungen ausfüllen</v>
      </c>
      <c r="I92" s="12"/>
      <c r="J92" s="12"/>
      <c r="K92" s="12"/>
      <c r="L92" s="12"/>
      <c r="M92" s="12" t="s">
        <v>72</v>
      </c>
      <c r="N92" s="5"/>
      <c r="O92" s="12"/>
      <c r="P92" s="5" t="s">
        <v>874</v>
      </c>
      <c r="Q92" s="12" t="s">
        <v>644</v>
      </c>
      <c r="R92" s="12" t="s">
        <v>688</v>
      </c>
      <c r="S92" s="5" t="s">
        <v>875</v>
      </c>
      <c r="T92" s="5" t="s">
        <v>876</v>
      </c>
      <c r="U92" s="12" t="n">
        <v>2</v>
      </c>
      <c r="V92" s="12" t="n">
        <v>2</v>
      </c>
      <c r="W92" s="12" t="n">
        <v>1</v>
      </c>
      <c r="X92" s="12" t="n">
        <v>1</v>
      </c>
      <c r="Y92" s="12" t="n">
        <v>0</v>
      </c>
    </row>
    <row r="93" customFormat="false" ht="283.5" hidden="false" customHeight="true" outlineLevel="0" collapsed="false">
      <c r="A93" s="12" t="s">
        <v>872</v>
      </c>
      <c r="B93" s="5" t="s">
        <v>873</v>
      </c>
      <c r="C93" s="12" t="s">
        <v>872</v>
      </c>
      <c r="D93" s="12" t="s">
        <v>120</v>
      </c>
      <c r="E93" s="5" t="s">
        <v>877</v>
      </c>
      <c r="F93" s="14"/>
      <c r="G93" s="14"/>
      <c r="H93" s="14" t="s">
        <v>87</v>
      </c>
      <c r="I93" s="14"/>
      <c r="J93" s="14"/>
      <c r="K93" s="14"/>
      <c r="L93" s="15"/>
      <c r="M93" s="12" t="s">
        <v>72</v>
      </c>
      <c r="N93" s="5"/>
      <c r="O93" s="12"/>
      <c r="P93" s="5" t="s">
        <v>874</v>
      </c>
      <c r="Q93" s="12" t="s">
        <v>644</v>
      </c>
      <c r="R93" s="12" t="s">
        <v>688</v>
      </c>
      <c r="S93" s="5" t="s">
        <v>875</v>
      </c>
      <c r="T93" s="5" t="s">
        <v>876</v>
      </c>
      <c r="U93" s="12" t="n">
        <v>2</v>
      </c>
      <c r="V93" s="12" t="n">
        <v>2</v>
      </c>
      <c r="W93" s="12" t="n">
        <v>1</v>
      </c>
      <c r="X93" s="12" t="n">
        <v>1</v>
      </c>
      <c r="Y93" s="12" t="n">
        <v>0</v>
      </c>
    </row>
    <row r="94" customFormat="false" ht="122.25" hidden="false" customHeight="true" outlineLevel="0" collapsed="false">
      <c r="A94" s="12" t="s">
        <v>872</v>
      </c>
      <c r="B94" s="5" t="s">
        <v>873</v>
      </c>
      <c r="C94" s="12" t="s">
        <v>878</v>
      </c>
      <c r="D94" s="12" t="s">
        <v>160</v>
      </c>
      <c r="E94" s="5" t="s">
        <v>879</v>
      </c>
      <c r="F94" s="14"/>
      <c r="G94" s="14"/>
      <c r="H94" s="14" t="s">
        <v>87</v>
      </c>
      <c r="I94" s="14"/>
      <c r="J94" s="14"/>
      <c r="K94" s="14"/>
      <c r="L94" s="15"/>
      <c r="M94" s="12" t="s">
        <v>72</v>
      </c>
      <c r="N94" s="5"/>
      <c r="O94" s="12"/>
      <c r="P94" s="5" t="s">
        <v>880</v>
      </c>
      <c r="Q94" s="12" t="s">
        <v>644</v>
      </c>
      <c r="R94" s="12" t="s">
        <v>688</v>
      </c>
      <c r="S94" s="5" t="s">
        <v>881</v>
      </c>
      <c r="T94" s="5" t="s">
        <v>882</v>
      </c>
      <c r="U94" s="12" t="n">
        <v>5</v>
      </c>
      <c r="V94" s="12" t="n">
        <v>2</v>
      </c>
      <c r="W94" s="12" t="n">
        <v>0</v>
      </c>
      <c r="X94" s="12" t="n">
        <v>1</v>
      </c>
      <c r="Y94" s="12" t="n">
        <v>0</v>
      </c>
    </row>
    <row r="95" customFormat="false" ht="149.25" hidden="false" customHeight="true" outlineLevel="0" collapsed="false">
      <c r="A95" s="10" t="s">
        <v>883</v>
      </c>
      <c r="B95" s="11" t="s">
        <v>884</v>
      </c>
      <c r="C95" s="12"/>
      <c r="D95" s="12" t="s">
        <v>120</v>
      </c>
      <c r="E95" s="5" t="s">
        <v>79</v>
      </c>
      <c r="F95" s="12"/>
      <c r="G95" s="12"/>
      <c r="H95" s="13" t="str">
        <f aca="false">IF(OR(COUNTBLANK($H$96:$H$99)&gt;0,COUNTIF($H$96:$H$99,"unbearbeitet")=COUNTA($H$96:$H$99)),"Bitte Teilanforderungen ausfüllen",IF(COUNTIF($H$96:$H$99,"zu klären")&gt;0,"zu klären",IF(COUNTIF($H$96:$H$99,"entbehrlich")=COUNTA($H$96:$H$99),"entbehrlich",IF(COUNTIF($H$96:$H$99,"verwiesen")=COUNTA($H$96:$H$99),"verwiesen",IF(COUNTIF($H$96:$H$99,"nein")+COUNTIF($H$96:$H$99,"entbehrlich")=COUNTA($H$96:$H$99),"nein",IF(COUNTIF($H$96:$H$99,"ja")+COUNTIF($H$96:$H$99,"entbehrlich")+COUNTIF($H$96:$H$99,"verwiesen")=COUNTA($H$96:$H$99),"ja","teilweise"))))))</f>
        <v>Bitte Teilanforderungen ausfüllen</v>
      </c>
      <c r="I95" s="12"/>
      <c r="J95" s="12"/>
      <c r="K95" s="12"/>
      <c r="L95" s="12"/>
      <c r="M95" s="12" t="s">
        <v>72</v>
      </c>
      <c r="N95" s="5"/>
      <c r="O95" s="12"/>
      <c r="P95" s="5" t="s">
        <v>885</v>
      </c>
      <c r="Q95" s="12" t="s">
        <v>644</v>
      </c>
      <c r="R95" s="12" t="s">
        <v>688</v>
      </c>
      <c r="S95" s="5" t="s">
        <v>886</v>
      </c>
      <c r="T95" s="5" t="s">
        <v>887</v>
      </c>
      <c r="U95" s="12" t="n">
        <v>2</v>
      </c>
      <c r="V95" s="12" t="n">
        <v>2</v>
      </c>
      <c r="W95" s="12" t="n">
        <v>0</v>
      </c>
      <c r="X95" s="12" t="n">
        <v>1</v>
      </c>
      <c r="Y95" s="12" t="n">
        <v>0</v>
      </c>
    </row>
    <row r="96" customFormat="false" ht="149.25" hidden="false" customHeight="true" outlineLevel="0" collapsed="false">
      <c r="A96" s="12" t="s">
        <v>883</v>
      </c>
      <c r="B96" s="5" t="s">
        <v>884</v>
      </c>
      <c r="C96" s="12" t="s">
        <v>883</v>
      </c>
      <c r="D96" s="12" t="s">
        <v>120</v>
      </c>
      <c r="E96" s="5" t="s">
        <v>888</v>
      </c>
      <c r="F96" s="14"/>
      <c r="G96" s="14"/>
      <c r="H96" s="14" t="s">
        <v>87</v>
      </c>
      <c r="I96" s="14"/>
      <c r="J96" s="14"/>
      <c r="K96" s="14"/>
      <c r="L96" s="15"/>
      <c r="M96" s="12" t="s">
        <v>72</v>
      </c>
      <c r="N96" s="5"/>
      <c r="O96" s="12"/>
      <c r="P96" s="5" t="s">
        <v>885</v>
      </c>
      <c r="Q96" s="12" t="s">
        <v>644</v>
      </c>
      <c r="R96" s="12" t="s">
        <v>688</v>
      </c>
      <c r="S96" s="5" t="s">
        <v>886</v>
      </c>
      <c r="T96" s="5" t="s">
        <v>887</v>
      </c>
      <c r="U96" s="12" t="n">
        <v>2</v>
      </c>
      <c r="V96" s="12" t="n">
        <v>2</v>
      </c>
      <c r="W96" s="12" t="n">
        <v>0</v>
      </c>
      <c r="X96" s="12" t="n">
        <v>1</v>
      </c>
      <c r="Y96" s="12" t="n">
        <v>0</v>
      </c>
    </row>
    <row r="97" customFormat="false" ht="149.25" hidden="false" customHeight="true" outlineLevel="0" collapsed="false">
      <c r="A97" s="12" t="s">
        <v>883</v>
      </c>
      <c r="B97" s="5" t="s">
        <v>884</v>
      </c>
      <c r="C97" s="12" t="s">
        <v>889</v>
      </c>
      <c r="D97" s="12" t="s">
        <v>120</v>
      </c>
      <c r="E97" s="5" t="s">
        <v>890</v>
      </c>
      <c r="F97" s="14"/>
      <c r="G97" s="14"/>
      <c r="H97" s="14" t="s">
        <v>87</v>
      </c>
      <c r="I97" s="14"/>
      <c r="J97" s="14"/>
      <c r="K97" s="14"/>
      <c r="L97" s="15"/>
      <c r="M97" s="12" t="s">
        <v>72</v>
      </c>
      <c r="N97" s="5"/>
      <c r="O97" s="12"/>
      <c r="P97" s="5" t="s">
        <v>891</v>
      </c>
      <c r="Q97" s="12" t="s">
        <v>644</v>
      </c>
      <c r="R97" s="12" t="s">
        <v>92</v>
      </c>
      <c r="S97" s="5" t="s">
        <v>892</v>
      </c>
      <c r="T97" s="5" t="s">
        <v>870</v>
      </c>
      <c r="U97" s="12" t="n">
        <v>3</v>
      </c>
      <c r="V97" s="12" t="n">
        <v>2</v>
      </c>
      <c r="W97" s="12" t="n">
        <v>0</v>
      </c>
      <c r="X97" s="12" t="n">
        <v>1</v>
      </c>
      <c r="Y97" s="12" t="n">
        <v>0</v>
      </c>
    </row>
    <row r="98" customFormat="false" ht="149.25" hidden="false" customHeight="true" outlineLevel="0" collapsed="false">
      <c r="A98" s="12" t="s">
        <v>883</v>
      </c>
      <c r="B98" s="5" t="s">
        <v>884</v>
      </c>
      <c r="C98" s="12" t="s">
        <v>893</v>
      </c>
      <c r="D98" s="12" t="s">
        <v>120</v>
      </c>
      <c r="E98" s="5" t="s">
        <v>894</v>
      </c>
      <c r="F98" s="14"/>
      <c r="G98" s="14"/>
      <c r="H98" s="14" t="s">
        <v>87</v>
      </c>
      <c r="I98" s="14"/>
      <c r="J98" s="14"/>
      <c r="K98" s="14"/>
      <c r="L98" s="15"/>
      <c r="M98" s="12" t="s">
        <v>72</v>
      </c>
      <c r="N98" s="5" t="s">
        <v>895</v>
      </c>
      <c r="O98" s="12" t="s">
        <v>524</v>
      </c>
      <c r="P98" s="5" t="s">
        <v>896</v>
      </c>
      <c r="Q98" s="12" t="s">
        <v>644</v>
      </c>
      <c r="R98" s="12" t="s">
        <v>92</v>
      </c>
      <c r="S98" s="5" t="s">
        <v>897</v>
      </c>
      <c r="T98" s="5" t="s">
        <v>882</v>
      </c>
      <c r="U98" s="12" t="n">
        <v>3</v>
      </c>
      <c r="V98" s="12" t="n">
        <v>2</v>
      </c>
      <c r="W98" s="12" t="n">
        <v>0</v>
      </c>
      <c r="X98" s="12" t="n">
        <v>1</v>
      </c>
      <c r="Y98" s="12" t="n">
        <v>0</v>
      </c>
    </row>
    <row r="99" customFormat="false" ht="108.75" hidden="false" customHeight="true" outlineLevel="0" collapsed="false">
      <c r="A99" s="12" t="s">
        <v>883</v>
      </c>
      <c r="B99" s="5" t="s">
        <v>884</v>
      </c>
      <c r="C99" s="12" t="s">
        <v>898</v>
      </c>
      <c r="D99" s="12" t="s">
        <v>160</v>
      </c>
      <c r="E99" s="5" t="s">
        <v>899</v>
      </c>
      <c r="F99" s="14"/>
      <c r="G99" s="14"/>
      <c r="H99" s="14" t="s">
        <v>87</v>
      </c>
      <c r="I99" s="14"/>
      <c r="J99" s="14"/>
      <c r="K99" s="14"/>
      <c r="L99" s="15"/>
      <c r="M99" s="12"/>
      <c r="N99" s="5"/>
      <c r="O99" s="12"/>
      <c r="P99" s="5" t="s">
        <v>900</v>
      </c>
      <c r="Q99" s="12" t="s">
        <v>644</v>
      </c>
      <c r="R99" s="12" t="s">
        <v>92</v>
      </c>
      <c r="S99" s="5" t="s">
        <v>901</v>
      </c>
      <c r="T99" s="5" t="s">
        <v>870</v>
      </c>
      <c r="U99" s="12" t="n">
        <v>5</v>
      </c>
      <c r="V99" s="12" t="n">
        <v>1</v>
      </c>
      <c r="W99" s="12" t="n">
        <v>0</v>
      </c>
      <c r="X99" s="12" t="n">
        <v>1</v>
      </c>
      <c r="Y99" s="12" t="n">
        <v>0</v>
      </c>
    </row>
    <row r="100" customFormat="false" ht="68.25" hidden="false" customHeight="true" outlineLevel="0" collapsed="false">
      <c r="A100" s="10" t="s">
        <v>902</v>
      </c>
      <c r="B100" s="11" t="s">
        <v>903</v>
      </c>
      <c r="C100" s="12"/>
      <c r="D100" s="12" t="s">
        <v>160</v>
      </c>
      <c r="E100" s="5" t="s">
        <v>79</v>
      </c>
      <c r="F100" s="12"/>
      <c r="G100" s="12"/>
      <c r="H100" s="13" t="str">
        <f aca="false">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Bitte Teilanforderungen ausfüllen</v>
      </c>
      <c r="I100" s="12"/>
      <c r="J100" s="12"/>
      <c r="K100" s="12"/>
      <c r="L100" s="12"/>
      <c r="M100" s="12"/>
      <c r="N100" s="5"/>
      <c r="O100" s="12"/>
      <c r="P100" s="5" t="s">
        <v>904</v>
      </c>
      <c r="Q100" s="12" t="s">
        <v>644</v>
      </c>
      <c r="R100" s="12" t="s">
        <v>92</v>
      </c>
      <c r="S100" s="5" t="s">
        <v>905</v>
      </c>
      <c r="T100" s="5" t="s">
        <v>870</v>
      </c>
      <c r="U100" s="12" t="n">
        <v>4</v>
      </c>
      <c r="V100" s="12" t="n">
        <v>1</v>
      </c>
      <c r="W100" s="12" t="n">
        <v>0</v>
      </c>
      <c r="X100" s="12" t="n">
        <v>1</v>
      </c>
      <c r="Y100" s="12" t="n">
        <v>0</v>
      </c>
    </row>
    <row r="101" customFormat="false" ht="68.25" hidden="false" customHeight="true" outlineLevel="0" collapsed="false">
      <c r="A101" s="12" t="s">
        <v>902</v>
      </c>
      <c r="B101" s="5" t="s">
        <v>903</v>
      </c>
      <c r="C101" s="12" t="s">
        <v>902</v>
      </c>
      <c r="D101" s="12" t="s">
        <v>160</v>
      </c>
      <c r="E101" s="5" t="s">
        <v>906</v>
      </c>
      <c r="F101" s="14"/>
      <c r="G101" s="14"/>
      <c r="H101" s="14" t="s">
        <v>87</v>
      </c>
      <c r="I101" s="14"/>
      <c r="J101" s="14"/>
      <c r="K101" s="14"/>
      <c r="L101" s="15"/>
      <c r="M101" s="12"/>
      <c r="N101" s="5"/>
      <c r="O101" s="12"/>
      <c r="P101" s="5" t="s">
        <v>904</v>
      </c>
      <c r="Q101" s="12" t="s">
        <v>644</v>
      </c>
      <c r="R101" s="12" t="s">
        <v>92</v>
      </c>
      <c r="S101" s="5" t="s">
        <v>905</v>
      </c>
      <c r="T101" s="5" t="s">
        <v>870</v>
      </c>
      <c r="U101" s="12" t="n">
        <v>4</v>
      </c>
      <c r="V101" s="12" t="n">
        <v>1</v>
      </c>
      <c r="W101" s="12" t="n">
        <v>0</v>
      </c>
      <c r="X101" s="12" t="n">
        <v>1</v>
      </c>
      <c r="Y101" s="12" t="n">
        <v>0</v>
      </c>
    </row>
    <row r="102" customFormat="false" ht="256.5" hidden="false" customHeight="true" outlineLevel="0" collapsed="false">
      <c r="A102" s="10" t="s">
        <v>907</v>
      </c>
      <c r="B102" s="11" t="s">
        <v>908</v>
      </c>
      <c r="C102" s="12"/>
      <c r="D102" s="12" t="s">
        <v>160</v>
      </c>
      <c r="E102" s="5" t="s">
        <v>79</v>
      </c>
      <c r="F102" s="12"/>
      <c r="G102" s="12"/>
      <c r="H102" s="13" t="str">
        <f aca="false">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Bitte Teilanforderungen ausfüllen</v>
      </c>
      <c r="I102" s="12"/>
      <c r="J102" s="12"/>
      <c r="K102" s="12"/>
      <c r="L102" s="12"/>
      <c r="M102" s="12"/>
      <c r="N102" s="5"/>
      <c r="O102" s="12"/>
      <c r="P102" s="5" t="s">
        <v>909</v>
      </c>
      <c r="Q102" s="12" t="s">
        <v>910</v>
      </c>
      <c r="R102" s="12" t="s">
        <v>92</v>
      </c>
      <c r="S102" s="5" t="s">
        <v>911</v>
      </c>
      <c r="T102" s="5" t="s">
        <v>887</v>
      </c>
      <c r="U102" s="12" t="n">
        <v>4</v>
      </c>
      <c r="V102" s="12" t="n">
        <v>1</v>
      </c>
      <c r="W102" s="12" t="n">
        <v>0</v>
      </c>
      <c r="X102" s="12" t="n">
        <v>1</v>
      </c>
      <c r="Y102" s="12" t="n">
        <v>0</v>
      </c>
    </row>
    <row r="103" customFormat="false" ht="256.5" hidden="false" customHeight="true" outlineLevel="0" collapsed="false">
      <c r="A103" s="12" t="s">
        <v>907</v>
      </c>
      <c r="B103" s="5" t="s">
        <v>908</v>
      </c>
      <c r="C103" s="12" t="s">
        <v>907</v>
      </c>
      <c r="D103" s="12" t="s">
        <v>160</v>
      </c>
      <c r="E103" s="5" t="s">
        <v>912</v>
      </c>
      <c r="F103" s="14"/>
      <c r="G103" s="14"/>
      <c r="H103" s="14" t="s">
        <v>87</v>
      </c>
      <c r="I103" s="14"/>
      <c r="J103" s="14"/>
      <c r="K103" s="14"/>
      <c r="L103" s="15"/>
      <c r="M103" s="12"/>
      <c r="N103" s="5"/>
      <c r="O103" s="12"/>
      <c r="P103" s="5" t="s">
        <v>909</v>
      </c>
      <c r="Q103" s="12" t="s">
        <v>910</v>
      </c>
      <c r="R103" s="12" t="s">
        <v>92</v>
      </c>
      <c r="S103" s="5" t="s">
        <v>911</v>
      </c>
      <c r="T103" s="5" t="s">
        <v>887</v>
      </c>
      <c r="U103" s="12" t="n">
        <v>4</v>
      </c>
      <c r="V103" s="12" t="n">
        <v>1</v>
      </c>
      <c r="W103" s="12" t="n">
        <v>0</v>
      </c>
      <c r="X103" s="12" t="n">
        <v>1</v>
      </c>
      <c r="Y103" s="12" t="n">
        <v>0</v>
      </c>
    </row>
    <row r="104" customFormat="false" ht="270" hidden="false" customHeight="true" outlineLevel="0" collapsed="false">
      <c r="A104" s="10" t="s">
        <v>913</v>
      </c>
      <c r="B104" s="11" t="s">
        <v>914</v>
      </c>
      <c r="C104" s="12"/>
      <c r="D104" s="12" t="s">
        <v>120</v>
      </c>
      <c r="E104" s="5" t="s">
        <v>79</v>
      </c>
      <c r="F104" s="12"/>
      <c r="G104" s="12"/>
      <c r="H104" s="13" t="str">
        <f aca="false">IF(OR(COUNTBLANK($H$105:$H$105)&gt;0,COUNTIF($H$105:$H$105,"unbearbeitet")=COUNTA($H$105:$H$105)),"Bitte Teilanforderungen ausfüllen",IF(COUNTIF($H$105:$H$105,"zu klären")&gt;0,"zu klären",IF(COUNTIF($H$105:$H$105,"entbehrlich")=COUNTA($H$105:$H$105),"entbehrlich",IF(COUNTIF($H$105:$H$105,"verwiesen")=COUNTA($H$105:$H$105),"verwiesen",IF(COUNTIF($H$105:$H$105,"nein")+COUNTIF($H$105:$H$105,"entbehrlich")=COUNTA($H$105:$H$105),"nein",IF(COUNTIF($H$105:$H$105,"ja")+COUNTIF($H$105:$H$105,"entbehrlich")+COUNTIF($H$105:$H$105,"verwiesen")=COUNTA($H$105:$H$105),"ja","teilweise"))))))</f>
        <v>Bitte Teilanforderungen ausfüllen</v>
      </c>
      <c r="I104" s="12"/>
      <c r="J104" s="12"/>
      <c r="K104" s="12"/>
      <c r="L104" s="12"/>
      <c r="M104" s="12"/>
      <c r="N104" s="5"/>
      <c r="O104" s="12"/>
      <c r="P104" s="5" t="s">
        <v>915</v>
      </c>
      <c r="Q104" s="12"/>
      <c r="R104" s="12" t="s">
        <v>92</v>
      </c>
      <c r="S104" s="5" t="s">
        <v>916</v>
      </c>
      <c r="T104" s="5" t="s">
        <v>870</v>
      </c>
      <c r="U104" s="12" t="n">
        <v>2</v>
      </c>
      <c r="V104" s="12" t="n">
        <v>1</v>
      </c>
      <c r="W104" s="12" t="n">
        <v>0</v>
      </c>
      <c r="X104" s="12" t="n">
        <v>1</v>
      </c>
      <c r="Y104" s="12" t="n">
        <v>0</v>
      </c>
    </row>
    <row r="105" customFormat="false" ht="270" hidden="false" customHeight="true" outlineLevel="0" collapsed="false">
      <c r="A105" s="12" t="s">
        <v>913</v>
      </c>
      <c r="B105" s="5" t="s">
        <v>914</v>
      </c>
      <c r="C105" s="12" t="s">
        <v>913</v>
      </c>
      <c r="D105" s="12" t="s">
        <v>120</v>
      </c>
      <c r="E105" s="5" t="s">
        <v>917</v>
      </c>
      <c r="F105" s="14"/>
      <c r="G105" s="14"/>
      <c r="H105" s="14" t="s">
        <v>87</v>
      </c>
      <c r="I105" s="14"/>
      <c r="J105" s="14"/>
      <c r="K105" s="14"/>
      <c r="L105" s="15"/>
      <c r="M105" s="12"/>
      <c r="N105" s="5"/>
      <c r="O105" s="12"/>
      <c r="P105" s="5" t="s">
        <v>915</v>
      </c>
      <c r="Q105" s="12"/>
      <c r="R105" s="12" t="s">
        <v>92</v>
      </c>
      <c r="S105" s="5" t="s">
        <v>916</v>
      </c>
      <c r="T105" s="5" t="s">
        <v>870</v>
      </c>
      <c r="U105" s="12" t="n">
        <v>2</v>
      </c>
      <c r="V105" s="12" t="n">
        <v>1</v>
      </c>
      <c r="W105" s="12" t="n">
        <v>0</v>
      </c>
      <c r="X105" s="12" t="n">
        <v>1</v>
      </c>
      <c r="Y105" s="12" t="n">
        <v>0</v>
      </c>
    </row>
    <row r="106" customFormat="false" ht="484.5" hidden="false" customHeight="true" outlineLevel="0" collapsed="false">
      <c r="A106" s="10" t="s">
        <v>918</v>
      </c>
      <c r="B106" s="11" t="s">
        <v>919</v>
      </c>
      <c r="C106" s="12"/>
      <c r="D106" s="12" t="s">
        <v>120</v>
      </c>
      <c r="E106" s="5" t="s">
        <v>79</v>
      </c>
      <c r="F106" s="12"/>
      <c r="G106" s="12"/>
      <c r="H106" s="13" t="str">
        <f aca="false">IF(OR(COUNTBLANK($H$107:$H$107)&gt;0,COUNTIF($H$107:$H$107,"unbearbeitet")=COUNTA($H$107:$H$107)),"Bitte Teilanforderungen ausfüllen",IF(COUNTIF($H$107:$H$107,"zu klären")&gt;0,"zu klären",IF(COUNTIF($H$107:$H$107,"entbehrlich")=COUNTA($H$107:$H$107),"entbehrlich",IF(COUNTIF($H$107:$H$107,"verwiesen")=COUNTA($H$107:$H$107),"verwiesen",IF(COUNTIF($H$107:$H$107,"nein")+COUNTIF($H$107:$H$107,"entbehrlich")=COUNTA($H$107:$H$107),"nein",IF(COUNTIF($H$107:$H$107,"ja")+COUNTIF($H$107:$H$107,"entbehrlich")+COUNTIF($H$107:$H$107,"verwiesen")=COUNTA($H$107:$H$107),"ja","teilweise"))))))</f>
        <v>Bitte Teilanforderungen ausfüllen</v>
      </c>
      <c r="I106" s="12"/>
      <c r="J106" s="12"/>
      <c r="K106" s="12"/>
      <c r="L106" s="12"/>
      <c r="M106" s="12"/>
      <c r="N106" s="5"/>
      <c r="O106" s="12"/>
      <c r="P106" s="5" t="s">
        <v>920</v>
      </c>
      <c r="Q106" s="12"/>
      <c r="R106" s="12" t="s">
        <v>92</v>
      </c>
      <c r="S106" s="5" t="s">
        <v>921</v>
      </c>
      <c r="T106" s="5" t="s">
        <v>870</v>
      </c>
      <c r="U106" s="12" t="n">
        <v>2</v>
      </c>
      <c r="V106" s="12" t="n">
        <v>1</v>
      </c>
      <c r="W106" s="12" t="n">
        <v>0</v>
      </c>
      <c r="X106" s="12" t="n">
        <v>1</v>
      </c>
      <c r="Y106" s="12" t="n">
        <v>0</v>
      </c>
    </row>
    <row r="107" customFormat="false" ht="484.5" hidden="false" customHeight="true" outlineLevel="0" collapsed="false">
      <c r="A107" s="12" t="s">
        <v>918</v>
      </c>
      <c r="B107" s="5" t="s">
        <v>919</v>
      </c>
      <c r="C107" s="12" t="s">
        <v>918</v>
      </c>
      <c r="D107" s="12" t="s">
        <v>120</v>
      </c>
      <c r="E107" s="5" t="s">
        <v>922</v>
      </c>
      <c r="F107" s="14"/>
      <c r="G107" s="14"/>
      <c r="H107" s="14" t="s">
        <v>87</v>
      </c>
      <c r="I107" s="14"/>
      <c r="J107" s="14"/>
      <c r="K107" s="14"/>
      <c r="L107" s="15"/>
      <c r="M107" s="12"/>
      <c r="N107" s="5"/>
      <c r="O107" s="12"/>
      <c r="P107" s="5" t="s">
        <v>920</v>
      </c>
      <c r="Q107" s="12"/>
      <c r="R107" s="12" t="s">
        <v>92</v>
      </c>
      <c r="S107" s="5" t="s">
        <v>921</v>
      </c>
      <c r="T107" s="5" t="s">
        <v>870</v>
      </c>
      <c r="U107" s="12" t="n">
        <v>2</v>
      </c>
      <c r="V107" s="12" t="n">
        <v>1</v>
      </c>
      <c r="W107" s="12" t="n">
        <v>0</v>
      </c>
      <c r="X107" s="12" t="n">
        <v>1</v>
      </c>
      <c r="Y107" s="12" t="n">
        <v>0</v>
      </c>
    </row>
  </sheetData>
  <autoFilter ref="A6:Y6"/>
  <conditionalFormatting sqref="H7:H107">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5 H17:H18 H20:H23 H25 H27:H28 H30 H32 H34 H36 H38 H40 H42 H44 H46 H48:H49 H51 H53 H55 H57 H59 H61 H63 H65 H67 H69 H71 H73 H75 H77 H79 H81 H83 H85 H87 H89 H91 H93:H94 H96:H99 H101 H103 H105 H107"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582</v>
      </c>
      <c r="B3" s="7" t="s">
        <v>583</v>
      </c>
    </row>
    <row r="4" customFormat="false" ht="15" hidden="false" customHeight="true" outlineLevel="0" collapsed="false">
      <c r="A4" s="4" t="s">
        <v>50</v>
      </c>
      <c r="B4" s="8" t="str">
        <f aca="false">IF(Praktiken!D7="","",Praktiken!D7)</f>
        <v/>
      </c>
    </row>
    <row r="5" customFormat="false" ht="15" hidden="false" customHeight="true" outlineLevel="0" collapsed="false">
      <c r="A5" s="4" t="s">
        <v>51</v>
      </c>
      <c r="B5" s="8" t="str">
        <f aca="false">IF(Praktiken!S7="","",Praktiken!S7)</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923</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924</v>
      </c>
      <c r="O7" s="12" t="s">
        <v>524</v>
      </c>
      <c r="P7" s="5" t="s">
        <v>925</v>
      </c>
      <c r="Q7" s="12"/>
      <c r="R7" s="12" t="s">
        <v>926</v>
      </c>
      <c r="S7" s="5" t="s">
        <v>927</v>
      </c>
      <c r="T7" s="5" t="s">
        <v>306</v>
      </c>
      <c r="U7" s="12" t="n">
        <v>0</v>
      </c>
      <c r="V7" s="12" t="n">
        <v>1</v>
      </c>
      <c r="W7" s="12" t="n">
        <v>1</v>
      </c>
      <c r="X7" s="12" t="n">
        <v>1</v>
      </c>
      <c r="Y7" s="12" t="n">
        <v>0</v>
      </c>
    </row>
    <row r="8" customFormat="false" ht="216" hidden="false" customHeight="true" outlineLevel="0" collapsed="false">
      <c r="A8" s="12" t="s">
        <v>923</v>
      </c>
      <c r="B8" s="5" t="s">
        <v>77</v>
      </c>
      <c r="C8" s="12" t="s">
        <v>928</v>
      </c>
      <c r="D8" s="12" t="s">
        <v>78</v>
      </c>
      <c r="E8" s="5" t="s">
        <v>929</v>
      </c>
      <c r="F8" s="14"/>
      <c r="G8" s="14"/>
      <c r="H8" s="14" t="s">
        <v>87</v>
      </c>
      <c r="I8" s="14"/>
      <c r="J8" s="14"/>
      <c r="K8" s="14"/>
      <c r="L8" s="15"/>
      <c r="M8" s="12"/>
      <c r="N8" s="5"/>
      <c r="O8" s="12"/>
      <c r="P8" s="5" t="s">
        <v>624</v>
      </c>
      <c r="Q8" s="12"/>
      <c r="R8" s="12" t="s">
        <v>930</v>
      </c>
      <c r="S8" s="5" t="s">
        <v>93</v>
      </c>
      <c r="T8" s="5" t="s">
        <v>625</v>
      </c>
      <c r="U8" s="12" t="n">
        <v>0</v>
      </c>
      <c r="V8" s="12" t="n">
        <v>1</v>
      </c>
      <c r="W8" s="12" t="n">
        <v>1</v>
      </c>
      <c r="X8" s="12" t="n">
        <v>1</v>
      </c>
      <c r="Y8" s="12" t="n">
        <v>0</v>
      </c>
    </row>
    <row r="9" customFormat="false" ht="336.75" hidden="false" customHeight="true" outlineLevel="0" collapsed="false">
      <c r="A9" s="12" t="s">
        <v>923</v>
      </c>
      <c r="B9" s="5" t="s">
        <v>77</v>
      </c>
      <c r="C9" s="12" t="s">
        <v>931</v>
      </c>
      <c r="D9" s="12" t="s">
        <v>78</v>
      </c>
      <c r="E9" s="5" t="s">
        <v>932</v>
      </c>
      <c r="F9" s="14"/>
      <c r="G9" s="14"/>
      <c r="H9" s="14" t="s">
        <v>87</v>
      </c>
      <c r="I9" s="14"/>
      <c r="J9" s="14"/>
      <c r="K9" s="14"/>
      <c r="L9" s="15"/>
      <c r="M9" s="12"/>
      <c r="N9" s="5"/>
      <c r="O9" s="12"/>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923</v>
      </c>
      <c r="B10" s="5" t="s">
        <v>77</v>
      </c>
      <c r="C10" s="12" t="s">
        <v>933</v>
      </c>
      <c r="D10" s="12" t="s">
        <v>78</v>
      </c>
      <c r="E10" s="5" t="s">
        <v>934</v>
      </c>
      <c r="F10" s="14"/>
      <c r="G10" s="14"/>
      <c r="H10" s="14" t="s">
        <v>87</v>
      </c>
      <c r="I10" s="14"/>
      <c r="J10" s="14"/>
      <c r="K10" s="14"/>
      <c r="L10" s="15"/>
      <c r="M10" s="12"/>
      <c r="N10" s="5"/>
      <c r="O10" s="12"/>
      <c r="P10" s="5" t="s">
        <v>631</v>
      </c>
      <c r="Q10" s="12"/>
      <c r="R10" s="12" t="s">
        <v>930</v>
      </c>
      <c r="S10" s="5" t="s">
        <v>108</v>
      </c>
      <c r="T10" s="5" t="s">
        <v>102</v>
      </c>
      <c r="U10" s="12" t="n">
        <v>0</v>
      </c>
      <c r="V10" s="12" t="n">
        <v>1</v>
      </c>
      <c r="W10" s="12" t="n">
        <v>1</v>
      </c>
      <c r="X10" s="12" t="n">
        <v>1</v>
      </c>
      <c r="Y10" s="12" t="n">
        <v>0</v>
      </c>
    </row>
    <row r="11" customFormat="false" ht="189" hidden="false" customHeight="true" outlineLevel="0" collapsed="false">
      <c r="A11" s="10" t="s">
        <v>935</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936</v>
      </c>
      <c r="S11" s="5" t="s">
        <v>93</v>
      </c>
      <c r="T11" s="5" t="s">
        <v>306</v>
      </c>
      <c r="U11" s="12" t="n">
        <v>0</v>
      </c>
      <c r="V11" s="12" t="n">
        <v>1</v>
      </c>
      <c r="W11" s="12" t="n">
        <v>1</v>
      </c>
      <c r="X11" s="12" t="n">
        <v>1</v>
      </c>
      <c r="Y11" s="12" t="n">
        <v>0</v>
      </c>
    </row>
    <row r="12" customFormat="false" ht="189" hidden="false" customHeight="true" outlineLevel="0" collapsed="false">
      <c r="A12" s="12" t="s">
        <v>935</v>
      </c>
      <c r="B12" s="5" t="s">
        <v>111</v>
      </c>
      <c r="C12" s="12" t="s">
        <v>935</v>
      </c>
      <c r="D12" s="12" t="s">
        <v>78</v>
      </c>
      <c r="E12" s="5" t="s">
        <v>937</v>
      </c>
      <c r="F12" s="14"/>
      <c r="G12" s="14"/>
      <c r="H12" s="14" t="s">
        <v>87</v>
      </c>
      <c r="I12" s="14"/>
      <c r="J12" s="14"/>
      <c r="K12" s="14"/>
      <c r="L12" s="15"/>
      <c r="M12" s="12"/>
      <c r="N12" s="5"/>
      <c r="O12" s="12"/>
      <c r="P12" s="5" t="s">
        <v>114</v>
      </c>
      <c r="Q12" s="12"/>
      <c r="R12" s="12" t="s">
        <v>936</v>
      </c>
      <c r="S12" s="5" t="s">
        <v>93</v>
      </c>
      <c r="T12" s="5" t="s">
        <v>306</v>
      </c>
      <c r="U12" s="12" t="n">
        <v>0</v>
      </c>
      <c r="V12" s="12" t="n">
        <v>1</v>
      </c>
      <c r="W12" s="12" t="n">
        <v>1</v>
      </c>
      <c r="X12" s="12" t="n">
        <v>1</v>
      </c>
      <c r="Y12" s="12" t="n">
        <v>0</v>
      </c>
    </row>
    <row r="13" customFormat="false" ht="390.75" hidden="false" customHeight="true" outlineLevel="0" collapsed="false">
      <c r="A13" s="10" t="s">
        <v>938</v>
      </c>
      <c r="B13" s="11" t="s">
        <v>939</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940</v>
      </c>
      <c r="Q13" s="12"/>
      <c r="R13" s="12" t="s">
        <v>941</v>
      </c>
      <c r="S13" s="5" t="s">
        <v>942</v>
      </c>
      <c r="T13" s="5" t="s">
        <v>306</v>
      </c>
      <c r="U13" s="12" t="n">
        <v>3</v>
      </c>
      <c r="V13" s="12" t="n">
        <v>1</v>
      </c>
      <c r="W13" s="12" t="n">
        <v>1</v>
      </c>
      <c r="X13" s="12" t="n">
        <v>1</v>
      </c>
      <c r="Y13" s="12" t="n">
        <v>0</v>
      </c>
    </row>
    <row r="14" customFormat="false" ht="390.75" hidden="false" customHeight="true" outlineLevel="0" collapsed="false">
      <c r="A14" s="12" t="s">
        <v>938</v>
      </c>
      <c r="B14" s="5" t="s">
        <v>939</v>
      </c>
      <c r="C14" s="12" t="s">
        <v>938</v>
      </c>
      <c r="D14" s="12" t="s">
        <v>120</v>
      </c>
      <c r="E14" s="5" t="s">
        <v>943</v>
      </c>
      <c r="F14" s="14"/>
      <c r="G14" s="14"/>
      <c r="H14" s="14" t="s">
        <v>87</v>
      </c>
      <c r="I14" s="14"/>
      <c r="J14" s="14"/>
      <c r="K14" s="14"/>
      <c r="L14" s="15"/>
      <c r="M14" s="12"/>
      <c r="N14" s="5"/>
      <c r="O14" s="12"/>
      <c r="P14" s="5" t="s">
        <v>940</v>
      </c>
      <c r="Q14" s="12"/>
      <c r="R14" s="12" t="s">
        <v>941</v>
      </c>
      <c r="S14" s="5" t="s">
        <v>942</v>
      </c>
      <c r="T14" s="5" t="s">
        <v>306</v>
      </c>
      <c r="U14" s="12" t="n">
        <v>3</v>
      </c>
      <c r="V14" s="12" t="n">
        <v>1</v>
      </c>
      <c r="W14" s="12" t="n">
        <v>1</v>
      </c>
      <c r="X14" s="12" t="n">
        <v>1</v>
      </c>
      <c r="Y14" s="12" t="n">
        <v>0</v>
      </c>
    </row>
    <row r="15" customFormat="false" ht="283.5" hidden="false" customHeight="true" outlineLevel="0" collapsed="false">
      <c r="A15" s="10" t="s">
        <v>944</v>
      </c>
      <c r="B15" s="11" t="s">
        <v>945</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946</v>
      </c>
      <c r="Q15" s="12"/>
      <c r="R15" s="12" t="s">
        <v>926</v>
      </c>
      <c r="S15" s="5" t="s">
        <v>947</v>
      </c>
      <c r="T15" s="5" t="s">
        <v>306</v>
      </c>
      <c r="U15" s="12" t="n">
        <v>3</v>
      </c>
      <c r="V15" s="12" t="n">
        <v>1</v>
      </c>
      <c r="W15" s="12" t="n">
        <v>1</v>
      </c>
      <c r="X15" s="12" t="n">
        <v>1</v>
      </c>
      <c r="Y15" s="12" t="n">
        <v>0</v>
      </c>
    </row>
    <row r="16" customFormat="false" ht="283.5" hidden="false" customHeight="true" outlineLevel="0" collapsed="false">
      <c r="A16" s="12" t="s">
        <v>944</v>
      </c>
      <c r="B16" s="5" t="s">
        <v>945</v>
      </c>
      <c r="C16" s="12" t="s">
        <v>944</v>
      </c>
      <c r="D16" s="12" t="s">
        <v>120</v>
      </c>
      <c r="E16" s="5" t="s">
        <v>948</v>
      </c>
      <c r="F16" s="14"/>
      <c r="G16" s="14"/>
      <c r="H16" s="14" t="s">
        <v>87</v>
      </c>
      <c r="I16" s="14"/>
      <c r="J16" s="14"/>
      <c r="K16" s="14"/>
      <c r="L16" s="15"/>
      <c r="M16" s="12"/>
      <c r="N16" s="5"/>
      <c r="O16" s="12"/>
      <c r="P16" s="5" t="s">
        <v>946</v>
      </c>
      <c r="Q16" s="12"/>
      <c r="R16" s="12" t="s">
        <v>926</v>
      </c>
      <c r="S16" s="5" t="s">
        <v>947</v>
      </c>
      <c r="T16" s="5" t="s">
        <v>306</v>
      </c>
      <c r="U16" s="12" t="n">
        <v>3</v>
      </c>
      <c r="V16" s="12" t="n">
        <v>1</v>
      </c>
      <c r="W16" s="12" t="n">
        <v>1</v>
      </c>
      <c r="X16" s="12" t="n">
        <v>1</v>
      </c>
      <c r="Y16" s="12" t="n">
        <v>0</v>
      </c>
    </row>
    <row r="17" customFormat="false" ht="54.75" hidden="false" customHeight="true" outlineLevel="0" collapsed="false">
      <c r="A17" s="10" t="s">
        <v>949</v>
      </c>
      <c r="B17" s="11" t="s">
        <v>950</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75</v>
      </c>
      <c r="N17" s="5"/>
      <c r="O17" s="12"/>
      <c r="P17" s="5" t="s">
        <v>951</v>
      </c>
      <c r="Q17" s="12"/>
      <c r="R17" s="12" t="s">
        <v>926</v>
      </c>
      <c r="S17" s="5" t="s">
        <v>952</v>
      </c>
      <c r="T17" s="5" t="s">
        <v>953</v>
      </c>
      <c r="U17" s="12" t="n">
        <v>3</v>
      </c>
      <c r="V17" s="12" t="n">
        <v>1</v>
      </c>
      <c r="W17" s="12" t="n">
        <v>1</v>
      </c>
      <c r="X17" s="12" t="n">
        <v>1</v>
      </c>
      <c r="Y17" s="12" t="n">
        <v>2</v>
      </c>
    </row>
    <row r="18" customFormat="false" ht="54.75" hidden="false" customHeight="true" outlineLevel="0" collapsed="false">
      <c r="A18" s="12" t="s">
        <v>949</v>
      </c>
      <c r="B18" s="5" t="s">
        <v>950</v>
      </c>
      <c r="C18" s="12" t="s">
        <v>949</v>
      </c>
      <c r="D18" s="12" t="s">
        <v>120</v>
      </c>
      <c r="E18" s="5" t="s">
        <v>954</v>
      </c>
      <c r="F18" s="14"/>
      <c r="G18" s="14"/>
      <c r="H18" s="14" t="s">
        <v>87</v>
      </c>
      <c r="I18" s="14"/>
      <c r="J18" s="14"/>
      <c r="K18" s="14"/>
      <c r="L18" s="15"/>
      <c r="M18" s="12" t="s">
        <v>75</v>
      </c>
      <c r="N18" s="5"/>
      <c r="O18" s="12"/>
      <c r="P18" s="5" t="s">
        <v>951</v>
      </c>
      <c r="Q18" s="12"/>
      <c r="R18" s="12" t="s">
        <v>926</v>
      </c>
      <c r="S18" s="5" t="s">
        <v>952</v>
      </c>
      <c r="T18" s="5" t="s">
        <v>953</v>
      </c>
      <c r="U18" s="12" t="n">
        <v>3</v>
      </c>
      <c r="V18" s="12" t="n">
        <v>1</v>
      </c>
      <c r="W18" s="12" t="n">
        <v>1</v>
      </c>
      <c r="X18" s="12" t="n">
        <v>1</v>
      </c>
      <c r="Y18" s="12" t="n">
        <v>2</v>
      </c>
    </row>
    <row r="19" customFormat="false" ht="68.25" hidden="false" customHeight="true" outlineLevel="0" collapsed="false">
      <c r="A19" s="10" t="s">
        <v>955</v>
      </c>
      <c r="B19" s="11" t="s">
        <v>956</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t="s">
        <v>75</v>
      </c>
      <c r="N19" s="5"/>
      <c r="O19" s="12"/>
      <c r="P19" s="5" t="s">
        <v>957</v>
      </c>
      <c r="Q19" s="12"/>
      <c r="R19" s="12" t="s">
        <v>930</v>
      </c>
      <c r="S19" s="5" t="s">
        <v>958</v>
      </c>
      <c r="T19" s="5" t="s">
        <v>953</v>
      </c>
      <c r="U19" s="12" t="n">
        <v>3</v>
      </c>
      <c r="V19" s="12" t="n">
        <v>1</v>
      </c>
      <c r="W19" s="12" t="n">
        <v>1</v>
      </c>
      <c r="X19" s="12" t="n">
        <v>1</v>
      </c>
      <c r="Y19" s="12" t="n">
        <v>2</v>
      </c>
    </row>
    <row r="20" customFormat="false" ht="68.25" hidden="false" customHeight="true" outlineLevel="0" collapsed="false">
      <c r="A20" s="12" t="s">
        <v>955</v>
      </c>
      <c r="B20" s="5" t="s">
        <v>956</v>
      </c>
      <c r="C20" s="12" t="s">
        <v>955</v>
      </c>
      <c r="D20" s="12" t="s">
        <v>120</v>
      </c>
      <c r="E20" s="5" t="s">
        <v>959</v>
      </c>
      <c r="F20" s="14"/>
      <c r="G20" s="14"/>
      <c r="H20" s="14" t="s">
        <v>87</v>
      </c>
      <c r="I20" s="14"/>
      <c r="J20" s="14"/>
      <c r="K20" s="14"/>
      <c r="L20" s="15"/>
      <c r="M20" s="12" t="s">
        <v>75</v>
      </c>
      <c r="N20" s="5"/>
      <c r="O20" s="12"/>
      <c r="P20" s="5" t="s">
        <v>957</v>
      </c>
      <c r="Q20" s="12"/>
      <c r="R20" s="12" t="s">
        <v>930</v>
      </c>
      <c r="S20" s="5" t="s">
        <v>958</v>
      </c>
      <c r="T20" s="5" t="s">
        <v>953</v>
      </c>
      <c r="U20" s="12" t="n">
        <v>3</v>
      </c>
      <c r="V20" s="12" t="n">
        <v>1</v>
      </c>
      <c r="W20" s="12" t="n">
        <v>1</v>
      </c>
      <c r="X20" s="12" t="n">
        <v>1</v>
      </c>
      <c r="Y20" s="12" t="n">
        <v>2</v>
      </c>
    </row>
    <row r="21" customFormat="false" ht="54.75" hidden="false" customHeight="true" outlineLevel="0" collapsed="false">
      <c r="A21" s="10" t="s">
        <v>960</v>
      </c>
      <c r="B21" s="11" t="s">
        <v>961</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962</v>
      </c>
      <c r="Q21" s="12"/>
      <c r="R21" s="12" t="s">
        <v>926</v>
      </c>
      <c r="S21" s="5" t="s">
        <v>963</v>
      </c>
      <c r="T21" s="5" t="s">
        <v>953</v>
      </c>
      <c r="U21" s="12" t="n">
        <v>3</v>
      </c>
      <c r="V21" s="12" t="n">
        <v>1</v>
      </c>
      <c r="W21" s="12" t="n">
        <v>1</v>
      </c>
      <c r="X21" s="12" t="n">
        <v>1</v>
      </c>
      <c r="Y21" s="12" t="n">
        <v>1</v>
      </c>
    </row>
    <row r="22" customFormat="false" ht="54.75" hidden="false" customHeight="true" outlineLevel="0" collapsed="false">
      <c r="A22" s="12" t="s">
        <v>960</v>
      </c>
      <c r="B22" s="5" t="s">
        <v>961</v>
      </c>
      <c r="C22" s="12" t="s">
        <v>960</v>
      </c>
      <c r="D22" s="12" t="s">
        <v>120</v>
      </c>
      <c r="E22" s="5" t="s">
        <v>964</v>
      </c>
      <c r="F22" s="14"/>
      <c r="G22" s="14"/>
      <c r="H22" s="14" t="s">
        <v>87</v>
      </c>
      <c r="I22" s="14"/>
      <c r="J22" s="14"/>
      <c r="K22" s="14"/>
      <c r="L22" s="15"/>
      <c r="M22" s="12"/>
      <c r="N22" s="5"/>
      <c r="O22" s="12"/>
      <c r="P22" s="5" t="s">
        <v>962</v>
      </c>
      <c r="Q22" s="12"/>
      <c r="R22" s="12" t="s">
        <v>926</v>
      </c>
      <c r="S22" s="5" t="s">
        <v>963</v>
      </c>
      <c r="T22" s="5" t="s">
        <v>953</v>
      </c>
      <c r="U22" s="12" t="n">
        <v>3</v>
      </c>
      <c r="V22" s="12" t="n">
        <v>1</v>
      </c>
      <c r="W22" s="12" t="n">
        <v>1</v>
      </c>
      <c r="X22" s="12" t="n">
        <v>1</v>
      </c>
      <c r="Y22" s="12" t="n">
        <v>1</v>
      </c>
    </row>
    <row r="23" customFormat="false" ht="68.25" hidden="false" customHeight="true" outlineLevel="0" collapsed="false">
      <c r="A23" s="10" t="s">
        <v>965</v>
      </c>
      <c r="B23" s="11" t="s">
        <v>966</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t="s">
        <v>75</v>
      </c>
      <c r="N23" s="5"/>
      <c r="O23" s="12"/>
      <c r="P23" s="5" t="s">
        <v>967</v>
      </c>
      <c r="Q23" s="12"/>
      <c r="R23" s="12" t="s">
        <v>793</v>
      </c>
      <c r="S23" s="5" t="s">
        <v>968</v>
      </c>
      <c r="T23" s="5" t="s">
        <v>969</v>
      </c>
      <c r="U23" s="12" t="n">
        <v>3</v>
      </c>
      <c r="V23" s="12" t="n">
        <v>1</v>
      </c>
      <c r="W23" s="12" t="n">
        <v>1</v>
      </c>
      <c r="X23" s="12" t="n">
        <v>1</v>
      </c>
      <c r="Y23" s="12" t="n">
        <v>2</v>
      </c>
    </row>
    <row r="24" customFormat="false" ht="68.25" hidden="false" customHeight="true" outlineLevel="0" collapsed="false">
      <c r="A24" s="12" t="s">
        <v>965</v>
      </c>
      <c r="B24" s="5" t="s">
        <v>966</v>
      </c>
      <c r="C24" s="12" t="s">
        <v>965</v>
      </c>
      <c r="D24" s="12" t="s">
        <v>120</v>
      </c>
      <c r="E24" s="5" t="s">
        <v>970</v>
      </c>
      <c r="F24" s="14"/>
      <c r="G24" s="14"/>
      <c r="H24" s="14" t="s">
        <v>87</v>
      </c>
      <c r="I24" s="14"/>
      <c r="J24" s="14"/>
      <c r="K24" s="14"/>
      <c r="L24" s="15"/>
      <c r="M24" s="12" t="s">
        <v>75</v>
      </c>
      <c r="N24" s="5"/>
      <c r="O24" s="12"/>
      <c r="P24" s="5" t="s">
        <v>967</v>
      </c>
      <c r="Q24" s="12"/>
      <c r="R24" s="12" t="s">
        <v>793</v>
      </c>
      <c r="S24" s="5" t="s">
        <v>968</v>
      </c>
      <c r="T24" s="5" t="s">
        <v>969</v>
      </c>
      <c r="U24" s="12" t="n">
        <v>3</v>
      </c>
      <c r="V24" s="12" t="n">
        <v>1</v>
      </c>
      <c r="W24" s="12" t="n">
        <v>1</v>
      </c>
      <c r="X24" s="12" t="n">
        <v>1</v>
      </c>
      <c r="Y24" s="12" t="n">
        <v>2</v>
      </c>
    </row>
    <row r="25" customFormat="false" ht="68.25" hidden="false" customHeight="true" outlineLevel="0" collapsed="false">
      <c r="A25" s="10" t="s">
        <v>971</v>
      </c>
      <c r="B25" s="11" t="s">
        <v>972</v>
      </c>
      <c r="C25" s="12"/>
      <c r="D25" s="12" t="s">
        <v>120</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t="s">
        <v>72</v>
      </c>
      <c r="N25" s="5" t="s">
        <v>973</v>
      </c>
      <c r="O25" s="12" t="s">
        <v>524</v>
      </c>
      <c r="P25" s="5" t="s">
        <v>974</v>
      </c>
      <c r="Q25" s="12"/>
      <c r="R25" s="12" t="s">
        <v>926</v>
      </c>
      <c r="S25" s="5" t="s">
        <v>975</v>
      </c>
      <c r="T25" s="5" t="s">
        <v>953</v>
      </c>
      <c r="U25" s="12" t="n">
        <v>3</v>
      </c>
      <c r="V25" s="12" t="n">
        <v>2</v>
      </c>
      <c r="W25" s="12" t="n">
        <v>1</v>
      </c>
      <c r="X25" s="12" t="n">
        <v>1</v>
      </c>
      <c r="Y25" s="12" t="n">
        <v>1</v>
      </c>
    </row>
    <row r="26" customFormat="false" ht="68.25" hidden="false" customHeight="true" outlineLevel="0" collapsed="false">
      <c r="A26" s="12" t="s">
        <v>971</v>
      </c>
      <c r="B26" s="5" t="s">
        <v>972</v>
      </c>
      <c r="C26" s="12" t="s">
        <v>971</v>
      </c>
      <c r="D26" s="12" t="s">
        <v>120</v>
      </c>
      <c r="E26" s="5" t="s">
        <v>976</v>
      </c>
      <c r="F26" s="14"/>
      <c r="G26" s="14"/>
      <c r="H26" s="14" t="s">
        <v>87</v>
      </c>
      <c r="I26" s="14"/>
      <c r="J26" s="14"/>
      <c r="K26" s="14"/>
      <c r="L26" s="15"/>
      <c r="M26" s="12" t="s">
        <v>72</v>
      </c>
      <c r="N26" s="5" t="s">
        <v>973</v>
      </c>
      <c r="O26" s="12" t="s">
        <v>524</v>
      </c>
      <c r="P26" s="5" t="s">
        <v>974</v>
      </c>
      <c r="Q26" s="12"/>
      <c r="R26" s="12" t="s">
        <v>926</v>
      </c>
      <c r="S26" s="5" t="s">
        <v>975</v>
      </c>
      <c r="T26" s="5" t="s">
        <v>953</v>
      </c>
      <c r="U26" s="12" t="n">
        <v>3</v>
      </c>
      <c r="V26" s="12" t="n">
        <v>2</v>
      </c>
      <c r="W26" s="12" t="n">
        <v>1</v>
      </c>
      <c r="X26" s="12" t="n">
        <v>1</v>
      </c>
      <c r="Y26" s="12" t="n">
        <v>1</v>
      </c>
    </row>
    <row r="27" customFormat="false" ht="108.75" hidden="false" customHeight="true" outlineLevel="0" collapsed="false">
      <c r="A27" s="10" t="s">
        <v>977</v>
      </c>
      <c r="B27" s="11" t="s">
        <v>978</v>
      </c>
      <c r="C27" s="12"/>
      <c r="D27" s="12" t="s">
        <v>120</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t="s">
        <v>72</v>
      </c>
      <c r="N27" s="5"/>
      <c r="O27" s="12"/>
      <c r="P27" s="5" t="s">
        <v>979</v>
      </c>
      <c r="Q27" s="12"/>
      <c r="R27" s="12" t="s">
        <v>92</v>
      </c>
      <c r="S27" s="5" t="s">
        <v>980</v>
      </c>
      <c r="T27" s="5" t="s">
        <v>953</v>
      </c>
      <c r="U27" s="12" t="n">
        <v>4</v>
      </c>
      <c r="V27" s="12" t="n">
        <v>2</v>
      </c>
      <c r="W27" s="12" t="n">
        <v>1</v>
      </c>
      <c r="X27" s="12" t="n">
        <v>1</v>
      </c>
      <c r="Y27" s="12" t="n">
        <v>1</v>
      </c>
    </row>
    <row r="28" customFormat="false" ht="108.75" hidden="false" customHeight="true" outlineLevel="0" collapsed="false">
      <c r="A28" s="12" t="s">
        <v>977</v>
      </c>
      <c r="B28" s="5" t="s">
        <v>978</v>
      </c>
      <c r="C28" s="12" t="s">
        <v>977</v>
      </c>
      <c r="D28" s="12" t="s">
        <v>120</v>
      </c>
      <c r="E28" s="5" t="s">
        <v>981</v>
      </c>
      <c r="F28" s="14"/>
      <c r="G28" s="14"/>
      <c r="H28" s="14" t="s">
        <v>87</v>
      </c>
      <c r="I28" s="14"/>
      <c r="J28" s="14"/>
      <c r="K28" s="14"/>
      <c r="L28" s="15"/>
      <c r="M28" s="12" t="s">
        <v>72</v>
      </c>
      <c r="N28" s="5"/>
      <c r="O28" s="12"/>
      <c r="P28" s="5" t="s">
        <v>979</v>
      </c>
      <c r="Q28" s="12"/>
      <c r="R28" s="12" t="s">
        <v>92</v>
      </c>
      <c r="S28" s="5" t="s">
        <v>980</v>
      </c>
      <c r="T28" s="5" t="s">
        <v>953</v>
      </c>
      <c r="U28" s="12" t="n">
        <v>4</v>
      </c>
      <c r="V28" s="12" t="n">
        <v>2</v>
      </c>
      <c r="W28" s="12" t="n">
        <v>1</v>
      </c>
      <c r="X28" s="12" t="n">
        <v>1</v>
      </c>
      <c r="Y28" s="12" t="n">
        <v>1</v>
      </c>
    </row>
    <row r="29" customFormat="false" ht="175.5" hidden="false" customHeight="true" outlineLevel="0" collapsed="false">
      <c r="A29" s="10" t="s">
        <v>982</v>
      </c>
      <c r="B29" s="11" t="s">
        <v>983</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c r="O29" s="12"/>
      <c r="P29" s="5" t="s">
        <v>984</v>
      </c>
      <c r="Q29" s="12"/>
      <c r="R29" s="12" t="s">
        <v>92</v>
      </c>
      <c r="S29" s="5" t="s">
        <v>985</v>
      </c>
      <c r="T29" s="5" t="s">
        <v>953</v>
      </c>
      <c r="U29" s="12" t="n">
        <v>3</v>
      </c>
      <c r="V29" s="12" t="n">
        <v>1</v>
      </c>
      <c r="W29" s="12" t="n">
        <v>1</v>
      </c>
      <c r="X29" s="12" t="n">
        <v>1</v>
      </c>
      <c r="Y29" s="12" t="n">
        <v>1</v>
      </c>
    </row>
    <row r="30" customFormat="false" ht="175.5" hidden="false" customHeight="true" outlineLevel="0" collapsed="false">
      <c r="A30" s="12" t="s">
        <v>982</v>
      </c>
      <c r="B30" s="5" t="s">
        <v>983</v>
      </c>
      <c r="C30" s="12" t="s">
        <v>982</v>
      </c>
      <c r="D30" s="12" t="s">
        <v>120</v>
      </c>
      <c r="E30" s="5" t="s">
        <v>986</v>
      </c>
      <c r="F30" s="14"/>
      <c r="G30" s="14"/>
      <c r="H30" s="14" t="s">
        <v>87</v>
      </c>
      <c r="I30" s="14"/>
      <c r="J30" s="14"/>
      <c r="K30" s="14"/>
      <c r="L30" s="15"/>
      <c r="M30" s="12"/>
      <c r="N30" s="5"/>
      <c r="O30" s="12"/>
      <c r="P30" s="5" t="s">
        <v>984</v>
      </c>
      <c r="Q30" s="12"/>
      <c r="R30" s="12" t="s">
        <v>92</v>
      </c>
      <c r="S30" s="5" t="s">
        <v>985</v>
      </c>
      <c r="T30" s="5" t="s">
        <v>953</v>
      </c>
      <c r="U30" s="12" t="n">
        <v>3</v>
      </c>
      <c r="V30" s="12" t="n">
        <v>1</v>
      </c>
      <c r="W30" s="12" t="n">
        <v>1</v>
      </c>
      <c r="X30" s="12" t="n">
        <v>1</v>
      </c>
      <c r="Y30" s="12" t="n">
        <v>1</v>
      </c>
    </row>
    <row r="31" customFormat="false" ht="162" hidden="false" customHeight="true" outlineLevel="0" collapsed="false">
      <c r="A31" s="10" t="s">
        <v>987</v>
      </c>
      <c r="B31" s="11" t="s">
        <v>988</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c r="N31" s="5"/>
      <c r="O31" s="12"/>
      <c r="P31" s="5" t="s">
        <v>989</v>
      </c>
      <c r="Q31" s="12"/>
      <c r="R31" s="12" t="s">
        <v>92</v>
      </c>
      <c r="S31" s="5" t="s">
        <v>990</v>
      </c>
      <c r="T31" s="5" t="s">
        <v>953</v>
      </c>
      <c r="U31" s="12" t="n">
        <v>3</v>
      </c>
      <c r="V31" s="12" t="n">
        <v>1</v>
      </c>
      <c r="W31" s="12" t="n">
        <v>1</v>
      </c>
      <c r="X31" s="12" t="n">
        <v>0</v>
      </c>
      <c r="Y31" s="12" t="n">
        <v>1</v>
      </c>
    </row>
    <row r="32" customFormat="false" ht="162" hidden="false" customHeight="true" outlineLevel="0" collapsed="false">
      <c r="A32" s="12" t="s">
        <v>987</v>
      </c>
      <c r="B32" s="5" t="s">
        <v>988</v>
      </c>
      <c r="C32" s="12" t="s">
        <v>987</v>
      </c>
      <c r="D32" s="12" t="s">
        <v>120</v>
      </c>
      <c r="E32" s="5" t="s">
        <v>991</v>
      </c>
      <c r="F32" s="14"/>
      <c r="G32" s="14"/>
      <c r="H32" s="14" t="s">
        <v>87</v>
      </c>
      <c r="I32" s="14"/>
      <c r="J32" s="14"/>
      <c r="K32" s="14"/>
      <c r="L32" s="15"/>
      <c r="M32" s="12"/>
      <c r="N32" s="5"/>
      <c r="O32" s="12"/>
      <c r="P32" s="5" t="s">
        <v>989</v>
      </c>
      <c r="Q32" s="12"/>
      <c r="R32" s="12" t="s">
        <v>92</v>
      </c>
      <c r="S32" s="5" t="s">
        <v>990</v>
      </c>
      <c r="T32" s="5" t="s">
        <v>953</v>
      </c>
      <c r="U32" s="12" t="n">
        <v>3</v>
      </c>
      <c r="V32" s="12" t="n">
        <v>1</v>
      </c>
      <c r="W32" s="12" t="n">
        <v>1</v>
      </c>
      <c r="X32" s="12" t="n">
        <v>0</v>
      </c>
      <c r="Y32" s="12" t="n">
        <v>1</v>
      </c>
    </row>
    <row r="33" customFormat="false" ht="54.75" hidden="false" customHeight="true" outlineLevel="0" collapsed="false">
      <c r="A33" s="10" t="s">
        <v>992</v>
      </c>
      <c r="B33" s="11" t="s">
        <v>993</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994</v>
      </c>
      <c r="Q33" s="12"/>
      <c r="R33" s="12" t="s">
        <v>282</v>
      </c>
      <c r="S33" s="5" t="s">
        <v>995</v>
      </c>
      <c r="T33" s="5" t="s">
        <v>953</v>
      </c>
      <c r="U33" s="12" t="n">
        <v>2</v>
      </c>
      <c r="V33" s="12" t="n">
        <v>1</v>
      </c>
      <c r="W33" s="12" t="n">
        <v>1</v>
      </c>
      <c r="X33" s="12" t="n">
        <v>1</v>
      </c>
      <c r="Y33" s="12" t="n">
        <v>1</v>
      </c>
    </row>
    <row r="34" customFormat="false" ht="54.75" hidden="false" customHeight="true" outlineLevel="0" collapsed="false">
      <c r="A34" s="12" t="s">
        <v>992</v>
      </c>
      <c r="B34" s="5" t="s">
        <v>993</v>
      </c>
      <c r="C34" s="12" t="s">
        <v>992</v>
      </c>
      <c r="D34" s="12" t="s">
        <v>120</v>
      </c>
      <c r="E34" s="5" t="s">
        <v>996</v>
      </c>
      <c r="F34" s="14"/>
      <c r="G34" s="14"/>
      <c r="H34" s="14" t="s">
        <v>87</v>
      </c>
      <c r="I34" s="14"/>
      <c r="J34" s="14"/>
      <c r="K34" s="14"/>
      <c r="L34" s="15"/>
      <c r="M34" s="12"/>
      <c r="N34" s="5"/>
      <c r="O34" s="12"/>
      <c r="P34" s="5" t="s">
        <v>994</v>
      </c>
      <c r="Q34" s="12"/>
      <c r="R34" s="12" t="s">
        <v>282</v>
      </c>
      <c r="S34" s="5" t="s">
        <v>995</v>
      </c>
      <c r="T34" s="5" t="s">
        <v>953</v>
      </c>
      <c r="U34" s="12" t="n">
        <v>2</v>
      </c>
      <c r="V34" s="12" t="n">
        <v>1</v>
      </c>
      <c r="W34" s="12" t="n">
        <v>1</v>
      </c>
      <c r="X34" s="12" t="n">
        <v>1</v>
      </c>
      <c r="Y34" s="12" t="n">
        <v>1</v>
      </c>
    </row>
    <row r="35" customFormat="false" ht="68.25" hidden="false" customHeight="true" outlineLevel="0" collapsed="false">
      <c r="A35" s="10" t="s">
        <v>997</v>
      </c>
      <c r="B35" s="11" t="s">
        <v>998</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t="s">
        <v>75</v>
      </c>
      <c r="N35" s="5"/>
      <c r="O35" s="12"/>
      <c r="P35" s="5" t="s">
        <v>999</v>
      </c>
      <c r="Q35" s="12"/>
      <c r="R35" s="12" t="s">
        <v>793</v>
      </c>
      <c r="S35" s="5" t="s">
        <v>1000</v>
      </c>
      <c r="T35" s="5" t="s">
        <v>969</v>
      </c>
      <c r="U35" s="12" t="n">
        <v>3</v>
      </c>
      <c r="V35" s="12" t="n">
        <v>1</v>
      </c>
      <c r="W35" s="12" t="n">
        <v>1</v>
      </c>
      <c r="X35" s="12" t="n">
        <v>1</v>
      </c>
      <c r="Y35" s="12" t="n">
        <v>2</v>
      </c>
    </row>
    <row r="36" customFormat="false" ht="68.25" hidden="false" customHeight="true" outlineLevel="0" collapsed="false">
      <c r="A36" s="12" t="s">
        <v>997</v>
      </c>
      <c r="B36" s="5" t="s">
        <v>998</v>
      </c>
      <c r="C36" s="12" t="s">
        <v>997</v>
      </c>
      <c r="D36" s="12" t="s">
        <v>120</v>
      </c>
      <c r="E36" s="5" t="s">
        <v>1001</v>
      </c>
      <c r="F36" s="14"/>
      <c r="G36" s="14"/>
      <c r="H36" s="14" t="s">
        <v>87</v>
      </c>
      <c r="I36" s="14"/>
      <c r="J36" s="14"/>
      <c r="K36" s="14"/>
      <c r="L36" s="15"/>
      <c r="M36" s="12" t="s">
        <v>75</v>
      </c>
      <c r="N36" s="5"/>
      <c r="O36" s="12"/>
      <c r="P36" s="5" t="s">
        <v>999</v>
      </c>
      <c r="Q36" s="12"/>
      <c r="R36" s="12" t="s">
        <v>793</v>
      </c>
      <c r="S36" s="5" t="s">
        <v>1000</v>
      </c>
      <c r="T36" s="5" t="s">
        <v>969</v>
      </c>
      <c r="U36" s="12" t="n">
        <v>3</v>
      </c>
      <c r="V36" s="12" t="n">
        <v>1</v>
      </c>
      <c r="W36" s="12" t="n">
        <v>1</v>
      </c>
      <c r="X36" s="12" t="n">
        <v>1</v>
      </c>
      <c r="Y36" s="12" t="n">
        <v>2</v>
      </c>
    </row>
    <row r="37" customFormat="false" ht="95.25" hidden="false" customHeight="true" outlineLevel="0" collapsed="false">
      <c r="A37" s="10" t="s">
        <v>1002</v>
      </c>
      <c r="B37" s="11" t="s">
        <v>1003</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c r="N37" s="5" t="s">
        <v>1004</v>
      </c>
      <c r="O37" s="12" t="s">
        <v>524</v>
      </c>
      <c r="P37" s="5" t="s">
        <v>1005</v>
      </c>
      <c r="Q37" s="12"/>
      <c r="R37" s="12" t="s">
        <v>92</v>
      </c>
      <c r="S37" s="5" t="s">
        <v>1006</v>
      </c>
      <c r="T37" s="5" t="s">
        <v>953</v>
      </c>
      <c r="U37" s="12" t="n">
        <v>2</v>
      </c>
      <c r="V37" s="12" t="n">
        <v>1</v>
      </c>
      <c r="W37" s="12" t="n">
        <v>1</v>
      </c>
      <c r="X37" s="12" t="n">
        <v>1</v>
      </c>
      <c r="Y37" s="12" t="n">
        <v>1</v>
      </c>
    </row>
    <row r="38" customFormat="false" ht="95.25" hidden="false" customHeight="true" outlineLevel="0" collapsed="false">
      <c r="A38" s="12" t="s">
        <v>1002</v>
      </c>
      <c r="B38" s="5" t="s">
        <v>1003</v>
      </c>
      <c r="C38" s="12" t="s">
        <v>1002</v>
      </c>
      <c r="D38" s="12" t="s">
        <v>120</v>
      </c>
      <c r="E38" s="5" t="s">
        <v>1007</v>
      </c>
      <c r="F38" s="14"/>
      <c r="G38" s="14"/>
      <c r="H38" s="14" t="s">
        <v>87</v>
      </c>
      <c r="I38" s="14"/>
      <c r="J38" s="14"/>
      <c r="K38" s="14"/>
      <c r="L38" s="15"/>
      <c r="M38" s="12"/>
      <c r="N38" s="5" t="s">
        <v>1004</v>
      </c>
      <c r="O38" s="12" t="s">
        <v>524</v>
      </c>
      <c r="P38" s="5" t="s">
        <v>1005</v>
      </c>
      <c r="Q38" s="12"/>
      <c r="R38" s="12" t="s">
        <v>92</v>
      </c>
      <c r="S38" s="5" t="s">
        <v>1006</v>
      </c>
      <c r="T38" s="5" t="s">
        <v>953</v>
      </c>
      <c r="U38" s="12" t="n">
        <v>2</v>
      </c>
      <c r="V38" s="12" t="n">
        <v>1</v>
      </c>
      <c r="W38" s="12" t="n">
        <v>1</v>
      </c>
      <c r="X38" s="12" t="n">
        <v>1</v>
      </c>
      <c r="Y38" s="12" t="n">
        <v>1</v>
      </c>
    </row>
    <row r="39" customFormat="false" ht="108.75" hidden="false" customHeight="true" outlineLevel="0" collapsed="false">
      <c r="A39" s="10" t="s">
        <v>1008</v>
      </c>
      <c r="B39" s="11" t="s">
        <v>1009</v>
      </c>
      <c r="C39" s="12"/>
      <c r="D39" s="12" t="s">
        <v>120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1010</v>
      </c>
      <c r="Q39" s="12" t="s">
        <v>759</v>
      </c>
      <c r="R39" s="12" t="s">
        <v>926</v>
      </c>
      <c r="S39" s="5" t="s">
        <v>1011</v>
      </c>
      <c r="T39" s="5" t="s">
        <v>953</v>
      </c>
      <c r="U39" s="12" t="n">
        <v>2</v>
      </c>
      <c r="V39" s="12" t="n">
        <v>1</v>
      </c>
      <c r="W39" s="12" t="n">
        <v>1</v>
      </c>
      <c r="X39" s="12" t="n">
        <v>1</v>
      </c>
      <c r="Y39" s="12" t="n">
        <v>1</v>
      </c>
    </row>
    <row r="40" customFormat="false" ht="108.75" hidden="false" customHeight="true" outlineLevel="0" collapsed="false">
      <c r="A40" s="12" t="s">
        <v>1008</v>
      </c>
      <c r="B40" s="5" t="s">
        <v>1009</v>
      </c>
      <c r="C40" s="12" t="s">
        <v>1008</v>
      </c>
      <c r="D40" s="12" t="s">
        <v>120</v>
      </c>
      <c r="E40" s="5" t="s">
        <v>1012</v>
      </c>
      <c r="F40" s="14"/>
      <c r="G40" s="14"/>
      <c r="H40" s="14" t="s">
        <v>87</v>
      </c>
      <c r="I40" s="14"/>
      <c r="J40" s="14"/>
      <c r="K40" s="14"/>
      <c r="L40" s="15"/>
      <c r="M40" s="12"/>
      <c r="N40" s="5"/>
      <c r="O40" s="12"/>
      <c r="P40" s="5" t="s">
        <v>1010</v>
      </c>
      <c r="Q40" s="12" t="s">
        <v>759</v>
      </c>
      <c r="R40" s="12" t="s">
        <v>926</v>
      </c>
      <c r="S40" s="5" t="s">
        <v>1011</v>
      </c>
      <c r="T40" s="5" t="s">
        <v>953</v>
      </c>
      <c r="U40" s="12" t="n">
        <v>2</v>
      </c>
      <c r="V40" s="12" t="n">
        <v>1</v>
      </c>
      <c r="W40" s="12" t="n">
        <v>1</v>
      </c>
      <c r="X40" s="12" t="n">
        <v>1</v>
      </c>
      <c r="Y40" s="12" t="n">
        <v>1</v>
      </c>
    </row>
    <row r="41" customFormat="false" ht="243" hidden="false" customHeight="true" outlineLevel="0" collapsed="false">
      <c r="A41" s="10" t="s">
        <v>1013</v>
      </c>
      <c r="B41" s="11" t="s">
        <v>1014</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c r="N41" s="5"/>
      <c r="O41" s="12"/>
      <c r="P41" s="5" t="s">
        <v>1015</v>
      </c>
      <c r="Q41" s="12" t="s">
        <v>460</v>
      </c>
      <c r="R41" s="12" t="s">
        <v>282</v>
      </c>
      <c r="S41" s="5" t="s">
        <v>1016</v>
      </c>
      <c r="T41" s="5" t="s">
        <v>953</v>
      </c>
      <c r="U41" s="12" t="n">
        <v>3</v>
      </c>
      <c r="V41" s="12" t="n">
        <v>1</v>
      </c>
      <c r="W41" s="12" t="n">
        <v>1</v>
      </c>
      <c r="X41" s="12" t="n">
        <v>1</v>
      </c>
      <c r="Y41" s="12" t="n">
        <v>1</v>
      </c>
    </row>
    <row r="42" customFormat="false" ht="243" hidden="false" customHeight="true" outlineLevel="0" collapsed="false">
      <c r="A42" s="12" t="s">
        <v>1013</v>
      </c>
      <c r="B42" s="5" t="s">
        <v>1014</v>
      </c>
      <c r="C42" s="12" t="s">
        <v>1013</v>
      </c>
      <c r="D42" s="12" t="s">
        <v>120</v>
      </c>
      <c r="E42" s="5" t="s">
        <v>1017</v>
      </c>
      <c r="F42" s="14"/>
      <c r="G42" s="14"/>
      <c r="H42" s="14" t="s">
        <v>87</v>
      </c>
      <c r="I42" s="14"/>
      <c r="J42" s="14"/>
      <c r="K42" s="14"/>
      <c r="L42" s="15"/>
      <c r="M42" s="12"/>
      <c r="N42" s="5"/>
      <c r="O42" s="12"/>
      <c r="P42" s="5" t="s">
        <v>1015</v>
      </c>
      <c r="Q42" s="12" t="s">
        <v>460</v>
      </c>
      <c r="R42" s="12" t="s">
        <v>282</v>
      </c>
      <c r="S42" s="5" t="s">
        <v>1016</v>
      </c>
      <c r="T42" s="5" t="s">
        <v>953</v>
      </c>
      <c r="U42" s="12" t="n">
        <v>3</v>
      </c>
      <c r="V42" s="12" t="n">
        <v>1</v>
      </c>
      <c r="W42" s="12" t="n">
        <v>1</v>
      </c>
      <c r="X42" s="12" t="n">
        <v>1</v>
      </c>
      <c r="Y42" s="12" t="n">
        <v>1</v>
      </c>
    </row>
    <row r="43" customFormat="false" ht="189" hidden="false" customHeight="true" outlineLevel="0" collapsed="false">
      <c r="A43" s="10" t="s">
        <v>1018</v>
      </c>
      <c r="B43" s="11" t="s">
        <v>1019</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72</v>
      </c>
      <c r="N43" s="5"/>
      <c r="O43" s="12"/>
      <c r="P43" s="5" t="s">
        <v>1020</v>
      </c>
      <c r="Q43" s="12" t="s">
        <v>460</v>
      </c>
      <c r="R43" s="12" t="s">
        <v>282</v>
      </c>
      <c r="S43" s="5" t="s">
        <v>1021</v>
      </c>
      <c r="T43" s="5" t="s">
        <v>953</v>
      </c>
      <c r="U43" s="12" t="n">
        <v>3</v>
      </c>
      <c r="V43" s="12" t="n">
        <v>2</v>
      </c>
      <c r="W43" s="12" t="n">
        <v>1</v>
      </c>
      <c r="X43" s="12" t="n">
        <v>1</v>
      </c>
      <c r="Y43" s="12" t="n">
        <v>1</v>
      </c>
    </row>
    <row r="44" customFormat="false" ht="189" hidden="false" customHeight="true" outlineLevel="0" collapsed="false">
      <c r="A44" s="12" t="s">
        <v>1018</v>
      </c>
      <c r="B44" s="5" t="s">
        <v>1019</v>
      </c>
      <c r="C44" s="12" t="s">
        <v>1018</v>
      </c>
      <c r="D44" s="12" t="s">
        <v>120</v>
      </c>
      <c r="E44" s="5" t="s">
        <v>1022</v>
      </c>
      <c r="F44" s="14"/>
      <c r="G44" s="14"/>
      <c r="H44" s="14" t="s">
        <v>87</v>
      </c>
      <c r="I44" s="14"/>
      <c r="J44" s="14"/>
      <c r="K44" s="14"/>
      <c r="L44" s="15"/>
      <c r="M44" s="12" t="s">
        <v>72</v>
      </c>
      <c r="N44" s="5"/>
      <c r="O44" s="12"/>
      <c r="P44" s="5" t="s">
        <v>1020</v>
      </c>
      <c r="Q44" s="12" t="s">
        <v>460</v>
      </c>
      <c r="R44" s="12" t="s">
        <v>282</v>
      </c>
      <c r="S44" s="5" t="s">
        <v>1021</v>
      </c>
      <c r="T44" s="5" t="s">
        <v>953</v>
      </c>
      <c r="U44" s="12" t="n">
        <v>3</v>
      </c>
      <c r="V44" s="12" t="n">
        <v>2</v>
      </c>
      <c r="W44" s="12" t="n">
        <v>1</v>
      </c>
      <c r="X44" s="12" t="n">
        <v>1</v>
      </c>
      <c r="Y44" s="12" t="n">
        <v>1</v>
      </c>
    </row>
    <row r="45" customFormat="false" ht="54.75" hidden="false" customHeight="true" outlineLevel="0" collapsed="false">
      <c r="A45" s="10" t="s">
        <v>1023</v>
      </c>
      <c r="B45" s="11" t="s">
        <v>1024</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t="s">
        <v>72</v>
      </c>
      <c r="N45" s="5" t="s">
        <v>1025</v>
      </c>
      <c r="O45" s="12" t="s">
        <v>524</v>
      </c>
      <c r="P45" s="5" t="s">
        <v>1026</v>
      </c>
      <c r="Q45" s="12"/>
      <c r="R45" s="12" t="s">
        <v>1027</v>
      </c>
      <c r="S45" s="5" t="s">
        <v>1028</v>
      </c>
      <c r="T45" s="5" t="s">
        <v>953</v>
      </c>
      <c r="U45" s="12" t="n">
        <v>3</v>
      </c>
      <c r="V45" s="12" t="n">
        <v>2</v>
      </c>
      <c r="W45" s="12" t="n">
        <v>1</v>
      </c>
      <c r="X45" s="12" t="n">
        <v>1</v>
      </c>
      <c r="Y45" s="12" t="n">
        <v>1</v>
      </c>
    </row>
    <row r="46" customFormat="false" ht="54.75" hidden="false" customHeight="true" outlineLevel="0" collapsed="false">
      <c r="A46" s="12" t="s">
        <v>1023</v>
      </c>
      <c r="B46" s="5" t="s">
        <v>1024</v>
      </c>
      <c r="C46" s="12" t="s">
        <v>1023</v>
      </c>
      <c r="D46" s="12" t="s">
        <v>120</v>
      </c>
      <c r="E46" s="5" t="s">
        <v>1029</v>
      </c>
      <c r="F46" s="14"/>
      <c r="G46" s="14"/>
      <c r="H46" s="14" t="s">
        <v>87</v>
      </c>
      <c r="I46" s="14"/>
      <c r="J46" s="14"/>
      <c r="K46" s="14"/>
      <c r="L46" s="15"/>
      <c r="M46" s="12" t="s">
        <v>72</v>
      </c>
      <c r="N46" s="5" t="s">
        <v>1025</v>
      </c>
      <c r="O46" s="12" t="s">
        <v>524</v>
      </c>
      <c r="P46" s="5" t="s">
        <v>1026</v>
      </c>
      <c r="Q46" s="12"/>
      <c r="R46" s="12" t="s">
        <v>1027</v>
      </c>
      <c r="S46" s="5" t="s">
        <v>1028</v>
      </c>
      <c r="T46" s="5" t="s">
        <v>953</v>
      </c>
      <c r="U46" s="12" t="n">
        <v>3</v>
      </c>
      <c r="V46" s="12" t="n">
        <v>2</v>
      </c>
      <c r="W46" s="12" t="n">
        <v>1</v>
      </c>
      <c r="X46" s="12" t="n">
        <v>1</v>
      </c>
      <c r="Y46" s="12" t="n">
        <v>1</v>
      </c>
    </row>
    <row r="47" customFormat="false" ht="135.75" hidden="false" customHeight="true" outlineLevel="0" collapsed="false">
      <c r="A47" s="10" t="s">
        <v>1030</v>
      </c>
      <c r="B47" s="11" t="s">
        <v>1031</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t="s">
        <v>1025</v>
      </c>
      <c r="O47" s="12" t="s">
        <v>524</v>
      </c>
      <c r="P47" s="5" t="s">
        <v>1032</v>
      </c>
      <c r="Q47" s="12" t="s">
        <v>226</v>
      </c>
      <c r="R47" s="12" t="s">
        <v>282</v>
      </c>
      <c r="S47" s="5" t="s">
        <v>1033</v>
      </c>
      <c r="T47" s="5" t="s">
        <v>953</v>
      </c>
      <c r="U47" s="12" t="n">
        <v>2</v>
      </c>
      <c r="V47" s="12" t="n">
        <v>1</v>
      </c>
      <c r="W47" s="12" t="n">
        <v>1</v>
      </c>
      <c r="X47" s="12" t="n">
        <v>1</v>
      </c>
      <c r="Y47" s="12" t="n">
        <v>1</v>
      </c>
    </row>
    <row r="48" customFormat="false" ht="135.75" hidden="false" customHeight="true" outlineLevel="0" collapsed="false">
      <c r="A48" s="12" t="s">
        <v>1030</v>
      </c>
      <c r="B48" s="5" t="s">
        <v>1031</v>
      </c>
      <c r="C48" s="12" t="s">
        <v>1030</v>
      </c>
      <c r="D48" s="12" t="s">
        <v>120</v>
      </c>
      <c r="E48" s="5" t="s">
        <v>1034</v>
      </c>
      <c r="F48" s="14"/>
      <c r="G48" s="14"/>
      <c r="H48" s="14" t="s">
        <v>87</v>
      </c>
      <c r="I48" s="14"/>
      <c r="J48" s="14"/>
      <c r="K48" s="14"/>
      <c r="L48" s="15"/>
      <c r="M48" s="12"/>
      <c r="N48" s="5" t="s">
        <v>1025</v>
      </c>
      <c r="O48" s="12" t="s">
        <v>524</v>
      </c>
      <c r="P48" s="5" t="s">
        <v>1032</v>
      </c>
      <c r="Q48" s="12" t="s">
        <v>226</v>
      </c>
      <c r="R48" s="12" t="s">
        <v>282</v>
      </c>
      <c r="S48" s="5" t="s">
        <v>1033</v>
      </c>
      <c r="T48" s="5" t="s">
        <v>953</v>
      </c>
      <c r="U48" s="12" t="n">
        <v>2</v>
      </c>
      <c r="V48" s="12" t="n">
        <v>1</v>
      </c>
      <c r="W48" s="12" t="n">
        <v>1</v>
      </c>
      <c r="X48" s="12" t="n">
        <v>1</v>
      </c>
      <c r="Y48" s="12" t="n">
        <v>1</v>
      </c>
    </row>
    <row r="49" customFormat="false" ht="202.5" hidden="false" customHeight="true" outlineLevel="0" collapsed="false">
      <c r="A49" s="10" t="s">
        <v>1035</v>
      </c>
      <c r="B49" s="11" t="s">
        <v>1036</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c r="N49" s="5" t="s">
        <v>1037</v>
      </c>
      <c r="O49" s="12" t="s">
        <v>661</v>
      </c>
      <c r="P49" s="5" t="s">
        <v>1038</v>
      </c>
      <c r="Q49" s="12" t="s">
        <v>460</v>
      </c>
      <c r="R49" s="12" t="s">
        <v>282</v>
      </c>
      <c r="S49" s="5" t="s">
        <v>1033</v>
      </c>
      <c r="T49" s="5" t="s">
        <v>953</v>
      </c>
      <c r="U49" s="12" t="n">
        <v>2</v>
      </c>
      <c r="V49" s="12" t="n">
        <v>1</v>
      </c>
      <c r="W49" s="12" t="n">
        <v>1</v>
      </c>
      <c r="X49" s="12" t="n">
        <v>1</v>
      </c>
      <c r="Y49" s="12" t="n">
        <v>1</v>
      </c>
    </row>
    <row r="50" customFormat="false" ht="202.5" hidden="false" customHeight="true" outlineLevel="0" collapsed="false">
      <c r="A50" s="12" t="s">
        <v>1035</v>
      </c>
      <c r="B50" s="5" t="s">
        <v>1036</v>
      </c>
      <c r="C50" s="12" t="s">
        <v>1035</v>
      </c>
      <c r="D50" s="12" t="s">
        <v>120</v>
      </c>
      <c r="E50" s="5" t="s">
        <v>1039</v>
      </c>
      <c r="F50" s="14"/>
      <c r="G50" s="14"/>
      <c r="H50" s="14" t="s">
        <v>87</v>
      </c>
      <c r="I50" s="14"/>
      <c r="J50" s="14"/>
      <c r="K50" s="14"/>
      <c r="L50" s="15"/>
      <c r="M50" s="12"/>
      <c r="N50" s="5" t="s">
        <v>1037</v>
      </c>
      <c r="O50" s="12" t="s">
        <v>661</v>
      </c>
      <c r="P50" s="5" t="s">
        <v>1038</v>
      </c>
      <c r="Q50" s="12" t="s">
        <v>460</v>
      </c>
      <c r="R50" s="12" t="s">
        <v>282</v>
      </c>
      <c r="S50" s="5" t="s">
        <v>1033</v>
      </c>
      <c r="T50" s="5" t="s">
        <v>953</v>
      </c>
      <c r="U50" s="12" t="n">
        <v>2</v>
      </c>
      <c r="V50" s="12" t="n">
        <v>1</v>
      </c>
      <c r="W50" s="12" t="n">
        <v>1</v>
      </c>
      <c r="X50" s="12" t="n">
        <v>1</v>
      </c>
      <c r="Y50" s="12" t="n">
        <v>1</v>
      </c>
    </row>
    <row r="51" customFormat="false" ht="54.75" hidden="false" customHeight="true" outlineLevel="0" collapsed="false">
      <c r="A51" s="10" t="s">
        <v>1040</v>
      </c>
      <c r="B51" s="11" t="s">
        <v>1041</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c r="N51" s="5"/>
      <c r="O51" s="12"/>
      <c r="P51" s="5" t="s">
        <v>1042</v>
      </c>
      <c r="Q51" s="12" t="s">
        <v>226</v>
      </c>
      <c r="R51" s="12" t="s">
        <v>282</v>
      </c>
      <c r="S51" s="5" t="s">
        <v>1043</v>
      </c>
      <c r="T51" s="5" t="s">
        <v>953</v>
      </c>
      <c r="U51" s="12" t="n">
        <v>2</v>
      </c>
      <c r="V51" s="12" t="n">
        <v>1</v>
      </c>
      <c r="W51" s="12" t="n">
        <v>1</v>
      </c>
      <c r="X51" s="12" t="n">
        <v>1</v>
      </c>
      <c r="Y51" s="12" t="n">
        <v>1</v>
      </c>
    </row>
    <row r="52" customFormat="false" ht="54.75" hidden="false" customHeight="true" outlineLevel="0" collapsed="false">
      <c r="A52" s="12" t="s">
        <v>1040</v>
      </c>
      <c r="B52" s="5" t="s">
        <v>1041</v>
      </c>
      <c r="C52" s="12" t="s">
        <v>1040</v>
      </c>
      <c r="D52" s="12" t="s">
        <v>120</v>
      </c>
      <c r="E52" s="5" t="s">
        <v>1044</v>
      </c>
      <c r="F52" s="14"/>
      <c r="G52" s="14"/>
      <c r="H52" s="14" t="s">
        <v>87</v>
      </c>
      <c r="I52" s="14"/>
      <c r="J52" s="14"/>
      <c r="K52" s="14"/>
      <c r="L52" s="15"/>
      <c r="M52" s="12"/>
      <c r="N52" s="5"/>
      <c r="O52" s="12"/>
      <c r="P52" s="5" t="s">
        <v>1042</v>
      </c>
      <c r="Q52" s="12" t="s">
        <v>226</v>
      </c>
      <c r="R52" s="12" t="s">
        <v>282</v>
      </c>
      <c r="S52" s="5" t="s">
        <v>1043</v>
      </c>
      <c r="T52" s="5" t="s">
        <v>953</v>
      </c>
      <c r="U52" s="12" t="n">
        <v>2</v>
      </c>
      <c r="V52" s="12" t="n">
        <v>1</v>
      </c>
      <c r="W52" s="12" t="n">
        <v>1</v>
      </c>
      <c r="X52" s="12" t="n">
        <v>1</v>
      </c>
      <c r="Y52" s="12" t="n">
        <v>1</v>
      </c>
    </row>
    <row r="53" customFormat="false" ht="81.75" hidden="false" customHeight="true" outlineLevel="0" collapsed="false">
      <c r="A53" s="10" t="s">
        <v>1045</v>
      </c>
      <c r="B53" s="11" t="s">
        <v>1046</v>
      </c>
      <c r="C53" s="12"/>
      <c r="D53" s="12" t="s">
        <v>120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c r="N53" s="5"/>
      <c r="O53" s="12"/>
      <c r="P53" s="5" t="s">
        <v>1047</v>
      </c>
      <c r="Q53" s="12" t="s">
        <v>460</v>
      </c>
      <c r="R53" s="12" t="s">
        <v>282</v>
      </c>
      <c r="S53" s="5" t="s">
        <v>1043</v>
      </c>
      <c r="T53" s="5" t="s">
        <v>953</v>
      </c>
      <c r="U53" s="12" t="n">
        <v>2</v>
      </c>
      <c r="V53" s="12" t="n">
        <v>1</v>
      </c>
      <c r="W53" s="12" t="n">
        <v>1</v>
      </c>
      <c r="X53" s="12" t="n">
        <v>1</v>
      </c>
      <c r="Y53" s="12" t="n">
        <v>1</v>
      </c>
    </row>
    <row r="54" customFormat="false" ht="81.75" hidden="false" customHeight="true" outlineLevel="0" collapsed="false">
      <c r="A54" s="12" t="s">
        <v>1045</v>
      </c>
      <c r="B54" s="5" t="s">
        <v>1046</v>
      </c>
      <c r="C54" s="12" t="s">
        <v>1045</v>
      </c>
      <c r="D54" s="12" t="s">
        <v>120</v>
      </c>
      <c r="E54" s="5" t="s">
        <v>1048</v>
      </c>
      <c r="F54" s="14"/>
      <c r="G54" s="14"/>
      <c r="H54" s="14" t="s">
        <v>87</v>
      </c>
      <c r="I54" s="14"/>
      <c r="J54" s="14"/>
      <c r="K54" s="14"/>
      <c r="L54" s="15"/>
      <c r="M54" s="12"/>
      <c r="N54" s="5"/>
      <c r="O54" s="12"/>
      <c r="P54" s="5" t="s">
        <v>1047</v>
      </c>
      <c r="Q54" s="12" t="s">
        <v>460</v>
      </c>
      <c r="R54" s="12" t="s">
        <v>282</v>
      </c>
      <c r="S54" s="5" t="s">
        <v>1043</v>
      </c>
      <c r="T54" s="5" t="s">
        <v>953</v>
      </c>
      <c r="U54" s="12" t="n">
        <v>2</v>
      </c>
      <c r="V54" s="12" t="n">
        <v>1</v>
      </c>
      <c r="W54" s="12" t="n">
        <v>1</v>
      </c>
      <c r="X54" s="12" t="n">
        <v>1</v>
      </c>
      <c r="Y54" s="12" t="n">
        <v>1</v>
      </c>
    </row>
    <row r="55" customFormat="false" ht="216" hidden="false" customHeight="true" outlineLevel="0" collapsed="false">
      <c r="A55" s="10" t="s">
        <v>1049</v>
      </c>
      <c r="B55" s="11" t="s">
        <v>1050</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c r="N55" s="5"/>
      <c r="O55" s="12"/>
      <c r="P55" s="5" t="s">
        <v>1051</v>
      </c>
      <c r="Q55" s="12"/>
      <c r="R55" s="12" t="s">
        <v>92</v>
      </c>
      <c r="S55" s="5" t="s">
        <v>1052</v>
      </c>
      <c r="T55" s="5" t="s">
        <v>1053</v>
      </c>
      <c r="U55" s="12" t="n">
        <v>3</v>
      </c>
      <c r="V55" s="12" t="n">
        <v>1</v>
      </c>
      <c r="W55" s="12" t="n">
        <v>1</v>
      </c>
      <c r="X55" s="12" t="n">
        <v>0</v>
      </c>
      <c r="Y55" s="12" t="n">
        <v>1</v>
      </c>
    </row>
    <row r="56" customFormat="false" ht="216" hidden="false" customHeight="true" outlineLevel="0" collapsed="false">
      <c r="A56" s="12" t="s">
        <v>1049</v>
      </c>
      <c r="B56" s="5" t="s">
        <v>1050</v>
      </c>
      <c r="C56" s="12" t="s">
        <v>1049</v>
      </c>
      <c r="D56" s="12" t="s">
        <v>120</v>
      </c>
      <c r="E56" s="5" t="s">
        <v>1054</v>
      </c>
      <c r="F56" s="14"/>
      <c r="G56" s="14"/>
      <c r="H56" s="14" t="s">
        <v>87</v>
      </c>
      <c r="I56" s="14"/>
      <c r="J56" s="14"/>
      <c r="K56" s="14"/>
      <c r="L56" s="15"/>
      <c r="M56" s="12"/>
      <c r="N56" s="5"/>
      <c r="O56" s="12"/>
      <c r="P56" s="5" t="s">
        <v>1051</v>
      </c>
      <c r="Q56" s="12"/>
      <c r="R56" s="12" t="s">
        <v>92</v>
      </c>
      <c r="S56" s="5" t="s">
        <v>1052</v>
      </c>
      <c r="T56" s="5" t="s">
        <v>1053</v>
      </c>
      <c r="U56" s="12" t="n">
        <v>3</v>
      </c>
      <c r="V56" s="12" t="n">
        <v>1</v>
      </c>
      <c r="W56" s="12" t="n">
        <v>1</v>
      </c>
      <c r="X56" s="12" t="n">
        <v>0</v>
      </c>
      <c r="Y56" s="12" t="n">
        <v>1</v>
      </c>
    </row>
    <row r="57" customFormat="false" ht="108.75" hidden="false" customHeight="true" outlineLevel="0" collapsed="false">
      <c r="A57" s="10" t="s">
        <v>1055</v>
      </c>
      <c r="B57" s="11" t="s">
        <v>1056</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c r="N57" s="5"/>
      <c r="O57" s="12"/>
      <c r="P57" s="5" t="s">
        <v>1057</v>
      </c>
      <c r="Q57" s="12"/>
      <c r="R57" s="12" t="s">
        <v>92</v>
      </c>
      <c r="S57" s="5" t="s">
        <v>1058</v>
      </c>
      <c r="T57" s="5" t="s">
        <v>953</v>
      </c>
      <c r="U57" s="12" t="n">
        <v>1</v>
      </c>
      <c r="V57" s="12" t="n">
        <v>1</v>
      </c>
      <c r="W57" s="12" t="n">
        <v>1</v>
      </c>
      <c r="X57" s="12" t="n">
        <v>1</v>
      </c>
      <c r="Y57" s="12" t="n">
        <v>1</v>
      </c>
    </row>
    <row r="58" customFormat="false" ht="108.75" hidden="false" customHeight="true" outlineLevel="0" collapsed="false">
      <c r="A58" s="12" t="s">
        <v>1055</v>
      </c>
      <c r="B58" s="5" t="s">
        <v>1056</v>
      </c>
      <c r="C58" s="12" t="s">
        <v>1055</v>
      </c>
      <c r="D58" s="12" t="s">
        <v>120</v>
      </c>
      <c r="E58" s="5" t="s">
        <v>1059</v>
      </c>
      <c r="F58" s="14"/>
      <c r="G58" s="14"/>
      <c r="H58" s="14" t="s">
        <v>87</v>
      </c>
      <c r="I58" s="14"/>
      <c r="J58" s="14"/>
      <c r="K58" s="14"/>
      <c r="L58" s="15"/>
      <c r="M58" s="12"/>
      <c r="N58" s="5"/>
      <c r="O58" s="12"/>
      <c r="P58" s="5" t="s">
        <v>1057</v>
      </c>
      <c r="Q58" s="12"/>
      <c r="R58" s="12" t="s">
        <v>92</v>
      </c>
      <c r="S58" s="5" t="s">
        <v>1058</v>
      </c>
      <c r="T58" s="5" t="s">
        <v>953</v>
      </c>
      <c r="U58" s="12" t="n">
        <v>1</v>
      </c>
      <c r="V58" s="12" t="n">
        <v>1</v>
      </c>
      <c r="W58" s="12" t="n">
        <v>1</v>
      </c>
      <c r="X58" s="12" t="n">
        <v>1</v>
      </c>
      <c r="Y58" s="12" t="n">
        <v>1</v>
      </c>
    </row>
    <row r="59" customFormat="false" ht="323.25" hidden="false" customHeight="true" outlineLevel="0" collapsed="false">
      <c r="A59" s="10" t="s">
        <v>1060</v>
      </c>
      <c r="B59" s="11" t="s">
        <v>1061</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75</v>
      </c>
      <c r="N59" s="5"/>
      <c r="O59" s="12"/>
      <c r="P59" s="5" t="s">
        <v>1062</v>
      </c>
      <c r="Q59" s="12"/>
      <c r="R59" s="12" t="s">
        <v>92</v>
      </c>
      <c r="S59" s="5" t="s">
        <v>1063</v>
      </c>
      <c r="T59" s="5" t="s">
        <v>953</v>
      </c>
      <c r="U59" s="12" t="n">
        <v>2</v>
      </c>
      <c r="V59" s="12" t="n">
        <v>1</v>
      </c>
      <c r="W59" s="12" t="n">
        <v>1</v>
      </c>
      <c r="X59" s="12" t="n">
        <v>1</v>
      </c>
      <c r="Y59" s="12" t="n">
        <v>2</v>
      </c>
    </row>
    <row r="60" customFormat="false" ht="323.25" hidden="false" customHeight="true" outlineLevel="0" collapsed="false">
      <c r="A60" s="12" t="s">
        <v>1060</v>
      </c>
      <c r="B60" s="5" t="s">
        <v>1061</v>
      </c>
      <c r="C60" s="12" t="s">
        <v>1060</v>
      </c>
      <c r="D60" s="12" t="s">
        <v>120</v>
      </c>
      <c r="E60" s="5" t="s">
        <v>1064</v>
      </c>
      <c r="F60" s="14"/>
      <c r="G60" s="14"/>
      <c r="H60" s="14" t="s">
        <v>87</v>
      </c>
      <c r="I60" s="14"/>
      <c r="J60" s="14"/>
      <c r="K60" s="14"/>
      <c r="L60" s="15"/>
      <c r="M60" s="12" t="s">
        <v>75</v>
      </c>
      <c r="N60" s="5"/>
      <c r="O60" s="12"/>
      <c r="P60" s="5" t="s">
        <v>1062</v>
      </c>
      <c r="Q60" s="12"/>
      <c r="R60" s="12" t="s">
        <v>92</v>
      </c>
      <c r="S60" s="5" t="s">
        <v>1063</v>
      </c>
      <c r="T60" s="5" t="s">
        <v>953</v>
      </c>
      <c r="U60" s="12" t="n">
        <v>2</v>
      </c>
      <c r="V60" s="12" t="n">
        <v>1</v>
      </c>
      <c r="W60" s="12" t="n">
        <v>1</v>
      </c>
      <c r="X60" s="12" t="n">
        <v>1</v>
      </c>
      <c r="Y60" s="12" t="n">
        <v>2</v>
      </c>
    </row>
    <row r="61" customFormat="false" ht="81.75" hidden="false" customHeight="true" outlineLevel="0" collapsed="false">
      <c r="A61" s="10" t="s">
        <v>1065</v>
      </c>
      <c r="B61" s="11" t="s">
        <v>1066</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72</v>
      </c>
      <c r="N61" s="5"/>
      <c r="O61" s="12"/>
      <c r="P61" s="5" t="s">
        <v>1067</v>
      </c>
      <c r="Q61" s="12"/>
      <c r="R61" s="12" t="s">
        <v>92</v>
      </c>
      <c r="S61" s="5" t="s">
        <v>1068</v>
      </c>
      <c r="T61" s="5" t="s">
        <v>953</v>
      </c>
      <c r="U61" s="12" t="n">
        <v>4</v>
      </c>
      <c r="V61" s="12" t="n">
        <v>2</v>
      </c>
      <c r="W61" s="12" t="n">
        <v>1</v>
      </c>
      <c r="X61" s="12" t="n">
        <v>1</v>
      </c>
      <c r="Y61" s="12" t="n">
        <v>1</v>
      </c>
    </row>
    <row r="62" customFormat="false" ht="81.75" hidden="false" customHeight="true" outlineLevel="0" collapsed="false">
      <c r="A62" s="12" t="s">
        <v>1065</v>
      </c>
      <c r="B62" s="5" t="s">
        <v>1066</v>
      </c>
      <c r="C62" s="12" t="s">
        <v>1065</v>
      </c>
      <c r="D62" s="12" t="s">
        <v>120</v>
      </c>
      <c r="E62" s="5" t="s">
        <v>1069</v>
      </c>
      <c r="F62" s="14"/>
      <c r="G62" s="14"/>
      <c r="H62" s="14" t="s">
        <v>87</v>
      </c>
      <c r="I62" s="14"/>
      <c r="J62" s="14"/>
      <c r="K62" s="14"/>
      <c r="L62" s="15"/>
      <c r="M62" s="12" t="s">
        <v>72</v>
      </c>
      <c r="N62" s="5"/>
      <c r="O62" s="12"/>
      <c r="P62" s="5" t="s">
        <v>1067</v>
      </c>
      <c r="Q62" s="12"/>
      <c r="R62" s="12" t="s">
        <v>92</v>
      </c>
      <c r="S62" s="5" t="s">
        <v>1068</v>
      </c>
      <c r="T62" s="5" t="s">
        <v>953</v>
      </c>
      <c r="U62" s="12" t="n">
        <v>4</v>
      </c>
      <c r="V62" s="12" t="n">
        <v>2</v>
      </c>
      <c r="W62" s="12" t="n">
        <v>1</v>
      </c>
      <c r="X62" s="12" t="n">
        <v>1</v>
      </c>
      <c r="Y62" s="12" t="n">
        <v>1</v>
      </c>
    </row>
    <row r="63" customFormat="false" ht="54.75" hidden="false" customHeight="true" outlineLevel="0" collapsed="false">
      <c r="A63" s="10" t="s">
        <v>1070</v>
      </c>
      <c r="B63" s="11" t="s">
        <v>1071</v>
      </c>
      <c r="C63" s="12"/>
      <c r="D63" s="12" t="s">
        <v>120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t="s">
        <v>75</v>
      </c>
      <c r="N63" s="5"/>
      <c r="O63" s="12"/>
      <c r="P63" s="5" t="s">
        <v>1072</v>
      </c>
      <c r="Q63" s="12"/>
      <c r="R63" s="12" t="s">
        <v>926</v>
      </c>
      <c r="S63" s="5" t="s">
        <v>1073</v>
      </c>
      <c r="T63" s="5" t="s">
        <v>953</v>
      </c>
      <c r="U63" s="12" t="n">
        <v>3</v>
      </c>
      <c r="V63" s="12" t="n">
        <v>1</v>
      </c>
      <c r="W63" s="12" t="n">
        <v>1</v>
      </c>
      <c r="X63" s="12" t="n">
        <v>1</v>
      </c>
      <c r="Y63" s="12" t="n">
        <v>2</v>
      </c>
    </row>
    <row r="64" customFormat="false" ht="54.75" hidden="false" customHeight="true" outlineLevel="0" collapsed="false">
      <c r="A64" s="12" t="s">
        <v>1070</v>
      </c>
      <c r="B64" s="5" t="s">
        <v>1071</v>
      </c>
      <c r="C64" s="12" t="s">
        <v>1070</v>
      </c>
      <c r="D64" s="12" t="s">
        <v>120</v>
      </c>
      <c r="E64" s="5" t="s">
        <v>1074</v>
      </c>
      <c r="F64" s="14"/>
      <c r="G64" s="14"/>
      <c r="H64" s="14" t="s">
        <v>87</v>
      </c>
      <c r="I64" s="14"/>
      <c r="J64" s="14"/>
      <c r="K64" s="14"/>
      <c r="L64" s="15"/>
      <c r="M64" s="12" t="s">
        <v>75</v>
      </c>
      <c r="N64" s="5"/>
      <c r="O64" s="12"/>
      <c r="P64" s="5" t="s">
        <v>1072</v>
      </c>
      <c r="Q64" s="12"/>
      <c r="R64" s="12" t="s">
        <v>926</v>
      </c>
      <c r="S64" s="5" t="s">
        <v>1073</v>
      </c>
      <c r="T64" s="5" t="s">
        <v>953</v>
      </c>
      <c r="U64" s="12" t="n">
        <v>3</v>
      </c>
      <c r="V64" s="12" t="n">
        <v>1</v>
      </c>
      <c r="W64" s="12" t="n">
        <v>1</v>
      </c>
      <c r="X64" s="12" t="n">
        <v>1</v>
      </c>
      <c r="Y64" s="12" t="n">
        <v>2</v>
      </c>
    </row>
    <row r="65" customFormat="false" ht="68.25" hidden="false" customHeight="true" outlineLevel="0" collapsed="false">
      <c r="A65" s="10" t="s">
        <v>1075</v>
      </c>
      <c r="B65" s="11" t="s">
        <v>1076</v>
      </c>
      <c r="C65" s="12"/>
      <c r="D65" s="12" t="s">
        <v>120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c r="N65" s="5"/>
      <c r="O65" s="12"/>
      <c r="P65" s="5" t="s">
        <v>1077</v>
      </c>
      <c r="Q65" s="12"/>
      <c r="R65" s="12" t="s">
        <v>92</v>
      </c>
      <c r="S65" s="5" t="s">
        <v>1078</v>
      </c>
      <c r="T65" s="5" t="s">
        <v>953</v>
      </c>
      <c r="U65" s="12" t="n">
        <v>2</v>
      </c>
      <c r="V65" s="12" t="n">
        <v>1</v>
      </c>
      <c r="W65" s="12" t="n">
        <v>1</v>
      </c>
      <c r="X65" s="12" t="n">
        <v>1</v>
      </c>
      <c r="Y65" s="12" t="n">
        <v>1</v>
      </c>
    </row>
    <row r="66" customFormat="false" ht="68.25" hidden="false" customHeight="true" outlineLevel="0" collapsed="false">
      <c r="A66" s="12" t="s">
        <v>1075</v>
      </c>
      <c r="B66" s="5" t="s">
        <v>1076</v>
      </c>
      <c r="C66" s="12" t="s">
        <v>1075</v>
      </c>
      <c r="D66" s="12" t="s">
        <v>120</v>
      </c>
      <c r="E66" s="5" t="s">
        <v>1079</v>
      </c>
      <c r="F66" s="14"/>
      <c r="G66" s="14"/>
      <c r="H66" s="14" t="s">
        <v>87</v>
      </c>
      <c r="I66" s="14"/>
      <c r="J66" s="14"/>
      <c r="K66" s="14"/>
      <c r="L66" s="15"/>
      <c r="M66" s="12"/>
      <c r="N66" s="5"/>
      <c r="O66" s="12"/>
      <c r="P66" s="5" t="s">
        <v>1077</v>
      </c>
      <c r="Q66" s="12"/>
      <c r="R66" s="12" t="s">
        <v>92</v>
      </c>
      <c r="S66" s="5" t="s">
        <v>1078</v>
      </c>
      <c r="T66" s="5" t="s">
        <v>953</v>
      </c>
      <c r="U66" s="12" t="n">
        <v>2</v>
      </c>
      <c r="V66" s="12" t="n">
        <v>1</v>
      </c>
      <c r="W66" s="12" t="n">
        <v>1</v>
      </c>
      <c r="X66" s="12" t="n">
        <v>1</v>
      </c>
      <c r="Y66" s="12" t="n">
        <v>1</v>
      </c>
    </row>
    <row r="67" customFormat="false" ht="81.75" hidden="false" customHeight="true" outlineLevel="0" collapsed="false">
      <c r="A67" s="10" t="s">
        <v>1080</v>
      </c>
      <c r="B67" s="11" t="s">
        <v>1081</v>
      </c>
      <c r="C67" s="12"/>
      <c r="D67" s="12" t="s">
        <v>120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t="s">
        <v>72</v>
      </c>
      <c r="N67" s="5"/>
      <c r="O67" s="12"/>
      <c r="P67" s="5" t="s">
        <v>1082</v>
      </c>
      <c r="Q67" s="12" t="s">
        <v>226</v>
      </c>
      <c r="R67" s="12" t="s">
        <v>926</v>
      </c>
      <c r="S67" s="5" t="s">
        <v>1083</v>
      </c>
      <c r="T67" s="5" t="s">
        <v>953</v>
      </c>
      <c r="U67" s="12" t="n">
        <v>3</v>
      </c>
      <c r="V67" s="12" t="n">
        <v>2</v>
      </c>
      <c r="W67" s="12" t="n">
        <v>1</v>
      </c>
      <c r="X67" s="12" t="n">
        <v>1</v>
      </c>
      <c r="Y67" s="12" t="n">
        <v>1</v>
      </c>
    </row>
    <row r="68" customFormat="false" ht="81.75" hidden="false" customHeight="true" outlineLevel="0" collapsed="false">
      <c r="A68" s="12" t="s">
        <v>1080</v>
      </c>
      <c r="B68" s="5" t="s">
        <v>1081</v>
      </c>
      <c r="C68" s="12" t="s">
        <v>1080</v>
      </c>
      <c r="D68" s="12" t="s">
        <v>120</v>
      </c>
      <c r="E68" s="5" t="s">
        <v>1084</v>
      </c>
      <c r="F68" s="14"/>
      <c r="G68" s="14"/>
      <c r="H68" s="14" t="s">
        <v>87</v>
      </c>
      <c r="I68" s="14"/>
      <c r="J68" s="14"/>
      <c r="K68" s="14"/>
      <c r="L68" s="15"/>
      <c r="M68" s="12" t="s">
        <v>72</v>
      </c>
      <c r="N68" s="5"/>
      <c r="O68" s="12"/>
      <c r="P68" s="5" t="s">
        <v>1082</v>
      </c>
      <c r="Q68" s="12" t="s">
        <v>226</v>
      </c>
      <c r="R68" s="12" t="s">
        <v>926</v>
      </c>
      <c r="S68" s="5" t="s">
        <v>1083</v>
      </c>
      <c r="T68" s="5" t="s">
        <v>953</v>
      </c>
      <c r="U68" s="12" t="n">
        <v>3</v>
      </c>
      <c r="V68" s="12" t="n">
        <v>2</v>
      </c>
      <c r="W68" s="12" t="n">
        <v>1</v>
      </c>
      <c r="X68" s="12" t="n">
        <v>1</v>
      </c>
      <c r="Y68" s="12" t="n">
        <v>1</v>
      </c>
    </row>
    <row r="69" customFormat="false" ht="270" hidden="false" customHeight="true" outlineLevel="0" collapsed="false">
      <c r="A69" s="10" t="s">
        <v>1085</v>
      </c>
      <c r="B69" s="11" t="s">
        <v>1086</v>
      </c>
      <c r="C69" s="12"/>
      <c r="D69" s="12" t="s">
        <v>120</v>
      </c>
      <c r="E69" s="5" t="s">
        <v>79</v>
      </c>
      <c r="F69" s="12"/>
      <c r="G69" s="12"/>
      <c r="H69" s="13" t="str">
        <f aca="false">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Bitte Teilanforderungen ausfüllen</v>
      </c>
      <c r="I69" s="12"/>
      <c r="J69" s="12"/>
      <c r="K69" s="12"/>
      <c r="L69" s="12"/>
      <c r="M69" s="12"/>
      <c r="N69" s="5"/>
      <c r="O69" s="12"/>
      <c r="P69" s="5" t="s">
        <v>1087</v>
      </c>
      <c r="Q69" s="12" t="s">
        <v>469</v>
      </c>
      <c r="R69" s="12" t="s">
        <v>926</v>
      </c>
      <c r="S69" s="5" t="s">
        <v>1088</v>
      </c>
      <c r="T69" s="5" t="s">
        <v>953</v>
      </c>
      <c r="U69" s="12" t="n">
        <v>4</v>
      </c>
      <c r="V69" s="12" t="n">
        <v>1</v>
      </c>
      <c r="W69" s="12" t="n">
        <v>1</v>
      </c>
      <c r="X69" s="12" t="n">
        <v>1</v>
      </c>
      <c r="Y69" s="12" t="n">
        <v>1</v>
      </c>
    </row>
    <row r="70" customFormat="false" ht="270" hidden="false" customHeight="true" outlineLevel="0" collapsed="false">
      <c r="A70" s="12" t="s">
        <v>1085</v>
      </c>
      <c r="B70" s="5" t="s">
        <v>1086</v>
      </c>
      <c r="C70" s="12" t="s">
        <v>1085</v>
      </c>
      <c r="D70" s="12" t="s">
        <v>120</v>
      </c>
      <c r="E70" s="5" t="s">
        <v>1089</v>
      </c>
      <c r="F70" s="14"/>
      <c r="G70" s="14"/>
      <c r="H70" s="14" t="s">
        <v>87</v>
      </c>
      <c r="I70" s="14"/>
      <c r="J70" s="14"/>
      <c r="K70" s="14"/>
      <c r="L70" s="15"/>
      <c r="M70" s="12"/>
      <c r="N70" s="5"/>
      <c r="O70" s="12"/>
      <c r="P70" s="5" t="s">
        <v>1087</v>
      </c>
      <c r="Q70" s="12" t="s">
        <v>469</v>
      </c>
      <c r="R70" s="12" t="s">
        <v>926</v>
      </c>
      <c r="S70" s="5" t="s">
        <v>1088</v>
      </c>
      <c r="T70" s="5" t="s">
        <v>953</v>
      </c>
      <c r="U70" s="12" t="n">
        <v>4</v>
      </c>
      <c r="V70" s="12" t="n">
        <v>1</v>
      </c>
      <c r="W70" s="12" t="n">
        <v>1</v>
      </c>
      <c r="X70" s="12" t="n">
        <v>1</v>
      </c>
      <c r="Y70" s="12" t="n">
        <v>1</v>
      </c>
    </row>
    <row r="71" customFormat="false" ht="81.75" hidden="false" customHeight="true" outlineLevel="0" collapsed="false">
      <c r="A71" s="10" t="s">
        <v>1090</v>
      </c>
      <c r="B71" s="11" t="s">
        <v>1091</v>
      </c>
      <c r="C71" s="12"/>
      <c r="D71" s="12" t="s">
        <v>160</v>
      </c>
      <c r="E71" s="5" t="s">
        <v>79</v>
      </c>
      <c r="F71" s="12"/>
      <c r="G71" s="12"/>
      <c r="H71" s="13" t="str">
        <f aca="false">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2"/>
      <c r="J71" s="12"/>
      <c r="K71" s="12"/>
      <c r="L71" s="12"/>
      <c r="M71" s="12"/>
      <c r="N71" s="5"/>
      <c r="O71" s="12"/>
      <c r="P71" s="5" t="s">
        <v>1092</v>
      </c>
      <c r="Q71" s="12"/>
      <c r="R71" s="12" t="s">
        <v>926</v>
      </c>
      <c r="S71" s="5" t="s">
        <v>1093</v>
      </c>
      <c r="T71" s="5" t="s">
        <v>953</v>
      </c>
      <c r="U71" s="12" t="n">
        <v>1</v>
      </c>
      <c r="V71" s="12" t="n">
        <v>1</v>
      </c>
      <c r="W71" s="12" t="n">
        <v>1</v>
      </c>
      <c r="X71" s="12" t="n">
        <v>1</v>
      </c>
      <c r="Y71" s="12" t="n">
        <v>1</v>
      </c>
    </row>
    <row r="72" customFormat="false" ht="81.75" hidden="false" customHeight="true" outlineLevel="0" collapsed="false">
      <c r="A72" s="12" t="s">
        <v>1090</v>
      </c>
      <c r="B72" s="5" t="s">
        <v>1091</v>
      </c>
      <c r="C72" s="12" t="s">
        <v>1090</v>
      </c>
      <c r="D72" s="12" t="s">
        <v>160</v>
      </c>
      <c r="E72" s="5" t="s">
        <v>1094</v>
      </c>
      <c r="F72" s="14"/>
      <c r="G72" s="14"/>
      <c r="H72" s="14" t="s">
        <v>87</v>
      </c>
      <c r="I72" s="14"/>
      <c r="J72" s="14"/>
      <c r="K72" s="14"/>
      <c r="L72" s="15"/>
      <c r="M72" s="12"/>
      <c r="N72" s="5"/>
      <c r="O72" s="12"/>
      <c r="P72" s="5" t="s">
        <v>1092</v>
      </c>
      <c r="Q72" s="12"/>
      <c r="R72" s="12" t="s">
        <v>926</v>
      </c>
      <c r="S72" s="5" t="s">
        <v>1093</v>
      </c>
      <c r="T72" s="5" t="s">
        <v>953</v>
      </c>
      <c r="U72" s="12" t="n">
        <v>1</v>
      </c>
      <c r="V72" s="12" t="n">
        <v>1</v>
      </c>
      <c r="W72" s="12" t="n">
        <v>1</v>
      </c>
      <c r="X72" s="12" t="n">
        <v>1</v>
      </c>
      <c r="Y72" s="12" t="n">
        <v>1</v>
      </c>
    </row>
    <row r="73" customFormat="false" ht="81.75" hidden="false" customHeight="true" outlineLevel="0" collapsed="false">
      <c r="A73" s="10" t="s">
        <v>1095</v>
      </c>
      <c r="B73" s="11" t="s">
        <v>1096</v>
      </c>
      <c r="C73" s="12"/>
      <c r="D73" s="12" t="s">
        <v>120</v>
      </c>
      <c r="E73" s="5" t="s">
        <v>79</v>
      </c>
      <c r="F73" s="12"/>
      <c r="G73" s="12"/>
      <c r="H73" s="13" t="str">
        <f aca="false">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2"/>
      <c r="J73" s="12"/>
      <c r="K73" s="12"/>
      <c r="L73" s="12"/>
      <c r="M73" s="12"/>
      <c r="N73" s="5"/>
      <c r="O73" s="12"/>
      <c r="P73" s="5" t="s">
        <v>1097</v>
      </c>
      <c r="Q73" s="12" t="s">
        <v>1098</v>
      </c>
      <c r="R73" s="12" t="s">
        <v>926</v>
      </c>
      <c r="S73" s="5" t="s">
        <v>1099</v>
      </c>
      <c r="T73" s="5" t="s">
        <v>953</v>
      </c>
      <c r="U73" s="12" t="n">
        <v>5</v>
      </c>
      <c r="V73" s="12" t="n">
        <v>1</v>
      </c>
      <c r="W73" s="12" t="n">
        <v>1</v>
      </c>
      <c r="X73" s="12" t="n">
        <v>1</v>
      </c>
      <c r="Y73" s="12" t="n">
        <v>1</v>
      </c>
    </row>
    <row r="74" customFormat="false" ht="81.75" hidden="false" customHeight="true" outlineLevel="0" collapsed="false">
      <c r="A74" s="12" t="s">
        <v>1095</v>
      </c>
      <c r="B74" s="5" t="s">
        <v>1096</v>
      </c>
      <c r="C74" s="12" t="s">
        <v>1095</v>
      </c>
      <c r="D74" s="12" t="s">
        <v>120</v>
      </c>
      <c r="E74" s="5" t="s">
        <v>1100</v>
      </c>
      <c r="F74" s="14"/>
      <c r="G74" s="14"/>
      <c r="H74" s="14" t="s">
        <v>87</v>
      </c>
      <c r="I74" s="14"/>
      <c r="J74" s="14"/>
      <c r="K74" s="14"/>
      <c r="L74" s="15"/>
      <c r="M74" s="12"/>
      <c r="N74" s="5"/>
      <c r="O74" s="12"/>
      <c r="P74" s="5" t="s">
        <v>1097</v>
      </c>
      <c r="Q74" s="12" t="s">
        <v>1098</v>
      </c>
      <c r="R74" s="12" t="s">
        <v>926</v>
      </c>
      <c r="S74" s="5" t="s">
        <v>1099</v>
      </c>
      <c r="T74" s="5" t="s">
        <v>953</v>
      </c>
      <c r="U74" s="12" t="n">
        <v>5</v>
      </c>
      <c r="V74" s="12" t="n">
        <v>1</v>
      </c>
      <c r="W74" s="12" t="n">
        <v>1</v>
      </c>
      <c r="X74" s="12" t="n">
        <v>1</v>
      </c>
      <c r="Y74" s="12" t="n">
        <v>1</v>
      </c>
    </row>
    <row r="75" customFormat="false" ht="95.25" hidden="false" customHeight="true" outlineLevel="0" collapsed="false">
      <c r="A75" s="10" t="s">
        <v>1101</v>
      </c>
      <c r="B75" s="11" t="s">
        <v>1102</v>
      </c>
      <c r="C75" s="12"/>
      <c r="D75" s="12" t="s">
        <v>160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c r="N75" s="5"/>
      <c r="O75" s="12"/>
      <c r="P75" s="5" t="s">
        <v>1103</v>
      </c>
      <c r="Q75" s="12" t="s">
        <v>226</v>
      </c>
      <c r="R75" s="12" t="s">
        <v>1104</v>
      </c>
      <c r="S75" s="5" t="s">
        <v>1105</v>
      </c>
      <c r="T75" s="5" t="s">
        <v>1106</v>
      </c>
      <c r="U75" s="12" t="n">
        <v>5</v>
      </c>
      <c r="V75" s="12" t="n">
        <v>1</v>
      </c>
      <c r="W75" s="12" t="n">
        <v>1</v>
      </c>
      <c r="X75" s="12" t="n">
        <v>1</v>
      </c>
      <c r="Y75" s="12" t="n">
        <v>0</v>
      </c>
    </row>
    <row r="76" customFormat="false" ht="95.25" hidden="false" customHeight="true" outlineLevel="0" collapsed="false">
      <c r="A76" s="12" t="s">
        <v>1101</v>
      </c>
      <c r="B76" s="5" t="s">
        <v>1102</v>
      </c>
      <c r="C76" s="12" t="s">
        <v>1101</v>
      </c>
      <c r="D76" s="12" t="s">
        <v>160</v>
      </c>
      <c r="E76" s="5" t="s">
        <v>1107</v>
      </c>
      <c r="F76" s="14"/>
      <c r="G76" s="14"/>
      <c r="H76" s="14" t="s">
        <v>87</v>
      </c>
      <c r="I76" s="14"/>
      <c r="J76" s="14"/>
      <c r="K76" s="14"/>
      <c r="L76" s="15"/>
      <c r="M76" s="12"/>
      <c r="N76" s="5"/>
      <c r="O76" s="12"/>
      <c r="P76" s="5" t="s">
        <v>1103</v>
      </c>
      <c r="Q76" s="12" t="s">
        <v>226</v>
      </c>
      <c r="R76" s="12" t="s">
        <v>1104</v>
      </c>
      <c r="S76" s="5" t="s">
        <v>1105</v>
      </c>
      <c r="T76" s="5" t="s">
        <v>1106</v>
      </c>
      <c r="U76" s="12" t="n">
        <v>5</v>
      </c>
      <c r="V76" s="12" t="n">
        <v>1</v>
      </c>
      <c r="W76" s="12" t="n">
        <v>1</v>
      </c>
      <c r="X76" s="12" t="n">
        <v>1</v>
      </c>
      <c r="Y76" s="12" t="n">
        <v>0</v>
      </c>
    </row>
    <row r="77" customFormat="false" ht="122.25" hidden="false" customHeight="true" outlineLevel="0" collapsed="false">
      <c r="A77" s="10" t="s">
        <v>1108</v>
      </c>
      <c r="B77" s="11" t="s">
        <v>1109</v>
      </c>
      <c r="C77" s="12"/>
      <c r="D77" s="12" t="s">
        <v>160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c r="N77" s="5"/>
      <c r="O77" s="12"/>
      <c r="P77" s="5" t="s">
        <v>1110</v>
      </c>
      <c r="Q77" s="12" t="s">
        <v>460</v>
      </c>
      <c r="R77" s="12" t="s">
        <v>1104</v>
      </c>
      <c r="S77" s="5" t="s">
        <v>1105</v>
      </c>
      <c r="T77" s="5" t="s">
        <v>1106</v>
      </c>
      <c r="U77" s="12" t="n">
        <v>5</v>
      </c>
      <c r="V77" s="12" t="n">
        <v>1</v>
      </c>
      <c r="W77" s="12" t="n">
        <v>1</v>
      </c>
      <c r="X77" s="12" t="n">
        <v>1</v>
      </c>
      <c r="Y77" s="12" t="n">
        <v>0</v>
      </c>
    </row>
    <row r="78" customFormat="false" ht="122.25" hidden="false" customHeight="true" outlineLevel="0" collapsed="false">
      <c r="A78" s="12" t="s">
        <v>1108</v>
      </c>
      <c r="B78" s="5" t="s">
        <v>1109</v>
      </c>
      <c r="C78" s="12" t="s">
        <v>1108</v>
      </c>
      <c r="D78" s="12" t="s">
        <v>160</v>
      </c>
      <c r="E78" s="5" t="s">
        <v>1111</v>
      </c>
      <c r="F78" s="14"/>
      <c r="G78" s="14"/>
      <c r="H78" s="14" t="s">
        <v>87</v>
      </c>
      <c r="I78" s="14"/>
      <c r="J78" s="14"/>
      <c r="K78" s="14"/>
      <c r="L78" s="15"/>
      <c r="M78" s="12"/>
      <c r="N78" s="5"/>
      <c r="O78" s="12"/>
      <c r="P78" s="5" t="s">
        <v>1110</v>
      </c>
      <c r="Q78" s="12" t="s">
        <v>460</v>
      </c>
      <c r="R78" s="12" t="s">
        <v>1104</v>
      </c>
      <c r="S78" s="5" t="s">
        <v>1105</v>
      </c>
      <c r="T78" s="5" t="s">
        <v>1106</v>
      </c>
      <c r="U78" s="12" t="n">
        <v>5</v>
      </c>
      <c r="V78" s="12" t="n">
        <v>1</v>
      </c>
      <c r="W78" s="12" t="n">
        <v>1</v>
      </c>
      <c r="X78" s="12" t="n">
        <v>1</v>
      </c>
      <c r="Y78" s="12" t="n">
        <v>0</v>
      </c>
    </row>
    <row r="79" customFormat="false" ht="457.5" hidden="false" customHeight="true" outlineLevel="0" collapsed="false">
      <c r="A79" s="10" t="s">
        <v>1112</v>
      </c>
      <c r="B79" s="11" t="s">
        <v>1113</v>
      </c>
      <c r="C79" s="12"/>
      <c r="D79" s="12" t="s">
        <v>120</v>
      </c>
      <c r="E79" s="5" t="s">
        <v>79</v>
      </c>
      <c r="F79" s="12"/>
      <c r="G79" s="12"/>
      <c r="H79" s="13" t="str">
        <f aca="false">IF(OR(COUNTBLANK($H$80:$H$82)&gt;0,COUNTIF($H$80:$H$82,"unbearbeitet")=COUNTA($H$80:$H$82)),"Bitte Teilanforderungen ausfüllen",IF(COUNTIF($H$80:$H$82,"zu klären")&gt;0,"zu klären",IF(COUNTIF($H$80:$H$82,"entbehrlich")=COUNTA($H$80:$H$82),"entbehrlich",IF(COUNTIF($H$80:$H$82,"verwiesen")=COUNTA($H$80:$H$82),"verwiesen",IF(COUNTIF($H$80:$H$82,"nein")+COUNTIF($H$80:$H$82,"entbehrlich")=COUNTA($H$80:$H$82),"nein",IF(COUNTIF($H$80:$H$82,"ja")+COUNTIF($H$80:$H$82,"entbehrlich")+COUNTIF($H$80:$H$82,"verwiesen")=COUNTA($H$80:$H$82),"ja","teilweise"))))))</f>
        <v>Bitte Teilanforderungen ausfüllen</v>
      </c>
      <c r="I79" s="12"/>
      <c r="J79" s="12"/>
      <c r="K79" s="12"/>
      <c r="L79" s="12"/>
      <c r="M79" s="12" t="s">
        <v>72</v>
      </c>
      <c r="N79" s="5"/>
      <c r="O79" s="12"/>
      <c r="P79" s="5" t="s">
        <v>1114</v>
      </c>
      <c r="Q79" s="12"/>
      <c r="R79" s="12" t="s">
        <v>926</v>
      </c>
      <c r="S79" s="5" t="s">
        <v>1115</v>
      </c>
      <c r="T79" s="5" t="s">
        <v>1116</v>
      </c>
      <c r="U79" s="12" t="n">
        <v>1</v>
      </c>
      <c r="V79" s="12" t="n">
        <v>2</v>
      </c>
      <c r="W79" s="12" t="n">
        <v>1</v>
      </c>
      <c r="X79" s="12" t="n">
        <v>1</v>
      </c>
      <c r="Y79" s="12" t="n">
        <v>1</v>
      </c>
    </row>
    <row r="80" customFormat="false" ht="457.5" hidden="false" customHeight="true" outlineLevel="0" collapsed="false">
      <c r="A80" s="12" t="s">
        <v>1112</v>
      </c>
      <c r="B80" s="5" t="s">
        <v>1113</v>
      </c>
      <c r="C80" s="12" t="s">
        <v>1112</v>
      </c>
      <c r="D80" s="12" t="s">
        <v>120</v>
      </c>
      <c r="E80" s="5" t="s">
        <v>1117</v>
      </c>
      <c r="F80" s="14"/>
      <c r="G80" s="14"/>
      <c r="H80" s="14" t="s">
        <v>87</v>
      </c>
      <c r="I80" s="14"/>
      <c r="J80" s="14"/>
      <c r="K80" s="14"/>
      <c r="L80" s="15"/>
      <c r="M80" s="12" t="s">
        <v>72</v>
      </c>
      <c r="N80" s="5"/>
      <c r="O80" s="12"/>
      <c r="P80" s="5" t="s">
        <v>1114</v>
      </c>
      <c r="Q80" s="12"/>
      <c r="R80" s="12" t="s">
        <v>926</v>
      </c>
      <c r="S80" s="5" t="s">
        <v>1115</v>
      </c>
      <c r="T80" s="5" t="s">
        <v>1116</v>
      </c>
      <c r="U80" s="12" t="n">
        <v>1</v>
      </c>
      <c r="V80" s="12" t="n">
        <v>2</v>
      </c>
      <c r="W80" s="12" t="n">
        <v>1</v>
      </c>
      <c r="X80" s="12" t="n">
        <v>1</v>
      </c>
      <c r="Y80" s="12" t="n">
        <v>1</v>
      </c>
    </row>
    <row r="81" customFormat="false" ht="95.25" hidden="false" customHeight="true" outlineLevel="0" collapsed="false">
      <c r="A81" s="12" t="s">
        <v>1112</v>
      </c>
      <c r="B81" s="5" t="s">
        <v>1113</v>
      </c>
      <c r="C81" s="12" t="s">
        <v>1118</v>
      </c>
      <c r="D81" s="12" t="s">
        <v>120</v>
      </c>
      <c r="E81" s="5" t="s">
        <v>1119</v>
      </c>
      <c r="F81" s="14"/>
      <c r="G81" s="14"/>
      <c r="H81" s="14" t="s">
        <v>87</v>
      </c>
      <c r="I81" s="14"/>
      <c r="J81" s="14"/>
      <c r="K81" s="14"/>
      <c r="L81" s="15"/>
      <c r="M81" s="12" t="s">
        <v>72</v>
      </c>
      <c r="N81" s="5"/>
      <c r="O81" s="12"/>
      <c r="P81" s="5" t="s">
        <v>1120</v>
      </c>
      <c r="Q81" s="12"/>
      <c r="R81" s="12" t="s">
        <v>926</v>
      </c>
      <c r="S81" s="5" t="s">
        <v>1121</v>
      </c>
      <c r="T81" s="5" t="s">
        <v>953</v>
      </c>
      <c r="U81" s="12" t="n">
        <v>3</v>
      </c>
      <c r="V81" s="12" t="n">
        <v>2</v>
      </c>
      <c r="W81" s="12" t="n">
        <v>1</v>
      </c>
      <c r="X81" s="12" t="n">
        <v>1</v>
      </c>
      <c r="Y81" s="12" t="n">
        <v>1</v>
      </c>
    </row>
    <row r="82" customFormat="false" ht="68.25" hidden="false" customHeight="true" outlineLevel="0" collapsed="false">
      <c r="A82" s="12" t="s">
        <v>1112</v>
      </c>
      <c r="B82" s="5" t="s">
        <v>1113</v>
      </c>
      <c r="C82" s="12" t="s">
        <v>1122</v>
      </c>
      <c r="D82" s="12" t="s">
        <v>160</v>
      </c>
      <c r="E82" s="5" t="s">
        <v>1123</v>
      </c>
      <c r="F82" s="14"/>
      <c r="G82" s="14"/>
      <c r="H82" s="14" t="s">
        <v>87</v>
      </c>
      <c r="I82" s="14"/>
      <c r="J82" s="14"/>
      <c r="K82" s="14"/>
      <c r="L82" s="15"/>
      <c r="M82" s="12" t="s">
        <v>72</v>
      </c>
      <c r="N82" s="5"/>
      <c r="O82" s="12"/>
      <c r="P82" s="5" t="s">
        <v>1124</v>
      </c>
      <c r="Q82" s="12"/>
      <c r="R82" s="12" t="s">
        <v>926</v>
      </c>
      <c r="S82" s="5" t="s">
        <v>1125</v>
      </c>
      <c r="T82" s="5" t="s">
        <v>1126</v>
      </c>
      <c r="U82" s="12" t="n">
        <v>5</v>
      </c>
      <c r="V82" s="12" t="n">
        <v>2</v>
      </c>
      <c r="W82" s="12" t="n">
        <v>1</v>
      </c>
      <c r="X82" s="12" t="n">
        <v>1</v>
      </c>
      <c r="Y82" s="12" t="n">
        <v>1</v>
      </c>
    </row>
    <row r="83" customFormat="false" ht="256.5" hidden="false" customHeight="true" outlineLevel="0" collapsed="false">
      <c r="A83" s="10" t="s">
        <v>1127</v>
      </c>
      <c r="B83" s="11" t="s">
        <v>1128</v>
      </c>
      <c r="C83" s="12"/>
      <c r="D83" s="12" t="s">
        <v>120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75</v>
      </c>
      <c r="N83" s="5"/>
      <c r="O83" s="12"/>
      <c r="P83" s="5" t="s">
        <v>1129</v>
      </c>
      <c r="Q83" s="12"/>
      <c r="R83" s="12" t="s">
        <v>926</v>
      </c>
      <c r="S83" s="5" t="s">
        <v>1130</v>
      </c>
      <c r="T83" s="5" t="s">
        <v>953</v>
      </c>
      <c r="U83" s="12" t="n">
        <v>3</v>
      </c>
      <c r="V83" s="12" t="n">
        <v>1</v>
      </c>
      <c r="W83" s="12" t="n">
        <v>1</v>
      </c>
      <c r="X83" s="12" t="n">
        <v>0</v>
      </c>
      <c r="Y83" s="12" t="n">
        <v>2</v>
      </c>
    </row>
    <row r="84" customFormat="false" ht="256.5" hidden="false" customHeight="true" outlineLevel="0" collapsed="false">
      <c r="A84" s="12" t="s">
        <v>1127</v>
      </c>
      <c r="B84" s="5" t="s">
        <v>1128</v>
      </c>
      <c r="C84" s="12" t="s">
        <v>1127</v>
      </c>
      <c r="D84" s="12" t="s">
        <v>120</v>
      </c>
      <c r="E84" s="5" t="s">
        <v>1131</v>
      </c>
      <c r="F84" s="14"/>
      <c r="G84" s="14"/>
      <c r="H84" s="14" t="s">
        <v>87</v>
      </c>
      <c r="I84" s="14"/>
      <c r="J84" s="14"/>
      <c r="K84" s="14"/>
      <c r="L84" s="15"/>
      <c r="M84" s="12" t="s">
        <v>75</v>
      </c>
      <c r="N84" s="5"/>
      <c r="O84" s="12"/>
      <c r="P84" s="5" t="s">
        <v>1129</v>
      </c>
      <c r="Q84" s="12"/>
      <c r="R84" s="12" t="s">
        <v>926</v>
      </c>
      <c r="S84" s="5" t="s">
        <v>1130</v>
      </c>
      <c r="T84" s="5" t="s">
        <v>953</v>
      </c>
      <c r="U84" s="12" t="n">
        <v>3</v>
      </c>
      <c r="V84" s="12" t="n">
        <v>1</v>
      </c>
      <c r="W84" s="12" t="n">
        <v>1</v>
      </c>
      <c r="X84" s="12" t="n">
        <v>0</v>
      </c>
      <c r="Y84" s="12" t="n">
        <v>2</v>
      </c>
    </row>
    <row r="85" customFormat="false" ht="54.75" hidden="false" customHeight="true" outlineLevel="0" collapsed="false">
      <c r="A85" s="10" t="s">
        <v>1132</v>
      </c>
      <c r="B85" s="11" t="s">
        <v>1133</v>
      </c>
      <c r="C85" s="12"/>
      <c r="D85" s="12" t="s">
        <v>120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c r="N85" s="5"/>
      <c r="O85" s="12"/>
      <c r="P85" s="5" t="s">
        <v>1134</v>
      </c>
      <c r="Q85" s="12"/>
      <c r="R85" s="12" t="s">
        <v>926</v>
      </c>
      <c r="S85" s="5" t="s">
        <v>1135</v>
      </c>
      <c r="T85" s="5" t="s">
        <v>953</v>
      </c>
      <c r="U85" s="12" t="n">
        <v>3</v>
      </c>
      <c r="V85" s="12" t="n">
        <v>1</v>
      </c>
      <c r="W85" s="12" t="n">
        <v>1</v>
      </c>
      <c r="X85" s="12" t="n">
        <v>1</v>
      </c>
      <c r="Y85" s="12" t="n">
        <v>1</v>
      </c>
    </row>
    <row r="86" customFormat="false" ht="54.75" hidden="false" customHeight="true" outlineLevel="0" collapsed="false">
      <c r="A86" s="12" t="s">
        <v>1132</v>
      </c>
      <c r="B86" s="5" t="s">
        <v>1133</v>
      </c>
      <c r="C86" s="12" t="s">
        <v>1132</v>
      </c>
      <c r="D86" s="12" t="s">
        <v>120</v>
      </c>
      <c r="E86" s="5" t="s">
        <v>1136</v>
      </c>
      <c r="F86" s="14"/>
      <c r="G86" s="14"/>
      <c r="H86" s="14" t="s">
        <v>87</v>
      </c>
      <c r="I86" s="14"/>
      <c r="J86" s="14"/>
      <c r="K86" s="14"/>
      <c r="L86" s="15"/>
      <c r="M86" s="12"/>
      <c r="N86" s="5"/>
      <c r="O86" s="12"/>
      <c r="P86" s="5" t="s">
        <v>1134</v>
      </c>
      <c r="Q86" s="12"/>
      <c r="R86" s="12" t="s">
        <v>926</v>
      </c>
      <c r="S86" s="5" t="s">
        <v>1135</v>
      </c>
      <c r="T86" s="5" t="s">
        <v>953</v>
      </c>
      <c r="U86" s="12" t="n">
        <v>3</v>
      </c>
      <c r="V86" s="12" t="n">
        <v>1</v>
      </c>
      <c r="W86" s="12" t="n">
        <v>1</v>
      </c>
      <c r="X86" s="12" t="n">
        <v>1</v>
      </c>
      <c r="Y86" s="12" t="n">
        <v>1</v>
      </c>
    </row>
    <row r="87" customFormat="false" ht="377.25" hidden="false" customHeight="true" outlineLevel="0" collapsed="false">
      <c r="A87" s="10" t="s">
        <v>1137</v>
      </c>
      <c r="B87" s="11" t="s">
        <v>1138</v>
      </c>
      <c r="C87" s="12"/>
      <c r="D87" s="12" t="s">
        <v>120</v>
      </c>
      <c r="E87" s="5" t="s">
        <v>79</v>
      </c>
      <c r="F87" s="12"/>
      <c r="G87" s="12"/>
      <c r="H87" s="13" t="str">
        <f aca="false">IF(OR(COUNTBLANK($H$88:$H$89)&gt;0,COUNTIF($H$88:$H$89,"unbearbeitet")=COUNTA($H$88:$H$89)),"Bitte Teilanforderungen ausfüllen",IF(COUNTIF($H$88:$H$89,"zu klären")&gt;0,"zu klären",IF(COUNTIF($H$88:$H$89,"entbehrlich")=COUNTA($H$88:$H$89),"entbehrlich",IF(COUNTIF($H$88:$H$89,"verwiesen")=COUNTA($H$88:$H$89),"verwiesen",IF(COUNTIF($H$88:$H$89,"nein")+COUNTIF($H$88:$H$89,"entbehrlich")=COUNTA($H$88:$H$89),"nein",IF(COUNTIF($H$88:$H$89,"ja")+COUNTIF($H$88:$H$89,"entbehrlich")+COUNTIF($H$88:$H$89,"verwiesen")=COUNTA($H$88:$H$89),"ja","teilweise"))))))</f>
        <v>Bitte Teilanforderungen ausfüllen</v>
      </c>
      <c r="I87" s="12"/>
      <c r="J87" s="12"/>
      <c r="K87" s="12"/>
      <c r="L87" s="12"/>
      <c r="M87" s="12"/>
      <c r="N87" s="5"/>
      <c r="O87" s="12"/>
      <c r="P87" s="5" t="s">
        <v>1139</v>
      </c>
      <c r="Q87" s="12"/>
      <c r="R87" s="12" t="s">
        <v>936</v>
      </c>
      <c r="S87" s="5" t="s">
        <v>1140</v>
      </c>
      <c r="T87" s="5" t="s">
        <v>953</v>
      </c>
      <c r="U87" s="12" t="n">
        <v>3</v>
      </c>
      <c r="V87" s="12" t="n">
        <v>1</v>
      </c>
      <c r="W87" s="12" t="n">
        <v>1</v>
      </c>
      <c r="X87" s="12" t="n">
        <v>1</v>
      </c>
      <c r="Y87" s="12" t="n">
        <v>1</v>
      </c>
    </row>
    <row r="88" customFormat="false" ht="377.25" hidden="false" customHeight="true" outlineLevel="0" collapsed="false">
      <c r="A88" s="12" t="s">
        <v>1137</v>
      </c>
      <c r="B88" s="5" t="s">
        <v>1138</v>
      </c>
      <c r="C88" s="12" t="s">
        <v>1137</v>
      </c>
      <c r="D88" s="12" t="s">
        <v>120</v>
      </c>
      <c r="E88" s="5" t="s">
        <v>1141</v>
      </c>
      <c r="F88" s="14"/>
      <c r="G88" s="14"/>
      <c r="H88" s="14" t="s">
        <v>87</v>
      </c>
      <c r="I88" s="14"/>
      <c r="J88" s="14"/>
      <c r="K88" s="14"/>
      <c r="L88" s="15"/>
      <c r="M88" s="12"/>
      <c r="N88" s="5"/>
      <c r="O88" s="12"/>
      <c r="P88" s="5" t="s">
        <v>1139</v>
      </c>
      <c r="Q88" s="12"/>
      <c r="R88" s="12" t="s">
        <v>936</v>
      </c>
      <c r="S88" s="5" t="s">
        <v>1140</v>
      </c>
      <c r="T88" s="5" t="s">
        <v>953</v>
      </c>
      <c r="U88" s="12" t="n">
        <v>3</v>
      </c>
      <c r="V88" s="12" t="n">
        <v>1</v>
      </c>
      <c r="W88" s="12" t="n">
        <v>1</v>
      </c>
      <c r="X88" s="12" t="n">
        <v>1</v>
      </c>
      <c r="Y88" s="12" t="n">
        <v>1</v>
      </c>
    </row>
    <row r="89" customFormat="false" ht="256.5" hidden="false" customHeight="true" outlineLevel="0" collapsed="false">
      <c r="A89" s="12" t="s">
        <v>1137</v>
      </c>
      <c r="B89" s="5" t="s">
        <v>1138</v>
      </c>
      <c r="C89" s="12" t="s">
        <v>1142</v>
      </c>
      <c r="D89" s="12" t="s">
        <v>120</v>
      </c>
      <c r="E89" s="5" t="s">
        <v>1143</v>
      </c>
      <c r="F89" s="14"/>
      <c r="G89" s="14"/>
      <c r="H89" s="14" t="s">
        <v>87</v>
      </c>
      <c r="I89" s="14"/>
      <c r="J89" s="14"/>
      <c r="K89" s="14"/>
      <c r="L89" s="15"/>
      <c r="M89" s="12"/>
      <c r="N89" s="5"/>
      <c r="O89" s="12"/>
      <c r="P89" s="5" t="s">
        <v>1144</v>
      </c>
      <c r="Q89" s="12"/>
      <c r="R89" s="12" t="s">
        <v>926</v>
      </c>
      <c r="S89" s="5" t="s">
        <v>1145</v>
      </c>
      <c r="T89" s="5" t="s">
        <v>953</v>
      </c>
      <c r="U89" s="12" t="n">
        <v>4</v>
      </c>
      <c r="V89" s="12" t="n">
        <v>1</v>
      </c>
      <c r="W89" s="12" t="n">
        <v>1</v>
      </c>
      <c r="X89" s="12" t="n">
        <v>1</v>
      </c>
      <c r="Y89" s="12" t="n">
        <v>1</v>
      </c>
    </row>
    <row r="90" customFormat="false" ht="122.25" hidden="false" customHeight="true" outlineLevel="0" collapsed="false">
      <c r="A90" s="10" t="s">
        <v>1146</v>
      </c>
      <c r="B90" s="11" t="s">
        <v>1147</v>
      </c>
      <c r="C90" s="12"/>
      <c r="D90" s="12" t="s">
        <v>120</v>
      </c>
      <c r="E90" s="5" t="s">
        <v>79</v>
      </c>
      <c r="F90" s="12"/>
      <c r="G90" s="12"/>
      <c r="H90" s="13" t="str">
        <f aca="false">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Bitte Teilanforderungen ausfüllen</v>
      </c>
      <c r="I90" s="12"/>
      <c r="J90" s="12"/>
      <c r="K90" s="12"/>
      <c r="L90" s="12"/>
      <c r="M90" s="12" t="s">
        <v>75</v>
      </c>
      <c r="N90" s="5"/>
      <c r="O90" s="12"/>
      <c r="P90" s="5" t="s">
        <v>1148</v>
      </c>
      <c r="Q90" s="12" t="s">
        <v>226</v>
      </c>
      <c r="R90" s="12" t="s">
        <v>1149</v>
      </c>
      <c r="S90" s="5" t="s">
        <v>1150</v>
      </c>
      <c r="T90" s="5" t="s">
        <v>953</v>
      </c>
      <c r="U90" s="12" t="n">
        <v>4</v>
      </c>
      <c r="V90" s="12" t="n">
        <v>1</v>
      </c>
      <c r="W90" s="12" t="n">
        <v>1</v>
      </c>
      <c r="X90" s="12" t="n">
        <v>1</v>
      </c>
      <c r="Y90" s="12" t="n">
        <v>2</v>
      </c>
    </row>
    <row r="91" customFormat="false" ht="122.25" hidden="false" customHeight="true" outlineLevel="0" collapsed="false">
      <c r="A91" s="12" t="s">
        <v>1146</v>
      </c>
      <c r="B91" s="5" t="s">
        <v>1147</v>
      </c>
      <c r="C91" s="12" t="s">
        <v>1146</v>
      </c>
      <c r="D91" s="12" t="s">
        <v>120</v>
      </c>
      <c r="E91" s="5" t="s">
        <v>1151</v>
      </c>
      <c r="F91" s="14"/>
      <c r="G91" s="14"/>
      <c r="H91" s="14" t="s">
        <v>87</v>
      </c>
      <c r="I91" s="14"/>
      <c r="J91" s="14"/>
      <c r="K91" s="14"/>
      <c r="L91" s="15"/>
      <c r="M91" s="12" t="s">
        <v>75</v>
      </c>
      <c r="N91" s="5"/>
      <c r="O91" s="12"/>
      <c r="P91" s="5" t="s">
        <v>1148</v>
      </c>
      <c r="Q91" s="12" t="s">
        <v>226</v>
      </c>
      <c r="R91" s="12" t="s">
        <v>1149</v>
      </c>
      <c r="S91" s="5" t="s">
        <v>1150</v>
      </c>
      <c r="T91" s="5" t="s">
        <v>953</v>
      </c>
      <c r="U91" s="12" t="n">
        <v>4</v>
      </c>
      <c r="V91" s="12" t="n">
        <v>1</v>
      </c>
      <c r="W91" s="12" t="n">
        <v>1</v>
      </c>
      <c r="X91" s="12" t="n">
        <v>1</v>
      </c>
      <c r="Y91" s="12" t="n">
        <v>2</v>
      </c>
    </row>
    <row r="92" customFormat="false" ht="81.75" hidden="false" customHeight="true" outlineLevel="0" collapsed="false">
      <c r="A92" s="10" t="s">
        <v>1152</v>
      </c>
      <c r="B92" s="11" t="s">
        <v>1153</v>
      </c>
      <c r="C92" s="12"/>
      <c r="D92" s="12" t="s">
        <v>120</v>
      </c>
      <c r="E92" s="5" t="s">
        <v>79</v>
      </c>
      <c r="F92" s="12"/>
      <c r="G92" s="12"/>
      <c r="H92" s="13" t="str">
        <f aca="false">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Bitte Teilanforderungen ausfüllen</v>
      </c>
      <c r="I92" s="12"/>
      <c r="J92" s="12"/>
      <c r="K92" s="12"/>
      <c r="L92" s="12"/>
      <c r="M92" s="12" t="s">
        <v>75</v>
      </c>
      <c r="N92" s="5"/>
      <c r="O92" s="12"/>
      <c r="P92" s="5" t="s">
        <v>1154</v>
      </c>
      <c r="Q92" s="12" t="s">
        <v>460</v>
      </c>
      <c r="R92" s="12" t="s">
        <v>1104</v>
      </c>
      <c r="S92" s="5" t="s">
        <v>1150</v>
      </c>
      <c r="T92" s="5" t="s">
        <v>953</v>
      </c>
      <c r="U92" s="12" t="n">
        <v>4</v>
      </c>
      <c r="V92" s="12" t="n">
        <v>1</v>
      </c>
      <c r="W92" s="12" t="n">
        <v>1</v>
      </c>
      <c r="X92" s="12" t="n">
        <v>1</v>
      </c>
      <c r="Y92" s="12" t="n">
        <v>2</v>
      </c>
    </row>
    <row r="93" customFormat="false" ht="81.75" hidden="false" customHeight="true" outlineLevel="0" collapsed="false">
      <c r="A93" s="12" t="s">
        <v>1152</v>
      </c>
      <c r="B93" s="5" t="s">
        <v>1153</v>
      </c>
      <c r="C93" s="12" t="s">
        <v>1152</v>
      </c>
      <c r="D93" s="12" t="s">
        <v>120</v>
      </c>
      <c r="E93" s="5" t="s">
        <v>1155</v>
      </c>
      <c r="F93" s="14"/>
      <c r="G93" s="14"/>
      <c r="H93" s="14" t="s">
        <v>87</v>
      </c>
      <c r="I93" s="14"/>
      <c r="J93" s="14"/>
      <c r="K93" s="14"/>
      <c r="L93" s="15"/>
      <c r="M93" s="12" t="s">
        <v>75</v>
      </c>
      <c r="N93" s="5"/>
      <c r="O93" s="12"/>
      <c r="P93" s="5" t="s">
        <v>1154</v>
      </c>
      <c r="Q93" s="12" t="s">
        <v>460</v>
      </c>
      <c r="R93" s="12" t="s">
        <v>1104</v>
      </c>
      <c r="S93" s="5" t="s">
        <v>1150</v>
      </c>
      <c r="T93" s="5" t="s">
        <v>953</v>
      </c>
      <c r="U93" s="12" t="n">
        <v>4</v>
      </c>
      <c r="V93" s="12" t="n">
        <v>1</v>
      </c>
      <c r="W93" s="12" t="n">
        <v>1</v>
      </c>
      <c r="X93" s="12" t="n">
        <v>1</v>
      </c>
      <c r="Y93" s="12" t="n">
        <v>2</v>
      </c>
    </row>
    <row r="94" customFormat="false" ht="108.75" hidden="false" customHeight="true" outlineLevel="0" collapsed="false">
      <c r="A94" s="10" t="s">
        <v>1156</v>
      </c>
      <c r="B94" s="11" t="s">
        <v>1157</v>
      </c>
      <c r="C94" s="12"/>
      <c r="D94" s="12" t="s">
        <v>160</v>
      </c>
      <c r="E94" s="5" t="s">
        <v>79</v>
      </c>
      <c r="F94" s="12"/>
      <c r="G94" s="12"/>
      <c r="H94" s="13" t="str">
        <f aca="false">IF(OR(COUNTBLANK($H$95:$H$95)&gt;0,COUNTIF($H$95:$H$95,"unbearbeitet")=COUNTA($H$95:$H$95)),"Bitte Teilanforderungen ausfüllen",IF(COUNTIF($H$95:$H$95,"zu klären")&gt;0,"zu klären",IF(COUNTIF($H$95:$H$95,"entbehrlich")=COUNTA($H$95:$H$95),"entbehrlich",IF(COUNTIF($H$95:$H$95,"verwiesen")=COUNTA($H$95:$H$95),"verwiesen",IF(COUNTIF($H$95:$H$95,"nein")+COUNTIF($H$95:$H$95,"entbehrlich")=COUNTA($H$95:$H$95),"nein",IF(COUNTIF($H$95:$H$95,"ja")+COUNTIF($H$95:$H$95,"entbehrlich")+COUNTIF($H$95:$H$95,"verwiesen")=COUNTA($H$95:$H$95),"ja","teilweise"))))))</f>
        <v>Bitte Teilanforderungen ausfüllen</v>
      </c>
      <c r="I94" s="12"/>
      <c r="J94" s="12"/>
      <c r="K94" s="12"/>
      <c r="L94" s="12"/>
      <c r="M94" s="12" t="s">
        <v>75</v>
      </c>
      <c r="N94" s="5"/>
      <c r="O94" s="12"/>
      <c r="P94" s="5" t="s">
        <v>1158</v>
      </c>
      <c r="Q94" s="12" t="s">
        <v>226</v>
      </c>
      <c r="R94" s="12" t="s">
        <v>926</v>
      </c>
      <c r="S94" s="5" t="s">
        <v>1159</v>
      </c>
      <c r="T94" s="5" t="s">
        <v>953</v>
      </c>
      <c r="U94" s="12" t="n">
        <v>5</v>
      </c>
      <c r="V94" s="12" t="n">
        <v>1</v>
      </c>
      <c r="W94" s="12" t="n">
        <v>1</v>
      </c>
      <c r="X94" s="12" t="n">
        <v>1</v>
      </c>
      <c r="Y94" s="12" t="n">
        <v>2</v>
      </c>
    </row>
    <row r="95" customFormat="false" ht="108.75" hidden="false" customHeight="true" outlineLevel="0" collapsed="false">
      <c r="A95" s="12" t="s">
        <v>1156</v>
      </c>
      <c r="B95" s="5" t="s">
        <v>1157</v>
      </c>
      <c r="C95" s="12" t="s">
        <v>1156</v>
      </c>
      <c r="D95" s="12" t="s">
        <v>160</v>
      </c>
      <c r="E95" s="5" t="s">
        <v>1160</v>
      </c>
      <c r="F95" s="14"/>
      <c r="G95" s="14"/>
      <c r="H95" s="14" t="s">
        <v>87</v>
      </c>
      <c r="I95" s="14"/>
      <c r="J95" s="14"/>
      <c r="K95" s="14"/>
      <c r="L95" s="15"/>
      <c r="M95" s="12" t="s">
        <v>75</v>
      </c>
      <c r="N95" s="5"/>
      <c r="O95" s="12"/>
      <c r="P95" s="5" t="s">
        <v>1158</v>
      </c>
      <c r="Q95" s="12" t="s">
        <v>226</v>
      </c>
      <c r="R95" s="12" t="s">
        <v>926</v>
      </c>
      <c r="S95" s="5" t="s">
        <v>1159</v>
      </c>
      <c r="T95" s="5" t="s">
        <v>953</v>
      </c>
      <c r="U95" s="12" t="n">
        <v>5</v>
      </c>
      <c r="V95" s="12" t="n">
        <v>1</v>
      </c>
      <c r="W95" s="12" t="n">
        <v>1</v>
      </c>
      <c r="X95" s="12" t="n">
        <v>1</v>
      </c>
      <c r="Y95" s="12" t="n">
        <v>2</v>
      </c>
    </row>
    <row r="96" customFormat="false" ht="108.75" hidden="false" customHeight="true" outlineLevel="0" collapsed="false">
      <c r="A96" s="10" t="s">
        <v>1161</v>
      </c>
      <c r="B96" s="11" t="s">
        <v>1162</v>
      </c>
      <c r="C96" s="12"/>
      <c r="D96" s="12" t="s">
        <v>120</v>
      </c>
      <c r="E96" s="5" t="s">
        <v>79</v>
      </c>
      <c r="F96" s="12"/>
      <c r="G96" s="12"/>
      <c r="H96" s="13" t="str">
        <f aca="false">IF(OR(COUNTBLANK($H$97:$H$97)&gt;0,COUNTIF($H$97:$H$97,"unbearbeitet")=COUNTA($H$97:$H$97)),"Bitte Teilanforderungen ausfüllen",IF(COUNTIF($H$97:$H$97,"zu klären")&gt;0,"zu klären",IF(COUNTIF($H$97:$H$97,"entbehrlich")=COUNTA($H$97:$H$97),"entbehrlich",IF(COUNTIF($H$97:$H$97,"verwiesen")=COUNTA($H$97:$H$97),"verwiesen",IF(COUNTIF($H$97:$H$97,"nein")+COUNTIF($H$97:$H$97,"entbehrlich")=COUNTA($H$97:$H$97),"nein",IF(COUNTIF($H$97:$H$97,"ja")+COUNTIF($H$97:$H$97,"entbehrlich")+COUNTIF($H$97:$H$97,"verwiesen")=COUNTA($H$97:$H$97),"ja","teilweise"))))))</f>
        <v>Bitte Teilanforderungen ausfüllen</v>
      </c>
      <c r="I96" s="12"/>
      <c r="J96" s="12"/>
      <c r="K96" s="12"/>
      <c r="L96" s="12"/>
      <c r="M96" s="12"/>
      <c r="N96" s="5"/>
      <c r="O96" s="12"/>
      <c r="P96" s="5" t="s">
        <v>1163</v>
      </c>
      <c r="Q96" s="12"/>
      <c r="R96" s="12" t="s">
        <v>92</v>
      </c>
      <c r="S96" s="5" t="s">
        <v>1164</v>
      </c>
      <c r="T96" s="5" t="s">
        <v>953</v>
      </c>
      <c r="U96" s="12" t="n">
        <v>3</v>
      </c>
      <c r="V96" s="12" t="n">
        <v>1</v>
      </c>
      <c r="W96" s="12" t="n">
        <v>1</v>
      </c>
      <c r="X96" s="12" t="n">
        <v>1</v>
      </c>
      <c r="Y96" s="12" t="n">
        <v>1</v>
      </c>
    </row>
    <row r="97" customFormat="false" ht="108.75" hidden="false" customHeight="true" outlineLevel="0" collapsed="false">
      <c r="A97" s="12" t="s">
        <v>1161</v>
      </c>
      <c r="B97" s="5" t="s">
        <v>1162</v>
      </c>
      <c r="C97" s="12" t="s">
        <v>1161</v>
      </c>
      <c r="D97" s="12" t="s">
        <v>120</v>
      </c>
      <c r="E97" s="5" t="s">
        <v>1165</v>
      </c>
      <c r="F97" s="14"/>
      <c r="G97" s="14"/>
      <c r="H97" s="14" t="s">
        <v>87</v>
      </c>
      <c r="I97" s="14"/>
      <c r="J97" s="14"/>
      <c r="K97" s="14"/>
      <c r="L97" s="15"/>
      <c r="M97" s="12"/>
      <c r="N97" s="5"/>
      <c r="O97" s="12"/>
      <c r="P97" s="5" t="s">
        <v>1163</v>
      </c>
      <c r="Q97" s="12"/>
      <c r="R97" s="12" t="s">
        <v>92</v>
      </c>
      <c r="S97" s="5" t="s">
        <v>1164</v>
      </c>
      <c r="T97" s="5" t="s">
        <v>953</v>
      </c>
      <c r="U97" s="12" t="n">
        <v>3</v>
      </c>
      <c r="V97" s="12" t="n">
        <v>1</v>
      </c>
      <c r="W97" s="12" t="n">
        <v>1</v>
      </c>
      <c r="X97" s="12" t="n">
        <v>1</v>
      </c>
      <c r="Y97" s="12" t="n">
        <v>1</v>
      </c>
    </row>
    <row r="98" customFormat="false" ht="270" hidden="false" customHeight="true" outlineLevel="0" collapsed="false">
      <c r="A98" s="10" t="s">
        <v>1166</v>
      </c>
      <c r="B98" s="11" t="s">
        <v>1167</v>
      </c>
      <c r="C98" s="12"/>
      <c r="D98" s="12" t="s">
        <v>120</v>
      </c>
      <c r="E98" s="5" t="s">
        <v>79</v>
      </c>
      <c r="F98" s="12"/>
      <c r="G98" s="12"/>
      <c r="H98" s="13" t="str">
        <f aca="false">IF(OR(COUNTBLANK($H$99:$H$100)&gt;0,COUNTIF($H$99:$H$100,"unbearbeitet")=COUNTA($H$99:$H$100)),"Bitte Teilanforderungen ausfüllen",IF(COUNTIF($H$99:$H$100,"zu klären")&gt;0,"zu klären",IF(COUNTIF($H$99:$H$100,"entbehrlich")=COUNTA($H$99:$H$100),"entbehrlich",IF(COUNTIF($H$99:$H$100,"verwiesen")=COUNTA($H$99:$H$100),"verwiesen",IF(COUNTIF($H$99:$H$100,"nein")+COUNTIF($H$99:$H$100,"entbehrlich")=COUNTA($H$99:$H$100),"nein",IF(COUNTIF($H$99:$H$100,"ja")+COUNTIF($H$99:$H$100,"entbehrlich")+COUNTIF($H$99:$H$100,"verwiesen")=COUNTA($H$99:$H$100),"ja","teilweise"))))))</f>
        <v>Bitte Teilanforderungen ausfüllen</v>
      </c>
      <c r="I98" s="12"/>
      <c r="J98" s="12"/>
      <c r="K98" s="12"/>
      <c r="L98" s="12"/>
      <c r="M98" s="12" t="s">
        <v>75</v>
      </c>
      <c r="N98" s="5" t="s">
        <v>1168</v>
      </c>
      <c r="O98" s="12" t="s">
        <v>1169</v>
      </c>
      <c r="P98" s="5" t="s">
        <v>1170</v>
      </c>
      <c r="Q98" s="12"/>
      <c r="R98" s="12" t="s">
        <v>92</v>
      </c>
      <c r="S98" s="5" t="s">
        <v>1171</v>
      </c>
      <c r="T98" s="5" t="s">
        <v>1172</v>
      </c>
      <c r="U98" s="12" t="n">
        <v>2</v>
      </c>
      <c r="V98" s="12" t="n">
        <v>1</v>
      </c>
      <c r="W98" s="12" t="n">
        <v>1</v>
      </c>
      <c r="X98" s="12" t="n">
        <v>0</v>
      </c>
      <c r="Y98" s="12" t="n">
        <v>2</v>
      </c>
    </row>
    <row r="99" customFormat="false" ht="270" hidden="false" customHeight="true" outlineLevel="0" collapsed="false">
      <c r="A99" s="12" t="s">
        <v>1166</v>
      </c>
      <c r="B99" s="5" t="s">
        <v>1167</v>
      </c>
      <c r="C99" s="12" t="s">
        <v>1166</v>
      </c>
      <c r="D99" s="12" t="s">
        <v>120</v>
      </c>
      <c r="E99" s="5" t="s">
        <v>1173</v>
      </c>
      <c r="F99" s="14"/>
      <c r="G99" s="14"/>
      <c r="H99" s="14" t="s">
        <v>87</v>
      </c>
      <c r="I99" s="14"/>
      <c r="J99" s="14"/>
      <c r="K99" s="14"/>
      <c r="L99" s="15"/>
      <c r="M99" s="12" t="s">
        <v>75</v>
      </c>
      <c r="N99" s="5" t="s">
        <v>1168</v>
      </c>
      <c r="O99" s="12" t="s">
        <v>1169</v>
      </c>
      <c r="P99" s="5" t="s">
        <v>1170</v>
      </c>
      <c r="Q99" s="12"/>
      <c r="R99" s="12" t="s">
        <v>92</v>
      </c>
      <c r="S99" s="5" t="s">
        <v>1171</v>
      </c>
      <c r="T99" s="5" t="s">
        <v>1172</v>
      </c>
      <c r="U99" s="12" t="n">
        <v>2</v>
      </c>
      <c r="V99" s="12" t="n">
        <v>1</v>
      </c>
      <c r="W99" s="12" t="n">
        <v>1</v>
      </c>
      <c r="X99" s="12" t="n">
        <v>0</v>
      </c>
      <c r="Y99" s="12" t="n">
        <v>2</v>
      </c>
    </row>
    <row r="100" customFormat="false" ht="81.75" hidden="false" customHeight="true" outlineLevel="0" collapsed="false">
      <c r="A100" s="12" t="s">
        <v>1166</v>
      </c>
      <c r="B100" s="5" t="s">
        <v>1167</v>
      </c>
      <c r="C100" s="12" t="s">
        <v>1174</v>
      </c>
      <c r="D100" s="12" t="s">
        <v>120</v>
      </c>
      <c r="E100" s="5" t="s">
        <v>1175</v>
      </c>
      <c r="F100" s="14"/>
      <c r="G100" s="14"/>
      <c r="H100" s="14" t="s">
        <v>87</v>
      </c>
      <c r="I100" s="14"/>
      <c r="J100" s="14"/>
      <c r="K100" s="14"/>
      <c r="L100" s="15"/>
      <c r="M100" s="12" t="s">
        <v>75</v>
      </c>
      <c r="N100" s="5"/>
      <c r="O100" s="12"/>
      <c r="P100" s="5" t="s">
        <v>1176</v>
      </c>
      <c r="Q100" s="12"/>
      <c r="R100" s="12" t="s">
        <v>92</v>
      </c>
      <c r="S100" s="5" t="s">
        <v>1177</v>
      </c>
      <c r="T100" s="5" t="s">
        <v>1172</v>
      </c>
      <c r="U100" s="12" t="n">
        <v>2</v>
      </c>
      <c r="V100" s="12" t="n">
        <v>1</v>
      </c>
      <c r="W100" s="12" t="n">
        <v>1</v>
      </c>
      <c r="X100" s="12" t="n">
        <v>0</v>
      </c>
      <c r="Y100" s="12" t="n">
        <v>2</v>
      </c>
    </row>
    <row r="101" customFormat="false" ht="202.5" hidden="false" customHeight="true" outlineLevel="0" collapsed="false">
      <c r="A101" s="10" t="s">
        <v>1178</v>
      </c>
      <c r="B101" s="11" t="s">
        <v>1179</v>
      </c>
      <c r="C101" s="12"/>
      <c r="D101" s="12" t="s">
        <v>120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75</v>
      </c>
      <c r="N101" s="5"/>
      <c r="O101" s="12"/>
      <c r="P101" s="5" t="s">
        <v>1180</v>
      </c>
      <c r="Q101" s="12"/>
      <c r="R101" s="12" t="s">
        <v>92</v>
      </c>
      <c r="S101" s="5" t="s">
        <v>1181</v>
      </c>
      <c r="T101" s="5" t="s">
        <v>1172</v>
      </c>
      <c r="U101" s="12" t="n">
        <v>3</v>
      </c>
      <c r="V101" s="12" t="n">
        <v>1</v>
      </c>
      <c r="W101" s="12" t="n">
        <v>1</v>
      </c>
      <c r="X101" s="12" t="n">
        <v>0</v>
      </c>
      <c r="Y101" s="12" t="n">
        <v>2</v>
      </c>
    </row>
    <row r="102" customFormat="false" ht="202.5" hidden="false" customHeight="true" outlineLevel="0" collapsed="false">
      <c r="A102" s="12" t="s">
        <v>1178</v>
      </c>
      <c r="B102" s="5" t="s">
        <v>1179</v>
      </c>
      <c r="C102" s="12" t="s">
        <v>1178</v>
      </c>
      <c r="D102" s="12" t="s">
        <v>120</v>
      </c>
      <c r="E102" s="5" t="s">
        <v>1182</v>
      </c>
      <c r="F102" s="14"/>
      <c r="G102" s="14"/>
      <c r="H102" s="14" t="s">
        <v>87</v>
      </c>
      <c r="I102" s="14"/>
      <c r="J102" s="14"/>
      <c r="K102" s="14"/>
      <c r="L102" s="15"/>
      <c r="M102" s="12" t="s">
        <v>75</v>
      </c>
      <c r="N102" s="5"/>
      <c r="O102" s="12"/>
      <c r="P102" s="5" t="s">
        <v>1180</v>
      </c>
      <c r="Q102" s="12"/>
      <c r="R102" s="12" t="s">
        <v>92</v>
      </c>
      <c r="S102" s="5" t="s">
        <v>1181</v>
      </c>
      <c r="T102" s="5" t="s">
        <v>1172</v>
      </c>
      <c r="U102" s="12" t="n">
        <v>3</v>
      </c>
      <c r="V102" s="12" t="n">
        <v>1</v>
      </c>
      <c r="W102" s="12" t="n">
        <v>1</v>
      </c>
      <c r="X102" s="12" t="n">
        <v>0</v>
      </c>
      <c r="Y102" s="12" t="n">
        <v>2</v>
      </c>
    </row>
    <row r="103" customFormat="false" ht="336.75" hidden="false" customHeight="true" outlineLevel="0" collapsed="false">
      <c r="A103" s="10" t="s">
        <v>1183</v>
      </c>
      <c r="B103" s="11" t="s">
        <v>1184</v>
      </c>
      <c r="C103" s="12"/>
      <c r="D103" s="12" t="s">
        <v>120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75</v>
      </c>
      <c r="N103" s="5" t="s">
        <v>1185</v>
      </c>
      <c r="O103" s="12" t="s">
        <v>661</v>
      </c>
      <c r="P103" s="5" t="s">
        <v>1186</v>
      </c>
      <c r="Q103" s="12"/>
      <c r="R103" s="12" t="s">
        <v>92</v>
      </c>
      <c r="S103" s="5" t="s">
        <v>1187</v>
      </c>
      <c r="T103" s="5" t="s">
        <v>1172</v>
      </c>
      <c r="U103" s="12" t="n">
        <v>3</v>
      </c>
      <c r="V103" s="12" t="n">
        <v>1</v>
      </c>
      <c r="W103" s="12" t="n">
        <v>1</v>
      </c>
      <c r="X103" s="12" t="n">
        <v>0</v>
      </c>
      <c r="Y103" s="12" t="n">
        <v>2</v>
      </c>
    </row>
    <row r="104" customFormat="false" ht="336.75" hidden="false" customHeight="true" outlineLevel="0" collapsed="false">
      <c r="A104" s="12" t="s">
        <v>1183</v>
      </c>
      <c r="B104" s="5" t="s">
        <v>1184</v>
      </c>
      <c r="C104" s="12" t="s">
        <v>1183</v>
      </c>
      <c r="D104" s="12" t="s">
        <v>120</v>
      </c>
      <c r="E104" s="5" t="s">
        <v>1188</v>
      </c>
      <c r="F104" s="14"/>
      <c r="G104" s="14"/>
      <c r="H104" s="14" t="s">
        <v>87</v>
      </c>
      <c r="I104" s="14"/>
      <c r="J104" s="14"/>
      <c r="K104" s="14"/>
      <c r="L104" s="15"/>
      <c r="M104" s="12" t="s">
        <v>75</v>
      </c>
      <c r="N104" s="5" t="s">
        <v>1185</v>
      </c>
      <c r="O104" s="12" t="s">
        <v>661</v>
      </c>
      <c r="P104" s="5" t="s">
        <v>1186</v>
      </c>
      <c r="Q104" s="12"/>
      <c r="R104" s="12" t="s">
        <v>92</v>
      </c>
      <c r="S104" s="5" t="s">
        <v>1187</v>
      </c>
      <c r="T104" s="5" t="s">
        <v>1172</v>
      </c>
      <c r="U104" s="12" t="n">
        <v>3</v>
      </c>
      <c r="V104" s="12" t="n">
        <v>1</v>
      </c>
      <c r="W104" s="12" t="n">
        <v>1</v>
      </c>
      <c r="X104" s="12" t="n">
        <v>0</v>
      </c>
      <c r="Y104" s="12" t="n">
        <v>2</v>
      </c>
    </row>
    <row r="105" customFormat="false" ht="216" hidden="false" customHeight="true" outlineLevel="0" collapsed="false">
      <c r="A105" s="10" t="s">
        <v>1189</v>
      </c>
      <c r="B105" s="11" t="s">
        <v>1190</v>
      </c>
      <c r="C105" s="12"/>
      <c r="D105" s="12" t="s">
        <v>120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t="s">
        <v>72</v>
      </c>
      <c r="N105" s="5"/>
      <c r="O105" s="12"/>
      <c r="P105" s="5" t="s">
        <v>1191</v>
      </c>
      <c r="Q105" s="12"/>
      <c r="R105" s="12" t="s">
        <v>92</v>
      </c>
      <c r="S105" s="5" t="s">
        <v>1192</v>
      </c>
      <c r="T105" s="5" t="s">
        <v>1172</v>
      </c>
      <c r="U105" s="12" t="n">
        <v>3</v>
      </c>
      <c r="V105" s="12" t="n">
        <v>2</v>
      </c>
      <c r="W105" s="12" t="n">
        <v>1</v>
      </c>
      <c r="X105" s="12" t="n">
        <v>1</v>
      </c>
      <c r="Y105" s="12" t="n">
        <v>0</v>
      </c>
    </row>
    <row r="106" customFormat="false" ht="216" hidden="false" customHeight="true" outlineLevel="0" collapsed="false">
      <c r="A106" s="12" t="s">
        <v>1189</v>
      </c>
      <c r="B106" s="5" t="s">
        <v>1190</v>
      </c>
      <c r="C106" s="12" t="s">
        <v>1189</v>
      </c>
      <c r="D106" s="12" t="s">
        <v>120</v>
      </c>
      <c r="E106" s="5" t="s">
        <v>1193</v>
      </c>
      <c r="F106" s="14"/>
      <c r="G106" s="14"/>
      <c r="H106" s="14" t="s">
        <v>87</v>
      </c>
      <c r="I106" s="14"/>
      <c r="J106" s="14"/>
      <c r="K106" s="14"/>
      <c r="L106" s="15"/>
      <c r="M106" s="12" t="s">
        <v>72</v>
      </c>
      <c r="N106" s="5"/>
      <c r="O106" s="12"/>
      <c r="P106" s="5" t="s">
        <v>1191</v>
      </c>
      <c r="Q106" s="12"/>
      <c r="R106" s="12" t="s">
        <v>92</v>
      </c>
      <c r="S106" s="5" t="s">
        <v>1192</v>
      </c>
      <c r="T106" s="5" t="s">
        <v>1172</v>
      </c>
      <c r="U106" s="12" t="n">
        <v>3</v>
      </c>
      <c r="V106" s="12" t="n">
        <v>2</v>
      </c>
      <c r="W106" s="12" t="n">
        <v>1</v>
      </c>
      <c r="X106" s="12" t="n">
        <v>1</v>
      </c>
      <c r="Y106" s="12" t="n">
        <v>0</v>
      </c>
    </row>
    <row r="107" customFormat="false" ht="122.25" hidden="false" customHeight="true" outlineLevel="0" collapsed="false">
      <c r="A107" s="10" t="s">
        <v>1194</v>
      </c>
      <c r="B107" s="11" t="s">
        <v>1195</v>
      </c>
      <c r="C107" s="12"/>
      <c r="D107" s="12" t="s">
        <v>120</v>
      </c>
      <c r="E107" s="5" t="s">
        <v>79</v>
      </c>
      <c r="F107" s="12"/>
      <c r="G107" s="12"/>
      <c r="H107" s="13" t="str">
        <f aca="false">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2"/>
      <c r="J107" s="12"/>
      <c r="K107" s="12"/>
      <c r="L107" s="12"/>
      <c r="M107" s="12"/>
      <c r="N107" s="5"/>
      <c r="O107" s="12"/>
      <c r="P107" s="5" t="s">
        <v>1196</v>
      </c>
      <c r="Q107" s="12" t="s">
        <v>226</v>
      </c>
      <c r="R107" s="12" t="s">
        <v>92</v>
      </c>
      <c r="S107" s="5" t="s">
        <v>1197</v>
      </c>
      <c r="T107" s="5" t="s">
        <v>1106</v>
      </c>
      <c r="U107" s="12" t="n">
        <v>3</v>
      </c>
      <c r="V107" s="12" t="n">
        <v>1</v>
      </c>
      <c r="W107" s="12" t="n">
        <v>1</v>
      </c>
      <c r="X107" s="12" t="n">
        <v>1</v>
      </c>
      <c r="Y107" s="12" t="n">
        <v>1</v>
      </c>
    </row>
    <row r="108" customFormat="false" ht="122.25" hidden="false" customHeight="true" outlineLevel="0" collapsed="false">
      <c r="A108" s="12" t="s">
        <v>1194</v>
      </c>
      <c r="B108" s="5" t="s">
        <v>1195</v>
      </c>
      <c r="C108" s="12" t="s">
        <v>1194</v>
      </c>
      <c r="D108" s="12" t="s">
        <v>120</v>
      </c>
      <c r="E108" s="5" t="s">
        <v>1198</v>
      </c>
      <c r="F108" s="14"/>
      <c r="G108" s="14"/>
      <c r="H108" s="14" t="s">
        <v>87</v>
      </c>
      <c r="I108" s="14"/>
      <c r="J108" s="14"/>
      <c r="K108" s="14"/>
      <c r="L108" s="15"/>
      <c r="M108" s="12"/>
      <c r="N108" s="5"/>
      <c r="O108" s="12"/>
      <c r="P108" s="5" t="s">
        <v>1196</v>
      </c>
      <c r="Q108" s="12" t="s">
        <v>226</v>
      </c>
      <c r="R108" s="12" t="s">
        <v>92</v>
      </c>
      <c r="S108" s="5" t="s">
        <v>1197</v>
      </c>
      <c r="T108" s="5" t="s">
        <v>1106</v>
      </c>
      <c r="U108" s="12" t="n">
        <v>3</v>
      </c>
      <c r="V108" s="12" t="n">
        <v>1</v>
      </c>
      <c r="W108" s="12" t="n">
        <v>1</v>
      </c>
      <c r="X108" s="12" t="n">
        <v>1</v>
      </c>
      <c r="Y108" s="12" t="n">
        <v>1</v>
      </c>
    </row>
    <row r="109" customFormat="false" ht="54.75" hidden="false" customHeight="true" outlineLevel="0" collapsed="false">
      <c r="A109" s="10" t="s">
        <v>1199</v>
      </c>
      <c r="B109" s="11" t="s">
        <v>1200</v>
      </c>
      <c r="C109" s="12"/>
      <c r="D109" s="12" t="s">
        <v>120</v>
      </c>
      <c r="E109" s="5" t="s">
        <v>79</v>
      </c>
      <c r="F109" s="12"/>
      <c r="G109" s="12"/>
      <c r="H109" s="13" t="str">
        <f aca="false">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2"/>
      <c r="J109" s="12"/>
      <c r="K109" s="12"/>
      <c r="L109" s="12"/>
      <c r="M109" s="12"/>
      <c r="N109" s="5"/>
      <c r="O109" s="12"/>
      <c r="P109" s="5" t="s">
        <v>1201</v>
      </c>
      <c r="Q109" s="12" t="s">
        <v>226</v>
      </c>
      <c r="R109" s="12" t="s">
        <v>92</v>
      </c>
      <c r="S109" s="5" t="s">
        <v>1202</v>
      </c>
      <c r="T109" s="5" t="s">
        <v>1106</v>
      </c>
      <c r="U109" s="12" t="n">
        <v>1</v>
      </c>
      <c r="V109" s="12" t="n">
        <v>1</v>
      </c>
      <c r="W109" s="12" t="n">
        <v>1</v>
      </c>
      <c r="X109" s="12" t="n">
        <v>1</v>
      </c>
      <c r="Y109" s="12" t="n">
        <v>1</v>
      </c>
    </row>
    <row r="110" customFormat="false" ht="54.75" hidden="false" customHeight="true" outlineLevel="0" collapsed="false">
      <c r="A110" s="12" t="s">
        <v>1199</v>
      </c>
      <c r="B110" s="5" t="s">
        <v>1200</v>
      </c>
      <c r="C110" s="12" t="s">
        <v>1199</v>
      </c>
      <c r="D110" s="12" t="s">
        <v>120</v>
      </c>
      <c r="E110" s="5" t="s">
        <v>1203</v>
      </c>
      <c r="F110" s="14"/>
      <c r="G110" s="14"/>
      <c r="H110" s="14" t="s">
        <v>87</v>
      </c>
      <c r="I110" s="14"/>
      <c r="J110" s="14"/>
      <c r="K110" s="14"/>
      <c r="L110" s="15"/>
      <c r="M110" s="12"/>
      <c r="N110" s="5"/>
      <c r="O110" s="12"/>
      <c r="P110" s="5" t="s">
        <v>1201</v>
      </c>
      <c r="Q110" s="12" t="s">
        <v>226</v>
      </c>
      <c r="R110" s="12" t="s">
        <v>92</v>
      </c>
      <c r="S110" s="5" t="s">
        <v>1202</v>
      </c>
      <c r="T110" s="5" t="s">
        <v>1106</v>
      </c>
      <c r="U110" s="12" t="n">
        <v>1</v>
      </c>
      <c r="V110" s="12" t="n">
        <v>1</v>
      </c>
      <c r="W110" s="12" t="n">
        <v>1</v>
      </c>
      <c r="X110" s="12" t="n">
        <v>1</v>
      </c>
      <c r="Y110" s="12" t="n">
        <v>1</v>
      </c>
    </row>
    <row r="111" customFormat="false" ht="54.75" hidden="false" customHeight="true" outlineLevel="0" collapsed="false">
      <c r="A111" s="10" t="s">
        <v>1204</v>
      </c>
      <c r="B111" s="11" t="s">
        <v>1205</v>
      </c>
      <c r="C111" s="12"/>
      <c r="D111" s="12" t="s">
        <v>120</v>
      </c>
      <c r="E111" s="5" t="s">
        <v>79</v>
      </c>
      <c r="F111" s="12"/>
      <c r="G111" s="12"/>
      <c r="H111" s="13" t="str">
        <f aca="false">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2"/>
      <c r="J111" s="12"/>
      <c r="K111" s="12"/>
      <c r="L111" s="12"/>
      <c r="M111" s="12"/>
      <c r="N111" s="5"/>
      <c r="O111" s="12"/>
      <c r="P111" s="5" t="s">
        <v>1201</v>
      </c>
      <c r="Q111" s="12" t="s">
        <v>460</v>
      </c>
      <c r="R111" s="12" t="s">
        <v>92</v>
      </c>
      <c r="S111" s="5" t="s">
        <v>1202</v>
      </c>
      <c r="T111" s="5" t="s">
        <v>1106</v>
      </c>
      <c r="U111" s="12" t="n">
        <v>1</v>
      </c>
      <c r="V111" s="12" t="n">
        <v>1</v>
      </c>
      <c r="W111" s="12" t="n">
        <v>1</v>
      </c>
      <c r="X111" s="12" t="n">
        <v>1</v>
      </c>
      <c r="Y111" s="12" t="n">
        <v>1</v>
      </c>
    </row>
    <row r="112" customFormat="false" ht="54.75" hidden="false" customHeight="true" outlineLevel="0" collapsed="false">
      <c r="A112" s="12" t="s">
        <v>1204</v>
      </c>
      <c r="B112" s="5" t="s">
        <v>1205</v>
      </c>
      <c r="C112" s="12" t="s">
        <v>1204</v>
      </c>
      <c r="D112" s="12" t="s">
        <v>120</v>
      </c>
      <c r="E112" s="5" t="s">
        <v>1206</v>
      </c>
      <c r="F112" s="14"/>
      <c r="G112" s="14"/>
      <c r="H112" s="14" t="s">
        <v>87</v>
      </c>
      <c r="I112" s="14"/>
      <c r="J112" s="14"/>
      <c r="K112" s="14"/>
      <c r="L112" s="15"/>
      <c r="M112" s="12"/>
      <c r="N112" s="5"/>
      <c r="O112" s="12"/>
      <c r="P112" s="5" t="s">
        <v>1201</v>
      </c>
      <c r="Q112" s="12" t="s">
        <v>460</v>
      </c>
      <c r="R112" s="12" t="s">
        <v>92</v>
      </c>
      <c r="S112" s="5" t="s">
        <v>1202</v>
      </c>
      <c r="T112" s="5" t="s">
        <v>1106</v>
      </c>
      <c r="U112" s="12" t="n">
        <v>1</v>
      </c>
      <c r="V112" s="12" t="n">
        <v>1</v>
      </c>
      <c r="W112" s="12" t="n">
        <v>1</v>
      </c>
      <c r="X112" s="12" t="n">
        <v>1</v>
      </c>
      <c r="Y112" s="12" t="n">
        <v>1</v>
      </c>
    </row>
    <row r="113" customFormat="false" ht="202.5" hidden="false" customHeight="true" outlineLevel="0" collapsed="false">
      <c r="A113" s="10" t="s">
        <v>1207</v>
      </c>
      <c r="B113" s="11" t="s">
        <v>1208</v>
      </c>
      <c r="C113" s="12"/>
      <c r="D113" s="12" t="s">
        <v>120</v>
      </c>
      <c r="E113" s="5" t="s">
        <v>79</v>
      </c>
      <c r="F113" s="12"/>
      <c r="G113" s="12"/>
      <c r="H113" s="13" t="str">
        <f aca="false">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2"/>
      <c r="J113" s="12"/>
      <c r="K113" s="12"/>
      <c r="L113" s="12"/>
      <c r="M113" s="12" t="s">
        <v>72</v>
      </c>
      <c r="N113" s="5"/>
      <c r="O113" s="12"/>
      <c r="P113" s="5" t="s">
        <v>1209</v>
      </c>
      <c r="Q113" s="12" t="s">
        <v>1210</v>
      </c>
      <c r="R113" s="12" t="s">
        <v>92</v>
      </c>
      <c r="S113" s="5" t="s">
        <v>1211</v>
      </c>
      <c r="T113" s="5" t="s">
        <v>1212</v>
      </c>
      <c r="U113" s="12" t="n">
        <v>3</v>
      </c>
      <c r="V113" s="12" t="n">
        <v>2</v>
      </c>
      <c r="W113" s="12" t="n">
        <v>1</v>
      </c>
      <c r="X113" s="12" t="n">
        <v>1</v>
      </c>
      <c r="Y113" s="12" t="n">
        <v>1</v>
      </c>
    </row>
    <row r="114" customFormat="false" ht="202.5" hidden="false" customHeight="true" outlineLevel="0" collapsed="false">
      <c r="A114" s="12" t="s">
        <v>1207</v>
      </c>
      <c r="B114" s="5" t="s">
        <v>1208</v>
      </c>
      <c r="C114" s="12" t="s">
        <v>1207</v>
      </c>
      <c r="D114" s="12" t="s">
        <v>120</v>
      </c>
      <c r="E114" s="5" t="s">
        <v>1213</v>
      </c>
      <c r="F114" s="14"/>
      <c r="G114" s="14"/>
      <c r="H114" s="14" t="s">
        <v>87</v>
      </c>
      <c r="I114" s="14"/>
      <c r="J114" s="14"/>
      <c r="K114" s="14"/>
      <c r="L114" s="15"/>
      <c r="M114" s="12" t="s">
        <v>72</v>
      </c>
      <c r="N114" s="5"/>
      <c r="O114" s="12"/>
      <c r="P114" s="5" t="s">
        <v>1209</v>
      </c>
      <c r="Q114" s="12" t="s">
        <v>1210</v>
      </c>
      <c r="R114" s="12" t="s">
        <v>92</v>
      </c>
      <c r="S114" s="5" t="s">
        <v>1211</v>
      </c>
      <c r="T114" s="5" t="s">
        <v>1212</v>
      </c>
      <c r="U114" s="12" t="n">
        <v>3</v>
      </c>
      <c r="V114" s="12" t="n">
        <v>2</v>
      </c>
      <c r="W114" s="12" t="n">
        <v>1</v>
      </c>
      <c r="X114" s="12" t="n">
        <v>1</v>
      </c>
      <c r="Y114" s="12" t="n">
        <v>1</v>
      </c>
    </row>
    <row r="115" customFormat="false" ht="68.25" hidden="false" customHeight="true" outlineLevel="0" collapsed="false">
      <c r="A115" s="10" t="s">
        <v>1214</v>
      </c>
      <c r="B115" s="11" t="s">
        <v>1215</v>
      </c>
      <c r="C115" s="12"/>
      <c r="D115" s="12" t="s">
        <v>120</v>
      </c>
      <c r="E115" s="5" t="s">
        <v>79</v>
      </c>
      <c r="F115" s="12"/>
      <c r="G115" s="12"/>
      <c r="H115" s="13" t="str">
        <f aca="false">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2"/>
      <c r="J115" s="12"/>
      <c r="K115" s="12"/>
      <c r="L115" s="12"/>
      <c r="M115" s="12"/>
      <c r="N115" s="5"/>
      <c r="O115" s="12"/>
      <c r="P115" s="5" t="s">
        <v>1216</v>
      </c>
      <c r="Q115" s="12"/>
      <c r="R115" s="12" t="s">
        <v>92</v>
      </c>
      <c r="S115" s="5" t="s">
        <v>1217</v>
      </c>
      <c r="T115" s="5" t="s">
        <v>1106</v>
      </c>
      <c r="U115" s="12" t="n">
        <v>2</v>
      </c>
      <c r="V115" s="12" t="n">
        <v>1</v>
      </c>
      <c r="W115" s="12" t="n">
        <v>1</v>
      </c>
      <c r="X115" s="12" t="n">
        <v>1</v>
      </c>
      <c r="Y115" s="12" t="n">
        <v>1</v>
      </c>
    </row>
    <row r="116" customFormat="false" ht="68.25" hidden="false" customHeight="true" outlineLevel="0" collapsed="false">
      <c r="A116" s="12" t="s">
        <v>1214</v>
      </c>
      <c r="B116" s="5" t="s">
        <v>1215</v>
      </c>
      <c r="C116" s="12" t="s">
        <v>1214</v>
      </c>
      <c r="D116" s="12" t="s">
        <v>120</v>
      </c>
      <c r="E116" s="5" t="s">
        <v>1218</v>
      </c>
      <c r="F116" s="14"/>
      <c r="G116" s="14"/>
      <c r="H116" s="14" t="s">
        <v>87</v>
      </c>
      <c r="I116" s="14"/>
      <c r="J116" s="14"/>
      <c r="K116" s="14"/>
      <c r="L116" s="15"/>
      <c r="M116" s="12"/>
      <c r="N116" s="5"/>
      <c r="O116" s="12"/>
      <c r="P116" s="5" t="s">
        <v>1216</v>
      </c>
      <c r="Q116" s="12"/>
      <c r="R116" s="12" t="s">
        <v>92</v>
      </c>
      <c r="S116" s="5" t="s">
        <v>1217</v>
      </c>
      <c r="T116" s="5" t="s">
        <v>1106</v>
      </c>
      <c r="U116" s="12" t="n">
        <v>2</v>
      </c>
      <c r="V116" s="12" t="n">
        <v>1</v>
      </c>
      <c r="W116" s="12" t="n">
        <v>1</v>
      </c>
      <c r="X116" s="12" t="n">
        <v>1</v>
      </c>
      <c r="Y116" s="12" t="n">
        <v>1</v>
      </c>
    </row>
    <row r="117" customFormat="false" ht="216" hidden="false" customHeight="true" outlineLevel="0" collapsed="false">
      <c r="A117" s="10" t="s">
        <v>1219</v>
      </c>
      <c r="B117" s="11" t="s">
        <v>1220</v>
      </c>
      <c r="C117" s="12"/>
      <c r="D117" s="12" t="s">
        <v>120</v>
      </c>
      <c r="E117" s="5" t="s">
        <v>79</v>
      </c>
      <c r="F117" s="12"/>
      <c r="G117" s="12"/>
      <c r="H117" s="13" t="str">
        <f aca="false">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2"/>
      <c r="J117" s="12"/>
      <c r="K117" s="12"/>
      <c r="L117" s="12"/>
      <c r="M117" s="12" t="s">
        <v>75</v>
      </c>
      <c r="N117" s="5"/>
      <c r="O117" s="12"/>
      <c r="P117" s="5" t="s">
        <v>1221</v>
      </c>
      <c r="Q117" s="12" t="s">
        <v>226</v>
      </c>
      <c r="R117" s="12" t="s">
        <v>282</v>
      </c>
      <c r="S117" s="5" t="s">
        <v>1222</v>
      </c>
      <c r="T117" s="5" t="s">
        <v>1172</v>
      </c>
      <c r="U117" s="12" t="n">
        <v>2</v>
      </c>
      <c r="V117" s="12" t="n">
        <v>1</v>
      </c>
      <c r="W117" s="12" t="n">
        <v>1</v>
      </c>
      <c r="X117" s="12" t="n">
        <v>0</v>
      </c>
      <c r="Y117" s="12" t="n">
        <v>2</v>
      </c>
    </row>
    <row r="118" customFormat="false" ht="216" hidden="false" customHeight="true" outlineLevel="0" collapsed="false">
      <c r="A118" s="12" t="s">
        <v>1219</v>
      </c>
      <c r="B118" s="5" t="s">
        <v>1220</v>
      </c>
      <c r="C118" s="12" t="s">
        <v>1219</v>
      </c>
      <c r="D118" s="12" t="s">
        <v>120</v>
      </c>
      <c r="E118" s="5" t="s">
        <v>1223</v>
      </c>
      <c r="F118" s="14"/>
      <c r="G118" s="14"/>
      <c r="H118" s="14" t="s">
        <v>87</v>
      </c>
      <c r="I118" s="14"/>
      <c r="J118" s="14"/>
      <c r="K118" s="14"/>
      <c r="L118" s="15"/>
      <c r="M118" s="12" t="s">
        <v>75</v>
      </c>
      <c r="N118" s="5"/>
      <c r="O118" s="12"/>
      <c r="P118" s="5" t="s">
        <v>1221</v>
      </c>
      <c r="Q118" s="12" t="s">
        <v>226</v>
      </c>
      <c r="R118" s="12" t="s">
        <v>282</v>
      </c>
      <c r="S118" s="5" t="s">
        <v>1222</v>
      </c>
      <c r="T118" s="5" t="s">
        <v>1172</v>
      </c>
      <c r="U118" s="12" t="n">
        <v>2</v>
      </c>
      <c r="V118" s="12" t="n">
        <v>1</v>
      </c>
      <c r="W118" s="12" t="n">
        <v>1</v>
      </c>
      <c r="X118" s="12" t="n">
        <v>0</v>
      </c>
      <c r="Y118" s="12" t="n">
        <v>2</v>
      </c>
    </row>
    <row r="119" customFormat="false" ht="216" hidden="false" customHeight="true" outlineLevel="0" collapsed="false">
      <c r="A119" s="10" t="s">
        <v>1224</v>
      </c>
      <c r="B119" s="11" t="s">
        <v>1225</v>
      </c>
      <c r="C119" s="12"/>
      <c r="D119" s="12" t="s">
        <v>120</v>
      </c>
      <c r="E119" s="5" t="s">
        <v>79</v>
      </c>
      <c r="F119" s="12"/>
      <c r="G119" s="12"/>
      <c r="H119" s="13" t="str">
        <f aca="false">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2"/>
      <c r="J119" s="12"/>
      <c r="K119" s="12"/>
      <c r="L119" s="12"/>
      <c r="M119" s="12" t="s">
        <v>1226</v>
      </c>
      <c r="N119" s="5"/>
      <c r="O119" s="12"/>
      <c r="P119" s="5" t="s">
        <v>1221</v>
      </c>
      <c r="Q119" s="12" t="s">
        <v>460</v>
      </c>
      <c r="R119" s="12" t="s">
        <v>282</v>
      </c>
      <c r="S119" s="5" t="s">
        <v>1222</v>
      </c>
      <c r="T119" s="5" t="s">
        <v>1172</v>
      </c>
      <c r="U119" s="12" t="n">
        <v>2</v>
      </c>
      <c r="V119" s="12" t="n">
        <v>1</v>
      </c>
      <c r="W119" s="12" t="n">
        <v>2</v>
      </c>
      <c r="X119" s="12" t="n">
        <v>0</v>
      </c>
      <c r="Y119" s="12" t="n">
        <v>2</v>
      </c>
    </row>
    <row r="120" customFormat="false" ht="216" hidden="false" customHeight="true" outlineLevel="0" collapsed="false">
      <c r="A120" s="12" t="s">
        <v>1224</v>
      </c>
      <c r="B120" s="5" t="s">
        <v>1225</v>
      </c>
      <c r="C120" s="12" t="s">
        <v>1224</v>
      </c>
      <c r="D120" s="12" t="s">
        <v>120</v>
      </c>
      <c r="E120" s="5" t="s">
        <v>1227</v>
      </c>
      <c r="F120" s="14"/>
      <c r="G120" s="14"/>
      <c r="H120" s="14" t="s">
        <v>87</v>
      </c>
      <c r="I120" s="14"/>
      <c r="J120" s="14"/>
      <c r="K120" s="14"/>
      <c r="L120" s="15"/>
      <c r="M120" s="12" t="s">
        <v>1226</v>
      </c>
      <c r="N120" s="5"/>
      <c r="O120" s="12"/>
      <c r="P120" s="5" t="s">
        <v>1221</v>
      </c>
      <c r="Q120" s="12" t="s">
        <v>460</v>
      </c>
      <c r="R120" s="12" t="s">
        <v>282</v>
      </c>
      <c r="S120" s="5" t="s">
        <v>1222</v>
      </c>
      <c r="T120" s="5" t="s">
        <v>1172</v>
      </c>
      <c r="U120" s="12" t="n">
        <v>2</v>
      </c>
      <c r="V120" s="12" t="n">
        <v>1</v>
      </c>
      <c r="W120" s="12" t="n">
        <v>2</v>
      </c>
      <c r="X120" s="12" t="n">
        <v>0</v>
      </c>
      <c r="Y120" s="12" t="n">
        <v>2</v>
      </c>
    </row>
    <row r="121" customFormat="false" ht="68.25" hidden="false" customHeight="true" outlineLevel="0" collapsed="false">
      <c r="A121" s="10" t="s">
        <v>1228</v>
      </c>
      <c r="B121" s="11" t="s">
        <v>1229</v>
      </c>
      <c r="C121" s="12"/>
      <c r="D121" s="12" t="s">
        <v>160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t="s">
        <v>72</v>
      </c>
      <c r="N121" s="5"/>
      <c r="O121" s="12"/>
      <c r="P121" s="5" t="s">
        <v>1230</v>
      </c>
      <c r="Q121" s="12"/>
      <c r="R121" s="12" t="s">
        <v>92</v>
      </c>
      <c r="S121" s="5" t="s">
        <v>1231</v>
      </c>
      <c r="T121" s="5" t="s">
        <v>953</v>
      </c>
      <c r="U121" s="12" t="n">
        <v>5</v>
      </c>
      <c r="V121" s="12" t="n">
        <v>2</v>
      </c>
      <c r="W121" s="12" t="n">
        <v>1</v>
      </c>
      <c r="X121" s="12" t="n">
        <v>1</v>
      </c>
      <c r="Y121" s="12" t="n">
        <v>0</v>
      </c>
    </row>
    <row r="122" customFormat="false" ht="68.25" hidden="false" customHeight="true" outlineLevel="0" collapsed="false">
      <c r="A122" s="12" t="s">
        <v>1228</v>
      </c>
      <c r="B122" s="5" t="s">
        <v>1229</v>
      </c>
      <c r="C122" s="12" t="s">
        <v>1228</v>
      </c>
      <c r="D122" s="12" t="s">
        <v>160</v>
      </c>
      <c r="E122" s="5" t="s">
        <v>1232</v>
      </c>
      <c r="F122" s="14"/>
      <c r="G122" s="14"/>
      <c r="H122" s="14" t="s">
        <v>87</v>
      </c>
      <c r="I122" s="14"/>
      <c r="J122" s="14"/>
      <c r="K122" s="14"/>
      <c r="L122" s="15"/>
      <c r="M122" s="12" t="s">
        <v>72</v>
      </c>
      <c r="N122" s="5"/>
      <c r="O122" s="12"/>
      <c r="P122" s="5" t="s">
        <v>1230</v>
      </c>
      <c r="Q122" s="12"/>
      <c r="R122" s="12" t="s">
        <v>92</v>
      </c>
      <c r="S122" s="5" t="s">
        <v>1231</v>
      </c>
      <c r="T122" s="5" t="s">
        <v>953</v>
      </c>
      <c r="U122" s="12" t="n">
        <v>5</v>
      </c>
      <c r="V122" s="12" t="n">
        <v>2</v>
      </c>
      <c r="W122" s="12" t="n">
        <v>1</v>
      </c>
      <c r="X122" s="12" t="n">
        <v>1</v>
      </c>
      <c r="Y122" s="12" t="n">
        <v>0</v>
      </c>
    </row>
    <row r="123" customFormat="false" ht="243" hidden="false" customHeight="true" outlineLevel="0" collapsed="false">
      <c r="A123" s="10" t="s">
        <v>1233</v>
      </c>
      <c r="B123" s="11" t="s">
        <v>1234</v>
      </c>
      <c r="C123" s="12"/>
      <c r="D123" s="12" t="s">
        <v>120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t="s">
        <v>75</v>
      </c>
      <c r="N123" s="5"/>
      <c r="O123" s="12"/>
      <c r="P123" s="5" t="s">
        <v>1235</v>
      </c>
      <c r="Q123" s="12"/>
      <c r="R123" s="12" t="s">
        <v>92</v>
      </c>
      <c r="S123" s="5" t="s">
        <v>1236</v>
      </c>
      <c r="T123" s="5" t="s">
        <v>306</v>
      </c>
      <c r="U123" s="12" t="n">
        <v>3</v>
      </c>
      <c r="V123" s="12" t="n">
        <v>1</v>
      </c>
      <c r="W123" s="12" t="n">
        <v>1</v>
      </c>
      <c r="X123" s="12" t="n">
        <v>1</v>
      </c>
      <c r="Y123" s="12" t="n">
        <v>2</v>
      </c>
    </row>
    <row r="124" customFormat="false" ht="243" hidden="false" customHeight="true" outlineLevel="0" collapsed="false">
      <c r="A124" s="12" t="s">
        <v>1233</v>
      </c>
      <c r="B124" s="5" t="s">
        <v>1234</v>
      </c>
      <c r="C124" s="12" t="s">
        <v>1233</v>
      </c>
      <c r="D124" s="12" t="s">
        <v>120</v>
      </c>
      <c r="E124" s="5" t="s">
        <v>1237</v>
      </c>
      <c r="F124" s="14"/>
      <c r="G124" s="14"/>
      <c r="H124" s="14" t="s">
        <v>87</v>
      </c>
      <c r="I124" s="14"/>
      <c r="J124" s="14"/>
      <c r="K124" s="14"/>
      <c r="L124" s="15"/>
      <c r="M124" s="12" t="s">
        <v>75</v>
      </c>
      <c r="N124" s="5"/>
      <c r="O124" s="12"/>
      <c r="P124" s="5" t="s">
        <v>1235</v>
      </c>
      <c r="Q124" s="12"/>
      <c r="R124" s="12" t="s">
        <v>92</v>
      </c>
      <c r="S124" s="5" t="s">
        <v>1236</v>
      </c>
      <c r="T124" s="5" t="s">
        <v>306</v>
      </c>
      <c r="U124" s="12" t="n">
        <v>3</v>
      </c>
      <c r="V124" s="12" t="n">
        <v>1</v>
      </c>
      <c r="W124" s="12" t="n">
        <v>1</v>
      </c>
      <c r="X124" s="12" t="n">
        <v>1</v>
      </c>
      <c r="Y124" s="12" t="n">
        <v>2</v>
      </c>
    </row>
    <row r="125" customFormat="false" ht="122.25" hidden="false" customHeight="true" outlineLevel="0" collapsed="false">
      <c r="A125" s="10" t="s">
        <v>1238</v>
      </c>
      <c r="B125" s="11" t="s">
        <v>1239</v>
      </c>
      <c r="C125" s="12"/>
      <c r="D125" s="12" t="s">
        <v>120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72</v>
      </c>
      <c r="N125" s="5"/>
      <c r="O125" s="12"/>
      <c r="P125" s="5" t="s">
        <v>1240</v>
      </c>
      <c r="Q125" s="12"/>
      <c r="R125" s="12" t="s">
        <v>92</v>
      </c>
      <c r="S125" s="5" t="s">
        <v>1241</v>
      </c>
      <c r="T125" s="5" t="s">
        <v>953</v>
      </c>
      <c r="U125" s="12" t="n">
        <v>1</v>
      </c>
      <c r="V125" s="12" t="n">
        <v>2</v>
      </c>
      <c r="W125" s="12" t="n">
        <v>1</v>
      </c>
      <c r="X125" s="12" t="n">
        <v>1</v>
      </c>
      <c r="Y125" s="12" t="n">
        <v>1</v>
      </c>
    </row>
    <row r="126" customFormat="false" ht="122.25" hidden="false" customHeight="true" outlineLevel="0" collapsed="false">
      <c r="A126" s="12" t="s">
        <v>1238</v>
      </c>
      <c r="B126" s="5" t="s">
        <v>1239</v>
      </c>
      <c r="C126" s="12" t="s">
        <v>1238</v>
      </c>
      <c r="D126" s="12" t="s">
        <v>120</v>
      </c>
      <c r="E126" s="5" t="s">
        <v>1242</v>
      </c>
      <c r="F126" s="14"/>
      <c r="G126" s="14"/>
      <c r="H126" s="14" t="s">
        <v>87</v>
      </c>
      <c r="I126" s="14"/>
      <c r="J126" s="14"/>
      <c r="K126" s="14"/>
      <c r="L126" s="15"/>
      <c r="M126" s="12" t="s">
        <v>72</v>
      </c>
      <c r="N126" s="5"/>
      <c r="O126" s="12"/>
      <c r="P126" s="5" t="s">
        <v>1240</v>
      </c>
      <c r="Q126" s="12"/>
      <c r="R126" s="12" t="s">
        <v>92</v>
      </c>
      <c r="S126" s="5" t="s">
        <v>1241</v>
      </c>
      <c r="T126" s="5" t="s">
        <v>953</v>
      </c>
      <c r="U126" s="12" t="n">
        <v>1</v>
      </c>
      <c r="V126" s="12" t="n">
        <v>2</v>
      </c>
      <c r="W126" s="12" t="n">
        <v>1</v>
      </c>
      <c r="X126" s="12" t="n">
        <v>1</v>
      </c>
      <c r="Y126" s="12" t="n">
        <v>1</v>
      </c>
    </row>
    <row r="127" customFormat="false" ht="81.75" hidden="false" customHeight="true" outlineLevel="0" collapsed="false">
      <c r="A127" s="10" t="s">
        <v>1243</v>
      </c>
      <c r="B127" s="11" t="s">
        <v>1244</v>
      </c>
      <c r="C127" s="12"/>
      <c r="D127" s="12" t="s">
        <v>120</v>
      </c>
      <c r="E127" s="5" t="s">
        <v>79</v>
      </c>
      <c r="F127" s="12"/>
      <c r="G127" s="12"/>
      <c r="H127" s="13" t="str">
        <f aca="false">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2"/>
      <c r="J127" s="12"/>
      <c r="K127" s="12"/>
      <c r="L127" s="12"/>
      <c r="M127" s="12" t="s">
        <v>72</v>
      </c>
      <c r="N127" s="5"/>
      <c r="O127" s="12"/>
      <c r="P127" s="5" t="s">
        <v>1245</v>
      </c>
      <c r="Q127" s="12" t="s">
        <v>687</v>
      </c>
      <c r="R127" s="12" t="s">
        <v>92</v>
      </c>
      <c r="S127" s="5" t="s">
        <v>1246</v>
      </c>
      <c r="T127" s="5" t="s">
        <v>1212</v>
      </c>
      <c r="U127" s="12" t="n">
        <v>2</v>
      </c>
      <c r="V127" s="12" t="n">
        <v>2</v>
      </c>
      <c r="W127" s="12" t="n">
        <v>1</v>
      </c>
      <c r="X127" s="12" t="n">
        <v>1</v>
      </c>
      <c r="Y127" s="12" t="n">
        <v>1</v>
      </c>
    </row>
    <row r="128" customFormat="false" ht="81.75" hidden="false" customHeight="true" outlineLevel="0" collapsed="false">
      <c r="A128" s="12" t="s">
        <v>1243</v>
      </c>
      <c r="B128" s="5" t="s">
        <v>1244</v>
      </c>
      <c r="C128" s="12" t="s">
        <v>1243</v>
      </c>
      <c r="D128" s="12" t="s">
        <v>120</v>
      </c>
      <c r="E128" s="5" t="s">
        <v>1247</v>
      </c>
      <c r="F128" s="14"/>
      <c r="G128" s="14"/>
      <c r="H128" s="14" t="s">
        <v>87</v>
      </c>
      <c r="I128" s="14"/>
      <c r="J128" s="14"/>
      <c r="K128" s="14"/>
      <c r="L128" s="15"/>
      <c r="M128" s="12" t="s">
        <v>72</v>
      </c>
      <c r="N128" s="5"/>
      <c r="O128" s="12"/>
      <c r="P128" s="5" t="s">
        <v>1245</v>
      </c>
      <c r="Q128" s="12" t="s">
        <v>687</v>
      </c>
      <c r="R128" s="12" t="s">
        <v>92</v>
      </c>
      <c r="S128" s="5" t="s">
        <v>1246</v>
      </c>
      <c r="T128" s="5" t="s">
        <v>1212</v>
      </c>
      <c r="U128" s="12" t="n">
        <v>2</v>
      </c>
      <c r="V128" s="12" t="n">
        <v>2</v>
      </c>
      <c r="W128" s="12" t="n">
        <v>1</v>
      </c>
      <c r="X128" s="12" t="n">
        <v>1</v>
      </c>
      <c r="Y128" s="12" t="n">
        <v>1</v>
      </c>
    </row>
    <row r="129" customFormat="false" ht="377.25" hidden="false" customHeight="true" outlineLevel="0" collapsed="false">
      <c r="A129" s="10" t="s">
        <v>1248</v>
      </c>
      <c r="B129" s="11" t="s">
        <v>1249</v>
      </c>
      <c r="C129" s="12"/>
      <c r="D129" s="12" t="s">
        <v>120</v>
      </c>
      <c r="E129" s="5" t="s">
        <v>79</v>
      </c>
      <c r="F129" s="12"/>
      <c r="G129" s="12"/>
      <c r="H129" s="13" t="str">
        <f aca="false">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2"/>
      <c r="J129" s="12"/>
      <c r="K129" s="12"/>
      <c r="L129" s="12"/>
      <c r="M129" s="12"/>
      <c r="N129" s="5"/>
      <c r="O129" s="12"/>
      <c r="P129" s="5" t="s">
        <v>1250</v>
      </c>
      <c r="Q129" s="12" t="s">
        <v>687</v>
      </c>
      <c r="R129" s="12" t="s">
        <v>282</v>
      </c>
      <c r="S129" s="5" t="s">
        <v>1251</v>
      </c>
      <c r="T129" s="5" t="s">
        <v>1212</v>
      </c>
      <c r="U129" s="12" t="n">
        <v>3</v>
      </c>
      <c r="V129" s="12" t="n">
        <v>1</v>
      </c>
      <c r="W129" s="12" t="n">
        <v>1</v>
      </c>
      <c r="X129" s="12" t="n">
        <v>1</v>
      </c>
      <c r="Y129" s="12" t="n">
        <v>1</v>
      </c>
    </row>
    <row r="130" customFormat="false" ht="377.25" hidden="false" customHeight="true" outlineLevel="0" collapsed="false">
      <c r="A130" s="12" t="s">
        <v>1248</v>
      </c>
      <c r="B130" s="5" t="s">
        <v>1249</v>
      </c>
      <c r="C130" s="12" t="s">
        <v>1248</v>
      </c>
      <c r="D130" s="12" t="s">
        <v>120</v>
      </c>
      <c r="E130" s="5" t="s">
        <v>1252</v>
      </c>
      <c r="F130" s="14"/>
      <c r="G130" s="14"/>
      <c r="H130" s="14" t="s">
        <v>87</v>
      </c>
      <c r="I130" s="14"/>
      <c r="J130" s="14"/>
      <c r="K130" s="14"/>
      <c r="L130" s="15"/>
      <c r="M130" s="12"/>
      <c r="N130" s="5"/>
      <c r="O130" s="12"/>
      <c r="P130" s="5" t="s">
        <v>1250</v>
      </c>
      <c r="Q130" s="12" t="s">
        <v>687</v>
      </c>
      <c r="R130" s="12" t="s">
        <v>282</v>
      </c>
      <c r="S130" s="5" t="s">
        <v>1251</v>
      </c>
      <c r="T130" s="5" t="s">
        <v>1212</v>
      </c>
      <c r="U130" s="12" t="n">
        <v>3</v>
      </c>
      <c r="V130" s="12" t="n">
        <v>1</v>
      </c>
      <c r="W130" s="12" t="n">
        <v>1</v>
      </c>
      <c r="X130" s="12" t="n">
        <v>1</v>
      </c>
      <c r="Y130" s="12" t="n">
        <v>1</v>
      </c>
    </row>
    <row r="131" customFormat="false" ht="229.5" hidden="false" customHeight="true" outlineLevel="0" collapsed="false">
      <c r="A131" s="10" t="s">
        <v>1253</v>
      </c>
      <c r="B131" s="11" t="s">
        <v>1254</v>
      </c>
      <c r="C131" s="12"/>
      <c r="D131" s="12" t="s">
        <v>120</v>
      </c>
      <c r="E131" s="5" t="s">
        <v>79</v>
      </c>
      <c r="F131" s="12"/>
      <c r="G131" s="12"/>
      <c r="H131" s="13" t="str">
        <f aca="false">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2"/>
      <c r="J131" s="12"/>
      <c r="K131" s="12"/>
      <c r="L131" s="12"/>
      <c r="M131" s="12"/>
      <c r="N131" s="5"/>
      <c r="O131" s="12"/>
      <c r="P131" s="5" t="s">
        <v>1255</v>
      </c>
      <c r="Q131" s="12" t="s">
        <v>687</v>
      </c>
      <c r="R131" s="12" t="s">
        <v>282</v>
      </c>
      <c r="S131" s="5" t="s">
        <v>1256</v>
      </c>
      <c r="T131" s="5" t="s">
        <v>1212</v>
      </c>
      <c r="U131" s="12" t="n">
        <v>2</v>
      </c>
      <c r="V131" s="12" t="n">
        <v>1</v>
      </c>
      <c r="W131" s="12" t="n">
        <v>1</v>
      </c>
      <c r="X131" s="12" t="n">
        <v>1</v>
      </c>
      <c r="Y131" s="12" t="n">
        <v>1</v>
      </c>
    </row>
    <row r="132" customFormat="false" ht="229.5" hidden="false" customHeight="true" outlineLevel="0" collapsed="false">
      <c r="A132" s="12" t="s">
        <v>1253</v>
      </c>
      <c r="B132" s="5" t="s">
        <v>1254</v>
      </c>
      <c r="C132" s="12" t="s">
        <v>1253</v>
      </c>
      <c r="D132" s="12" t="s">
        <v>120</v>
      </c>
      <c r="E132" s="5" t="s">
        <v>1257</v>
      </c>
      <c r="F132" s="14"/>
      <c r="G132" s="14"/>
      <c r="H132" s="14" t="s">
        <v>87</v>
      </c>
      <c r="I132" s="14"/>
      <c r="J132" s="14"/>
      <c r="K132" s="14"/>
      <c r="L132" s="15"/>
      <c r="M132" s="12"/>
      <c r="N132" s="5"/>
      <c r="O132" s="12"/>
      <c r="P132" s="5" t="s">
        <v>1255</v>
      </c>
      <c r="Q132" s="12" t="s">
        <v>687</v>
      </c>
      <c r="R132" s="12" t="s">
        <v>282</v>
      </c>
      <c r="S132" s="5" t="s">
        <v>1256</v>
      </c>
      <c r="T132" s="5" t="s">
        <v>1212</v>
      </c>
      <c r="U132" s="12" t="n">
        <v>2</v>
      </c>
      <c r="V132" s="12" t="n">
        <v>1</v>
      </c>
      <c r="W132" s="12" t="n">
        <v>1</v>
      </c>
      <c r="X132" s="12" t="n">
        <v>1</v>
      </c>
      <c r="Y132" s="12" t="n">
        <v>1</v>
      </c>
    </row>
    <row r="133" customFormat="false" ht="135.75" hidden="false" customHeight="true" outlineLevel="0" collapsed="false">
      <c r="A133" s="10" t="s">
        <v>1258</v>
      </c>
      <c r="B133" s="11" t="s">
        <v>1259</v>
      </c>
      <c r="C133" s="12"/>
      <c r="D133" s="12" t="s">
        <v>120</v>
      </c>
      <c r="E133" s="5" t="s">
        <v>79</v>
      </c>
      <c r="F133" s="12"/>
      <c r="G133" s="12"/>
      <c r="H133" s="13" t="str">
        <f aca="false">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2"/>
      <c r="J133" s="12"/>
      <c r="K133" s="12"/>
      <c r="L133" s="12"/>
      <c r="M133" s="12"/>
      <c r="N133" s="5"/>
      <c r="O133" s="12"/>
      <c r="P133" s="5" t="s">
        <v>1260</v>
      </c>
      <c r="Q133" s="12"/>
      <c r="R133" s="12" t="s">
        <v>92</v>
      </c>
      <c r="S133" s="5" t="s">
        <v>1259</v>
      </c>
      <c r="T133" s="5" t="s">
        <v>1106</v>
      </c>
      <c r="U133" s="12" t="n">
        <v>3</v>
      </c>
      <c r="V133" s="12" t="n">
        <v>1</v>
      </c>
      <c r="W133" s="12" t="n">
        <v>1</v>
      </c>
      <c r="X133" s="12" t="n">
        <v>1</v>
      </c>
      <c r="Y133" s="12" t="n">
        <v>1</v>
      </c>
    </row>
    <row r="134" customFormat="false" ht="135.75" hidden="false" customHeight="true" outlineLevel="0" collapsed="false">
      <c r="A134" s="12" t="s">
        <v>1258</v>
      </c>
      <c r="B134" s="5" t="s">
        <v>1259</v>
      </c>
      <c r="C134" s="12" t="s">
        <v>1258</v>
      </c>
      <c r="D134" s="12" t="s">
        <v>120</v>
      </c>
      <c r="E134" s="5" t="s">
        <v>1261</v>
      </c>
      <c r="F134" s="14"/>
      <c r="G134" s="14"/>
      <c r="H134" s="14" t="s">
        <v>87</v>
      </c>
      <c r="I134" s="14"/>
      <c r="J134" s="14"/>
      <c r="K134" s="14"/>
      <c r="L134" s="15"/>
      <c r="M134" s="12"/>
      <c r="N134" s="5"/>
      <c r="O134" s="12"/>
      <c r="P134" s="5" t="s">
        <v>1260</v>
      </c>
      <c r="Q134" s="12"/>
      <c r="R134" s="12" t="s">
        <v>92</v>
      </c>
      <c r="S134" s="5" t="s">
        <v>1259</v>
      </c>
      <c r="T134" s="5" t="s">
        <v>1106</v>
      </c>
      <c r="U134" s="12" t="n">
        <v>3</v>
      </c>
      <c r="V134" s="12" t="n">
        <v>1</v>
      </c>
      <c r="W134" s="12" t="n">
        <v>1</v>
      </c>
      <c r="X134" s="12" t="n">
        <v>1</v>
      </c>
      <c r="Y134" s="12" t="n">
        <v>1</v>
      </c>
    </row>
    <row r="135" customFormat="false" ht="202.5" hidden="false" customHeight="true" outlineLevel="0" collapsed="false">
      <c r="A135" s="10" t="s">
        <v>1262</v>
      </c>
      <c r="B135" s="11" t="s">
        <v>1263</v>
      </c>
      <c r="C135" s="12"/>
      <c r="D135" s="12" t="s">
        <v>120</v>
      </c>
      <c r="E135" s="5" t="s">
        <v>79</v>
      </c>
      <c r="F135" s="12"/>
      <c r="G135" s="12"/>
      <c r="H135" s="13" t="str">
        <f aca="false">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2"/>
      <c r="J135" s="12"/>
      <c r="K135" s="12"/>
      <c r="L135" s="12"/>
      <c r="M135" s="12"/>
      <c r="N135" s="5"/>
      <c r="O135" s="12"/>
      <c r="P135" s="5" t="s">
        <v>1264</v>
      </c>
      <c r="Q135" s="12"/>
      <c r="R135" s="12" t="s">
        <v>92</v>
      </c>
      <c r="S135" s="5" t="s">
        <v>1265</v>
      </c>
      <c r="T135" s="5" t="s">
        <v>1212</v>
      </c>
      <c r="U135" s="12" t="n">
        <v>1</v>
      </c>
      <c r="V135" s="12" t="n">
        <v>1</v>
      </c>
      <c r="W135" s="12" t="n">
        <v>1</v>
      </c>
      <c r="X135" s="12" t="n">
        <v>1</v>
      </c>
      <c r="Y135" s="12" t="n">
        <v>1</v>
      </c>
    </row>
    <row r="136" customFormat="false" ht="202.5" hidden="false" customHeight="true" outlineLevel="0" collapsed="false">
      <c r="A136" s="12" t="s">
        <v>1262</v>
      </c>
      <c r="B136" s="5" t="s">
        <v>1263</v>
      </c>
      <c r="C136" s="12" t="s">
        <v>1262</v>
      </c>
      <c r="D136" s="12" t="s">
        <v>120</v>
      </c>
      <c r="E136" s="5" t="s">
        <v>1266</v>
      </c>
      <c r="F136" s="14"/>
      <c r="G136" s="14"/>
      <c r="H136" s="14" t="s">
        <v>87</v>
      </c>
      <c r="I136" s="14"/>
      <c r="J136" s="14"/>
      <c r="K136" s="14"/>
      <c r="L136" s="15"/>
      <c r="M136" s="12"/>
      <c r="N136" s="5"/>
      <c r="O136" s="12"/>
      <c r="P136" s="5" t="s">
        <v>1264</v>
      </c>
      <c r="Q136" s="12"/>
      <c r="R136" s="12" t="s">
        <v>92</v>
      </c>
      <c r="S136" s="5" t="s">
        <v>1265</v>
      </c>
      <c r="T136" s="5" t="s">
        <v>1212</v>
      </c>
      <c r="U136" s="12" t="n">
        <v>1</v>
      </c>
      <c r="V136" s="12" t="n">
        <v>1</v>
      </c>
      <c r="W136" s="12" t="n">
        <v>1</v>
      </c>
      <c r="X136" s="12" t="n">
        <v>1</v>
      </c>
      <c r="Y136" s="12" t="n">
        <v>1</v>
      </c>
    </row>
    <row r="137" customFormat="false" ht="270" hidden="false" customHeight="true" outlineLevel="0" collapsed="false">
      <c r="A137" s="10" t="s">
        <v>1267</v>
      </c>
      <c r="B137" s="11" t="s">
        <v>1268</v>
      </c>
      <c r="C137" s="12"/>
      <c r="D137" s="12" t="s">
        <v>120</v>
      </c>
      <c r="E137" s="5" t="s">
        <v>79</v>
      </c>
      <c r="F137" s="12"/>
      <c r="G137" s="12"/>
      <c r="H137" s="13" t="str">
        <f aca="false">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2"/>
      <c r="J137" s="12"/>
      <c r="K137" s="12"/>
      <c r="L137" s="12"/>
      <c r="M137" s="12"/>
      <c r="N137" s="5"/>
      <c r="O137" s="12"/>
      <c r="P137" s="5" t="s">
        <v>1269</v>
      </c>
      <c r="Q137" s="12"/>
      <c r="R137" s="12" t="s">
        <v>1270</v>
      </c>
      <c r="S137" s="5" t="s">
        <v>1271</v>
      </c>
      <c r="T137" s="5" t="s">
        <v>1272</v>
      </c>
      <c r="U137" s="12" t="n">
        <v>3</v>
      </c>
      <c r="V137" s="12" t="n">
        <v>1</v>
      </c>
      <c r="W137" s="12" t="n">
        <v>1</v>
      </c>
      <c r="X137" s="12" t="n">
        <v>1</v>
      </c>
      <c r="Y137" s="12" t="n">
        <v>1</v>
      </c>
    </row>
    <row r="138" customFormat="false" ht="270" hidden="false" customHeight="true" outlineLevel="0" collapsed="false">
      <c r="A138" s="12" t="s">
        <v>1267</v>
      </c>
      <c r="B138" s="5" t="s">
        <v>1268</v>
      </c>
      <c r="C138" s="12" t="s">
        <v>1267</v>
      </c>
      <c r="D138" s="12" t="s">
        <v>120</v>
      </c>
      <c r="E138" s="5" t="s">
        <v>1273</v>
      </c>
      <c r="F138" s="14"/>
      <c r="G138" s="14"/>
      <c r="H138" s="14" t="s">
        <v>87</v>
      </c>
      <c r="I138" s="14"/>
      <c r="J138" s="14"/>
      <c r="K138" s="14"/>
      <c r="L138" s="15"/>
      <c r="M138" s="12"/>
      <c r="N138" s="5"/>
      <c r="O138" s="12"/>
      <c r="P138" s="5" t="s">
        <v>1269</v>
      </c>
      <c r="Q138" s="12"/>
      <c r="R138" s="12" t="s">
        <v>1270</v>
      </c>
      <c r="S138" s="5" t="s">
        <v>1271</v>
      </c>
      <c r="T138" s="5" t="s">
        <v>1272</v>
      </c>
      <c r="U138" s="12" t="n">
        <v>3</v>
      </c>
      <c r="V138" s="12" t="n">
        <v>1</v>
      </c>
      <c r="W138" s="12" t="n">
        <v>1</v>
      </c>
      <c r="X138" s="12" t="n">
        <v>1</v>
      </c>
      <c r="Y138" s="12" t="n">
        <v>1</v>
      </c>
    </row>
    <row r="139" customFormat="false" ht="122.25" hidden="false" customHeight="true" outlineLevel="0" collapsed="false">
      <c r="A139" s="10" t="s">
        <v>1274</v>
      </c>
      <c r="B139" s="11" t="s">
        <v>1275</v>
      </c>
      <c r="C139" s="12"/>
      <c r="D139" s="12" t="s">
        <v>120</v>
      </c>
      <c r="E139" s="5" t="s">
        <v>79</v>
      </c>
      <c r="F139" s="12"/>
      <c r="G139" s="12"/>
      <c r="H139" s="13" t="str">
        <f aca="false">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2"/>
      <c r="J139" s="12"/>
      <c r="K139" s="12"/>
      <c r="L139" s="12"/>
      <c r="M139" s="12" t="s">
        <v>72</v>
      </c>
      <c r="N139" s="5" t="s">
        <v>1276</v>
      </c>
      <c r="O139" s="12" t="s">
        <v>524</v>
      </c>
      <c r="P139" s="5" t="s">
        <v>1277</v>
      </c>
      <c r="Q139" s="12"/>
      <c r="R139" s="12" t="s">
        <v>92</v>
      </c>
      <c r="S139" s="5" t="s">
        <v>1278</v>
      </c>
      <c r="T139" s="5" t="s">
        <v>1172</v>
      </c>
      <c r="U139" s="12" t="n">
        <v>2</v>
      </c>
      <c r="V139" s="12" t="n">
        <v>2</v>
      </c>
      <c r="W139" s="12" t="n">
        <v>1</v>
      </c>
      <c r="X139" s="12" t="n">
        <v>1</v>
      </c>
      <c r="Y139" s="12" t="n">
        <v>0</v>
      </c>
    </row>
    <row r="140" customFormat="false" ht="122.25" hidden="false" customHeight="true" outlineLevel="0" collapsed="false">
      <c r="A140" s="12" t="s">
        <v>1274</v>
      </c>
      <c r="B140" s="5" t="s">
        <v>1275</v>
      </c>
      <c r="C140" s="12" t="s">
        <v>1274</v>
      </c>
      <c r="D140" s="12" t="s">
        <v>120</v>
      </c>
      <c r="E140" s="5" t="s">
        <v>1279</v>
      </c>
      <c r="F140" s="14"/>
      <c r="G140" s="14"/>
      <c r="H140" s="14" t="s">
        <v>87</v>
      </c>
      <c r="I140" s="14"/>
      <c r="J140" s="14"/>
      <c r="K140" s="14"/>
      <c r="L140" s="15"/>
      <c r="M140" s="12" t="s">
        <v>72</v>
      </c>
      <c r="N140" s="5" t="s">
        <v>1276</v>
      </c>
      <c r="O140" s="12" t="s">
        <v>524</v>
      </c>
      <c r="P140" s="5" t="s">
        <v>1277</v>
      </c>
      <c r="Q140" s="12"/>
      <c r="R140" s="12" t="s">
        <v>92</v>
      </c>
      <c r="S140" s="5" t="s">
        <v>1278</v>
      </c>
      <c r="T140" s="5" t="s">
        <v>1172</v>
      </c>
      <c r="U140" s="12" t="n">
        <v>2</v>
      </c>
      <c r="V140" s="12" t="n">
        <v>2</v>
      </c>
      <c r="W140" s="12" t="n">
        <v>1</v>
      </c>
      <c r="X140" s="12" t="n">
        <v>1</v>
      </c>
      <c r="Y140" s="12" t="n">
        <v>0</v>
      </c>
    </row>
    <row r="141" customFormat="false" ht="27.75" hidden="false" customHeight="true" outlineLevel="0" collapsed="false">
      <c r="A141" s="10" t="s">
        <v>1280</v>
      </c>
      <c r="B141" s="11" t="s">
        <v>1281</v>
      </c>
      <c r="C141" s="12"/>
      <c r="D141" s="12" t="s">
        <v>120</v>
      </c>
      <c r="E141" s="5" t="s">
        <v>79</v>
      </c>
      <c r="F141" s="12"/>
      <c r="G141" s="12"/>
      <c r="H141" s="13" t="str">
        <f aca="false">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2"/>
      <c r="J141" s="12"/>
      <c r="K141" s="12"/>
      <c r="L141" s="12"/>
      <c r="M141" s="12" t="s">
        <v>72</v>
      </c>
      <c r="N141" s="5"/>
      <c r="O141" s="12"/>
      <c r="P141" s="5" t="s">
        <v>1282</v>
      </c>
      <c r="Q141" s="12"/>
      <c r="R141" s="12" t="s">
        <v>1283</v>
      </c>
      <c r="S141" s="5" t="s">
        <v>1284</v>
      </c>
      <c r="T141" s="5" t="s">
        <v>1172</v>
      </c>
      <c r="U141" s="12" t="n">
        <v>2</v>
      </c>
      <c r="V141" s="12" t="n">
        <v>2</v>
      </c>
      <c r="W141" s="12" t="n">
        <v>1</v>
      </c>
      <c r="X141" s="12" t="n">
        <v>1</v>
      </c>
      <c r="Y141" s="12" t="n">
        <v>0</v>
      </c>
    </row>
    <row r="142" customFormat="false" ht="27.75" hidden="false" customHeight="true" outlineLevel="0" collapsed="false">
      <c r="A142" s="12" t="s">
        <v>1280</v>
      </c>
      <c r="B142" s="5" t="s">
        <v>1281</v>
      </c>
      <c r="C142" s="12" t="s">
        <v>1280</v>
      </c>
      <c r="D142" s="12" t="s">
        <v>120</v>
      </c>
      <c r="E142" s="5" t="s">
        <v>1285</v>
      </c>
      <c r="F142" s="14"/>
      <c r="G142" s="14"/>
      <c r="H142" s="14" t="s">
        <v>87</v>
      </c>
      <c r="I142" s="14"/>
      <c r="J142" s="14"/>
      <c r="K142" s="14"/>
      <c r="L142" s="15"/>
      <c r="M142" s="12" t="s">
        <v>72</v>
      </c>
      <c r="N142" s="5"/>
      <c r="O142" s="12"/>
      <c r="P142" s="5" t="s">
        <v>1282</v>
      </c>
      <c r="Q142" s="12"/>
      <c r="R142" s="12" t="s">
        <v>1283</v>
      </c>
      <c r="S142" s="5" t="s">
        <v>1284</v>
      </c>
      <c r="T142" s="5" t="s">
        <v>1172</v>
      </c>
      <c r="U142" s="12" t="n">
        <v>2</v>
      </c>
      <c r="V142" s="12" t="n">
        <v>2</v>
      </c>
      <c r="W142" s="12" t="n">
        <v>1</v>
      </c>
      <c r="X142" s="12" t="n">
        <v>1</v>
      </c>
      <c r="Y142" s="12" t="n">
        <v>0</v>
      </c>
    </row>
    <row r="143" customFormat="false" ht="54.75" hidden="false" customHeight="true" outlineLevel="0" collapsed="false">
      <c r="A143" s="10" t="s">
        <v>1286</v>
      </c>
      <c r="B143" s="11" t="s">
        <v>1283</v>
      </c>
      <c r="C143" s="12"/>
      <c r="D143" s="12" t="s">
        <v>120</v>
      </c>
      <c r="E143" s="5" t="s">
        <v>79</v>
      </c>
      <c r="F143" s="12"/>
      <c r="G143" s="12"/>
      <c r="H143" s="13" t="str">
        <f aca="false">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Bitte Teilanforderungen ausfüllen</v>
      </c>
      <c r="I143" s="12"/>
      <c r="J143" s="12"/>
      <c r="K143" s="12"/>
      <c r="L143" s="12"/>
      <c r="M143" s="12" t="s">
        <v>72</v>
      </c>
      <c r="N143" s="5"/>
      <c r="O143" s="12"/>
      <c r="P143" s="5" t="s">
        <v>1287</v>
      </c>
      <c r="Q143" s="12"/>
      <c r="R143" s="12" t="s">
        <v>1283</v>
      </c>
      <c r="S143" s="5" t="s">
        <v>1288</v>
      </c>
      <c r="T143" s="5" t="s">
        <v>1172</v>
      </c>
      <c r="U143" s="12" t="n">
        <v>3</v>
      </c>
      <c r="V143" s="12" t="n">
        <v>2</v>
      </c>
      <c r="W143" s="12" t="n">
        <v>1</v>
      </c>
      <c r="X143" s="12" t="n">
        <v>1</v>
      </c>
      <c r="Y143" s="12" t="n">
        <v>0</v>
      </c>
    </row>
    <row r="144" customFormat="false" ht="54.75" hidden="false" customHeight="true" outlineLevel="0" collapsed="false">
      <c r="A144" s="12" t="s">
        <v>1286</v>
      </c>
      <c r="B144" s="5" t="s">
        <v>1283</v>
      </c>
      <c r="C144" s="12" t="s">
        <v>1286</v>
      </c>
      <c r="D144" s="12" t="s">
        <v>120</v>
      </c>
      <c r="E144" s="5" t="s">
        <v>1289</v>
      </c>
      <c r="F144" s="14"/>
      <c r="G144" s="14"/>
      <c r="H144" s="14" t="s">
        <v>87</v>
      </c>
      <c r="I144" s="14"/>
      <c r="J144" s="14"/>
      <c r="K144" s="14"/>
      <c r="L144" s="15"/>
      <c r="M144" s="12" t="s">
        <v>72</v>
      </c>
      <c r="N144" s="5"/>
      <c r="O144" s="12"/>
      <c r="P144" s="5" t="s">
        <v>1287</v>
      </c>
      <c r="Q144" s="12"/>
      <c r="R144" s="12" t="s">
        <v>1283</v>
      </c>
      <c r="S144" s="5" t="s">
        <v>1288</v>
      </c>
      <c r="T144" s="5" t="s">
        <v>1172</v>
      </c>
      <c r="U144" s="12" t="n">
        <v>3</v>
      </c>
      <c r="V144" s="12" t="n">
        <v>2</v>
      </c>
      <c r="W144" s="12" t="n">
        <v>1</v>
      </c>
      <c r="X144" s="12" t="n">
        <v>1</v>
      </c>
      <c r="Y144" s="12" t="n">
        <v>0</v>
      </c>
    </row>
    <row r="145" customFormat="false" ht="54.75" hidden="false" customHeight="true" outlineLevel="0" collapsed="false">
      <c r="A145" s="10" t="s">
        <v>1290</v>
      </c>
      <c r="B145" s="11" t="s">
        <v>1291</v>
      </c>
      <c r="C145" s="12"/>
      <c r="D145" s="12" t="s">
        <v>120</v>
      </c>
      <c r="E145" s="5" t="s">
        <v>79</v>
      </c>
      <c r="F145" s="12"/>
      <c r="G145" s="12"/>
      <c r="H145" s="13" t="str">
        <f aca="false">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Bitte Teilanforderungen ausfüllen</v>
      </c>
      <c r="I145" s="12"/>
      <c r="J145" s="12"/>
      <c r="K145" s="12"/>
      <c r="L145" s="12"/>
      <c r="M145" s="12" t="s">
        <v>72</v>
      </c>
      <c r="N145" s="5"/>
      <c r="O145" s="12"/>
      <c r="P145" s="5" t="s">
        <v>1292</v>
      </c>
      <c r="Q145" s="12"/>
      <c r="R145" s="12" t="s">
        <v>92</v>
      </c>
      <c r="S145" s="5" t="s">
        <v>1293</v>
      </c>
      <c r="T145" s="5" t="s">
        <v>1172</v>
      </c>
      <c r="U145" s="12" t="n">
        <v>2</v>
      </c>
      <c r="V145" s="12" t="n">
        <v>2</v>
      </c>
      <c r="W145" s="12" t="n">
        <v>1</v>
      </c>
      <c r="X145" s="12" t="n">
        <v>1</v>
      </c>
      <c r="Y145" s="12" t="n">
        <v>0</v>
      </c>
    </row>
    <row r="146" customFormat="false" ht="54.75" hidden="false" customHeight="true" outlineLevel="0" collapsed="false">
      <c r="A146" s="12" t="s">
        <v>1290</v>
      </c>
      <c r="B146" s="5" t="s">
        <v>1291</v>
      </c>
      <c r="C146" s="12" t="s">
        <v>1290</v>
      </c>
      <c r="D146" s="12" t="s">
        <v>120</v>
      </c>
      <c r="E146" s="5" t="s">
        <v>1294</v>
      </c>
      <c r="F146" s="14"/>
      <c r="G146" s="14"/>
      <c r="H146" s="14" t="s">
        <v>87</v>
      </c>
      <c r="I146" s="14"/>
      <c r="J146" s="14"/>
      <c r="K146" s="14"/>
      <c r="L146" s="15"/>
      <c r="M146" s="12" t="s">
        <v>72</v>
      </c>
      <c r="N146" s="5"/>
      <c r="O146" s="12"/>
      <c r="P146" s="5" t="s">
        <v>1292</v>
      </c>
      <c r="Q146" s="12"/>
      <c r="R146" s="12" t="s">
        <v>92</v>
      </c>
      <c r="S146" s="5" t="s">
        <v>1293</v>
      </c>
      <c r="T146" s="5" t="s">
        <v>1172</v>
      </c>
      <c r="U146" s="12" t="n">
        <v>2</v>
      </c>
      <c r="V146" s="12" t="n">
        <v>2</v>
      </c>
      <c r="W146" s="12" t="n">
        <v>1</v>
      </c>
      <c r="X146" s="12" t="n">
        <v>1</v>
      </c>
      <c r="Y146" s="12" t="n">
        <v>0</v>
      </c>
    </row>
    <row r="147" customFormat="false" ht="122.25" hidden="false" customHeight="true" outlineLevel="0" collapsed="false">
      <c r="A147" s="10" t="s">
        <v>1295</v>
      </c>
      <c r="B147" s="11" t="s">
        <v>1296</v>
      </c>
      <c r="C147" s="12"/>
      <c r="D147" s="12" t="s">
        <v>120</v>
      </c>
      <c r="E147" s="5" t="s">
        <v>79</v>
      </c>
      <c r="F147" s="12"/>
      <c r="G147" s="12"/>
      <c r="H147" s="13" t="str">
        <f aca="false">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Bitte Teilanforderungen ausfüllen</v>
      </c>
      <c r="I147" s="12"/>
      <c r="J147" s="12"/>
      <c r="K147" s="12"/>
      <c r="L147" s="12"/>
      <c r="M147" s="12" t="s">
        <v>72</v>
      </c>
      <c r="N147" s="5"/>
      <c r="O147" s="12"/>
      <c r="P147" s="5" t="s">
        <v>1297</v>
      </c>
      <c r="Q147" s="12"/>
      <c r="R147" s="12" t="s">
        <v>92</v>
      </c>
      <c r="S147" s="5" t="s">
        <v>1298</v>
      </c>
      <c r="T147" s="5" t="s">
        <v>1172</v>
      </c>
      <c r="U147" s="12" t="n">
        <v>3</v>
      </c>
      <c r="V147" s="12" t="n">
        <v>2</v>
      </c>
      <c r="W147" s="12" t="n">
        <v>1</v>
      </c>
      <c r="X147" s="12" t="n">
        <v>1</v>
      </c>
      <c r="Y147" s="12" t="n">
        <v>0</v>
      </c>
    </row>
    <row r="148" customFormat="false" ht="122.25" hidden="false" customHeight="true" outlineLevel="0" collapsed="false">
      <c r="A148" s="12" t="s">
        <v>1295</v>
      </c>
      <c r="B148" s="5" t="s">
        <v>1296</v>
      </c>
      <c r="C148" s="12" t="s">
        <v>1295</v>
      </c>
      <c r="D148" s="12" t="s">
        <v>120</v>
      </c>
      <c r="E148" s="5" t="s">
        <v>1299</v>
      </c>
      <c r="F148" s="14"/>
      <c r="G148" s="14"/>
      <c r="H148" s="14" t="s">
        <v>87</v>
      </c>
      <c r="I148" s="14"/>
      <c r="J148" s="14"/>
      <c r="K148" s="14"/>
      <c r="L148" s="15"/>
      <c r="M148" s="12" t="s">
        <v>72</v>
      </c>
      <c r="N148" s="5"/>
      <c r="O148" s="12"/>
      <c r="P148" s="5" t="s">
        <v>1297</v>
      </c>
      <c r="Q148" s="12"/>
      <c r="R148" s="12" t="s">
        <v>92</v>
      </c>
      <c r="S148" s="5" t="s">
        <v>1298</v>
      </c>
      <c r="T148" s="5" t="s">
        <v>1172</v>
      </c>
      <c r="U148" s="12" t="n">
        <v>3</v>
      </c>
      <c r="V148" s="12" t="n">
        <v>2</v>
      </c>
      <c r="W148" s="12" t="n">
        <v>1</v>
      </c>
      <c r="X148" s="12" t="n">
        <v>1</v>
      </c>
      <c r="Y148" s="12" t="n">
        <v>0</v>
      </c>
    </row>
    <row r="149" customFormat="false" ht="68.25" hidden="false" customHeight="true" outlineLevel="0" collapsed="false">
      <c r="A149" s="10" t="s">
        <v>1300</v>
      </c>
      <c r="B149" s="11" t="s">
        <v>1301</v>
      </c>
      <c r="C149" s="12"/>
      <c r="D149" s="12" t="s">
        <v>120</v>
      </c>
      <c r="E149" s="5" t="s">
        <v>79</v>
      </c>
      <c r="F149" s="12"/>
      <c r="G149" s="12"/>
      <c r="H149" s="13" t="str">
        <f aca="false">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2"/>
      <c r="J149" s="12"/>
      <c r="K149" s="12"/>
      <c r="L149" s="12"/>
      <c r="M149" s="12" t="s">
        <v>72</v>
      </c>
      <c r="N149" s="5"/>
      <c r="O149" s="12"/>
      <c r="P149" s="5" t="s">
        <v>1302</v>
      </c>
      <c r="Q149" s="12"/>
      <c r="R149" s="12" t="s">
        <v>92</v>
      </c>
      <c r="S149" s="5" t="s">
        <v>1278</v>
      </c>
      <c r="T149" s="5" t="s">
        <v>1172</v>
      </c>
      <c r="U149" s="12" t="n">
        <v>2</v>
      </c>
      <c r="V149" s="12" t="n">
        <v>2</v>
      </c>
      <c r="W149" s="12" t="n">
        <v>1</v>
      </c>
      <c r="X149" s="12" t="n">
        <v>1</v>
      </c>
      <c r="Y149" s="12" t="n">
        <v>0</v>
      </c>
    </row>
    <row r="150" customFormat="false" ht="68.25" hidden="false" customHeight="true" outlineLevel="0" collapsed="false">
      <c r="A150" s="12" t="s">
        <v>1300</v>
      </c>
      <c r="B150" s="5" t="s">
        <v>1301</v>
      </c>
      <c r="C150" s="12" t="s">
        <v>1300</v>
      </c>
      <c r="D150" s="12" t="s">
        <v>120</v>
      </c>
      <c r="E150" s="5" t="s">
        <v>1303</v>
      </c>
      <c r="F150" s="14"/>
      <c r="G150" s="14"/>
      <c r="H150" s="14" t="s">
        <v>87</v>
      </c>
      <c r="I150" s="14"/>
      <c r="J150" s="14"/>
      <c r="K150" s="14"/>
      <c r="L150" s="15"/>
      <c r="M150" s="12" t="s">
        <v>72</v>
      </c>
      <c r="N150" s="5"/>
      <c r="O150" s="12"/>
      <c r="P150" s="5" t="s">
        <v>1302</v>
      </c>
      <c r="Q150" s="12"/>
      <c r="R150" s="12" t="s">
        <v>92</v>
      </c>
      <c r="S150" s="5" t="s">
        <v>1278</v>
      </c>
      <c r="T150" s="5" t="s">
        <v>1172</v>
      </c>
      <c r="U150" s="12" t="n">
        <v>2</v>
      </c>
      <c r="V150" s="12" t="n">
        <v>2</v>
      </c>
      <c r="W150" s="12" t="n">
        <v>1</v>
      </c>
      <c r="X150" s="12" t="n">
        <v>1</v>
      </c>
      <c r="Y150" s="12" t="n">
        <v>0</v>
      </c>
    </row>
    <row r="151" customFormat="false" ht="81.75" hidden="false" customHeight="true" outlineLevel="0" collapsed="false">
      <c r="A151" s="10" t="s">
        <v>1304</v>
      </c>
      <c r="B151" s="11" t="s">
        <v>1305</v>
      </c>
      <c r="C151" s="12"/>
      <c r="D151" s="12" t="s">
        <v>160</v>
      </c>
      <c r="E151" s="5" t="s">
        <v>79</v>
      </c>
      <c r="F151" s="12"/>
      <c r="G151" s="12"/>
      <c r="H151" s="13" t="str">
        <f aca="false">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2"/>
      <c r="J151" s="12"/>
      <c r="K151" s="12"/>
      <c r="L151" s="12"/>
      <c r="M151" s="12" t="s">
        <v>72</v>
      </c>
      <c r="N151" s="5"/>
      <c r="O151" s="12"/>
      <c r="P151" s="5" t="s">
        <v>1306</v>
      </c>
      <c r="Q151" s="12"/>
      <c r="R151" s="12" t="s">
        <v>92</v>
      </c>
      <c r="S151" s="5" t="s">
        <v>1307</v>
      </c>
      <c r="T151" s="5" t="s">
        <v>1172</v>
      </c>
      <c r="U151" s="12" t="n">
        <v>5</v>
      </c>
      <c r="V151" s="12" t="n">
        <v>2</v>
      </c>
      <c r="W151" s="12" t="n">
        <v>1</v>
      </c>
      <c r="X151" s="12" t="n">
        <v>1</v>
      </c>
      <c r="Y151" s="12" t="n">
        <v>0</v>
      </c>
    </row>
    <row r="152" customFormat="false" ht="81.75" hidden="false" customHeight="true" outlineLevel="0" collapsed="false">
      <c r="A152" s="12" t="s">
        <v>1304</v>
      </c>
      <c r="B152" s="5" t="s">
        <v>1305</v>
      </c>
      <c r="C152" s="12" t="s">
        <v>1304</v>
      </c>
      <c r="D152" s="12" t="s">
        <v>160</v>
      </c>
      <c r="E152" s="5" t="s">
        <v>1308</v>
      </c>
      <c r="F152" s="14"/>
      <c r="G152" s="14"/>
      <c r="H152" s="14" t="s">
        <v>87</v>
      </c>
      <c r="I152" s="14"/>
      <c r="J152" s="14"/>
      <c r="K152" s="14"/>
      <c r="L152" s="15"/>
      <c r="M152" s="12" t="s">
        <v>72</v>
      </c>
      <c r="N152" s="5"/>
      <c r="O152" s="12"/>
      <c r="P152" s="5" t="s">
        <v>1306</v>
      </c>
      <c r="Q152" s="12"/>
      <c r="R152" s="12" t="s">
        <v>92</v>
      </c>
      <c r="S152" s="5" t="s">
        <v>1307</v>
      </c>
      <c r="T152" s="5" t="s">
        <v>1172</v>
      </c>
      <c r="U152" s="12" t="n">
        <v>5</v>
      </c>
      <c r="V152" s="12" t="n">
        <v>2</v>
      </c>
      <c r="W152" s="12" t="n">
        <v>1</v>
      </c>
      <c r="X152" s="12" t="n">
        <v>1</v>
      </c>
      <c r="Y152" s="12" t="n">
        <v>0</v>
      </c>
    </row>
    <row r="153" customFormat="false" ht="41.25" hidden="false" customHeight="true" outlineLevel="0" collapsed="false">
      <c r="A153" s="10" t="s">
        <v>1309</v>
      </c>
      <c r="B153" s="11" t="s">
        <v>1310</v>
      </c>
      <c r="C153" s="12"/>
      <c r="D153" s="12" t="s">
        <v>120</v>
      </c>
      <c r="E153" s="5" t="s">
        <v>79</v>
      </c>
      <c r="F153" s="12"/>
      <c r="G153" s="12"/>
      <c r="H153" s="13" t="str">
        <f aca="false">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2"/>
      <c r="J153" s="12"/>
      <c r="K153" s="12"/>
      <c r="L153" s="12"/>
      <c r="M153" s="12" t="s">
        <v>72</v>
      </c>
      <c r="N153" s="5" t="s">
        <v>1311</v>
      </c>
      <c r="O153" s="12" t="s">
        <v>524</v>
      </c>
      <c r="P153" s="5" t="s">
        <v>1312</v>
      </c>
      <c r="Q153" s="12"/>
      <c r="R153" s="12" t="s">
        <v>92</v>
      </c>
      <c r="S153" s="5" t="s">
        <v>1313</v>
      </c>
      <c r="T153" s="5" t="s">
        <v>1172</v>
      </c>
      <c r="U153" s="12" t="n">
        <v>2</v>
      </c>
      <c r="V153" s="12" t="n">
        <v>2</v>
      </c>
      <c r="W153" s="12" t="n">
        <v>1</v>
      </c>
      <c r="X153" s="12" t="n">
        <v>1</v>
      </c>
      <c r="Y153" s="12" t="n">
        <v>0</v>
      </c>
    </row>
    <row r="154" customFormat="false" ht="41.25" hidden="false" customHeight="true" outlineLevel="0" collapsed="false">
      <c r="A154" s="12" t="s">
        <v>1309</v>
      </c>
      <c r="B154" s="5" t="s">
        <v>1310</v>
      </c>
      <c r="C154" s="12" t="s">
        <v>1309</v>
      </c>
      <c r="D154" s="12" t="s">
        <v>120</v>
      </c>
      <c r="E154" s="5" t="s">
        <v>1314</v>
      </c>
      <c r="F154" s="14"/>
      <c r="G154" s="14"/>
      <c r="H154" s="14" t="s">
        <v>87</v>
      </c>
      <c r="I154" s="14"/>
      <c r="J154" s="14"/>
      <c r="K154" s="14"/>
      <c r="L154" s="15"/>
      <c r="M154" s="12" t="s">
        <v>72</v>
      </c>
      <c r="N154" s="5" t="s">
        <v>1311</v>
      </c>
      <c r="O154" s="12" t="s">
        <v>524</v>
      </c>
      <c r="P154" s="5" t="s">
        <v>1312</v>
      </c>
      <c r="Q154" s="12"/>
      <c r="R154" s="12" t="s">
        <v>92</v>
      </c>
      <c r="S154" s="5" t="s">
        <v>1313</v>
      </c>
      <c r="T154" s="5" t="s">
        <v>1172</v>
      </c>
      <c r="U154" s="12" t="n">
        <v>2</v>
      </c>
      <c r="V154" s="12" t="n">
        <v>2</v>
      </c>
      <c r="W154" s="12" t="n">
        <v>1</v>
      </c>
      <c r="X154" s="12" t="n">
        <v>1</v>
      </c>
      <c r="Y154" s="12" t="n">
        <v>0</v>
      </c>
    </row>
    <row r="155" customFormat="false" ht="54.75" hidden="false" customHeight="true" outlineLevel="0" collapsed="false">
      <c r="A155" s="10" t="s">
        <v>1315</v>
      </c>
      <c r="B155" s="11" t="s">
        <v>1316</v>
      </c>
      <c r="C155" s="12"/>
      <c r="D155" s="12" t="s">
        <v>120</v>
      </c>
      <c r="E155" s="5" t="s">
        <v>79</v>
      </c>
      <c r="F155" s="12"/>
      <c r="G155" s="12"/>
      <c r="H155" s="13" t="str">
        <f aca="false">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2"/>
      <c r="J155" s="12"/>
      <c r="K155" s="12"/>
      <c r="L155" s="12"/>
      <c r="M155" s="12" t="s">
        <v>72</v>
      </c>
      <c r="N155" s="5"/>
      <c r="O155" s="12"/>
      <c r="P155" s="5" t="s">
        <v>1317</v>
      </c>
      <c r="Q155" s="12"/>
      <c r="R155" s="12" t="s">
        <v>92</v>
      </c>
      <c r="S155" s="5" t="s">
        <v>1318</v>
      </c>
      <c r="T155" s="5" t="s">
        <v>1172</v>
      </c>
      <c r="U155" s="12" t="n">
        <v>2</v>
      </c>
      <c r="V155" s="12" t="n">
        <v>2</v>
      </c>
      <c r="W155" s="12" t="n">
        <v>1</v>
      </c>
      <c r="X155" s="12" t="n">
        <v>1</v>
      </c>
      <c r="Y155" s="12" t="n">
        <v>0</v>
      </c>
    </row>
    <row r="156" customFormat="false" ht="54.75" hidden="false" customHeight="true" outlineLevel="0" collapsed="false">
      <c r="A156" s="12" t="s">
        <v>1315</v>
      </c>
      <c r="B156" s="5" t="s">
        <v>1316</v>
      </c>
      <c r="C156" s="12" t="s">
        <v>1315</v>
      </c>
      <c r="D156" s="12" t="s">
        <v>120</v>
      </c>
      <c r="E156" s="5" t="s">
        <v>1319</v>
      </c>
      <c r="F156" s="14"/>
      <c r="G156" s="14"/>
      <c r="H156" s="14" t="s">
        <v>87</v>
      </c>
      <c r="I156" s="14"/>
      <c r="J156" s="14"/>
      <c r="K156" s="14"/>
      <c r="L156" s="15"/>
      <c r="M156" s="12" t="s">
        <v>72</v>
      </c>
      <c r="N156" s="5"/>
      <c r="O156" s="12"/>
      <c r="P156" s="5" t="s">
        <v>1317</v>
      </c>
      <c r="Q156" s="12"/>
      <c r="R156" s="12" t="s">
        <v>92</v>
      </c>
      <c r="S156" s="5" t="s">
        <v>1318</v>
      </c>
      <c r="T156" s="5" t="s">
        <v>1172</v>
      </c>
      <c r="U156" s="12" t="n">
        <v>2</v>
      </c>
      <c r="V156" s="12" t="n">
        <v>2</v>
      </c>
      <c r="W156" s="12" t="n">
        <v>1</v>
      </c>
      <c r="X156" s="12" t="n">
        <v>1</v>
      </c>
      <c r="Y156" s="12" t="n">
        <v>0</v>
      </c>
    </row>
    <row r="157" customFormat="false" ht="68.25" hidden="false" customHeight="true" outlineLevel="0" collapsed="false">
      <c r="A157" s="10" t="s">
        <v>1320</v>
      </c>
      <c r="B157" s="11" t="s">
        <v>1321</v>
      </c>
      <c r="C157" s="12"/>
      <c r="D157" s="12" t="s">
        <v>120</v>
      </c>
      <c r="E157" s="5" t="s">
        <v>79</v>
      </c>
      <c r="F157" s="12"/>
      <c r="G157" s="12"/>
      <c r="H157" s="13" t="str">
        <f aca="false">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Bitte Teilanforderungen ausfüllen</v>
      </c>
      <c r="I157" s="12"/>
      <c r="J157" s="12"/>
      <c r="K157" s="12"/>
      <c r="L157" s="12"/>
      <c r="M157" s="12"/>
      <c r="N157" s="5"/>
      <c r="O157" s="12"/>
      <c r="P157" s="5" t="s">
        <v>1322</v>
      </c>
      <c r="Q157" s="12"/>
      <c r="R157" s="12" t="s">
        <v>92</v>
      </c>
      <c r="S157" s="5" t="s">
        <v>1323</v>
      </c>
      <c r="T157" s="5" t="s">
        <v>1324</v>
      </c>
      <c r="U157" s="12" t="n">
        <v>1</v>
      </c>
      <c r="V157" s="12" t="n">
        <v>1</v>
      </c>
      <c r="W157" s="12" t="n">
        <v>1</v>
      </c>
      <c r="X157" s="12" t="n">
        <v>1</v>
      </c>
      <c r="Y157" s="12" t="n">
        <v>1</v>
      </c>
    </row>
    <row r="158" customFormat="false" ht="68.25" hidden="false" customHeight="true" outlineLevel="0" collapsed="false">
      <c r="A158" s="12" t="s">
        <v>1320</v>
      </c>
      <c r="B158" s="5" t="s">
        <v>1321</v>
      </c>
      <c r="C158" s="12" t="s">
        <v>1320</v>
      </c>
      <c r="D158" s="12" t="s">
        <v>120</v>
      </c>
      <c r="E158" s="5" t="s">
        <v>1325</v>
      </c>
      <c r="F158" s="14"/>
      <c r="G158" s="14"/>
      <c r="H158" s="14" t="s">
        <v>87</v>
      </c>
      <c r="I158" s="14"/>
      <c r="J158" s="14"/>
      <c r="K158" s="14"/>
      <c r="L158" s="15"/>
      <c r="M158" s="12"/>
      <c r="N158" s="5"/>
      <c r="O158" s="12"/>
      <c r="P158" s="5" t="s">
        <v>1322</v>
      </c>
      <c r="Q158" s="12"/>
      <c r="R158" s="12" t="s">
        <v>92</v>
      </c>
      <c r="S158" s="5" t="s">
        <v>1323</v>
      </c>
      <c r="T158" s="5" t="s">
        <v>1324</v>
      </c>
      <c r="U158" s="12" t="n">
        <v>1</v>
      </c>
      <c r="V158" s="12" t="n">
        <v>1</v>
      </c>
      <c r="W158" s="12" t="n">
        <v>1</v>
      </c>
      <c r="X158" s="12" t="n">
        <v>1</v>
      </c>
      <c r="Y158" s="12" t="n">
        <v>1</v>
      </c>
    </row>
    <row r="159" customFormat="false" ht="122.25" hidden="false" customHeight="true" outlineLevel="0" collapsed="false">
      <c r="A159" s="10" t="s">
        <v>1326</v>
      </c>
      <c r="B159" s="11" t="s">
        <v>73</v>
      </c>
      <c r="C159" s="12"/>
      <c r="D159" s="12" t="s">
        <v>120</v>
      </c>
      <c r="E159" s="5" t="s">
        <v>79</v>
      </c>
      <c r="F159" s="12"/>
      <c r="G159" s="12"/>
      <c r="H159" s="13" t="str">
        <f aca="false">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2"/>
      <c r="J159" s="12"/>
      <c r="K159" s="12"/>
      <c r="L159" s="12"/>
      <c r="M159" s="12" t="s">
        <v>72</v>
      </c>
      <c r="N159" s="5"/>
      <c r="O159" s="12"/>
      <c r="P159" s="5" t="s">
        <v>1327</v>
      </c>
      <c r="Q159" s="12"/>
      <c r="R159" s="12" t="s">
        <v>92</v>
      </c>
      <c r="S159" s="5" t="s">
        <v>1328</v>
      </c>
      <c r="T159" s="5" t="s">
        <v>1324</v>
      </c>
      <c r="U159" s="12" t="n">
        <v>1</v>
      </c>
      <c r="V159" s="12" t="n">
        <v>2</v>
      </c>
      <c r="W159" s="12" t="n">
        <v>1</v>
      </c>
      <c r="X159" s="12" t="n">
        <v>1</v>
      </c>
      <c r="Y159" s="12" t="n">
        <v>1</v>
      </c>
    </row>
    <row r="160" customFormat="false" ht="122.25" hidden="false" customHeight="true" outlineLevel="0" collapsed="false">
      <c r="A160" s="12" t="s">
        <v>1326</v>
      </c>
      <c r="B160" s="5" t="s">
        <v>73</v>
      </c>
      <c r="C160" s="12" t="s">
        <v>1326</v>
      </c>
      <c r="D160" s="12" t="s">
        <v>120</v>
      </c>
      <c r="E160" s="5" t="s">
        <v>1329</v>
      </c>
      <c r="F160" s="14"/>
      <c r="G160" s="14"/>
      <c r="H160" s="14" t="s">
        <v>87</v>
      </c>
      <c r="I160" s="14"/>
      <c r="J160" s="14"/>
      <c r="K160" s="14"/>
      <c r="L160" s="15"/>
      <c r="M160" s="12" t="s">
        <v>72</v>
      </c>
      <c r="N160" s="5"/>
      <c r="O160" s="12"/>
      <c r="P160" s="5" t="s">
        <v>1327</v>
      </c>
      <c r="Q160" s="12"/>
      <c r="R160" s="12" t="s">
        <v>92</v>
      </c>
      <c r="S160" s="5" t="s">
        <v>1328</v>
      </c>
      <c r="T160" s="5" t="s">
        <v>1324</v>
      </c>
      <c r="U160" s="12" t="n">
        <v>1</v>
      </c>
      <c r="V160" s="12" t="n">
        <v>2</v>
      </c>
      <c r="W160" s="12" t="n">
        <v>1</v>
      </c>
      <c r="X160" s="12" t="n">
        <v>1</v>
      </c>
      <c r="Y160" s="12" t="n">
        <v>1</v>
      </c>
    </row>
    <row r="161" customFormat="false" ht="41.25" hidden="false" customHeight="true" outlineLevel="0" collapsed="false">
      <c r="A161" s="10" t="s">
        <v>1330</v>
      </c>
      <c r="B161" s="11" t="s">
        <v>75</v>
      </c>
      <c r="C161" s="12"/>
      <c r="D161" s="12" t="s">
        <v>120</v>
      </c>
      <c r="E161" s="5" t="s">
        <v>79</v>
      </c>
      <c r="F161" s="12"/>
      <c r="G161" s="12"/>
      <c r="H161" s="13" t="str">
        <f aca="false">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2"/>
      <c r="J161" s="12"/>
      <c r="K161" s="12"/>
      <c r="L161" s="12"/>
      <c r="M161" s="12" t="s">
        <v>72</v>
      </c>
      <c r="N161" s="5"/>
      <c r="O161" s="12"/>
      <c r="P161" s="5" t="s">
        <v>1331</v>
      </c>
      <c r="Q161" s="12"/>
      <c r="R161" s="12" t="s">
        <v>92</v>
      </c>
      <c r="S161" s="5" t="s">
        <v>1332</v>
      </c>
      <c r="T161" s="5" t="s">
        <v>1172</v>
      </c>
      <c r="U161" s="12" t="n">
        <v>2</v>
      </c>
      <c r="V161" s="12" t="n">
        <v>2</v>
      </c>
      <c r="W161" s="12" t="n">
        <v>1</v>
      </c>
      <c r="X161" s="12" t="n">
        <v>1</v>
      </c>
      <c r="Y161" s="12" t="n">
        <v>0</v>
      </c>
    </row>
    <row r="162" customFormat="false" ht="41.25" hidden="false" customHeight="true" outlineLevel="0" collapsed="false">
      <c r="A162" s="12" t="s">
        <v>1330</v>
      </c>
      <c r="B162" s="5" t="s">
        <v>75</v>
      </c>
      <c r="C162" s="12" t="s">
        <v>1330</v>
      </c>
      <c r="D162" s="12" t="s">
        <v>120</v>
      </c>
      <c r="E162" s="5" t="s">
        <v>1333</v>
      </c>
      <c r="F162" s="14"/>
      <c r="G162" s="14"/>
      <c r="H162" s="14" t="s">
        <v>87</v>
      </c>
      <c r="I162" s="14"/>
      <c r="J162" s="14"/>
      <c r="K162" s="14"/>
      <c r="L162" s="15"/>
      <c r="M162" s="12" t="s">
        <v>72</v>
      </c>
      <c r="N162" s="5"/>
      <c r="O162" s="12"/>
      <c r="P162" s="5" t="s">
        <v>1331</v>
      </c>
      <c r="Q162" s="12"/>
      <c r="R162" s="12" t="s">
        <v>92</v>
      </c>
      <c r="S162" s="5" t="s">
        <v>1332</v>
      </c>
      <c r="T162" s="5" t="s">
        <v>1172</v>
      </c>
      <c r="U162" s="12" t="n">
        <v>2</v>
      </c>
      <c r="V162" s="12" t="n">
        <v>2</v>
      </c>
      <c r="W162" s="12" t="n">
        <v>1</v>
      </c>
      <c r="X162" s="12" t="n">
        <v>1</v>
      </c>
      <c r="Y162" s="12" t="n">
        <v>0</v>
      </c>
    </row>
    <row r="163" customFormat="false" ht="54.75" hidden="false" customHeight="true" outlineLevel="0" collapsed="false">
      <c r="A163" s="10" t="s">
        <v>1334</v>
      </c>
      <c r="B163" s="11" t="s">
        <v>1335</v>
      </c>
      <c r="C163" s="12"/>
      <c r="D163" s="12" t="s">
        <v>120</v>
      </c>
      <c r="E163" s="5" t="s">
        <v>79</v>
      </c>
      <c r="F163" s="12"/>
      <c r="G163" s="12"/>
      <c r="H163" s="13" t="str">
        <f aca="false">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2"/>
      <c r="J163" s="12"/>
      <c r="K163" s="12"/>
      <c r="L163" s="12"/>
      <c r="M163" s="12" t="s">
        <v>72</v>
      </c>
      <c r="N163" s="5"/>
      <c r="O163" s="12"/>
      <c r="P163" s="5" t="s">
        <v>1336</v>
      </c>
      <c r="Q163" s="12"/>
      <c r="R163" s="12" t="s">
        <v>92</v>
      </c>
      <c r="S163" s="5" t="s">
        <v>1337</v>
      </c>
      <c r="T163" s="5" t="s">
        <v>1172</v>
      </c>
      <c r="U163" s="12" t="n">
        <v>1</v>
      </c>
      <c r="V163" s="12" t="n">
        <v>2</v>
      </c>
      <c r="W163" s="12" t="n">
        <v>1</v>
      </c>
      <c r="X163" s="12" t="n">
        <v>1</v>
      </c>
      <c r="Y163" s="12" t="n">
        <v>0</v>
      </c>
    </row>
    <row r="164" customFormat="false" ht="54.75" hidden="false" customHeight="true" outlineLevel="0" collapsed="false">
      <c r="A164" s="12" t="s">
        <v>1334</v>
      </c>
      <c r="B164" s="5" t="s">
        <v>1335</v>
      </c>
      <c r="C164" s="12" t="s">
        <v>1334</v>
      </c>
      <c r="D164" s="12" t="s">
        <v>120</v>
      </c>
      <c r="E164" s="5" t="s">
        <v>1338</v>
      </c>
      <c r="F164" s="14"/>
      <c r="G164" s="14"/>
      <c r="H164" s="14" t="s">
        <v>87</v>
      </c>
      <c r="I164" s="14"/>
      <c r="J164" s="14"/>
      <c r="K164" s="14"/>
      <c r="L164" s="15"/>
      <c r="M164" s="12" t="s">
        <v>72</v>
      </c>
      <c r="N164" s="5"/>
      <c r="O164" s="12"/>
      <c r="P164" s="5" t="s">
        <v>1336</v>
      </c>
      <c r="Q164" s="12"/>
      <c r="R164" s="12" t="s">
        <v>92</v>
      </c>
      <c r="S164" s="5" t="s">
        <v>1337</v>
      </c>
      <c r="T164" s="5" t="s">
        <v>1172</v>
      </c>
      <c r="U164" s="12" t="n">
        <v>1</v>
      </c>
      <c r="V164" s="12" t="n">
        <v>2</v>
      </c>
      <c r="W164" s="12" t="n">
        <v>1</v>
      </c>
      <c r="X164" s="12" t="n">
        <v>1</v>
      </c>
      <c r="Y164" s="12" t="n">
        <v>0</v>
      </c>
    </row>
    <row r="165" customFormat="false" ht="95.25" hidden="false" customHeight="true" outlineLevel="0" collapsed="false">
      <c r="A165" s="10" t="s">
        <v>1339</v>
      </c>
      <c r="B165" s="11" t="s">
        <v>1340</v>
      </c>
      <c r="C165" s="12"/>
      <c r="D165" s="12" t="s">
        <v>120</v>
      </c>
      <c r="E165" s="5" t="s">
        <v>79</v>
      </c>
      <c r="F165" s="12"/>
      <c r="G165" s="12"/>
      <c r="H165" s="13" t="str">
        <f aca="false">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2"/>
      <c r="J165" s="12"/>
      <c r="K165" s="12"/>
      <c r="L165" s="12"/>
      <c r="M165" s="12" t="s">
        <v>72</v>
      </c>
      <c r="N165" s="5"/>
      <c r="O165" s="12"/>
      <c r="P165" s="5" t="s">
        <v>1341</v>
      </c>
      <c r="Q165" s="12"/>
      <c r="R165" s="12" t="s">
        <v>1283</v>
      </c>
      <c r="S165" s="5" t="s">
        <v>1342</v>
      </c>
      <c r="T165" s="5" t="s">
        <v>1343</v>
      </c>
      <c r="U165" s="12" t="n">
        <v>2</v>
      </c>
      <c r="V165" s="12" t="n">
        <v>2</v>
      </c>
      <c r="W165" s="12" t="n">
        <v>1</v>
      </c>
      <c r="X165" s="12" t="n">
        <v>1</v>
      </c>
      <c r="Y165" s="12" t="n">
        <v>1</v>
      </c>
    </row>
    <row r="166" customFormat="false" ht="95.25" hidden="false" customHeight="true" outlineLevel="0" collapsed="false">
      <c r="A166" s="12" t="s">
        <v>1339</v>
      </c>
      <c r="B166" s="5" t="s">
        <v>1340</v>
      </c>
      <c r="C166" s="12" t="s">
        <v>1339</v>
      </c>
      <c r="D166" s="12" t="s">
        <v>120</v>
      </c>
      <c r="E166" s="5" t="s">
        <v>1344</v>
      </c>
      <c r="F166" s="14"/>
      <c r="G166" s="14"/>
      <c r="H166" s="14" t="s">
        <v>87</v>
      </c>
      <c r="I166" s="14"/>
      <c r="J166" s="14"/>
      <c r="K166" s="14"/>
      <c r="L166" s="15"/>
      <c r="M166" s="12" t="s">
        <v>72</v>
      </c>
      <c r="N166" s="5"/>
      <c r="O166" s="12"/>
      <c r="P166" s="5" t="s">
        <v>1341</v>
      </c>
      <c r="Q166" s="12"/>
      <c r="R166" s="12" t="s">
        <v>1283</v>
      </c>
      <c r="S166" s="5" t="s">
        <v>1342</v>
      </c>
      <c r="T166" s="5" t="s">
        <v>1343</v>
      </c>
      <c r="U166" s="12" t="n">
        <v>2</v>
      </c>
      <c r="V166" s="12" t="n">
        <v>2</v>
      </c>
      <c r="W166" s="12" t="n">
        <v>1</v>
      </c>
      <c r="X166" s="12" t="n">
        <v>1</v>
      </c>
      <c r="Y166" s="12" t="n">
        <v>1</v>
      </c>
    </row>
    <row r="167" customFormat="false" ht="68.25" hidden="false" customHeight="true" outlineLevel="0" collapsed="false">
      <c r="A167" s="10" t="s">
        <v>1345</v>
      </c>
      <c r="B167" s="11" t="s">
        <v>1346</v>
      </c>
      <c r="C167" s="12"/>
      <c r="D167" s="12" t="s">
        <v>120</v>
      </c>
      <c r="E167" s="5" t="s">
        <v>79</v>
      </c>
      <c r="F167" s="12"/>
      <c r="G167" s="12"/>
      <c r="H167" s="13" t="str">
        <f aca="false">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2"/>
      <c r="J167" s="12"/>
      <c r="K167" s="12"/>
      <c r="L167" s="12"/>
      <c r="M167" s="12" t="s">
        <v>72</v>
      </c>
      <c r="N167" s="5"/>
      <c r="O167" s="12"/>
      <c r="P167" s="5" t="s">
        <v>1347</v>
      </c>
      <c r="Q167" s="12"/>
      <c r="R167" s="12" t="s">
        <v>1283</v>
      </c>
      <c r="S167" s="5" t="s">
        <v>1348</v>
      </c>
      <c r="T167" s="5" t="s">
        <v>1343</v>
      </c>
      <c r="U167" s="12" t="n">
        <v>3</v>
      </c>
      <c r="V167" s="12" t="n">
        <v>2</v>
      </c>
      <c r="W167" s="12" t="n">
        <v>1</v>
      </c>
      <c r="X167" s="12" t="n">
        <v>1</v>
      </c>
      <c r="Y167" s="12" t="n">
        <v>1</v>
      </c>
    </row>
    <row r="168" customFormat="false" ht="68.25" hidden="false" customHeight="true" outlineLevel="0" collapsed="false">
      <c r="A168" s="12" t="s">
        <v>1345</v>
      </c>
      <c r="B168" s="5" t="s">
        <v>1346</v>
      </c>
      <c r="C168" s="12" t="s">
        <v>1345</v>
      </c>
      <c r="D168" s="12" t="s">
        <v>120</v>
      </c>
      <c r="E168" s="5" t="s">
        <v>1349</v>
      </c>
      <c r="F168" s="14"/>
      <c r="G168" s="14"/>
      <c r="H168" s="14" t="s">
        <v>87</v>
      </c>
      <c r="I168" s="14"/>
      <c r="J168" s="14"/>
      <c r="K168" s="14"/>
      <c r="L168" s="15"/>
      <c r="M168" s="12" t="s">
        <v>72</v>
      </c>
      <c r="N168" s="5"/>
      <c r="O168" s="12"/>
      <c r="P168" s="5" t="s">
        <v>1347</v>
      </c>
      <c r="Q168" s="12"/>
      <c r="R168" s="12" t="s">
        <v>1283</v>
      </c>
      <c r="S168" s="5" t="s">
        <v>1348</v>
      </c>
      <c r="T168" s="5" t="s">
        <v>1343</v>
      </c>
      <c r="U168" s="12" t="n">
        <v>3</v>
      </c>
      <c r="V168" s="12" t="n">
        <v>2</v>
      </c>
      <c r="W168" s="12" t="n">
        <v>1</v>
      </c>
      <c r="X168" s="12" t="n">
        <v>1</v>
      </c>
      <c r="Y168" s="12" t="n">
        <v>1</v>
      </c>
    </row>
    <row r="169" customFormat="false" ht="54.75" hidden="false" customHeight="true" outlineLevel="0" collapsed="false">
      <c r="A169" s="10" t="s">
        <v>1350</v>
      </c>
      <c r="B169" s="11" t="s">
        <v>1351</v>
      </c>
      <c r="C169" s="12"/>
      <c r="D169" s="12" t="s">
        <v>120</v>
      </c>
      <c r="E169" s="5" t="s">
        <v>79</v>
      </c>
      <c r="F169" s="12"/>
      <c r="G169" s="12"/>
      <c r="H169" s="13" t="str">
        <f aca="false">IF(OR(COUNTBLANK($H$170:$H$176)&gt;0,COUNTIF($H$170:$H$176,"unbearbeitet")=COUNTA($H$170:$H$176)),"Bitte Teilanforderungen ausfüllen",IF(COUNTIF($H$170:$H$176,"zu klären")&gt;0,"zu klären",IF(COUNTIF($H$170:$H$176,"entbehrlich")=COUNTA($H$170:$H$176),"entbehrlich",IF(COUNTIF($H$170:$H$176,"verwiesen")=COUNTA($H$170:$H$176),"verwiesen",IF(COUNTIF($H$170:$H$176,"nein")+COUNTIF($H$170:$H$176,"entbehrlich")=COUNTA($H$170:$H$176),"nein",IF(COUNTIF($H$170:$H$176,"ja")+COUNTIF($H$170:$H$176,"entbehrlich")+COUNTIF($H$170:$H$176,"verwiesen")=COUNTA($H$170:$H$176),"ja","teilweise"))))))</f>
        <v>Bitte Teilanforderungen ausfüllen</v>
      </c>
      <c r="I169" s="12"/>
      <c r="J169" s="12"/>
      <c r="K169" s="12"/>
      <c r="L169" s="12"/>
      <c r="M169" s="12" t="s">
        <v>72</v>
      </c>
      <c r="N169" s="5"/>
      <c r="O169" s="12"/>
      <c r="P169" s="5" t="s">
        <v>1352</v>
      </c>
      <c r="Q169" s="12"/>
      <c r="R169" s="12" t="s">
        <v>92</v>
      </c>
      <c r="S169" s="5" t="s">
        <v>1351</v>
      </c>
      <c r="T169" s="5" t="s">
        <v>1172</v>
      </c>
      <c r="U169" s="12" t="n">
        <v>3</v>
      </c>
      <c r="V169" s="12" t="n">
        <v>2</v>
      </c>
      <c r="W169" s="12" t="n">
        <v>1</v>
      </c>
      <c r="X169" s="12" t="n">
        <v>1</v>
      </c>
      <c r="Y169" s="12" t="n">
        <v>0</v>
      </c>
    </row>
    <row r="170" customFormat="false" ht="54.75" hidden="false" customHeight="true" outlineLevel="0" collapsed="false">
      <c r="A170" s="12" t="s">
        <v>1350</v>
      </c>
      <c r="B170" s="5" t="s">
        <v>1351</v>
      </c>
      <c r="C170" s="12" t="s">
        <v>1350</v>
      </c>
      <c r="D170" s="12" t="s">
        <v>120</v>
      </c>
      <c r="E170" s="5" t="s">
        <v>1353</v>
      </c>
      <c r="F170" s="14"/>
      <c r="G170" s="14"/>
      <c r="H170" s="14" t="s">
        <v>87</v>
      </c>
      <c r="I170" s="14"/>
      <c r="J170" s="14"/>
      <c r="K170" s="14"/>
      <c r="L170" s="15"/>
      <c r="M170" s="12" t="s">
        <v>72</v>
      </c>
      <c r="N170" s="5"/>
      <c r="O170" s="12"/>
      <c r="P170" s="5" t="s">
        <v>1352</v>
      </c>
      <c r="Q170" s="12"/>
      <c r="R170" s="12" t="s">
        <v>92</v>
      </c>
      <c r="S170" s="5" t="s">
        <v>1351</v>
      </c>
      <c r="T170" s="5" t="s">
        <v>1172</v>
      </c>
      <c r="U170" s="12" t="n">
        <v>3</v>
      </c>
      <c r="V170" s="12" t="n">
        <v>2</v>
      </c>
      <c r="W170" s="12" t="n">
        <v>1</v>
      </c>
      <c r="X170" s="12" t="n">
        <v>1</v>
      </c>
      <c r="Y170" s="12" t="n">
        <v>0</v>
      </c>
    </row>
    <row r="171" customFormat="false" ht="54.75" hidden="false" customHeight="true" outlineLevel="0" collapsed="false">
      <c r="A171" s="12" t="s">
        <v>1350</v>
      </c>
      <c r="B171" s="5" t="s">
        <v>1351</v>
      </c>
      <c r="C171" s="12" t="s">
        <v>1354</v>
      </c>
      <c r="D171" s="12" t="s">
        <v>120</v>
      </c>
      <c r="E171" s="5" t="s">
        <v>1355</v>
      </c>
      <c r="F171" s="14"/>
      <c r="G171" s="14"/>
      <c r="H171" s="14" t="s">
        <v>87</v>
      </c>
      <c r="I171" s="14"/>
      <c r="J171" s="14"/>
      <c r="K171" s="14"/>
      <c r="L171" s="15"/>
      <c r="M171" s="12" t="s">
        <v>72</v>
      </c>
      <c r="N171" s="5"/>
      <c r="O171" s="12"/>
      <c r="P171" s="5" t="s">
        <v>1356</v>
      </c>
      <c r="Q171" s="12"/>
      <c r="R171" s="12" t="s">
        <v>92</v>
      </c>
      <c r="S171" s="5" t="s">
        <v>1357</v>
      </c>
      <c r="T171" s="5" t="s">
        <v>1172</v>
      </c>
      <c r="U171" s="12" t="n">
        <v>4</v>
      </c>
      <c r="V171" s="12" t="n">
        <v>2</v>
      </c>
      <c r="W171" s="12" t="n">
        <v>1</v>
      </c>
      <c r="X171" s="12" t="n">
        <v>1</v>
      </c>
      <c r="Y171" s="12" t="n">
        <v>0</v>
      </c>
    </row>
    <row r="172" customFormat="false" ht="309.75" hidden="false" customHeight="true" outlineLevel="0" collapsed="false">
      <c r="A172" s="12" t="s">
        <v>1350</v>
      </c>
      <c r="B172" s="5" t="s">
        <v>1351</v>
      </c>
      <c r="C172" s="12" t="s">
        <v>1358</v>
      </c>
      <c r="D172" s="12" t="s">
        <v>120</v>
      </c>
      <c r="E172" s="5" t="s">
        <v>1359</v>
      </c>
      <c r="F172" s="14"/>
      <c r="G172" s="14"/>
      <c r="H172" s="14" t="s">
        <v>87</v>
      </c>
      <c r="I172" s="14"/>
      <c r="J172" s="14"/>
      <c r="K172" s="14"/>
      <c r="L172" s="15"/>
      <c r="M172" s="12" t="s">
        <v>72</v>
      </c>
      <c r="N172" s="5"/>
      <c r="O172" s="12"/>
      <c r="P172" s="5" t="s">
        <v>1360</v>
      </c>
      <c r="Q172" s="12"/>
      <c r="R172" s="12" t="s">
        <v>92</v>
      </c>
      <c r="S172" s="5" t="s">
        <v>1361</v>
      </c>
      <c r="T172" s="5" t="s">
        <v>1324</v>
      </c>
      <c r="U172" s="12" t="n">
        <v>4</v>
      </c>
      <c r="V172" s="12" t="n">
        <v>2</v>
      </c>
      <c r="W172" s="12" t="n">
        <v>1</v>
      </c>
      <c r="X172" s="12" t="n">
        <v>1</v>
      </c>
      <c r="Y172" s="12" t="n">
        <v>1</v>
      </c>
    </row>
    <row r="173" customFormat="false" ht="283.5" hidden="false" customHeight="true" outlineLevel="0" collapsed="false">
      <c r="A173" s="12" t="s">
        <v>1350</v>
      </c>
      <c r="B173" s="5" t="s">
        <v>1351</v>
      </c>
      <c r="C173" s="12" t="s">
        <v>1362</v>
      </c>
      <c r="D173" s="12" t="s">
        <v>120</v>
      </c>
      <c r="E173" s="5" t="s">
        <v>1363</v>
      </c>
      <c r="F173" s="14"/>
      <c r="G173" s="14"/>
      <c r="H173" s="14" t="s">
        <v>87</v>
      </c>
      <c r="I173" s="14"/>
      <c r="J173" s="14"/>
      <c r="K173" s="14"/>
      <c r="L173" s="15"/>
      <c r="M173" s="12" t="s">
        <v>72</v>
      </c>
      <c r="N173" s="5"/>
      <c r="O173" s="12"/>
      <c r="P173" s="5" t="s">
        <v>1364</v>
      </c>
      <c r="Q173" s="12"/>
      <c r="R173" s="12" t="s">
        <v>92</v>
      </c>
      <c r="S173" s="5" t="s">
        <v>1361</v>
      </c>
      <c r="T173" s="5" t="s">
        <v>1172</v>
      </c>
      <c r="U173" s="12" t="n">
        <v>4</v>
      </c>
      <c r="V173" s="12" t="n">
        <v>2</v>
      </c>
      <c r="W173" s="12" t="n">
        <v>1</v>
      </c>
      <c r="X173" s="12" t="n">
        <v>1</v>
      </c>
      <c r="Y173" s="12" t="n">
        <v>0</v>
      </c>
    </row>
    <row r="174" customFormat="false" ht="336.75" hidden="false" customHeight="true" outlineLevel="0" collapsed="false">
      <c r="A174" s="12" t="s">
        <v>1350</v>
      </c>
      <c r="B174" s="5" t="s">
        <v>1351</v>
      </c>
      <c r="C174" s="12" t="s">
        <v>1365</v>
      </c>
      <c r="D174" s="12" t="s">
        <v>120</v>
      </c>
      <c r="E174" s="5" t="s">
        <v>1366</v>
      </c>
      <c r="F174" s="14"/>
      <c r="G174" s="14"/>
      <c r="H174" s="14" t="s">
        <v>87</v>
      </c>
      <c r="I174" s="14"/>
      <c r="J174" s="14"/>
      <c r="K174" s="14"/>
      <c r="L174" s="15"/>
      <c r="M174" s="12" t="s">
        <v>72</v>
      </c>
      <c r="N174" s="5"/>
      <c r="O174" s="12"/>
      <c r="P174" s="5" t="s">
        <v>1367</v>
      </c>
      <c r="Q174" s="12"/>
      <c r="R174" s="12" t="s">
        <v>92</v>
      </c>
      <c r="S174" s="5" t="s">
        <v>1361</v>
      </c>
      <c r="T174" s="5" t="s">
        <v>1343</v>
      </c>
      <c r="U174" s="12" t="n">
        <v>4</v>
      </c>
      <c r="V174" s="12" t="n">
        <v>2</v>
      </c>
      <c r="W174" s="12" t="n">
        <v>1</v>
      </c>
      <c r="X174" s="12" t="n">
        <v>1</v>
      </c>
      <c r="Y174" s="12" t="n">
        <v>1</v>
      </c>
    </row>
    <row r="175" customFormat="false" ht="41.25" hidden="false" customHeight="true" outlineLevel="0" collapsed="false">
      <c r="A175" s="12" t="s">
        <v>1350</v>
      </c>
      <c r="B175" s="5" t="s">
        <v>1351</v>
      </c>
      <c r="C175" s="12" t="s">
        <v>1368</v>
      </c>
      <c r="D175" s="12" t="s">
        <v>120</v>
      </c>
      <c r="E175" s="5" t="s">
        <v>1369</v>
      </c>
      <c r="F175" s="14"/>
      <c r="G175" s="14"/>
      <c r="H175" s="14" t="s">
        <v>87</v>
      </c>
      <c r="I175" s="14"/>
      <c r="J175" s="14"/>
      <c r="K175" s="14"/>
      <c r="L175" s="15"/>
      <c r="M175" s="12" t="s">
        <v>72</v>
      </c>
      <c r="N175" s="5"/>
      <c r="O175" s="12"/>
      <c r="P175" s="5" t="s">
        <v>1370</v>
      </c>
      <c r="Q175" s="12"/>
      <c r="R175" s="12" t="s">
        <v>1283</v>
      </c>
      <c r="S175" s="5" t="s">
        <v>1371</v>
      </c>
      <c r="T175" s="5" t="s">
        <v>1172</v>
      </c>
      <c r="U175" s="12" t="n">
        <v>3</v>
      </c>
      <c r="V175" s="12" t="n">
        <v>2</v>
      </c>
      <c r="W175" s="12" t="n">
        <v>1</v>
      </c>
      <c r="X175" s="12" t="n">
        <v>1</v>
      </c>
      <c r="Y175" s="12" t="n">
        <v>0</v>
      </c>
    </row>
    <row r="176" customFormat="false" ht="41.25" hidden="false" customHeight="true" outlineLevel="0" collapsed="false">
      <c r="A176" s="12" t="s">
        <v>1350</v>
      </c>
      <c r="B176" s="5" t="s">
        <v>1351</v>
      </c>
      <c r="C176" s="12" t="s">
        <v>1372</v>
      </c>
      <c r="D176" s="12" t="s">
        <v>120</v>
      </c>
      <c r="E176" s="5" t="s">
        <v>1373</v>
      </c>
      <c r="F176" s="14"/>
      <c r="G176" s="14"/>
      <c r="H176" s="14" t="s">
        <v>87</v>
      </c>
      <c r="I176" s="14"/>
      <c r="J176" s="14"/>
      <c r="K176" s="14"/>
      <c r="L176" s="15"/>
      <c r="M176" s="12" t="s">
        <v>72</v>
      </c>
      <c r="N176" s="5"/>
      <c r="O176" s="12"/>
      <c r="P176" s="5" t="s">
        <v>1374</v>
      </c>
      <c r="Q176" s="12"/>
      <c r="R176" s="12" t="s">
        <v>1283</v>
      </c>
      <c r="S176" s="5" t="s">
        <v>1375</v>
      </c>
      <c r="T176" s="5" t="s">
        <v>1172</v>
      </c>
      <c r="U176" s="12" t="n">
        <v>3</v>
      </c>
      <c r="V176" s="12" t="n">
        <v>2</v>
      </c>
      <c r="W176" s="12" t="n">
        <v>1</v>
      </c>
      <c r="X176" s="12" t="n">
        <v>1</v>
      </c>
      <c r="Y176" s="12" t="n">
        <v>0</v>
      </c>
    </row>
  </sheetData>
  <autoFilter ref="A6:Y6"/>
  <conditionalFormatting sqref="H7:H17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 H22 H24 H26 H28 H30 H32 H34 H36 H38 H40 H42 H44 H46 H48 H50 H52 H54 H56 H58 H60 H62 H64 H66 H68 H70 H72 H74 H76 H78 H80:H82 H84 H86 H88:H89 H91 H93 H95 H97 H99:H100 H102 H104 H106 H108 H110 H112 H114 H116 H118 H120 H122 H124 H126 H128 H130 H132 H134 H136 H138 H140 H142 H144 H146 H148 H150 H152 H154 H156 H158 H160 H162 H164 H166 H168 H170:H17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584</v>
      </c>
      <c r="B3" s="7" t="s">
        <v>585</v>
      </c>
    </row>
    <row r="4" customFormat="false" ht="15" hidden="false" customHeight="true" outlineLevel="0" collapsed="false">
      <c r="A4" s="4" t="s">
        <v>50</v>
      </c>
      <c r="B4" s="8" t="str">
        <f aca="false">IF(Praktiken!D8="","",Praktiken!D8)</f>
        <v/>
      </c>
    </row>
    <row r="5" customFormat="false" ht="15" hidden="false" customHeight="true" outlineLevel="0" collapsed="false">
      <c r="A5" s="4" t="s">
        <v>51</v>
      </c>
      <c r="B5" s="8" t="str">
        <f aca="false">IF(Praktiken!S8="","",Praktiken!S8)</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81.75" hidden="false" customHeight="true" outlineLevel="0" collapsed="false">
      <c r="A7" s="10" t="s">
        <v>1376</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c r="O7" s="12"/>
      <c r="P7" s="5" t="s">
        <v>1377</v>
      </c>
      <c r="Q7" s="12"/>
      <c r="R7" s="12" t="s">
        <v>1378</v>
      </c>
      <c r="S7" s="5" t="s">
        <v>1379</v>
      </c>
      <c r="T7" s="5" t="s">
        <v>306</v>
      </c>
      <c r="U7" s="12" t="n">
        <v>0</v>
      </c>
      <c r="V7" s="12" t="n">
        <v>1</v>
      </c>
      <c r="W7" s="12" t="n">
        <v>1</v>
      </c>
      <c r="X7" s="12" t="n">
        <v>1</v>
      </c>
      <c r="Y7" s="12" t="n">
        <v>0</v>
      </c>
    </row>
    <row r="8" customFormat="false" ht="216" hidden="false" customHeight="true" outlineLevel="0" collapsed="false">
      <c r="A8" s="12" t="s">
        <v>1376</v>
      </c>
      <c r="B8" s="5" t="s">
        <v>77</v>
      </c>
      <c r="C8" s="12" t="s">
        <v>1380</v>
      </c>
      <c r="D8" s="12" t="s">
        <v>78</v>
      </c>
      <c r="E8" s="5" t="s">
        <v>1381</v>
      </c>
      <c r="F8" s="14"/>
      <c r="G8" s="14"/>
      <c r="H8" s="14" t="s">
        <v>87</v>
      </c>
      <c r="I8" s="14"/>
      <c r="J8" s="14"/>
      <c r="K8" s="14"/>
      <c r="L8" s="15"/>
      <c r="M8" s="12"/>
      <c r="N8" s="5"/>
      <c r="O8" s="12"/>
      <c r="P8" s="5" t="s">
        <v>624</v>
      </c>
      <c r="Q8" s="12"/>
      <c r="R8" s="12" t="s">
        <v>92</v>
      </c>
      <c r="S8" s="5" t="s">
        <v>93</v>
      </c>
      <c r="T8" s="5" t="s">
        <v>625</v>
      </c>
      <c r="U8" s="12" t="n">
        <v>0</v>
      </c>
      <c r="V8" s="12" t="n">
        <v>1</v>
      </c>
      <c r="W8" s="12" t="n">
        <v>1</v>
      </c>
      <c r="X8" s="12" t="n">
        <v>1</v>
      </c>
      <c r="Y8" s="12" t="n">
        <v>1</v>
      </c>
    </row>
    <row r="9" customFormat="false" ht="336.75" hidden="false" customHeight="true" outlineLevel="0" collapsed="false">
      <c r="A9" s="12" t="s">
        <v>1376</v>
      </c>
      <c r="B9" s="5" t="s">
        <v>77</v>
      </c>
      <c r="C9" s="12" t="s">
        <v>1382</v>
      </c>
      <c r="D9" s="12" t="s">
        <v>78</v>
      </c>
      <c r="E9" s="5" t="s">
        <v>1383</v>
      </c>
      <c r="F9" s="14"/>
      <c r="G9" s="14"/>
      <c r="H9" s="14" t="s">
        <v>87</v>
      </c>
      <c r="I9" s="14"/>
      <c r="J9" s="14"/>
      <c r="K9" s="14"/>
      <c r="L9" s="15"/>
      <c r="M9" s="12"/>
      <c r="N9" s="5"/>
      <c r="O9" s="12"/>
      <c r="P9" s="5" t="s">
        <v>628</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1376</v>
      </c>
      <c r="B10" s="5" t="s">
        <v>77</v>
      </c>
      <c r="C10" s="12" t="s">
        <v>1384</v>
      </c>
      <c r="D10" s="12" t="s">
        <v>78</v>
      </c>
      <c r="E10" s="5" t="s">
        <v>1385</v>
      </c>
      <c r="F10" s="14"/>
      <c r="G10" s="14"/>
      <c r="H10" s="14" t="s">
        <v>87</v>
      </c>
      <c r="I10" s="14"/>
      <c r="J10" s="14"/>
      <c r="K10" s="14"/>
      <c r="L10" s="15"/>
      <c r="M10" s="12"/>
      <c r="N10" s="5"/>
      <c r="O10" s="12"/>
      <c r="P10" s="5" t="s">
        <v>1386</v>
      </c>
      <c r="Q10" s="12"/>
      <c r="R10" s="12" t="s">
        <v>92</v>
      </c>
      <c r="S10" s="5" t="s">
        <v>108</v>
      </c>
      <c r="T10" s="5" t="s">
        <v>102</v>
      </c>
      <c r="U10" s="12" t="n">
        <v>0</v>
      </c>
      <c r="V10" s="12" t="n">
        <v>1</v>
      </c>
      <c r="W10" s="12" t="n">
        <v>1</v>
      </c>
      <c r="X10" s="12" t="n">
        <v>1</v>
      </c>
      <c r="Y10" s="12" t="n">
        <v>0</v>
      </c>
    </row>
    <row r="11" customFormat="false" ht="189" hidden="false" customHeight="true" outlineLevel="0" collapsed="false">
      <c r="A11" s="10" t="s">
        <v>1387</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1387</v>
      </c>
      <c r="B12" s="5" t="s">
        <v>111</v>
      </c>
      <c r="C12" s="12" t="s">
        <v>1387</v>
      </c>
      <c r="D12" s="12" t="s">
        <v>78</v>
      </c>
      <c r="E12" s="5" t="s">
        <v>1388</v>
      </c>
      <c r="F12" s="14"/>
      <c r="G12" s="14"/>
      <c r="H12" s="14" t="s">
        <v>87</v>
      </c>
      <c r="I12" s="14"/>
      <c r="J12" s="14"/>
      <c r="K12" s="14"/>
      <c r="L12" s="15"/>
      <c r="M12" s="12"/>
      <c r="N12" s="5"/>
      <c r="O12" s="12"/>
      <c r="P12" s="5" t="s">
        <v>114</v>
      </c>
      <c r="Q12" s="12"/>
      <c r="R12" s="12" t="s">
        <v>115</v>
      </c>
      <c r="S12" s="5" t="s">
        <v>93</v>
      </c>
      <c r="T12" s="5" t="s">
        <v>306</v>
      </c>
      <c r="U12" s="12" t="n">
        <v>0</v>
      </c>
      <c r="V12" s="12" t="n">
        <v>1</v>
      </c>
      <c r="W12" s="12" t="n">
        <v>1</v>
      </c>
      <c r="X12" s="12" t="n">
        <v>1</v>
      </c>
      <c r="Y12" s="12" t="n">
        <v>0</v>
      </c>
    </row>
    <row r="13" customFormat="false" ht="41.25" hidden="false" customHeight="true" outlineLevel="0" collapsed="false">
      <c r="A13" s="10" t="s">
        <v>1389</v>
      </c>
      <c r="B13" s="11" t="s">
        <v>1390</v>
      </c>
      <c r="C13" s="12"/>
      <c r="D13" s="12" t="s">
        <v>120</v>
      </c>
      <c r="E13" s="5" t="s">
        <v>79</v>
      </c>
      <c r="F13" s="12"/>
      <c r="G13" s="12"/>
      <c r="H13" s="13" t="str">
        <f aca="false">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2"/>
      <c r="J13" s="12"/>
      <c r="K13" s="12"/>
      <c r="L13" s="12"/>
      <c r="M13" s="12"/>
      <c r="N13" s="5"/>
      <c r="O13" s="12"/>
      <c r="P13" s="5" t="s">
        <v>1391</v>
      </c>
      <c r="Q13" s="12" t="s">
        <v>1392</v>
      </c>
      <c r="R13" s="12" t="s">
        <v>1393</v>
      </c>
      <c r="S13" s="5" t="s">
        <v>1394</v>
      </c>
      <c r="T13" s="5" t="s">
        <v>306</v>
      </c>
      <c r="U13" s="12" t="n">
        <v>2</v>
      </c>
      <c r="V13" s="12" t="n">
        <v>1</v>
      </c>
      <c r="W13" s="12" t="n">
        <v>1</v>
      </c>
      <c r="X13" s="12" t="n">
        <v>1</v>
      </c>
      <c r="Y13" s="12" t="n">
        <v>0</v>
      </c>
    </row>
    <row r="14" customFormat="false" ht="41.25" hidden="false" customHeight="true" outlineLevel="0" collapsed="false">
      <c r="A14" s="12" t="s">
        <v>1389</v>
      </c>
      <c r="B14" s="5" t="s">
        <v>1390</v>
      </c>
      <c r="C14" s="12" t="s">
        <v>1389</v>
      </c>
      <c r="D14" s="12" t="s">
        <v>120</v>
      </c>
      <c r="E14" s="5" t="s">
        <v>1395</v>
      </c>
      <c r="F14" s="14"/>
      <c r="G14" s="14"/>
      <c r="H14" s="14" t="s">
        <v>87</v>
      </c>
      <c r="I14" s="14"/>
      <c r="J14" s="14"/>
      <c r="K14" s="14"/>
      <c r="L14" s="15"/>
      <c r="M14" s="12"/>
      <c r="N14" s="5"/>
      <c r="O14" s="12"/>
      <c r="P14" s="5" t="s">
        <v>1391</v>
      </c>
      <c r="Q14" s="12" t="s">
        <v>1392</v>
      </c>
      <c r="R14" s="12" t="s">
        <v>1393</v>
      </c>
      <c r="S14" s="5" t="s">
        <v>1394</v>
      </c>
      <c r="T14" s="5" t="s">
        <v>306</v>
      </c>
      <c r="U14" s="12" t="n">
        <v>2</v>
      </c>
      <c r="V14" s="12" t="n">
        <v>1</v>
      </c>
      <c r="W14" s="12" t="n">
        <v>1</v>
      </c>
      <c r="X14" s="12" t="n">
        <v>1</v>
      </c>
      <c r="Y14" s="12" t="n">
        <v>0</v>
      </c>
    </row>
    <row r="15" customFormat="false" ht="189" hidden="false" customHeight="true" outlineLevel="0" collapsed="false">
      <c r="A15" s="12" t="s">
        <v>1389</v>
      </c>
      <c r="B15" s="5" t="s">
        <v>1390</v>
      </c>
      <c r="C15" s="12" t="s">
        <v>1396</v>
      </c>
      <c r="D15" s="12" t="s">
        <v>160</v>
      </c>
      <c r="E15" s="5" t="s">
        <v>1397</v>
      </c>
      <c r="F15" s="14"/>
      <c r="G15" s="14"/>
      <c r="H15" s="14" t="s">
        <v>87</v>
      </c>
      <c r="I15" s="14"/>
      <c r="J15" s="14"/>
      <c r="K15" s="14"/>
      <c r="L15" s="15"/>
      <c r="M15" s="12"/>
      <c r="N15" s="5"/>
      <c r="O15" s="12"/>
      <c r="P15" s="5" t="s">
        <v>1398</v>
      </c>
      <c r="Q15" s="12" t="s">
        <v>1392</v>
      </c>
      <c r="R15" s="12" t="s">
        <v>1393</v>
      </c>
      <c r="S15" s="5" t="s">
        <v>1399</v>
      </c>
      <c r="T15" s="5" t="s">
        <v>306</v>
      </c>
      <c r="U15" s="12" t="n">
        <v>5</v>
      </c>
      <c r="V15" s="12" t="n">
        <v>1</v>
      </c>
      <c r="W15" s="12" t="n">
        <v>1</v>
      </c>
      <c r="X15" s="12" t="n">
        <v>1</v>
      </c>
      <c r="Y15" s="12" t="n">
        <v>0</v>
      </c>
    </row>
    <row r="16" customFormat="false" ht="309.75" hidden="false" customHeight="true" outlineLevel="0" collapsed="false">
      <c r="A16" s="10" t="s">
        <v>1400</v>
      </c>
      <c r="B16" s="11" t="s">
        <v>1401</v>
      </c>
      <c r="C16" s="12"/>
      <c r="D16" s="12" t="s">
        <v>160</v>
      </c>
      <c r="E16" s="5" t="s">
        <v>79</v>
      </c>
      <c r="F16" s="12"/>
      <c r="G16" s="12"/>
      <c r="H16" s="13" t="str">
        <f aca="false">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Bitte Teilanforderungen ausfüllen</v>
      </c>
      <c r="I16" s="12"/>
      <c r="J16" s="12"/>
      <c r="K16" s="12"/>
      <c r="L16" s="12"/>
      <c r="M16" s="12"/>
      <c r="N16" s="5"/>
      <c r="O16" s="12"/>
      <c r="P16" s="5" t="s">
        <v>1402</v>
      </c>
      <c r="Q16" s="12" t="s">
        <v>1403</v>
      </c>
      <c r="R16" s="12" t="s">
        <v>1404</v>
      </c>
      <c r="S16" s="5" t="s">
        <v>1405</v>
      </c>
      <c r="T16" s="5" t="s">
        <v>1406</v>
      </c>
      <c r="U16" s="12" t="n">
        <v>4</v>
      </c>
      <c r="V16" s="12" t="n">
        <v>1</v>
      </c>
      <c r="W16" s="12" t="n">
        <v>1</v>
      </c>
      <c r="X16" s="12" t="n">
        <v>1</v>
      </c>
      <c r="Y16" s="12" t="n">
        <v>0</v>
      </c>
    </row>
    <row r="17" customFormat="false" ht="309.75" hidden="false" customHeight="true" outlineLevel="0" collapsed="false">
      <c r="A17" s="12" t="s">
        <v>1400</v>
      </c>
      <c r="B17" s="5" t="s">
        <v>1401</v>
      </c>
      <c r="C17" s="12" t="s">
        <v>1400</v>
      </c>
      <c r="D17" s="12" t="s">
        <v>160</v>
      </c>
      <c r="E17" s="5" t="s">
        <v>1407</v>
      </c>
      <c r="F17" s="14"/>
      <c r="G17" s="14"/>
      <c r="H17" s="14" t="s">
        <v>87</v>
      </c>
      <c r="I17" s="14"/>
      <c r="J17" s="14"/>
      <c r="K17" s="14"/>
      <c r="L17" s="15"/>
      <c r="M17" s="12"/>
      <c r="N17" s="5"/>
      <c r="O17" s="12"/>
      <c r="P17" s="5" t="s">
        <v>1402</v>
      </c>
      <c r="Q17" s="12" t="s">
        <v>1403</v>
      </c>
      <c r="R17" s="12" t="s">
        <v>1404</v>
      </c>
      <c r="S17" s="5" t="s">
        <v>1405</v>
      </c>
      <c r="T17" s="5" t="s">
        <v>1406</v>
      </c>
      <c r="U17" s="12" t="n">
        <v>4</v>
      </c>
      <c r="V17" s="12" t="n">
        <v>1</v>
      </c>
      <c r="W17" s="12" t="n">
        <v>1</v>
      </c>
      <c r="X17" s="12" t="n">
        <v>1</v>
      </c>
      <c r="Y17" s="12" t="n">
        <v>0</v>
      </c>
    </row>
    <row r="18" customFormat="false" ht="135.75" hidden="false" customHeight="true" outlineLevel="0" collapsed="false">
      <c r="A18" s="12" t="s">
        <v>1400</v>
      </c>
      <c r="B18" s="5" t="s">
        <v>1401</v>
      </c>
      <c r="C18" s="12" t="s">
        <v>1408</v>
      </c>
      <c r="D18" s="12" t="s">
        <v>120</v>
      </c>
      <c r="E18" s="5" t="s">
        <v>1409</v>
      </c>
      <c r="F18" s="14"/>
      <c r="G18" s="14"/>
      <c r="H18" s="14" t="s">
        <v>87</v>
      </c>
      <c r="I18" s="14"/>
      <c r="J18" s="14"/>
      <c r="K18" s="14"/>
      <c r="L18" s="15"/>
      <c r="M18" s="12"/>
      <c r="N18" s="5"/>
      <c r="O18" s="12"/>
      <c r="P18" s="5" t="s">
        <v>1410</v>
      </c>
      <c r="Q18" s="12" t="s">
        <v>1403</v>
      </c>
      <c r="R18" s="12" t="s">
        <v>1404</v>
      </c>
      <c r="S18" s="5" t="s">
        <v>1411</v>
      </c>
      <c r="T18" s="5" t="s">
        <v>306</v>
      </c>
      <c r="U18" s="12" t="n">
        <v>4</v>
      </c>
      <c r="V18" s="12" t="n">
        <v>1</v>
      </c>
      <c r="W18" s="12" t="n">
        <v>1</v>
      </c>
      <c r="X18" s="12" t="n">
        <v>1</v>
      </c>
      <c r="Y18" s="12" t="n">
        <v>0</v>
      </c>
    </row>
    <row r="19" customFormat="false" ht="122.25" hidden="false" customHeight="true" outlineLevel="0" collapsed="false">
      <c r="A19" s="10" t="s">
        <v>1412</v>
      </c>
      <c r="B19" s="11" t="s">
        <v>1413</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c r="O19" s="12"/>
      <c r="P19" s="5" t="s">
        <v>1414</v>
      </c>
      <c r="Q19" s="12" t="s">
        <v>1415</v>
      </c>
      <c r="R19" s="12" t="s">
        <v>1416</v>
      </c>
      <c r="S19" s="5" t="s">
        <v>1417</v>
      </c>
      <c r="T19" s="5" t="s">
        <v>306</v>
      </c>
      <c r="U19" s="12" t="n">
        <v>3</v>
      </c>
      <c r="V19" s="12" t="n">
        <v>1</v>
      </c>
      <c r="W19" s="12" t="n">
        <v>1</v>
      </c>
      <c r="X19" s="12" t="n">
        <v>1</v>
      </c>
      <c r="Y19" s="12" t="n">
        <v>0</v>
      </c>
    </row>
    <row r="20" customFormat="false" ht="122.25" hidden="false" customHeight="true" outlineLevel="0" collapsed="false">
      <c r="A20" s="12" t="s">
        <v>1412</v>
      </c>
      <c r="B20" s="5" t="s">
        <v>1413</v>
      </c>
      <c r="C20" s="12" t="s">
        <v>1412</v>
      </c>
      <c r="D20" s="12" t="s">
        <v>120</v>
      </c>
      <c r="E20" s="5" t="s">
        <v>1418</v>
      </c>
      <c r="F20" s="14"/>
      <c r="G20" s="14"/>
      <c r="H20" s="14" t="s">
        <v>87</v>
      </c>
      <c r="I20" s="14"/>
      <c r="J20" s="14"/>
      <c r="K20" s="14"/>
      <c r="L20" s="15"/>
      <c r="M20" s="12"/>
      <c r="N20" s="5"/>
      <c r="O20" s="12"/>
      <c r="P20" s="5" t="s">
        <v>1414</v>
      </c>
      <c r="Q20" s="12" t="s">
        <v>1415</v>
      </c>
      <c r="R20" s="12" t="s">
        <v>1416</v>
      </c>
      <c r="S20" s="5" t="s">
        <v>1417</v>
      </c>
      <c r="T20" s="5" t="s">
        <v>306</v>
      </c>
      <c r="U20" s="12" t="n">
        <v>3</v>
      </c>
      <c r="V20" s="12" t="n">
        <v>1</v>
      </c>
      <c r="W20" s="12" t="n">
        <v>1</v>
      </c>
      <c r="X20" s="12" t="n">
        <v>1</v>
      </c>
      <c r="Y20" s="12" t="n">
        <v>0</v>
      </c>
    </row>
    <row r="21" customFormat="false" ht="68.25" hidden="false" customHeight="true" outlineLevel="0" collapsed="false">
      <c r="A21" s="10" t="s">
        <v>1419</v>
      </c>
      <c r="B21" s="11" t="s">
        <v>1420</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1421</v>
      </c>
      <c r="Q21" s="12" t="s">
        <v>1415</v>
      </c>
      <c r="R21" s="12" t="s">
        <v>1416</v>
      </c>
      <c r="S21" s="5" t="s">
        <v>1422</v>
      </c>
      <c r="T21" s="5" t="s">
        <v>625</v>
      </c>
      <c r="U21" s="12" t="n">
        <v>3</v>
      </c>
      <c r="V21" s="12" t="n">
        <v>1</v>
      </c>
      <c r="W21" s="12" t="n">
        <v>1</v>
      </c>
      <c r="X21" s="12" t="n">
        <v>1</v>
      </c>
      <c r="Y21" s="12" t="n">
        <v>0</v>
      </c>
    </row>
    <row r="22" customFormat="false" ht="68.25" hidden="false" customHeight="true" outlineLevel="0" collapsed="false">
      <c r="A22" s="12" t="s">
        <v>1419</v>
      </c>
      <c r="B22" s="5" t="s">
        <v>1420</v>
      </c>
      <c r="C22" s="12" t="s">
        <v>1419</v>
      </c>
      <c r="D22" s="12" t="s">
        <v>120</v>
      </c>
      <c r="E22" s="5" t="s">
        <v>1423</v>
      </c>
      <c r="F22" s="14"/>
      <c r="G22" s="14"/>
      <c r="H22" s="14" t="s">
        <v>87</v>
      </c>
      <c r="I22" s="14"/>
      <c r="J22" s="14"/>
      <c r="K22" s="14"/>
      <c r="L22" s="15"/>
      <c r="M22" s="12"/>
      <c r="N22" s="5"/>
      <c r="O22" s="12"/>
      <c r="P22" s="5" t="s">
        <v>1421</v>
      </c>
      <c r="Q22" s="12" t="s">
        <v>1415</v>
      </c>
      <c r="R22" s="12" t="s">
        <v>1416</v>
      </c>
      <c r="S22" s="5" t="s">
        <v>1422</v>
      </c>
      <c r="T22" s="5" t="s">
        <v>625</v>
      </c>
      <c r="U22" s="12" t="n">
        <v>3</v>
      </c>
      <c r="V22" s="12" t="n">
        <v>1</v>
      </c>
      <c r="W22" s="12" t="n">
        <v>1</v>
      </c>
      <c r="X22" s="12" t="n">
        <v>1</v>
      </c>
      <c r="Y22" s="12" t="n">
        <v>0</v>
      </c>
    </row>
    <row r="23" customFormat="false" ht="54.75" hidden="false" customHeight="true" outlineLevel="0" collapsed="false">
      <c r="A23" s="10" t="s">
        <v>1424</v>
      </c>
      <c r="B23" s="11" t="s">
        <v>1425</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1426</v>
      </c>
      <c r="Q23" s="12" t="s">
        <v>1415</v>
      </c>
      <c r="R23" s="12" t="s">
        <v>1416</v>
      </c>
      <c r="S23" s="5" t="s">
        <v>1427</v>
      </c>
      <c r="T23" s="5" t="s">
        <v>306</v>
      </c>
      <c r="U23" s="12" t="n">
        <v>3</v>
      </c>
      <c r="V23" s="12" t="n">
        <v>1</v>
      </c>
      <c r="W23" s="12" t="n">
        <v>1</v>
      </c>
      <c r="X23" s="12" t="n">
        <v>1</v>
      </c>
      <c r="Y23" s="12" t="n">
        <v>0</v>
      </c>
    </row>
    <row r="24" customFormat="false" ht="54.75" hidden="false" customHeight="true" outlineLevel="0" collapsed="false">
      <c r="A24" s="12" t="s">
        <v>1424</v>
      </c>
      <c r="B24" s="5" t="s">
        <v>1425</v>
      </c>
      <c r="C24" s="12" t="s">
        <v>1424</v>
      </c>
      <c r="D24" s="12" t="s">
        <v>120</v>
      </c>
      <c r="E24" s="5" t="s">
        <v>1428</v>
      </c>
      <c r="F24" s="14"/>
      <c r="G24" s="14"/>
      <c r="H24" s="14" t="s">
        <v>87</v>
      </c>
      <c r="I24" s="14"/>
      <c r="J24" s="14"/>
      <c r="K24" s="14"/>
      <c r="L24" s="15"/>
      <c r="M24" s="12"/>
      <c r="N24" s="5"/>
      <c r="O24" s="12"/>
      <c r="P24" s="5" t="s">
        <v>1426</v>
      </c>
      <c r="Q24" s="12" t="s">
        <v>1415</v>
      </c>
      <c r="R24" s="12" t="s">
        <v>1416</v>
      </c>
      <c r="S24" s="5" t="s">
        <v>1427</v>
      </c>
      <c r="T24" s="5" t="s">
        <v>306</v>
      </c>
      <c r="U24" s="12" t="n">
        <v>3</v>
      </c>
      <c r="V24" s="12" t="n">
        <v>1</v>
      </c>
      <c r="W24" s="12" t="n">
        <v>1</v>
      </c>
      <c r="X24" s="12" t="n">
        <v>1</v>
      </c>
      <c r="Y24" s="12" t="n">
        <v>0</v>
      </c>
    </row>
    <row r="25" customFormat="false" ht="41.25" hidden="false" customHeight="true" outlineLevel="0" collapsed="false">
      <c r="A25" s="10" t="s">
        <v>1429</v>
      </c>
      <c r="B25" s="11" t="s">
        <v>1430</v>
      </c>
      <c r="C25" s="12"/>
      <c r="D25" s="12" t="s">
        <v>120</v>
      </c>
      <c r="E25" s="5" t="s">
        <v>79</v>
      </c>
      <c r="F25" s="12"/>
      <c r="G25" s="12"/>
      <c r="H25" s="13" t="str">
        <f aca="false">IF(OR(COUNTBLANK($H$26:$H$36)&gt;0,COUNTIF($H$26:$H$36,"unbearbeitet")=COUNTA($H$26:$H$36)),"Bitte Teilanforderungen ausfüllen",IF(COUNTIF($H$26:$H$36,"zu klären")&gt;0,"zu klären",IF(COUNTIF($H$26:$H$36,"entbehrlich")=COUNTA($H$26:$H$36),"entbehrlich",IF(COUNTIF($H$26:$H$36,"verwiesen")=COUNTA($H$26:$H$36),"verwiesen",IF(COUNTIF($H$26:$H$36,"nein")+COUNTIF($H$26:$H$36,"entbehrlich")=COUNTA($H$26:$H$36),"nein",IF(COUNTIF($H$26:$H$36,"ja")+COUNTIF($H$26:$H$36,"entbehrlich")+COUNTIF($H$26:$H$36,"verwiesen")=COUNTA($H$26:$H$36),"ja","teilweise"))))))</f>
        <v>Bitte Teilanforderungen ausfüllen</v>
      </c>
      <c r="I25" s="12"/>
      <c r="J25" s="12"/>
      <c r="K25" s="12"/>
      <c r="L25" s="12"/>
      <c r="M25" s="12"/>
      <c r="N25" s="5"/>
      <c r="O25" s="12"/>
      <c r="P25" s="5" t="s">
        <v>1431</v>
      </c>
      <c r="Q25" s="12" t="s">
        <v>1392</v>
      </c>
      <c r="R25" s="12" t="s">
        <v>1416</v>
      </c>
      <c r="S25" s="5" t="s">
        <v>1432</v>
      </c>
      <c r="T25" s="5" t="s">
        <v>306</v>
      </c>
      <c r="U25" s="12" t="n">
        <v>2</v>
      </c>
      <c r="V25" s="12" t="n">
        <v>1</v>
      </c>
      <c r="W25" s="12" t="n">
        <v>1</v>
      </c>
      <c r="X25" s="12" t="n">
        <v>1</v>
      </c>
      <c r="Y25" s="12" t="n">
        <v>0</v>
      </c>
    </row>
    <row r="26" customFormat="false" ht="41.25" hidden="false" customHeight="true" outlineLevel="0" collapsed="false">
      <c r="A26" s="12" t="s">
        <v>1429</v>
      </c>
      <c r="B26" s="5" t="s">
        <v>1430</v>
      </c>
      <c r="C26" s="12" t="s">
        <v>1429</v>
      </c>
      <c r="D26" s="12" t="s">
        <v>120</v>
      </c>
      <c r="E26" s="5" t="s">
        <v>1433</v>
      </c>
      <c r="F26" s="14"/>
      <c r="G26" s="14"/>
      <c r="H26" s="14" t="s">
        <v>87</v>
      </c>
      <c r="I26" s="14"/>
      <c r="J26" s="14"/>
      <c r="K26" s="14"/>
      <c r="L26" s="15"/>
      <c r="M26" s="12"/>
      <c r="N26" s="5"/>
      <c r="O26" s="12"/>
      <c r="P26" s="5" t="s">
        <v>1431</v>
      </c>
      <c r="Q26" s="12" t="s">
        <v>1392</v>
      </c>
      <c r="R26" s="12" t="s">
        <v>1416</v>
      </c>
      <c r="S26" s="5" t="s">
        <v>1432</v>
      </c>
      <c r="T26" s="5" t="s">
        <v>306</v>
      </c>
      <c r="U26" s="12" t="n">
        <v>2</v>
      </c>
      <c r="V26" s="12" t="n">
        <v>1</v>
      </c>
      <c r="W26" s="12" t="n">
        <v>1</v>
      </c>
      <c r="X26" s="12" t="n">
        <v>1</v>
      </c>
      <c r="Y26" s="12" t="n">
        <v>0</v>
      </c>
    </row>
    <row r="27" customFormat="false" ht="27.75" hidden="false" customHeight="true" outlineLevel="0" collapsed="false">
      <c r="A27" s="12" t="s">
        <v>1429</v>
      </c>
      <c r="B27" s="5" t="s">
        <v>1430</v>
      </c>
      <c r="C27" s="12" t="s">
        <v>1434</v>
      </c>
      <c r="D27" s="12" t="s">
        <v>120</v>
      </c>
      <c r="E27" s="5" t="s">
        <v>1435</v>
      </c>
      <c r="F27" s="14"/>
      <c r="G27" s="14"/>
      <c r="H27" s="14" t="s">
        <v>87</v>
      </c>
      <c r="I27" s="14"/>
      <c r="J27" s="14"/>
      <c r="K27" s="14"/>
      <c r="L27" s="15"/>
      <c r="M27" s="12"/>
      <c r="N27" s="5"/>
      <c r="O27" s="12"/>
      <c r="P27" s="5" t="s">
        <v>1436</v>
      </c>
      <c r="Q27" s="12" t="s">
        <v>1437</v>
      </c>
      <c r="R27" s="12" t="s">
        <v>1416</v>
      </c>
      <c r="S27" s="5" t="s">
        <v>1438</v>
      </c>
      <c r="T27" s="5" t="s">
        <v>306</v>
      </c>
      <c r="U27" s="12" t="n">
        <v>3</v>
      </c>
      <c r="V27" s="12" t="n">
        <v>1</v>
      </c>
      <c r="W27" s="12" t="n">
        <v>1</v>
      </c>
      <c r="X27" s="12" t="n">
        <v>1</v>
      </c>
      <c r="Y27" s="12" t="n">
        <v>0</v>
      </c>
    </row>
    <row r="28" customFormat="false" ht="81.75" hidden="false" customHeight="true" outlineLevel="0" collapsed="false">
      <c r="A28" s="12" t="s">
        <v>1429</v>
      </c>
      <c r="B28" s="5" t="s">
        <v>1430</v>
      </c>
      <c r="C28" s="12" t="s">
        <v>1439</v>
      </c>
      <c r="D28" s="12" t="s">
        <v>120</v>
      </c>
      <c r="E28" s="5" t="s">
        <v>1440</v>
      </c>
      <c r="F28" s="14"/>
      <c r="G28" s="14"/>
      <c r="H28" s="14" t="s">
        <v>87</v>
      </c>
      <c r="I28" s="14"/>
      <c r="J28" s="14"/>
      <c r="K28" s="14"/>
      <c r="L28" s="15"/>
      <c r="M28" s="12"/>
      <c r="N28" s="5"/>
      <c r="O28" s="12"/>
      <c r="P28" s="5" t="s">
        <v>1441</v>
      </c>
      <c r="Q28" s="12" t="s">
        <v>1403</v>
      </c>
      <c r="R28" s="12" t="s">
        <v>1442</v>
      </c>
      <c r="S28" s="5" t="s">
        <v>1443</v>
      </c>
      <c r="T28" s="5" t="s">
        <v>306</v>
      </c>
      <c r="U28" s="12" t="n">
        <v>4</v>
      </c>
      <c r="V28" s="12" t="n">
        <v>1</v>
      </c>
      <c r="W28" s="12" t="n">
        <v>1</v>
      </c>
      <c r="X28" s="12" t="n">
        <v>1</v>
      </c>
      <c r="Y28" s="12" t="n">
        <v>0</v>
      </c>
    </row>
    <row r="29" customFormat="false" ht="54.75" hidden="false" customHeight="true" outlineLevel="0" collapsed="false">
      <c r="A29" s="12" t="s">
        <v>1429</v>
      </c>
      <c r="B29" s="5" t="s">
        <v>1430</v>
      </c>
      <c r="C29" s="12" t="s">
        <v>1444</v>
      </c>
      <c r="D29" s="12" t="s">
        <v>120</v>
      </c>
      <c r="E29" s="5" t="s">
        <v>1445</v>
      </c>
      <c r="F29" s="14"/>
      <c r="G29" s="14"/>
      <c r="H29" s="14" t="s">
        <v>87</v>
      </c>
      <c r="I29" s="14"/>
      <c r="J29" s="14"/>
      <c r="K29" s="14"/>
      <c r="L29" s="15"/>
      <c r="M29" s="12"/>
      <c r="N29" s="5"/>
      <c r="O29" s="12"/>
      <c r="P29" s="5" t="s">
        <v>1446</v>
      </c>
      <c r="Q29" s="12" t="s">
        <v>1437</v>
      </c>
      <c r="R29" s="12" t="s">
        <v>1416</v>
      </c>
      <c r="S29" s="5" t="s">
        <v>1447</v>
      </c>
      <c r="T29" s="5" t="s">
        <v>306</v>
      </c>
      <c r="U29" s="12" t="n">
        <v>3</v>
      </c>
      <c r="V29" s="12" t="n">
        <v>1</v>
      </c>
      <c r="W29" s="12" t="n">
        <v>1</v>
      </c>
      <c r="X29" s="12" t="n">
        <v>1</v>
      </c>
      <c r="Y29" s="12" t="n">
        <v>0</v>
      </c>
    </row>
    <row r="30" customFormat="false" ht="149.25" hidden="false" customHeight="true" outlineLevel="0" collapsed="false">
      <c r="A30" s="12" t="s">
        <v>1429</v>
      </c>
      <c r="B30" s="5" t="s">
        <v>1430</v>
      </c>
      <c r="C30" s="12" t="s">
        <v>1448</v>
      </c>
      <c r="D30" s="12" t="s">
        <v>120</v>
      </c>
      <c r="E30" s="5" t="s">
        <v>1449</v>
      </c>
      <c r="F30" s="14"/>
      <c r="G30" s="14"/>
      <c r="H30" s="14" t="s">
        <v>87</v>
      </c>
      <c r="I30" s="14"/>
      <c r="J30" s="14"/>
      <c r="K30" s="14"/>
      <c r="L30" s="15"/>
      <c r="M30" s="12"/>
      <c r="N30" s="5"/>
      <c r="O30" s="12"/>
      <c r="P30" s="5" t="s">
        <v>1450</v>
      </c>
      <c r="Q30" s="12" t="s">
        <v>1392</v>
      </c>
      <c r="R30" s="12" t="s">
        <v>1416</v>
      </c>
      <c r="S30" s="5" t="s">
        <v>1451</v>
      </c>
      <c r="T30" s="5" t="s">
        <v>306</v>
      </c>
      <c r="U30" s="12" t="n">
        <v>3</v>
      </c>
      <c r="V30" s="12" t="n">
        <v>1</v>
      </c>
      <c r="W30" s="12" t="n">
        <v>1</v>
      </c>
      <c r="X30" s="12" t="n">
        <v>1</v>
      </c>
      <c r="Y30" s="12" t="n">
        <v>0</v>
      </c>
    </row>
    <row r="31" customFormat="false" ht="309.75" hidden="false" customHeight="true" outlineLevel="0" collapsed="false">
      <c r="A31" s="12" t="s">
        <v>1429</v>
      </c>
      <c r="B31" s="5" t="s">
        <v>1430</v>
      </c>
      <c r="C31" s="12" t="s">
        <v>1452</v>
      </c>
      <c r="D31" s="12" t="s">
        <v>120</v>
      </c>
      <c r="E31" s="5" t="s">
        <v>1453</v>
      </c>
      <c r="F31" s="14"/>
      <c r="G31" s="14"/>
      <c r="H31" s="14" t="s">
        <v>87</v>
      </c>
      <c r="I31" s="14"/>
      <c r="J31" s="14"/>
      <c r="K31" s="14"/>
      <c r="L31" s="15"/>
      <c r="M31" s="12"/>
      <c r="N31" s="5"/>
      <c r="O31" s="12"/>
      <c r="P31" s="5" t="s">
        <v>1454</v>
      </c>
      <c r="Q31" s="12" t="s">
        <v>1392</v>
      </c>
      <c r="R31" s="12" t="s">
        <v>1416</v>
      </c>
      <c r="S31" s="5" t="s">
        <v>1455</v>
      </c>
      <c r="T31" s="5" t="s">
        <v>306</v>
      </c>
      <c r="U31" s="12" t="n">
        <v>4</v>
      </c>
      <c r="V31" s="12" t="n">
        <v>1</v>
      </c>
      <c r="W31" s="12" t="n">
        <v>1</v>
      </c>
      <c r="X31" s="12" t="n">
        <v>1</v>
      </c>
      <c r="Y31" s="12" t="n">
        <v>0</v>
      </c>
    </row>
    <row r="32" customFormat="false" ht="323.25" hidden="false" customHeight="true" outlineLevel="0" collapsed="false">
      <c r="A32" s="12" t="s">
        <v>1429</v>
      </c>
      <c r="B32" s="5" t="s">
        <v>1430</v>
      </c>
      <c r="C32" s="12" t="s">
        <v>1456</v>
      </c>
      <c r="D32" s="12" t="s">
        <v>120</v>
      </c>
      <c r="E32" s="5" t="s">
        <v>1457</v>
      </c>
      <c r="F32" s="14"/>
      <c r="G32" s="14"/>
      <c r="H32" s="14" t="s">
        <v>87</v>
      </c>
      <c r="I32" s="14"/>
      <c r="J32" s="14"/>
      <c r="K32" s="14"/>
      <c r="L32" s="15"/>
      <c r="M32" s="12"/>
      <c r="N32" s="5"/>
      <c r="O32" s="12"/>
      <c r="P32" s="5" t="s">
        <v>1458</v>
      </c>
      <c r="Q32" s="12" t="s">
        <v>1392</v>
      </c>
      <c r="R32" s="12" t="s">
        <v>1416</v>
      </c>
      <c r="S32" s="5" t="s">
        <v>1455</v>
      </c>
      <c r="T32" s="5" t="s">
        <v>306</v>
      </c>
      <c r="U32" s="12" t="n">
        <v>4</v>
      </c>
      <c r="V32" s="12" t="n">
        <v>1</v>
      </c>
      <c r="W32" s="12" t="n">
        <v>1</v>
      </c>
      <c r="X32" s="12" t="n">
        <v>1</v>
      </c>
      <c r="Y32" s="12" t="n">
        <v>0</v>
      </c>
    </row>
    <row r="33" customFormat="false" ht="377.25" hidden="false" customHeight="true" outlineLevel="0" collapsed="false">
      <c r="A33" s="12" t="s">
        <v>1429</v>
      </c>
      <c r="B33" s="5" t="s">
        <v>1430</v>
      </c>
      <c r="C33" s="12" t="s">
        <v>1459</v>
      </c>
      <c r="D33" s="12" t="s">
        <v>120</v>
      </c>
      <c r="E33" s="5" t="s">
        <v>1460</v>
      </c>
      <c r="F33" s="14"/>
      <c r="G33" s="14"/>
      <c r="H33" s="14" t="s">
        <v>87</v>
      </c>
      <c r="I33" s="14"/>
      <c r="J33" s="14"/>
      <c r="K33" s="14"/>
      <c r="L33" s="15"/>
      <c r="M33" s="12"/>
      <c r="N33" s="5"/>
      <c r="O33" s="12"/>
      <c r="P33" s="5" t="s">
        <v>1461</v>
      </c>
      <c r="Q33" s="12" t="s">
        <v>1392</v>
      </c>
      <c r="R33" s="12" t="s">
        <v>1416</v>
      </c>
      <c r="S33" s="5" t="s">
        <v>1455</v>
      </c>
      <c r="T33" s="5" t="s">
        <v>1462</v>
      </c>
      <c r="U33" s="12" t="n">
        <v>4</v>
      </c>
      <c r="V33" s="12" t="n">
        <v>1</v>
      </c>
      <c r="W33" s="12" t="n">
        <v>1</v>
      </c>
      <c r="X33" s="12" t="n">
        <v>0</v>
      </c>
      <c r="Y33" s="12" t="n">
        <v>1</v>
      </c>
    </row>
    <row r="34" customFormat="false" ht="309.75" hidden="false" customHeight="true" outlineLevel="0" collapsed="false">
      <c r="A34" s="12" t="s">
        <v>1429</v>
      </c>
      <c r="B34" s="5" t="s">
        <v>1430</v>
      </c>
      <c r="C34" s="12" t="s">
        <v>1463</v>
      </c>
      <c r="D34" s="12" t="s">
        <v>120</v>
      </c>
      <c r="E34" s="5" t="s">
        <v>1464</v>
      </c>
      <c r="F34" s="14"/>
      <c r="G34" s="14"/>
      <c r="H34" s="14" t="s">
        <v>87</v>
      </c>
      <c r="I34" s="14"/>
      <c r="J34" s="14"/>
      <c r="K34" s="14"/>
      <c r="L34" s="15"/>
      <c r="M34" s="12"/>
      <c r="N34" s="5"/>
      <c r="O34" s="12"/>
      <c r="P34" s="5" t="s">
        <v>1465</v>
      </c>
      <c r="Q34" s="12" t="s">
        <v>1392</v>
      </c>
      <c r="R34" s="12" t="s">
        <v>1416</v>
      </c>
      <c r="S34" s="5" t="s">
        <v>1455</v>
      </c>
      <c r="T34" s="5" t="s">
        <v>306</v>
      </c>
      <c r="U34" s="12" t="n">
        <v>4</v>
      </c>
      <c r="V34" s="12" t="n">
        <v>1</v>
      </c>
      <c r="W34" s="12" t="n">
        <v>1</v>
      </c>
      <c r="X34" s="12" t="n">
        <v>1</v>
      </c>
      <c r="Y34" s="12" t="n">
        <v>0</v>
      </c>
    </row>
    <row r="35" customFormat="false" ht="108.75" hidden="false" customHeight="true" outlineLevel="0" collapsed="false">
      <c r="A35" s="12" t="s">
        <v>1429</v>
      </c>
      <c r="B35" s="5" t="s">
        <v>1430</v>
      </c>
      <c r="C35" s="12" t="s">
        <v>1466</v>
      </c>
      <c r="D35" s="12" t="s">
        <v>120</v>
      </c>
      <c r="E35" s="5" t="s">
        <v>1467</v>
      </c>
      <c r="F35" s="14"/>
      <c r="G35" s="14"/>
      <c r="H35" s="14" t="s">
        <v>87</v>
      </c>
      <c r="I35" s="14"/>
      <c r="J35" s="14"/>
      <c r="K35" s="14"/>
      <c r="L35" s="15"/>
      <c r="M35" s="12"/>
      <c r="N35" s="5"/>
      <c r="O35" s="12"/>
      <c r="P35" s="5" t="s">
        <v>1468</v>
      </c>
      <c r="Q35" s="12" t="s">
        <v>1437</v>
      </c>
      <c r="R35" s="12" t="s">
        <v>1416</v>
      </c>
      <c r="S35" s="5" t="s">
        <v>1469</v>
      </c>
      <c r="T35" s="5" t="s">
        <v>306</v>
      </c>
      <c r="U35" s="12" t="n">
        <v>3</v>
      </c>
      <c r="V35" s="12" t="n">
        <v>1</v>
      </c>
      <c r="W35" s="12" t="n">
        <v>1</v>
      </c>
      <c r="X35" s="12" t="n">
        <v>1</v>
      </c>
      <c r="Y35" s="12" t="n">
        <v>0</v>
      </c>
    </row>
    <row r="36" customFormat="false" ht="81.75" hidden="false" customHeight="true" outlineLevel="0" collapsed="false">
      <c r="A36" s="12" t="s">
        <v>1429</v>
      </c>
      <c r="B36" s="5" t="s">
        <v>1430</v>
      </c>
      <c r="C36" s="12" t="s">
        <v>1470</v>
      </c>
      <c r="D36" s="12" t="s">
        <v>120</v>
      </c>
      <c r="E36" s="5" t="s">
        <v>1471</v>
      </c>
      <c r="F36" s="14"/>
      <c r="G36" s="14"/>
      <c r="H36" s="14" t="s">
        <v>87</v>
      </c>
      <c r="I36" s="14"/>
      <c r="J36" s="14"/>
      <c r="K36" s="14"/>
      <c r="L36" s="15"/>
      <c r="M36" s="12"/>
      <c r="N36" s="5"/>
      <c r="O36" s="12"/>
      <c r="P36" s="5" t="s">
        <v>1472</v>
      </c>
      <c r="Q36" s="12" t="s">
        <v>1437</v>
      </c>
      <c r="R36" s="12" t="s">
        <v>1416</v>
      </c>
      <c r="S36" s="5" t="s">
        <v>1473</v>
      </c>
      <c r="T36" s="5" t="s">
        <v>306</v>
      </c>
      <c r="U36" s="12" t="n">
        <v>3</v>
      </c>
      <c r="V36" s="12" t="n">
        <v>1</v>
      </c>
      <c r="W36" s="12" t="n">
        <v>1</v>
      </c>
      <c r="X36" s="12" t="n">
        <v>1</v>
      </c>
      <c r="Y36" s="12" t="n">
        <v>0</v>
      </c>
    </row>
    <row r="37" customFormat="false" ht="68.25" hidden="false" customHeight="true" outlineLevel="0" collapsed="false">
      <c r="A37" s="10" t="s">
        <v>1474</v>
      </c>
      <c r="B37" s="11" t="s">
        <v>1475</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88</v>
      </c>
      <c r="N37" s="5"/>
      <c r="O37" s="12"/>
      <c r="P37" s="5" t="s">
        <v>1476</v>
      </c>
      <c r="Q37" s="12" t="s">
        <v>1415</v>
      </c>
      <c r="R37" s="12" t="s">
        <v>1442</v>
      </c>
      <c r="S37" s="5" t="s">
        <v>1477</v>
      </c>
      <c r="T37" s="5" t="s">
        <v>625</v>
      </c>
      <c r="U37" s="12" t="n">
        <v>4</v>
      </c>
      <c r="V37" s="12" t="n">
        <v>2</v>
      </c>
      <c r="W37" s="12" t="n">
        <v>2</v>
      </c>
      <c r="X37" s="12" t="n">
        <v>1</v>
      </c>
      <c r="Y37" s="12" t="n">
        <v>1</v>
      </c>
    </row>
    <row r="38" customFormat="false" ht="68.25" hidden="false" customHeight="true" outlineLevel="0" collapsed="false">
      <c r="A38" s="12" t="s">
        <v>1474</v>
      </c>
      <c r="B38" s="5" t="s">
        <v>1475</v>
      </c>
      <c r="C38" s="12" t="s">
        <v>1474</v>
      </c>
      <c r="D38" s="12" t="s">
        <v>120</v>
      </c>
      <c r="E38" s="5" t="s">
        <v>1478</v>
      </c>
      <c r="F38" s="14"/>
      <c r="G38" s="14"/>
      <c r="H38" s="14" t="s">
        <v>87</v>
      </c>
      <c r="I38" s="14"/>
      <c r="J38" s="14"/>
      <c r="K38" s="14"/>
      <c r="L38" s="15"/>
      <c r="M38" s="12" t="s">
        <v>88</v>
      </c>
      <c r="N38" s="5"/>
      <c r="O38" s="12"/>
      <c r="P38" s="5" t="s">
        <v>1476</v>
      </c>
      <c r="Q38" s="12" t="s">
        <v>1415</v>
      </c>
      <c r="R38" s="12" t="s">
        <v>1442</v>
      </c>
      <c r="S38" s="5" t="s">
        <v>1477</v>
      </c>
      <c r="T38" s="5" t="s">
        <v>625</v>
      </c>
      <c r="U38" s="12" t="n">
        <v>4</v>
      </c>
      <c r="V38" s="12" t="n">
        <v>2</v>
      </c>
      <c r="W38" s="12" t="n">
        <v>2</v>
      </c>
      <c r="X38" s="12" t="n">
        <v>1</v>
      </c>
      <c r="Y38" s="12" t="n">
        <v>1</v>
      </c>
    </row>
    <row r="39" customFormat="false" ht="68.25" hidden="false" customHeight="true" outlineLevel="0" collapsed="false">
      <c r="A39" s="10" t="s">
        <v>1479</v>
      </c>
      <c r="B39" s="11" t="s">
        <v>1480</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1476</v>
      </c>
      <c r="Q39" s="12" t="s">
        <v>1415</v>
      </c>
      <c r="R39" s="12" t="s">
        <v>1416</v>
      </c>
      <c r="S39" s="5" t="s">
        <v>1481</v>
      </c>
      <c r="T39" s="5" t="s">
        <v>306</v>
      </c>
      <c r="U39" s="12" t="n">
        <v>4</v>
      </c>
      <c r="V39" s="12" t="n">
        <v>1</v>
      </c>
      <c r="W39" s="12" t="n">
        <v>1</v>
      </c>
      <c r="X39" s="12" t="n">
        <v>1</v>
      </c>
      <c r="Y39" s="12" t="n">
        <v>0</v>
      </c>
    </row>
    <row r="40" customFormat="false" ht="68.25" hidden="false" customHeight="true" outlineLevel="0" collapsed="false">
      <c r="A40" s="12" t="s">
        <v>1479</v>
      </c>
      <c r="B40" s="5" t="s">
        <v>1480</v>
      </c>
      <c r="C40" s="12" t="s">
        <v>1479</v>
      </c>
      <c r="D40" s="12" t="s">
        <v>160</v>
      </c>
      <c r="E40" s="5" t="s">
        <v>1482</v>
      </c>
      <c r="F40" s="14"/>
      <c r="G40" s="14"/>
      <c r="H40" s="14" t="s">
        <v>87</v>
      </c>
      <c r="I40" s="14"/>
      <c r="J40" s="14"/>
      <c r="K40" s="14"/>
      <c r="L40" s="15"/>
      <c r="M40" s="12"/>
      <c r="N40" s="5"/>
      <c r="O40" s="12"/>
      <c r="P40" s="5" t="s">
        <v>1476</v>
      </c>
      <c r="Q40" s="12" t="s">
        <v>1415</v>
      </c>
      <c r="R40" s="12" t="s">
        <v>1416</v>
      </c>
      <c r="S40" s="5" t="s">
        <v>1481</v>
      </c>
      <c r="T40" s="5" t="s">
        <v>306</v>
      </c>
      <c r="U40" s="12" t="n">
        <v>4</v>
      </c>
      <c r="V40" s="12" t="n">
        <v>1</v>
      </c>
      <c r="W40" s="12" t="n">
        <v>1</v>
      </c>
      <c r="X40" s="12" t="n">
        <v>1</v>
      </c>
      <c r="Y40" s="12" t="n">
        <v>0</v>
      </c>
    </row>
    <row r="41" customFormat="false" ht="81.75" hidden="false" customHeight="true" outlineLevel="0" collapsed="false">
      <c r="A41" s="10" t="s">
        <v>1483</v>
      </c>
      <c r="B41" s="11" t="s">
        <v>1484</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c r="N41" s="5"/>
      <c r="O41" s="12"/>
      <c r="P41" s="5" t="s">
        <v>1485</v>
      </c>
      <c r="Q41" s="12" t="s">
        <v>1392</v>
      </c>
      <c r="R41" s="12" t="s">
        <v>1378</v>
      </c>
      <c r="S41" s="5" t="s">
        <v>687</v>
      </c>
      <c r="T41" s="5" t="s">
        <v>306</v>
      </c>
      <c r="U41" s="12" t="n">
        <v>2</v>
      </c>
      <c r="V41" s="12" t="n">
        <v>1</v>
      </c>
      <c r="W41" s="12" t="n">
        <v>1</v>
      </c>
      <c r="X41" s="12" t="n">
        <v>1</v>
      </c>
      <c r="Y41" s="12" t="n">
        <v>0</v>
      </c>
    </row>
    <row r="42" customFormat="false" ht="81.75" hidden="false" customHeight="true" outlineLevel="0" collapsed="false">
      <c r="A42" s="12" t="s">
        <v>1483</v>
      </c>
      <c r="B42" s="5" t="s">
        <v>1484</v>
      </c>
      <c r="C42" s="12" t="s">
        <v>1483</v>
      </c>
      <c r="D42" s="12" t="s">
        <v>120</v>
      </c>
      <c r="E42" s="5" t="s">
        <v>1486</v>
      </c>
      <c r="F42" s="14"/>
      <c r="G42" s="14"/>
      <c r="H42" s="14" t="s">
        <v>87</v>
      </c>
      <c r="I42" s="14"/>
      <c r="J42" s="14"/>
      <c r="K42" s="14"/>
      <c r="L42" s="15"/>
      <c r="M42" s="12"/>
      <c r="N42" s="5"/>
      <c r="O42" s="12"/>
      <c r="P42" s="5" t="s">
        <v>1485</v>
      </c>
      <c r="Q42" s="12" t="s">
        <v>1392</v>
      </c>
      <c r="R42" s="12" t="s">
        <v>1378</v>
      </c>
      <c r="S42" s="5" t="s">
        <v>687</v>
      </c>
      <c r="T42" s="5" t="s">
        <v>306</v>
      </c>
      <c r="U42" s="12" t="n">
        <v>2</v>
      </c>
      <c r="V42" s="12" t="n">
        <v>1</v>
      </c>
      <c r="W42" s="12" t="n">
        <v>1</v>
      </c>
      <c r="X42" s="12" t="n">
        <v>1</v>
      </c>
      <c r="Y42" s="12" t="n">
        <v>0</v>
      </c>
    </row>
    <row r="43" customFormat="false" ht="256.5" hidden="false" customHeight="true" outlineLevel="0" collapsed="false">
      <c r="A43" s="10" t="s">
        <v>1487</v>
      </c>
      <c r="B43" s="11" t="s">
        <v>1488</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c r="N43" s="5"/>
      <c r="O43" s="12"/>
      <c r="P43" s="5" t="s">
        <v>1489</v>
      </c>
      <c r="Q43" s="12" t="s">
        <v>1392</v>
      </c>
      <c r="R43" s="12" t="s">
        <v>1378</v>
      </c>
      <c r="S43" s="5" t="s">
        <v>759</v>
      </c>
      <c r="T43" s="5" t="s">
        <v>306</v>
      </c>
      <c r="U43" s="12" t="n">
        <v>2</v>
      </c>
      <c r="V43" s="12" t="n">
        <v>1</v>
      </c>
      <c r="W43" s="12" t="n">
        <v>1</v>
      </c>
      <c r="X43" s="12" t="n">
        <v>1</v>
      </c>
      <c r="Y43" s="12" t="n">
        <v>0</v>
      </c>
    </row>
    <row r="44" customFormat="false" ht="256.5" hidden="false" customHeight="true" outlineLevel="0" collapsed="false">
      <c r="A44" s="12" t="s">
        <v>1487</v>
      </c>
      <c r="B44" s="5" t="s">
        <v>1488</v>
      </c>
      <c r="C44" s="12" t="s">
        <v>1487</v>
      </c>
      <c r="D44" s="12" t="s">
        <v>120</v>
      </c>
      <c r="E44" s="5" t="s">
        <v>1490</v>
      </c>
      <c r="F44" s="14"/>
      <c r="G44" s="14"/>
      <c r="H44" s="14" t="s">
        <v>87</v>
      </c>
      <c r="I44" s="14"/>
      <c r="J44" s="14"/>
      <c r="K44" s="14"/>
      <c r="L44" s="15"/>
      <c r="M44" s="12"/>
      <c r="N44" s="5"/>
      <c r="O44" s="12"/>
      <c r="P44" s="5" t="s">
        <v>1489</v>
      </c>
      <c r="Q44" s="12" t="s">
        <v>1392</v>
      </c>
      <c r="R44" s="12" t="s">
        <v>1378</v>
      </c>
      <c r="S44" s="5" t="s">
        <v>759</v>
      </c>
      <c r="T44" s="5" t="s">
        <v>306</v>
      </c>
      <c r="U44" s="12" t="n">
        <v>2</v>
      </c>
      <c r="V44" s="12" t="n">
        <v>1</v>
      </c>
      <c r="W44" s="12" t="n">
        <v>1</v>
      </c>
      <c r="X44" s="12" t="n">
        <v>1</v>
      </c>
      <c r="Y44" s="12" t="n">
        <v>0</v>
      </c>
    </row>
    <row r="45" customFormat="false" ht="135.75" hidden="false" customHeight="true" outlineLevel="0" collapsed="false">
      <c r="A45" s="10" t="s">
        <v>1491</v>
      </c>
      <c r="B45" s="11" t="s">
        <v>1492</v>
      </c>
      <c r="C45" s="12"/>
      <c r="D45" s="12" t="s">
        <v>160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1493</v>
      </c>
      <c r="Q45" s="12" t="s">
        <v>1403</v>
      </c>
      <c r="R45" s="12" t="s">
        <v>1442</v>
      </c>
      <c r="S45" s="5" t="s">
        <v>1494</v>
      </c>
      <c r="T45" s="5" t="s">
        <v>306</v>
      </c>
      <c r="U45" s="12" t="n">
        <v>4</v>
      </c>
      <c r="V45" s="12" t="n">
        <v>1</v>
      </c>
      <c r="W45" s="12" t="n">
        <v>1</v>
      </c>
      <c r="X45" s="12" t="n">
        <v>1</v>
      </c>
      <c r="Y45" s="12" t="n">
        <v>0</v>
      </c>
    </row>
    <row r="46" customFormat="false" ht="135.75" hidden="false" customHeight="true" outlineLevel="0" collapsed="false">
      <c r="A46" s="12" t="s">
        <v>1491</v>
      </c>
      <c r="B46" s="5" t="s">
        <v>1492</v>
      </c>
      <c r="C46" s="12" t="s">
        <v>1491</v>
      </c>
      <c r="D46" s="12" t="s">
        <v>160</v>
      </c>
      <c r="E46" s="5" t="s">
        <v>1495</v>
      </c>
      <c r="F46" s="14"/>
      <c r="G46" s="14"/>
      <c r="H46" s="14" t="s">
        <v>87</v>
      </c>
      <c r="I46" s="14"/>
      <c r="J46" s="14"/>
      <c r="K46" s="14"/>
      <c r="L46" s="15"/>
      <c r="M46" s="12"/>
      <c r="N46" s="5"/>
      <c r="O46" s="12"/>
      <c r="P46" s="5" t="s">
        <v>1493</v>
      </c>
      <c r="Q46" s="12" t="s">
        <v>1403</v>
      </c>
      <c r="R46" s="12" t="s">
        <v>1442</v>
      </c>
      <c r="S46" s="5" t="s">
        <v>1494</v>
      </c>
      <c r="T46" s="5" t="s">
        <v>306</v>
      </c>
      <c r="U46" s="12" t="n">
        <v>4</v>
      </c>
      <c r="V46" s="12" t="n">
        <v>1</v>
      </c>
      <c r="W46" s="12" t="n">
        <v>1</v>
      </c>
      <c r="X46" s="12" t="n">
        <v>1</v>
      </c>
      <c r="Y46" s="12" t="n">
        <v>0</v>
      </c>
    </row>
    <row r="47" customFormat="false" ht="149.25" hidden="false" customHeight="true" outlineLevel="0" collapsed="false">
      <c r="A47" s="10" t="s">
        <v>1496</v>
      </c>
      <c r="B47" s="11" t="s">
        <v>1497</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1498</v>
      </c>
      <c r="Q47" s="12" t="s">
        <v>1392</v>
      </c>
      <c r="R47" s="12" t="s">
        <v>1378</v>
      </c>
      <c r="S47" s="5" t="s">
        <v>1499</v>
      </c>
      <c r="T47" s="5" t="s">
        <v>306</v>
      </c>
      <c r="U47" s="12" t="n">
        <v>3</v>
      </c>
      <c r="V47" s="12" t="n">
        <v>1</v>
      </c>
      <c r="W47" s="12" t="n">
        <v>1</v>
      </c>
      <c r="X47" s="12" t="n">
        <v>1</v>
      </c>
      <c r="Y47" s="12" t="n">
        <v>0</v>
      </c>
    </row>
    <row r="48" customFormat="false" ht="149.25" hidden="false" customHeight="true" outlineLevel="0" collapsed="false">
      <c r="A48" s="12" t="s">
        <v>1496</v>
      </c>
      <c r="B48" s="5" t="s">
        <v>1497</v>
      </c>
      <c r="C48" s="12" t="s">
        <v>1496</v>
      </c>
      <c r="D48" s="12" t="s">
        <v>120</v>
      </c>
      <c r="E48" s="5" t="s">
        <v>1500</v>
      </c>
      <c r="F48" s="14"/>
      <c r="G48" s="14"/>
      <c r="H48" s="14" t="s">
        <v>87</v>
      </c>
      <c r="I48" s="14"/>
      <c r="J48" s="14"/>
      <c r="K48" s="14"/>
      <c r="L48" s="15"/>
      <c r="M48" s="12"/>
      <c r="N48" s="5"/>
      <c r="O48" s="12"/>
      <c r="P48" s="5" t="s">
        <v>1498</v>
      </c>
      <c r="Q48" s="12" t="s">
        <v>1392</v>
      </c>
      <c r="R48" s="12" t="s">
        <v>1378</v>
      </c>
      <c r="S48" s="5" t="s">
        <v>1499</v>
      </c>
      <c r="T48" s="5" t="s">
        <v>306</v>
      </c>
      <c r="U48" s="12" t="n">
        <v>3</v>
      </c>
      <c r="V48" s="12" t="n">
        <v>1</v>
      </c>
      <c r="W48" s="12" t="n">
        <v>1</v>
      </c>
      <c r="X48" s="12" t="n">
        <v>1</v>
      </c>
      <c r="Y48" s="12" t="n">
        <v>0</v>
      </c>
    </row>
    <row r="49" customFormat="false" ht="135.75" hidden="false" customHeight="true" outlineLevel="0" collapsed="false">
      <c r="A49" s="10" t="s">
        <v>1501</v>
      </c>
      <c r="B49" s="11" t="s">
        <v>1502</v>
      </c>
      <c r="C49" s="12"/>
      <c r="D49" s="12" t="s">
        <v>120</v>
      </c>
      <c r="E49" s="5" t="s">
        <v>79</v>
      </c>
      <c r="F49" s="12"/>
      <c r="G49" s="12"/>
      <c r="H49" s="13" t="str">
        <f aca="false">IF(OR(COUNTBLANK($H$50:$H$52)&gt;0,COUNTIF($H$50:$H$52,"unbearbeitet")=COUNTA($H$50:$H$52)),"Bitte Teilanforderungen ausfüllen",IF(COUNTIF($H$50:$H$52,"zu klären")&gt;0,"zu klären",IF(COUNTIF($H$50:$H$52,"entbehrlich")=COUNTA($H$50:$H$52),"entbehrlich",IF(COUNTIF($H$50:$H$52,"verwiesen")=COUNTA($H$50:$H$52),"verwiesen",IF(COUNTIF($H$50:$H$52,"nein")+COUNTIF($H$50:$H$52,"entbehrlich")=COUNTA($H$50:$H$52),"nein",IF(COUNTIF($H$50:$H$52,"ja")+COUNTIF($H$50:$H$52,"entbehrlich")+COUNTIF($H$50:$H$52,"verwiesen")=COUNTA($H$50:$H$52),"ja","teilweise"))))))</f>
        <v>Bitte Teilanforderungen ausfüllen</v>
      </c>
      <c r="I49" s="12"/>
      <c r="J49" s="12"/>
      <c r="K49" s="12"/>
      <c r="L49" s="12"/>
      <c r="M49" s="12"/>
      <c r="N49" s="5"/>
      <c r="O49" s="12"/>
      <c r="P49" s="5" t="s">
        <v>1503</v>
      </c>
      <c r="Q49" s="12" t="s">
        <v>1392</v>
      </c>
      <c r="R49" s="12" t="s">
        <v>1416</v>
      </c>
      <c r="S49" s="5" t="s">
        <v>1504</v>
      </c>
      <c r="T49" s="5" t="s">
        <v>306</v>
      </c>
      <c r="U49" s="12" t="n">
        <v>3</v>
      </c>
      <c r="V49" s="12" t="n">
        <v>1</v>
      </c>
      <c r="W49" s="12" t="n">
        <v>1</v>
      </c>
      <c r="X49" s="12" t="n">
        <v>1</v>
      </c>
      <c r="Y49" s="12" t="n">
        <v>0</v>
      </c>
    </row>
    <row r="50" customFormat="false" ht="135.75" hidden="false" customHeight="true" outlineLevel="0" collapsed="false">
      <c r="A50" s="12" t="s">
        <v>1501</v>
      </c>
      <c r="B50" s="5" t="s">
        <v>1502</v>
      </c>
      <c r="C50" s="12" t="s">
        <v>1501</v>
      </c>
      <c r="D50" s="12" t="s">
        <v>120</v>
      </c>
      <c r="E50" s="5" t="s">
        <v>1505</v>
      </c>
      <c r="F50" s="14"/>
      <c r="G50" s="14"/>
      <c r="H50" s="14" t="s">
        <v>87</v>
      </c>
      <c r="I50" s="14"/>
      <c r="J50" s="14"/>
      <c r="K50" s="14"/>
      <c r="L50" s="15"/>
      <c r="M50" s="12"/>
      <c r="N50" s="5"/>
      <c r="O50" s="12"/>
      <c r="P50" s="5" t="s">
        <v>1503</v>
      </c>
      <c r="Q50" s="12" t="s">
        <v>1392</v>
      </c>
      <c r="R50" s="12" t="s">
        <v>1416</v>
      </c>
      <c r="S50" s="5" t="s">
        <v>1504</v>
      </c>
      <c r="T50" s="5" t="s">
        <v>306</v>
      </c>
      <c r="U50" s="12" t="n">
        <v>3</v>
      </c>
      <c r="V50" s="12" t="n">
        <v>1</v>
      </c>
      <c r="W50" s="12" t="n">
        <v>1</v>
      </c>
      <c r="X50" s="12" t="n">
        <v>1</v>
      </c>
      <c r="Y50" s="12" t="n">
        <v>0</v>
      </c>
    </row>
    <row r="51" customFormat="false" ht="270" hidden="false" customHeight="true" outlineLevel="0" collapsed="false">
      <c r="A51" s="12" t="s">
        <v>1501</v>
      </c>
      <c r="B51" s="5" t="s">
        <v>1502</v>
      </c>
      <c r="C51" s="12" t="s">
        <v>1506</v>
      </c>
      <c r="D51" s="12" t="s">
        <v>160</v>
      </c>
      <c r="E51" s="5" t="s">
        <v>1507</v>
      </c>
      <c r="F51" s="14"/>
      <c r="G51" s="14"/>
      <c r="H51" s="14" t="s">
        <v>87</v>
      </c>
      <c r="I51" s="14"/>
      <c r="J51" s="14"/>
      <c r="K51" s="14"/>
      <c r="L51" s="15"/>
      <c r="M51" s="12"/>
      <c r="N51" s="5"/>
      <c r="O51" s="12"/>
      <c r="P51" s="5" t="s">
        <v>1508</v>
      </c>
      <c r="Q51" s="12" t="s">
        <v>1392</v>
      </c>
      <c r="R51" s="12" t="s">
        <v>1416</v>
      </c>
      <c r="S51" s="5" t="s">
        <v>1504</v>
      </c>
      <c r="T51" s="5" t="s">
        <v>306</v>
      </c>
      <c r="U51" s="12" t="n">
        <v>5</v>
      </c>
      <c r="V51" s="12" t="n">
        <v>1</v>
      </c>
      <c r="W51" s="12" t="n">
        <v>1</v>
      </c>
      <c r="X51" s="12" t="n">
        <v>1</v>
      </c>
      <c r="Y51" s="12" t="n">
        <v>0</v>
      </c>
    </row>
    <row r="52" customFormat="false" ht="202.5" hidden="false" customHeight="true" outlineLevel="0" collapsed="false">
      <c r="A52" s="12" t="s">
        <v>1501</v>
      </c>
      <c r="B52" s="5" t="s">
        <v>1502</v>
      </c>
      <c r="C52" s="12" t="s">
        <v>1509</v>
      </c>
      <c r="D52" s="12" t="s">
        <v>160</v>
      </c>
      <c r="E52" s="5" t="s">
        <v>1510</v>
      </c>
      <c r="F52" s="14"/>
      <c r="G52" s="14"/>
      <c r="H52" s="14" t="s">
        <v>87</v>
      </c>
      <c r="I52" s="14"/>
      <c r="J52" s="14"/>
      <c r="K52" s="14"/>
      <c r="L52" s="15"/>
      <c r="M52" s="12"/>
      <c r="N52" s="5"/>
      <c r="O52" s="12"/>
      <c r="P52" s="5" t="s">
        <v>1511</v>
      </c>
      <c r="Q52" s="12" t="s">
        <v>1392</v>
      </c>
      <c r="R52" s="12" t="s">
        <v>1416</v>
      </c>
      <c r="S52" s="5" t="s">
        <v>1504</v>
      </c>
      <c r="T52" s="5" t="s">
        <v>1406</v>
      </c>
      <c r="U52" s="12" t="n">
        <v>5</v>
      </c>
      <c r="V52" s="12" t="n">
        <v>1</v>
      </c>
      <c r="W52" s="12" t="n">
        <v>1</v>
      </c>
      <c r="X52" s="12" t="n">
        <v>1</v>
      </c>
      <c r="Y52" s="12" t="n">
        <v>0</v>
      </c>
    </row>
    <row r="53" customFormat="false" ht="95.25" hidden="false" customHeight="true" outlineLevel="0" collapsed="false">
      <c r="A53" s="10" t="s">
        <v>1512</v>
      </c>
      <c r="B53" s="11" t="s">
        <v>1513</v>
      </c>
      <c r="C53" s="12"/>
      <c r="D53" s="12" t="s">
        <v>120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c r="N53" s="5" t="s">
        <v>1514</v>
      </c>
      <c r="O53" s="12" t="s">
        <v>524</v>
      </c>
      <c r="P53" s="5" t="s">
        <v>1515</v>
      </c>
      <c r="Q53" s="12" t="s">
        <v>1392</v>
      </c>
      <c r="R53" s="12" t="s">
        <v>1378</v>
      </c>
      <c r="S53" s="5" t="s">
        <v>1516</v>
      </c>
      <c r="T53" s="5" t="s">
        <v>306</v>
      </c>
      <c r="U53" s="12" t="n">
        <v>2</v>
      </c>
      <c r="V53" s="12" t="n">
        <v>1</v>
      </c>
      <c r="W53" s="12" t="n">
        <v>1</v>
      </c>
      <c r="X53" s="12" t="n">
        <v>1</v>
      </c>
      <c r="Y53" s="12" t="n">
        <v>0</v>
      </c>
    </row>
    <row r="54" customFormat="false" ht="95.25" hidden="false" customHeight="true" outlineLevel="0" collapsed="false">
      <c r="A54" s="12" t="s">
        <v>1512</v>
      </c>
      <c r="B54" s="5" t="s">
        <v>1513</v>
      </c>
      <c r="C54" s="12" t="s">
        <v>1512</v>
      </c>
      <c r="D54" s="12" t="s">
        <v>120</v>
      </c>
      <c r="E54" s="5" t="s">
        <v>1517</v>
      </c>
      <c r="F54" s="14"/>
      <c r="G54" s="14"/>
      <c r="H54" s="14" t="s">
        <v>87</v>
      </c>
      <c r="I54" s="14"/>
      <c r="J54" s="14"/>
      <c r="K54" s="14"/>
      <c r="L54" s="15"/>
      <c r="M54" s="12"/>
      <c r="N54" s="5" t="s">
        <v>1514</v>
      </c>
      <c r="O54" s="12" t="s">
        <v>524</v>
      </c>
      <c r="P54" s="5" t="s">
        <v>1515</v>
      </c>
      <c r="Q54" s="12" t="s">
        <v>1392</v>
      </c>
      <c r="R54" s="12" t="s">
        <v>1378</v>
      </c>
      <c r="S54" s="5" t="s">
        <v>1516</v>
      </c>
      <c r="T54" s="5" t="s">
        <v>306</v>
      </c>
      <c r="U54" s="12" t="n">
        <v>2</v>
      </c>
      <c r="V54" s="12" t="n">
        <v>1</v>
      </c>
      <c r="W54" s="12" t="n">
        <v>1</v>
      </c>
      <c r="X54" s="12" t="n">
        <v>1</v>
      </c>
      <c r="Y54" s="12" t="n">
        <v>0</v>
      </c>
    </row>
    <row r="55" customFormat="false" ht="108.75" hidden="false" customHeight="true" outlineLevel="0" collapsed="false">
      <c r="A55" s="10" t="s">
        <v>1518</v>
      </c>
      <c r="B55" s="11" t="s">
        <v>1519</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c r="N55" s="5"/>
      <c r="O55" s="12"/>
      <c r="P55" s="5" t="s">
        <v>1520</v>
      </c>
      <c r="Q55" s="12" t="s">
        <v>1392</v>
      </c>
      <c r="R55" s="12" t="s">
        <v>1416</v>
      </c>
      <c r="S55" s="5" t="s">
        <v>1521</v>
      </c>
      <c r="T55" s="5" t="s">
        <v>1522</v>
      </c>
      <c r="U55" s="12" t="n">
        <v>2</v>
      </c>
      <c r="V55" s="12" t="n">
        <v>1</v>
      </c>
      <c r="W55" s="12" t="n">
        <v>1</v>
      </c>
      <c r="X55" s="12" t="n">
        <v>1</v>
      </c>
      <c r="Y55" s="12" t="n">
        <v>1</v>
      </c>
    </row>
    <row r="56" customFormat="false" ht="108.75" hidden="false" customHeight="true" outlineLevel="0" collapsed="false">
      <c r="A56" s="12" t="s">
        <v>1518</v>
      </c>
      <c r="B56" s="5" t="s">
        <v>1519</v>
      </c>
      <c r="C56" s="12" t="s">
        <v>1518</v>
      </c>
      <c r="D56" s="12" t="s">
        <v>120</v>
      </c>
      <c r="E56" s="5" t="s">
        <v>1523</v>
      </c>
      <c r="F56" s="14"/>
      <c r="G56" s="14"/>
      <c r="H56" s="14" t="s">
        <v>87</v>
      </c>
      <c r="I56" s="14"/>
      <c r="J56" s="14"/>
      <c r="K56" s="14"/>
      <c r="L56" s="15"/>
      <c r="M56" s="12"/>
      <c r="N56" s="5"/>
      <c r="O56" s="12"/>
      <c r="P56" s="5" t="s">
        <v>1520</v>
      </c>
      <c r="Q56" s="12" t="s">
        <v>1392</v>
      </c>
      <c r="R56" s="12" t="s">
        <v>1416</v>
      </c>
      <c r="S56" s="5" t="s">
        <v>1521</v>
      </c>
      <c r="T56" s="5" t="s">
        <v>1522</v>
      </c>
      <c r="U56" s="12" t="n">
        <v>2</v>
      </c>
      <c r="V56" s="12" t="n">
        <v>1</v>
      </c>
      <c r="W56" s="12" t="n">
        <v>1</v>
      </c>
      <c r="X56" s="12" t="n">
        <v>1</v>
      </c>
      <c r="Y56" s="12" t="n">
        <v>1</v>
      </c>
    </row>
    <row r="57" customFormat="false" ht="404.25" hidden="false" customHeight="true" outlineLevel="0" collapsed="false">
      <c r="A57" s="10" t="s">
        <v>1524</v>
      </c>
      <c r="B57" s="11" t="s">
        <v>1525</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c r="N57" s="5"/>
      <c r="O57" s="12"/>
      <c r="P57" s="5" t="s">
        <v>1526</v>
      </c>
      <c r="Q57" s="12" t="s">
        <v>1392</v>
      </c>
      <c r="R57" s="12" t="s">
        <v>1416</v>
      </c>
      <c r="S57" s="5" t="s">
        <v>1527</v>
      </c>
      <c r="T57" s="5" t="s">
        <v>1528</v>
      </c>
      <c r="U57" s="12" t="n">
        <v>2</v>
      </c>
      <c r="V57" s="12" t="n">
        <v>1</v>
      </c>
      <c r="W57" s="12" t="n">
        <v>1</v>
      </c>
      <c r="X57" s="12" t="n">
        <v>1</v>
      </c>
      <c r="Y57" s="12" t="n">
        <v>1</v>
      </c>
    </row>
    <row r="58" customFormat="false" ht="404.25" hidden="false" customHeight="true" outlineLevel="0" collapsed="false">
      <c r="A58" s="12" t="s">
        <v>1524</v>
      </c>
      <c r="B58" s="5" t="s">
        <v>1525</v>
      </c>
      <c r="C58" s="12" t="s">
        <v>1524</v>
      </c>
      <c r="D58" s="12" t="s">
        <v>120</v>
      </c>
      <c r="E58" s="5" t="s">
        <v>1529</v>
      </c>
      <c r="F58" s="14"/>
      <c r="G58" s="14"/>
      <c r="H58" s="14" t="s">
        <v>87</v>
      </c>
      <c r="I58" s="14"/>
      <c r="J58" s="14"/>
      <c r="K58" s="14"/>
      <c r="L58" s="15"/>
      <c r="M58" s="12"/>
      <c r="N58" s="5"/>
      <c r="O58" s="12"/>
      <c r="P58" s="5" t="s">
        <v>1526</v>
      </c>
      <c r="Q58" s="12" t="s">
        <v>1392</v>
      </c>
      <c r="R58" s="12" t="s">
        <v>1416</v>
      </c>
      <c r="S58" s="5" t="s">
        <v>1527</v>
      </c>
      <c r="T58" s="5" t="s">
        <v>1528</v>
      </c>
      <c r="U58" s="12" t="n">
        <v>2</v>
      </c>
      <c r="V58" s="12" t="n">
        <v>1</v>
      </c>
      <c r="W58" s="12" t="n">
        <v>1</v>
      </c>
      <c r="X58" s="12" t="n">
        <v>1</v>
      </c>
      <c r="Y58" s="12" t="n">
        <v>1</v>
      </c>
    </row>
    <row r="59" customFormat="false" ht="122.25" hidden="false" customHeight="true" outlineLevel="0" collapsed="false">
      <c r="A59" s="10" t="s">
        <v>1530</v>
      </c>
      <c r="B59" s="11" t="s">
        <v>1531</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c r="N59" s="5" t="s">
        <v>1532</v>
      </c>
      <c r="O59" s="12" t="s">
        <v>524</v>
      </c>
      <c r="P59" s="5" t="s">
        <v>1533</v>
      </c>
      <c r="Q59" s="12" t="s">
        <v>1392</v>
      </c>
      <c r="R59" s="12" t="s">
        <v>1378</v>
      </c>
      <c r="S59" s="5" t="s">
        <v>1534</v>
      </c>
      <c r="T59" s="5" t="s">
        <v>1522</v>
      </c>
      <c r="U59" s="12" t="n">
        <v>2</v>
      </c>
      <c r="V59" s="12" t="n">
        <v>1</v>
      </c>
      <c r="W59" s="12" t="n">
        <v>1</v>
      </c>
      <c r="X59" s="12" t="n">
        <v>1</v>
      </c>
      <c r="Y59" s="12" t="n">
        <v>1</v>
      </c>
    </row>
    <row r="60" customFormat="false" ht="122.25" hidden="false" customHeight="true" outlineLevel="0" collapsed="false">
      <c r="A60" s="12" t="s">
        <v>1530</v>
      </c>
      <c r="B60" s="5" t="s">
        <v>1531</v>
      </c>
      <c r="C60" s="12" t="s">
        <v>1530</v>
      </c>
      <c r="D60" s="12" t="s">
        <v>120</v>
      </c>
      <c r="E60" s="5" t="s">
        <v>1535</v>
      </c>
      <c r="F60" s="14"/>
      <c r="G60" s="14"/>
      <c r="H60" s="14" t="s">
        <v>87</v>
      </c>
      <c r="I60" s="14"/>
      <c r="J60" s="14"/>
      <c r="K60" s="14"/>
      <c r="L60" s="15"/>
      <c r="M60" s="12"/>
      <c r="N60" s="5" t="s">
        <v>1532</v>
      </c>
      <c r="O60" s="12" t="s">
        <v>524</v>
      </c>
      <c r="P60" s="5" t="s">
        <v>1533</v>
      </c>
      <c r="Q60" s="12" t="s">
        <v>1392</v>
      </c>
      <c r="R60" s="12" t="s">
        <v>1378</v>
      </c>
      <c r="S60" s="5" t="s">
        <v>1534</v>
      </c>
      <c r="T60" s="5" t="s">
        <v>1522</v>
      </c>
      <c r="U60" s="12" t="n">
        <v>2</v>
      </c>
      <c r="V60" s="12" t="n">
        <v>1</v>
      </c>
      <c r="W60" s="12" t="n">
        <v>1</v>
      </c>
      <c r="X60" s="12" t="n">
        <v>1</v>
      </c>
      <c r="Y60" s="12" t="n">
        <v>1</v>
      </c>
    </row>
    <row r="61" customFormat="false" ht="175.5" hidden="false" customHeight="true" outlineLevel="0" collapsed="false">
      <c r="A61" s="10" t="s">
        <v>1536</v>
      </c>
      <c r="B61" s="11" t="s">
        <v>1537</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c r="N61" s="5"/>
      <c r="O61" s="12"/>
      <c r="P61" s="5" t="s">
        <v>1538</v>
      </c>
      <c r="Q61" s="12" t="s">
        <v>1403</v>
      </c>
      <c r="R61" s="12" t="s">
        <v>1416</v>
      </c>
      <c r="S61" s="5" t="s">
        <v>1539</v>
      </c>
      <c r="T61" s="5" t="s">
        <v>1522</v>
      </c>
      <c r="U61" s="12" t="n">
        <v>3</v>
      </c>
      <c r="V61" s="12" t="n">
        <v>1</v>
      </c>
      <c r="W61" s="12" t="n">
        <v>1</v>
      </c>
      <c r="X61" s="12" t="n">
        <v>1</v>
      </c>
      <c r="Y61" s="12" t="n">
        <v>1</v>
      </c>
    </row>
    <row r="62" customFormat="false" ht="175.5" hidden="false" customHeight="true" outlineLevel="0" collapsed="false">
      <c r="A62" s="12" t="s">
        <v>1536</v>
      </c>
      <c r="B62" s="5" t="s">
        <v>1537</v>
      </c>
      <c r="C62" s="12" t="s">
        <v>1536</v>
      </c>
      <c r="D62" s="12" t="s">
        <v>120</v>
      </c>
      <c r="E62" s="5" t="s">
        <v>1540</v>
      </c>
      <c r="F62" s="14"/>
      <c r="G62" s="14"/>
      <c r="H62" s="14" t="s">
        <v>87</v>
      </c>
      <c r="I62" s="14"/>
      <c r="J62" s="14"/>
      <c r="K62" s="14"/>
      <c r="L62" s="15"/>
      <c r="M62" s="12"/>
      <c r="N62" s="5"/>
      <c r="O62" s="12"/>
      <c r="P62" s="5" t="s">
        <v>1538</v>
      </c>
      <c r="Q62" s="12" t="s">
        <v>1403</v>
      </c>
      <c r="R62" s="12" t="s">
        <v>1416</v>
      </c>
      <c r="S62" s="5" t="s">
        <v>1539</v>
      </c>
      <c r="T62" s="5" t="s">
        <v>1522</v>
      </c>
      <c r="U62" s="12" t="n">
        <v>3</v>
      </c>
      <c r="V62" s="12" t="n">
        <v>1</v>
      </c>
      <c r="W62" s="12" t="n">
        <v>1</v>
      </c>
      <c r="X62" s="12" t="n">
        <v>1</v>
      </c>
      <c r="Y62" s="12" t="n">
        <v>1</v>
      </c>
    </row>
    <row r="63" customFormat="false" ht="108.75" hidden="false" customHeight="true" outlineLevel="0" collapsed="false">
      <c r="A63" s="10" t="s">
        <v>1541</v>
      </c>
      <c r="B63" s="11" t="s">
        <v>1542</v>
      </c>
      <c r="C63" s="12"/>
      <c r="D63" s="12" t="s">
        <v>120</v>
      </c>
      <c r="E63" s="5" t="s">
        <v>79</v>
      </c>
      <c r="F63" s="12"/>
      <c r="G63" s="12"/>
      <c r="H63" s="13" t="str">
        <f aca="false">IF(OR(COUNTBLANK($H$64:$H$66)&gt;0,COUNTIF($H$64:$H$66,"unbearbeitet")=COUNTA($H$64:$H$66)),"Bitte Teilanforderungen ausfüllen",IF(COUNTIF($H$64:$H$66,"zu klären")&gt;0,"zu klären",IF(COUNTIF($H$64:$H$66,"entbehrlich")=COUNTA($H$64:$H$66),"entbehrlich",IF(COUNTIF($H$64:$H$66,"verwiesen")=COUNTA($H$64:$H$66),"verwiesen",IF(COUNTIF($H$64:$H$66,"nein")+COUNTIF($H$64:$H$66,"entbehrlich")=COUNTA($H$64:$H$66),"nein",IF(COUNTIF($H$64:$H$66,"ja")+COUNTIF($H$64:$H$66,"entbehrlich")+COUNTIF($H$64:$H$66,"verwiesen")=COUNTA($H$64:$H$66),"ja","teilweise"))))))</f>
        <v>Bitte Teilanforderungen ausfüllen</v>
      </c>
      <c r="I63" s="12"/>
      <c r="J63" s="12"/>
      <c r="K63" s="12"/>
      <c r="L63" s="12"/>
      <c r="M63" s="12"/>
      <c r="N63" s="5"/>
      <c r="O63" s="12"/>
      <c r="P63" s="5" t="s">
        <v>1543</v>
      </c>
      <c r="Q63" s="12" t="s">
        <v>1392</v>
      </c>
      <c r="R63" s="12" t="s">
        <v>1416</v>
      </c>
      <c r="S63" s="5" t="s">
        <v>1542</v>
      </c>
      <c r="T63" s="5" t="s">
        <v>1522</v>
      </c>
      <c r="U63" s="12" t="n">
        <v>2</v>
      </c>
      <c r="V63" s="12" t="n">
        <v>1</v>
      </c>
      <c r="W63" s="12" t="n">
        <v>1</v>
      </c>
      <c r="X63" s="12" t="n">
        <v>1</v>
      </c>
      <c r="Y63" s="12" t="n">
        <v>1</v>
      </c>
    </row>
    <row r="64" customFormat="false" ht="108.75" hidden="false" customHeight="true" outlineLevel="0" collapsed="false">
      <c r="A64" s="12" t="s">
        <v>1541</v>
      </c>
      <c r="B64" s="5" t="s">
        <v>1542</v>
      </c>
      <c r="C64" s="12" t="s">
        <v>1541</v>
      </c>
      <c r="D64" s="12" t="s">
        <v>120</v>
      </c>
      <c r="E64" s="5" t="s">
        <v>1544</v>
      </c>
      <c r="F64" s="14"/>
      <c r="G64" s="14"/>
      <c r="H64" s="14" t="s">
        <v>87</v>
      </c>
      <c r="I64" s="14"/>
      <c r="J64" s="14"/>
      <c r="K64" s="14"/>
      <c r="L64" s="15"/>
      <c r="M64" s="12"/>
      <c r="N64" s="5"/>
      <c r="O64" s="12"/>
      <c r="P64" s="5" t="s">
        <v>1543</v>
      </c>
      <c r="Q64" s="12" t="s">
        <v>1392</v>
      </c>
      <c r="R64" s="12" t="s">
        <v>1416</v>
      </c>
      <c r="S64" s="5" t="s">
        <v>1542</v>
      </c>
      <c r="T64" s="5" t="s">
        <v>1522</v>
      </c>
      <c r="U64" s="12" t="n">
        <v>2</v>
      </c>
      <c r="V64" s="12" t="n">
        <v>1</v>
      </c>
      <c r="W64" s="12" t="n">
        <v>1</v>
      </c>
      <c r="X64" s="12" t="n">
        <v>1</v>
      </c>
      <c r="Y64" s="12" t="n">
        <v>1</v>
      </c>
    </row>
    <row r="65" customFormat="false" ht="283.5" hidden="false" customHeight="true" outlineLevel="0" collapsed="false">
      <c r="A65" s="12" t="s">
        <v>1541</v>
      </c>
      <c r="B65" s="5" t="s">
        <v>1542</v>
      </c>
      <c r="C65" s="12" t="s">
        <v>1545</v>
      </c>
      <c r="D65" s="12" t="s">
        <v>160</v>
      </c>
      <c r="E65" s="5" t="s">
        <v>1546</v>
      </c>
      <c r="F65" s="14"/>
      <c r="G65" s="14"/>
      <c r="H65" s="14" t="s">
        <v>87</v>
      </c>
      <c r="I65" s="14"/>
      <c r="J65" s="14"/>
      <c r="K65" s="14"/>
      <c r="L65" s="15"/>
      <c r="M65" s="12"/>
      <c r="N65" s="5"/>
      <c r="O65" s="12"/>
      <c r="P65" s="5" t="s">
        <v>1547</v>
      </c>
      <c r="Q65" s="12" t="s">
        <v>1437</v>
      </c>
      <c r="R65" s="12" t="s">
        <v>1416</v>
      </c>
      <c r="S65" s="5" t="s">
        <v>1548</v>
      </c>
      <c r="T65" s="5" t="s">
        <v>1522</v>
      </c>
      <c r="U65" s="12" t="n">
        <v>4</v>
      </c>
      <c r="V65" s="12" t="n">
        <v>1</v>
      </c>
      <c r="W65" s="12" t="n">
        <v>1</v>
      </c>
      <c r="X65" s="12" t="n">
        <v>1</v>
      </c>
      <c r="Y65" s="12" t="n">
        <v>1</v>
      </c>
    </row>
    <row r="66" customFormat="false" ht="108.75" hidden="false" customHeight="true" outlineLevel="0" collapsed="false">
      <c r="A66" s="12" t="s">
        <v>1541</v>
      </c>
      <c r="B66" s="5" t="s">
        <v>1542</v>
      </c>
      <c r="C66" s="12" t="s">
        <v>1549</v>
      </c>
      <c r="D66" s="12" t="s">
        <v>160</v>
      </c>
      <c r="E66" s="5" t="s">
        <v>1550</v>
      </c>
      <c r="F66" s="14"/>
      <c r="G66" s="14"/>
      <c r="H66" s="14" t="s">
        <v>87</v>
      </c>
      <c r="I66" s="14"/>
      <c r="J66" s="14"/>
      <c r="K66" s="14"/>
      <c r="L66" s="15"/>
      <c r="M66" s="12" t="s">
        <v>72</v>
      </c>
      <c r="N66" s="5" t="s">
        <v>1551</v>
      </c>
      <c r="O66" s="12" t="s">
        <v>524</v>
      </c>
      <c r="P66" s="5" t="s">
        <v>1552</v>
      </c>
      <c r="Q66" s="12" t="s">
        <v>1403</v>
      </c>
      <c r="R66" s="12" t="s">
        <v>1416</v>
      </c>
      <c r="S66" s="5" t="s">
        <v>1553</v>
      </c>
      <c r="T66" s="5" t="s">
        <v>1554</v>
      </c>
      <c r="U66" s="12" t="n">
        <v>4</v>
      </c>
      <c r="V66" s="12" t="n">
        <v>2</v>
      </c>
      <c r="W66" s="12" t="n">
        <v>1</v>
      </c>
      <c r="X66" s="12" t="n">
        <v>1</v>
      </c>
      <c r="Y66" s="12" t="n">
        <v>1</v>
      </c>
    </row>
    <row r="67" customFormat="false" ht="95.25" hidden="false" customHeight="true" outlineLevel="0" collapsed="false">
      <c r="A67" s="10" t="s">
        <v>1555</v>
      </c>
      <c r="B67" s="11" t="s">
        <v>1556</v>
      </c>
      <c r="C67" s="12"/>
      <c r="D67" s="12" t="s">
        <v>120</v>
      </c>
      <c r="E67" s="5" t="s">
        <v>79</v>
      </c>
      <c r="F67" s="12"/>
      <c r="G67" s="12"/>
      <c r="H67" s="13" t="str">
        <f aca="false">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Bitte Teilanforderungen ausfüllen</v>
      </c>
      <c r="I67" s="12"/>
      <c r="J67" s="12"/>
      <c r="K67" s="12"/>
      <c r="L67" s="12"/>
      <c r="M67" s="12" t="s">
        <v>73</v>
      </c>
      <c r="N67" s="5"/>
      <c r="O67" s="12"/>
      <c r="P67" s="5" t="s">
        <v>1557</v>
      </c>
      <c r="Q67" s="12" t="s">
        <v>1392</v>
      </c>
      <c r="R67" s="12" t="s">
        <v>1416</v>
      </c>
      <c r="S67" s="5" t="s">
        <v>1556</v>
      </c>
      <c r="T67" s="5" t="s">
        <v>1558</v>
      </c>
      <c r="U67" s="12" t="n">
        <v>2</v>
      </c>
      <c r="V67" s="12" t="n">
        <v>1</v>
      </c>
      <c r="W67" s="12" t="n">
        <v>2</v>
      </c>
      <c r="X67" s="12" t="n">
        <v>1</v>
      </c>
      <c r="Y67" s="12" t="n">
        <v>1</v>
      </c>
    </row>
    <row r="68" customFormat="false" ht="95.25" hidden="false" customHeight="true" outlineLevel="0" collapsed="false">
      <c r="A68" s="12" t="s">
        <v>1555</v>
      </c>
      <c r="B68" s="5" t="s">
        <v>1556</v>
      </c>
      <c r="C68" s="12" t="s">
        <v>1555</v>
      </c>
      <c r="D68" s="12" t="s">
        <v>120</v>
      </c>
      <c r="E68" s="5" t="s">
        <v>1559</v>
      </c>
      <c r="F68" s="14"/>
      <c r="G68" s="14"/>
      <c r="H68" s="14" t="s">
        <v>87</v>
      </c>
      <c r="I68" s="14"/>
      <c r="J68" s="14"/>
      <c r="K68" s="14"/>
      <c r="L68" s="15"/>
      <c r="M68" s="12" t="s">
        <v>73</v>
      </c>
      <c r="N68" s="5"/>
      <c r="O68" s="12"/>
      <c r="P68" s="5" t="s">
        <v>1557</v>
      </c>
      <c r="Q68" s="12" t="s">
        <v>1392</v>
      </c>
      <c r="R68" s="12" t="s">
        <v>1416</v>
      </c>
      <c r="S68" s="5" t="s">
        <v>1556</v>
      </c>
      <c r="T68" s="5" t="s">
        <v>1558</v>
      </c>
      <c r="U68" s="12" t="n">
        <v>2</v>
      </c>
      <c r="V68" s="12" t="n">
        <v>1</v>
      </c>
      <c r="W68" s="12" t="n">
        <v>2</v>
      </c>
      <c r="X68" s="12" t="n">
        <v>1</v>
      </c>
      <c r="Y68" s="12" t="n">
        <v>1</v>
      </c>
    </row>
    <row r="69" customFormat="false" ht="68.25" hidden="false" customHeight="true" outlineLevel="0" collapsed="false">
      <c r="A69" s="12" t="s">
        <v>1555</v>
      </c>
      <c r="B69" s="5" t="s">
        <v>1556</v>
      </c>
      <c r="C69" s="12" t="s">
        <v>1560</v>
      </c>
      <c r="D69" s="12" t="s">
        <v>120</v>
      </c>
      <c r="E69" s="5" t="s">
        <v>1561</v>
      </c>
      <c r="F69" s="14"/>
      <c r="G69" s="14"/>
      <c r="H69" s="14" t="s">
        <v>87</v>
      </c>
      <c r="I69" s="14"/>
      <c r="J69" s="14"/>
      <c r="K69" s="14"/>
      <c r="L69" s="15"/>
      <c r="M69" s="12" t="s">
        <v>73</v>
      </c>
      <c r="N69" s="5"/>
      <c r="O69" s="12"/>
      <c r="P69" s="5" t="s">
        <v>1562</v>
      </c>
      <c r="Q69" s="12" t="s">
        <v>1563</v>
      </c>
      <c r="R69" s="12" t="s">
        <v>1416</v>
      </c>
      <c r="S69" s="5" t="s">
        <v>1564</v>
      </c>
      <c r="T69" s="5" t="s">
        <v>1565</v>
      </c>
      <c r="U69" s="12" t="n">
        <v>2</v>
      </c>
      <c r="V69" s="12" t="n">
        <v>1</v>
      </c>
      <c r="W69" s="12" t="n">
        <v>2</v>
      </c>
      <c r="X69" s="12" t="n">
        <v>1</v>
      </c>
      <c r="Y69" s="12" t="n">
        <v>1</v>
      </c>
    </row>
    <row r="70" customFormat="false" ht="68.25" hidden="false" customHeight="true" outlineLevel="0" collapsed="false">
      <c r="A70" s="12" t="s">
        <v>1555</v>
      </c>
      <c r="B70" s="5" t="s">
        <v>1556</v>
      </c>
      <c r="C70" s="12" t="s">
        <v>1566</v>
      </c>
      <c r="D70" s="12" t="s">
        <v>120</v>
      </c>
      <c r="E70" s="5" t="s">
        <v>1567</v>
      </c>
      <c r="F70" s="14"/>
      <c r="G70" s="14"/>
      <c r="H70" s="14" t="s">
        <v>87</v>
      </c>
      <c r="I70" s="14"/>
      <c r="J70" s="14"/>
      <c r="K70" s="14"/>
      <c r="L70" s="15"/>
      <c r="M70" s="12" t="s">
        <v>73</v>
      </c>
      <c r="N70" s="5"/>
      <c r="O70" s="12"/>
      <c r="P70" s="5" t="s">
        <v>1568</v>
      </c>
      <c r="Q70" s="12" t="s">
        <v>1403</v>
      </c>
      <c r="R70" s="12" t="s">
        <v>1416</v>
      </c>
      <c r="S70" s="5" t="s">
        <v>1569</v>
      </c>
      <c r="T70" s="5" t="s">
        <v>1565</v>
      </c>
      <c r="U70" s="12" t="n">
        <v>4</v>
      </c>
      <c r="V70" s="12" t="n">
        <v>1</v>
      </c>
      <c r="W70" s="12" t="n">
        <v>2</v>
      </c>
      <c r="X70" s="12" t="n">
        <v>1</v>
      </c>
      <c r="Y70" s="12" t="n">
        <v>1</v>
      </c>
    </row>
    <row r="71" customFormat="false" ht="54.75" hidden="false" customHeight="true" outlineLevel="0" collapsed="false">
      <c r="A71" s="12" t="s">
        <v>1555</v>
      </c>
      <c r="B71" s="5" t="s">
        <v>1556</v>
      </c>
      <c r="C71" s="12" t="s">
        <v>1570</v>
      </c>
      <c r="D71" s="12" t="s">
        <v>160</v>
      </c>
      <c r="E71" s="5" t="s">
        <v>1571</v>
      </c>
      <c r="F71" s="14"/>
      <c r="G71" s="14"/>
      <c r="H71" s="14" t="s">
        <v>87</v>
      </c>
      <c r="I71" s="14"/>
      <c r="J71" s="14"/>
      <c r="K71" s="14"/>
      <c r="L71" s="15"/>
      <c r="M71" s="12"/>
      <c r="N71" s="5"/>
      <c r="O71" s="12"/>
      <c r="P71" s="5" t="s">
        <v>1572</v>
      </c>
      <c r="Q71" s="12" t="s">
        <v>1437</v>
      </c>
      <c r="R71" s="12" t="s">
        <v>1416</v>
      </c>
      <c r="S71" s="5" t="s">
        <v>1573</v>
      </c>
      <c r="T71" s="5" t="s">
        <v>1574</v>
      </c>
      <c r="U71" s="12" t="n">
        <v>5</v>
      </c>
      <c r="V71" s="12" t="n">
        <v>1</v>
      </c>
      <c r="W71" s="12" t="n">
        <v>1</v>
      </c>
      <c r="X71" s="12" t="n">
        <v>1</v>
      </c>
      <c r="Y71" s="12" t="n">
        <v>1</v>
      </c>
    </row>
    <row r="72" customFormat="false" ht="108.75" hidden="false" customHeight="true" outlineLevel="0" collapsed="false">
      <c r="A72" s="10" t="s">
        <v>1575</v>
      </c>
      <c r="B72" s="11" t="s">
        <v>1576</v>
      </c>
      <c r="C72" s="12"/>
      <c r="D72" s="12" t="s">
        <v>120</v>
      </c>
      <c r="E72" s="5" t="s">
        <v>79</v>
      </c>
      <c r="F72" s="12"/>
      <c r="G72" s="12"/>
      <c r="H72" s="13" t="str">
        <f aca="false">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2"/>
      <c r="J72" s="12"/>
      <c r="K72" s="12"/>
      <c r="L72" s="12"/>
      <c r="M72" s="12" t="s">
        <v>74</v>
      </c>
      <c r="N72" s="5"/>
      <c r="O72" s="12"/>
      <c r="P72" s="5" t="s">
        <v>1577</v>
      </c>
      <c r="Q72" s="12" t="s">
        <v>1403</v>
      </c>
      <c r="R72" s="12" t="s">
        <v>1416</v>
      </c>
      <c r="S72" s="5" t="s">
        <v>1578</v>
      </c>
      <c r="T72" s="5" t="s">
        <v>1579</v>
      </c>
      <c r="U72" s="12" t="n">
        <v>4</v>
      </c>
      <c r="V72" s="12" t="n">
        <v>1</v>
      </c>
      <c r="W72" s="12" t="n">
        <v>1</v>
      </c>
      <c r="X72" s="12" t="n">
        <v>2</v>
      </c>
      <c r="Y72" s="12" t="n">
        <v>0</v>
      </c>
    </row>
    <row r="73" customFormat="false" ht="108.75" hidden="false" customHeight="true" outlineLevel="0" collapsed="false">
      <c r="A73" s="12" t="s">
        <v>1575</v>
      </c>
      <c r="B73" s="5" t="s">
        <v>1576</v>
      </c>
      <c r="C73" s="12" t="s">
        <v>1575</v>
      </c>
      <c r="D73" s="12" t="s">
        <v>120</v>
      </c>
      <c r="E73" s="5" t="s">
        <v>1580</v>
      </c>
      <c r="F73" s="14"/>
      <c r="G73" s="14"/>
      <c r="H73" s="14" t="s">
        <v>87</v>
      </c>
      <c r="I73" s="14"/>
      <c r="J73" s="14"/>
      <c r="K73" s="14"/>
      <c r="L73" s="15"/>
      <c r="M73" s="12" t="s">
        <v>74</v>
      </c>
      <c r="N73" s="5"/>
      <c r="O73" s="12"/>
      <c r="P73" s="5" t="s">
        <v>1577</v>
      </c>
      <c r="Q73" s="12" t="s">
        <v>1403</v>
      </c>
      <c r="R73" s="12" t="s">
        <v>1416</v>
      </c>
      <c r="S73" s="5" t="s">
        <v>1578</v>
      </c>
      <c r="T73" s="5" t="s">
        <v>1579</v>
      </c>
      <c r="U73" s="12" t="n">
        <v>4</v>
      </c>
      <c r="V73" s="12" t="n">
        <v>1</v>
      </c>
      <c r="W73" s="12" t="n">
        <v>1</v>
      </c>
      <c r="X73" s="12" t="n">
        <v>2</v>
      </c>
      <c r="Y73" s="12" t="n">
        <v>0</v>
      </c>
    </row>
    <row r="74" customFormat="false" ht="68.25" hidden="false" customHeight="true" outlineLevel="0" collapsed="false">
      <c r="A74" s="10" t="s">
        <v>1581</v>
      </c>
      <c r="B74" s="11" t="s">
        <v>1582</v>
      </c>
      <c r="C74" s="12"/>
      <c r="D74" s="12" t="s">
        <v>120</v>
      </c>
      <c r="E74" s="5" t="s">
        <v>79</v>
      </c>
      <c r="F74" s="12"/>
      <c r="G74" s="12"/>
      <c r="H74" s="13" t="str">
        <f aca="false">IF(OR(COUNTBLANK($H$75:$H$79)&gt;0,COUNTIF($H$75:$H$79,"unbearbeitet")=COUNTA($H$75:$H$79)),"Bitte Teilanforderungen ausfüllen",IF(COUNTIF($H$75:$H$79,"zu klären")&gt;0,"zu klären",IF(COUNTIF($H$75:$H$79,"entbehrlich")=COUNTA($H$75:$H$79),"entbehrlich",IF(COUNTIF($H$75:$H$79,"verwiesen")=COUNTA($H$75:$H$79),"verwiesen",IF(COUNTIF($H$75:$H$79,"nein")+COUNTIF($H$75:$H$79,"entbehrlich")=COUNTA($H$75:$H$79),"nein",IF(COUNTIF($H$75:$H$79,"ja")+COUNTIF($H$75:$H$79,"entbehrlich")+COUNTIF($H$75:$H$79,"verwiesen")=COUNTA($H$75:$H$79),"ja","teilweise"))))))</f>
        <v>Bitte Teilanforderungen ausfüllen</v>
      </c>
      <c r="I74" s="12"/>
      <c r="J74" s="12"/>
      <c r="K74" s="12"/>
      <c r="L74" s="12"/>
      <c r="M74" s="12"/>
      <c r="N74" s="5"/>
      <c r="O74" s="12"/>
      <c r="P74" s="5" t="s">
        <v>1583</v>
      </c>
      <c r="Q74" s="12" t="s">
        <v>1392</v>
      </c>
      <c r="R74" s="12" t="s">
        <v>1416</v>
      </c>
      <c r="S74" s="5" t="s">
        <v>1584</v>
      </c>
      <c r="T74" s="5" t="s">
        <v>1522</v>
      </c>
      <c r="U74" s="12" t="n">
        <v>4</v>
      </c>
      <c r="V74" s="12" t="n">
        <v>1</v>
      </c>
      <c r="W74" s="12" t="n">
        <v>1</v>
      </c>
      <c r="X74" s="12" t="n">
        <v>1</v>
      </c>
      <c r="Y74" s="12" t="n">
        <v>1</v>
      </c>
    </row>
    <row r="75" customFormat="false" ht="68.25" hidden="false" customHeight="true" outlineLevel="0" collapsed="false">
      <c r="A75" s="12" t="s">
        <v>1581</v>
      </c>
      <c r="B75" s="5" t="s">
        <v>1582</v>
      </c>
      <c r="C75" s="12" t="s">
        <v>1581</v>
      </c>
      <c r="D75" s="12" t="s">
        <v>120</v>
      </c>
      <c r="E75" s="5" t="s">
        <v>1585</v>
      </c>
      <c r="F75" s="14"/>
      <c r="G75" s="14"/>
      <c r="H75" s="14" t="s">
        <v>87</v>
      </c>
      <c r="I75" s="14"/>
      <c r="J75" s="14"/>
      <c r="K75" s="14"/>
      <c r="L75" s="15"/>
      <c r="M75" s="12"/>
      <c r="N75" s="5"/>
      <c r="O75" s="12"/>
      <c r="P75" s="5" t="s">
        <v>1583</v>
      </c>
      <c r="Q75" s="12" t="s">
        <v>1392</v>
      </c>
      <c r="R75" s="12" t="s">
        <v>1416</v>
      </c>
      <c r="S75" s="5" t="s">
        <v>1584</v>
      </c>
      <c r="T75" s="5" t="s">
        <v>1522</v>
      </c>
      <c r="U75" s="12" t="n">
        <v>4</v>
      </c>
      <c r="V75" s="12" t="n">
        <v>1</v>
      </c>
      <c r="W75" s="12" t="n">
        <v>1</v>
      </c>
      <c r="X75" s="12" t="n">
        <v>1</v>
      </c>
      <c r="Y75" s="12" t="n">
        <v>1</v>
      </c>
    </row>
    <row r="76" customFormat="false" ht="135.75" hidden="false" customHeight="true" outlineLevel="0" collapsed="false">
      <c r="A76" s="12" t="s">
        <v>1581</v>
      </c>
      <c r="B76" s="5" t="s">
        <v>1582</v>
      </c>
      <c r="C76" s="12" t="s">
        <v>1586</v>
      </c>
      <c r="D76" s="12" t="s">
        <v>160</v>
      </c>
      <c r="E76" s="5" t="s">
        <v>1587</v>
      </c>
      <c r="F76" s="14"/>
      <c r="G76" s="14"/>
      <c r="H76" s="14" t="s">
        <v>87</v>
      </c>
      <c r="I76" s="14"/>
      <c r="J76" s="14"/>
      <c r="K76" s="14"/>
      <c r="L76" s="15"/>
      <c r="M76" s="12"/>
      <c r="N76" s="5"/>
      <c r="O76" s="12"/>
      <c r="P76" s="5" t="s">
        <v>1588</v>
      </c>
      <c r="Q76" s="12" t="s">
        <v>1392</v>
      </c>
      <c r="R76" s="12" t="s">
        <v>1416</v>
      </c>
      <c r="S76" s="5" t="s">
        <v>1589</v>
      </c>
      <c r="T76" s="5" t="s">
        <v>1522</v>
      </c>
      <c r="U76" s="12" t="n">
        <v>5</v>
      </c>
      <c r="V76" s="12" t="n">
        <v>1</v>
      </c>
      <c r="W76" s="12" t="n">
        <v>1</v>
      </c>
      <c r="X76" s="12" t="n">
        <v>1</v>
      </c>
      <c r="Y76" s="12" t="n">
        <v>1</v>
      </c>
    </row>
    <row r="77" customFormat="false" ht="41.25" hidden="false" customHeight="true" outlineLevel="0" collapsed="false">
      <c r="A77" s="12" t="s">
        <v>1581</v>
      </c>
      <c r="B77" s="5" t="s">
        <v>1582</v>
      </c>
      <c r="C77" s="12" t="s">
        <v>1590</v>
      </c>
      <c r="D77" s="12" t="s">
        <v>120</v>
      </c>
      <c r="E77" s="5" t="s">
        <v>1591</v>
      </c>
      <c r="F77" s="14"/>
      <c r="G77" s="14"/>
      <c r="H77" s="14" t="s">
        <v>87</v>
      </c>
      <c r="I77" s="14"/>
      <c r="J77" s="14"/>
      <c r="K77" s="14"/>
      <c r="L77" s="15"/>
      <c r="M77" s="12"/>
      <c r="N77" s="5"/>
      <c r="O77" s="12"/>
      <c r="P77" s="5" t="s">
        <v>1592</v>
      </c>
      <c r="Q77" s="12" t="s">
        <v>1415</v>
      </c>
      <c r="R77" s="12" t="s">
        <v>1416</v>
      </c>
      <c r="S77" s="5" t="s">
        <v>1593</v>
      </c>
      <c r="T77" s="5" t="s">
        <v>1594</v>
      </c>
      <c r="U77" s="12" t="n">
        <v>4</v>
      </c>
      <c r="V77" s="12" t="n">
        <v>1</v>
      </c>
      <c r="W77" s="12" t="n">
        <v>1</v>
      </c>
      <c r="X77" s="12" t="n">
        <v>1</v>
      </c>
      <c r="Y77" s="12" t="n">
        <v>1</v>
      </c>
    </row>
    <row r="78" customFormat="false" ht="122.25" hidden="false" customHeight="true" outlineLevel="0" collapsed="false">
      <c r="A78" s="12" t="s">
        <v>1581</v>
      </c>
      <c r="B78" s="5" t="s">
        <v>1582</v>
      </c>
      <c r="C78" s="12" t="s">
        <v>1595</v>
      </c>
      <c r="D78" s="12" t="s">
        <v>160</v>
      </c>
      <c r="E78" s="5" t="s">
        <v>1596</v>
      </c>
      <c r="F78" s="14"/>
      <c r="G78" s="14"/>
      <c r="H78" s="14" t="s">
        <v>87</v>
      </c>
      <c r="I78" s="14"/>
      <c r="J78" s="14"/>
      <c r="K78" s="14"/>
      <c r="L78" s="15"/>
      <c r="M78" s="12"/>
      <c r="N78" s="5"/>
      <c r="O78" s="12"/>
      <c r="P78" s="5" t="s">
        <v>1597</v>
      </c>
      <c r="Q78" s="12" t="s">
        <v>1403</v>
      </c>
      <c r="R78" s="12" t="s">
        <v>1416</v>
      </c>
      <c r="S78" s="5" t="s">
        <v>1598</v>
      </c>
      <c r="T78" s="5" t="s">
        <v>1522</v>
      </c>
      <c r="U78" s="12" t="n">
        <v>5</v>
      </c>
      <c r="V78" s="12" t="n">
        <v>1</v>
      </c>
      <c r="W78" s="12" t="n">
        <v>1</v>
      </c>
      <c r="X78" s="12" t="n">
        <v>1</v>
      </c>
      <c r="Y78" s="12" t="n">
        <v>1</v>
      </c>
    </row>
    <row r="79" customFormat="false" ht="68.25" hidden="false" customHeight="true" outlineLevel="0" collapsed="false">
      <c r="A79" s="12" t="s">
        <v>1581</v>
      </c>
      <c r="B79" s="5" t="s">
        <v>1582</v>
      </c>
      <c r="C79" s="12" t="s">
        <v>1599</v>
      </c>
      <c r="D79" s="12" t="s">
        <v>160</v>
      </c>
      <c r="E79" s="5" t="s">
        <v>1600</v>
      </c>
      <c r="F79" s="14"/>
      <c r="G79" s="14"/>
      <c r="H79" s="14" t="s">
        <v>87</v>
      </c>
      <c r="I79" s="14"/>
      <c r="J79" s="14"/>
      <c r="K79" s="14"/>
      <c r="L79" s="15"/>
      <c r="M79" s="12"/>
      <c r="N79" s="5"/>
      <c r="O79" s="12"/>
      <c r="P79" s="5" t="s">
        <v>1601</v>
      </c>
      <c r="Q79" s="12" t="s">
        <v>1403</v>
      </c>
      <c r="R79" s="12" t="s">
        <v>1416</v>
      </c>
      <c r="S79" s="5" t="s">
        <v>1602</v>
      </c>
      <c r="T79" s="5" t="s">
        <v>1522</v>
      </c>
      <c r="U79" s="12" t="n">
        <v>5</v>
      </c>
      <c r="V79" s="12" t="n">
        <v>1</v>
      </c>
      <c r="W79" s="12" t="n">
        <v>1</v>
      </c>
      <c r="X79" s="12" t="n">
        <v>1</v>
      </c>
      <c r="Y79" s="12" t="n">
        <v>1</v>
      </c>
    </row>
    <row r="80" customFormat="false" ht="108.75" hidden="false" customHeight="true" outlineLevel="0" collapsed="false">
      <c r="A80" s="10" t="s">
        <v>1603</v>
      </c>
      <c r="B80" s="11" t="s">
        <v>1604</v>
      </c>
      <c r="C80" s="12"/>
      <c r="D80" s="12" t="s">
        <v>160</v>
      </c>
      <c r="E80" s="5" t="s">
        <v>79</v>
      </c>
      <c r="F80" s="12"/>
      <c r="G80" s="12"/>
      <c r="H80" s="13" t="str">
        <f aca="false">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Bitte Teilanforderungen ausfüllen</v>
      </c>
      <c r="I80" s="12"/>
      <c r="J80" s="12"/>
      <c r="K80" s="12"/>
      <c r="L80" s="12"/>
      <c r="M80" s="12"/>
      <c r="N80" s="5"/>
      <c r="O80" s="12"/>
      <c r="P80" s="5" t="s">
        <v>1605</v>
      </c>
      <c r="Q80" s="12" t="s">
        <v>1392</v>
      </c>
      <c r="R80" s="12" t="s">
        <v>1416</v>
      </c>
      <c r="S80" s="5" t="s">
        <v>1606</v>
      </c>
      <c r="T80" s="5" t="s">
        <v>1522</v>
      </c>
      <c r="U80" s="12" t="n">
        <v>5</v>
      </c>
      <c r="V80" s="12" t="n">
        <v>1</v>
      </c>
      <c r="W80" s="12" t="n">
        <v>1</v>
      </c>
      <c r="X80" s="12" t="n">
        <v>1</v>
      </c>
      <c r="Y80" s="12" t="n">
        <v>1</v>
      </c>
    </row>
    <row r="81" customFormat="false" ht="108.75" hidden="false" customHeight="true" outlineLevel="0" collapsed="false">
      <c r="A81" s="12" t="s">
        <v>1603</v>
      </c>
      <c r="B81" s="5" t="s">
        <v>1604</v>
      </c>
      <c r="C81" s="12" t="s">
        <v>1603</v>
      </c>
      <c r="D81" s="12" t="s">
        <v>160</v>
      </c>
      <c r="E81" s="5" t="s">
        <v>1607</v>
      </c>
      <c r="F81" s="14"/>
      <c r="G81" s="14"/>
      <c r="H81" s="14" t="s">
        <v>87</v>
      </c>
      <c r="I81" s="14"/>
      <c r="J81" s="14"/>
      <c r="K81" s="14"/>
      <c r="L81" s="15"/>
      <c r="M81" s="12"/>
      <c r="N81" s="5"/>
      <c r="O81" s="12"/>
      <c r="P81" s="5" t="s">
        <v>1605</v>
      </c>
      <c r="Q81" s="12" t="s">
        <v>1392</v>
      </c>
      <c r="R81" s="12" t="s">
        <v>1416</v>
      </c>
      <c r="S81" s="5" t="s">
        <v>1606</v>
      </c>
      <c r="T81" s="5" t="s">
        <v>1522</v>
      </c>
      <c r="U81" s="12" t="n">
        <v>5</v>
      </c>
      <c r="V81" s="12" t="n">
        <v>1</v>
      </c>
      <c r="W81" s="12" t="n">
        <v>1</v>
      </c>
      <c r="X81" s="12" t="n">
        <v>1</v>
      </c>
      <c r="Y81" s="12" t="n">
        <v>1</v>
      </c>
    </row>
    <row r="82" customFormat="false" ht="336.75" hidden="false" customHeight="true" outlineLevel="0" collapsed="false">
      <c r="A82" s="10" t="s">
        <v>1608</v>
      </c>
      <c r="B82" s="11" t="s">
        <v>1609</v>
      </c>
      <c r="C82" s="12"/>
      <c r="D82" s="12" t="s">
        <v>120</v>
      </c>
      <c r="E82" s="5" t="s">
        <v>79</v>
      </c>
      <c r="F82" s="12"/>
      <c r="G82" s="12"/>
      <c r="H82" s="13" t="str">
        <f aca="false">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Bitte Teilanforderungen ausfüllen</v>
      </c>
      <c r="I82" s="12"/>
      <c r="J82" s="12"/>
      <c r="K82" s="12"/>
      <c r="L82" s="12"/>
      <c r="M82" s="12"/>
      <c r="N82" s="5"/>
      <c r="O82" s="12"/>
      <c r="P82" s="5" t="s">
        <v>1610</v>
      </c>
      <c r="Q82" s="12" t="s">
        <v>1563</v>
      </c>
      <c r="R82" s="12" t="s">
        <v>1416</v>
      </c>
      <c r="S82" s="5" t="s">
        <v>1611</v>
      </c>
      <c r="T82" s="5" t="s">
        <v>1522</v>
      </c>
      <c r="U82" s="12" t="n">
        <v>4</v>
      </c>
      <c r="V82" s="12" t="n">
        <v>1</v>
      </c>
      <c r="W82" s="12" t="n">
        <v>1</v>
      </c>
      <c r="X82" s="12" t="n">
        <v>1</v>
      </c>
      <c r="Y82" s="12" t="n">
        <v>1</v>
      </c>
    </row>
    <row r="83" customFormat="false" ht="336.75" hidden="false" customHeight="true" outlineLevel="0" collapsed="false">
      <c r="A83" s="12" t="s">
        <v>1608</v>
      </c>
      <c r="B83" s="5" t="s">
        <v>1609</v>
      </c>
      <c r="C83" s="12" t="s">
        <v>1608</v>
      </c>
      <c r="D83" s="12" t="s">
        <v>120</v>
      </c>
      <c r="E83" s="5" t="s">
        <v>1612</v>
      </c>
      <c r="F83" s="14"/>
      <c r="G83" s="14"/>
      <c r="H83" s="14" t="s">
        <v>87</v>
      </c>
      <c r="I83" s="14"/>
      <c r="J83" s="14"/>
      <c r="K83" s="14"/>
      <c r="L83" s="15"/>
      <c r="M83" s="12"/>
      <c r="N83" s="5"/>
      <c r="O83" s="12"/>
      <c r="P83" s="5" t="s">
        <v>1610</v>
      </c>
      <c r="Q83" s="12" t="s">
        <v>1563</v>
      </c>
      <c r="R83" s="12" t="s">
        <v>1416</v>
      </c>
      <c r="S83" s="5" t="s">
        <v>1611</v>
      </c>
      <c r="T83" s="5" t="s">
        <v>1522</v>
      </c>
      <c r="U83" s="12" t="n">
        <v>4</v>
      </c>
      <c r="V83" s="12" t="n">
        <v>1</v>
      </c>
      <c r="W83" s="12" t="n">
        <v>1</v>
      </c>
      <c r="X83" s="12" t="n">
        <v>1</v>
      </c>
      <c r="Y83" s="12" t="n">
        <v>1</v>
      </c>
    </row>
    <row r="84" customFormat="false" ht="297" hidden="false" customHeight="true" outlineLevel="0" collapsed="false">
      <c r="A84" s="10" t="s">
        <v>1613</v>
      </c>
      <c r="B84" s="11" t="s">
        <v>1614</v>
      </c>
      <c r="C84" s="12"/>
      <c r="D84" s="12" t="s">
        <v>120</v>
      </c>
      <c r="E84" s="5" t="s">
        <v>79</v>
      </c>
      <c r="F84" s="12"/>
      <c r="G84" s="12"/>
      <c r="H84" s="13" t="str">
        <f aca="false">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Bitte Teilanforderungen ausfüllen</v>
      </c>
      <c r="I84" s="12"/>
      <c r="J84" s="12"/>
      <c r="K84" s="12"/>
      <c r="L84" s="12"/>
      <c r="M84" s="12"/>
      <c r="N84" s="5"/>
      <c r="O84" s="12"/>
      <c r="P84" s="5" t="s">
        <v>1615</v>
      </c>
      <c r="Q84" s="12" t="s">
        <v>1403</v>
      </c>
      <c r="R84" s="12" t="s">
        <v>1416</v>
      </c>
      <c r="S84" s="5" t="s">
        <v>1616</v>
      </c>
      <c r="T84" s="5" t="s">
        <v>1522</v>
      </c>
      <c r="U84" s="12" t="n">
        <v>4</v>
      </c>
      <c r="V84" s="12" t="n">
        <v>1</v>
      </c>
      <c r="W84" s="12" t="n">
        <v>1</v>
      </c>
      <c r="X84" s="12" t="n">
        <v>1</v>
      </c>
      <c r="Y84" s="12" t="n">
        <v>1</v>
      </c>
    </row>
    <row r="85" customFormat="false" ht="297" hidden="false" customHeight="true" outlineLevel="0" collapsed="false">
      <c r="A85" s="12" t="s">
        <v>1613</v>
      </c>
      <c r="B85" s="5" t="s">
        <v>1614</v>
      </c>
      <c r="C85" s="12" t="s">
        <v>1613</v>
      </c>
      <c r="D85" s="12" t="s">
        <v>120</v>
      </c>
      <c r="E85" s="5" t="s">
        <v>1617</v>
      </c>
      <c r="F85" s="14"/>
      <c r="G85" s="14"/>
      <c r="H85" s="14" t="s">
        <v>87</v>
      </c>
      <c r="I85" s="14"/>
      <c r="J85" s="14"/>
      <c r="K85" s="14"/>
      <c r="L85" s="15"/>
      <c r="M85" s="12"/>
      <c r="N85" s="5"/>
      <c r="O85" s="12"/>
      <c r="P85" s="5" t="s">
        <v>1615</v>
      </c>
      <c r="Q85" s="12" t="s">
        <v>1403</v>
      </c>
      <c r="R85" s="12" t="s">
        <v>1416</v>
      </c>
      <c r="S85" s="5" t="s">
        <v>1616</v>
      </c>
      <c r="T85" s="5" t="s">
        <v>1522</v>
      </c>
      <c r="U85" s="12" t="n">
        <v>4</v>
      </c>
      <c r="V85" s="12" t="n">
        <v>1</v>
      </c>
      <c r="W85" s="12" t="n">
        <v>1</v>
      </c>
      <c r="X85" s="12" t="n">
        <v>1</v>
      </c>
      <c r="Y85" s="12" t="n">
        <v>1</v>
      </c>
    </row>
    <row r="86" customFormat="false" ht="68.25" hidden="false" customHeight="true" outlineLevel="0" collapsed="false">
      <c r="A86" s="10" t="s">
        <v>1618</v>
      </c>
      <c r="B86" s="11" t="s">
        <v>1619</v>
      </c>
      <c r="C86" s="12"/>
      <c r="D86" s="12" t="s">
        <v>120</v>
      </c>
      <c r="E86" s="5" t="s">
        <v>79</v>
      </c>
      <c r="F86" s="12"/>
      <c r="G86" s="12"/>
      <c r="H86" s="13" t="str">
        <f aca="false">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Bitte Teilanforderungen ausfüllen</v>
      </c>
      <c r="I86" s="12"/>
      <c r="J86" s="12"/>
      <c r="K86" s="12"/>
      <c r="L86" s="12"/>
      <c r="M86" s="12"/>
      <c r="N86" s="5"/>
      <c r="O86" s="12"/>
      <c r="P86" s="5" t="s">
        <v>1620</v>
      </c>
      <c r="Q86" s="12" t="s">
        <v>1392</v>
      </c>
      <c r="R86" s="12" t="s">
        <v>1416</v>
      </c>
      <c r="S86" s="5" t="s">
        <v>1621</v>
      </c>
      <c r="T86" s="5" t="s">
        <v>1522</v>
      </c>
      <c r="U86" s="12" t="n">
        <v>3</v>
      </c>
      <c r="V86" s="12" t="n">
        <v>1</v>
      </c>
      <c r="W86" s="12" t="n">
        <v>1</v>
      </c>
      <c r="X86" s="12" t="n">
        <v>1</v>
      </c>
      <c r="Y86" s="12" t="n">
        <v>1</v>
      </c>
    </row>
    <row r="87" customFormat="false" ht="68.25" hidden="false" customHeight="true" outlineLevel="0" collapsed="false">
      <c r="A87" s="12" t="s">
        <v>1618</v>
      </c>
      <c r="B87" s="5" t="s">
        <v>1619</v>
      </c>
      <c r="C87" s="12" t="s">
        <v>1618</v>
      </c>
      <c r="D87" s="12" t="s">
        <v>120</v>
      </c>
      <c r="E87" s="5" t="s">
        <v>1622</v>
      </c>
      <c r="F87" s="14"/>
      <c r="G87" s="14"/>
      <c r="H87" s="14" t="s">
        <v>87</v>
      </c>
      <c r="I87" s="14"/>
      <c r="J87" s="14"/>
      <c r="K87" s="14"/>
      <c r="L87" s="15"/>
      <c r="M87" s="12"/>
      <c r="N87" s="5"/>
      <c r="O87" s="12"/>
      <c r="P87" s="5" t="s">
        <v>1620</v>
      </c>
      <c r="Q87" s="12" t="s">
        <v>1392</v>
      </c>
      <c r="R87" s="12" t="s">
        <v>1416</v>
      </c>
      <c r="S87" s="5" t="s">
        <v>1621</v>
      </c>
      <c r="T87" s="5" t="s">
        <v>1522</v>
      </c>
      <c r="U87" s="12" t="n">
        <v>3</v>
      </c>
      <c r="V87" s="12" t="n">
        <v>1</v>
      </c>
      <c r="W87" s="12" t="n">
        <v>1</v>
      </c>
      <c r="X87" s="12" t="n">
        <v>1</v>
      </c>
      <c r="Y87" s="12" t="n">
        <v>1</v>
      </c>
    </row>
    <row r="88" customFormat="false" ht="68.25" hidden="false" customHeight="true" outlineLevel="0" collapsed="false">
      <c r="A88" s="10" t="s">
        <v>1623</v>
      </c>
      <c r="B88" s="11" t="s">
        <v>1624</v>
      </c>
      <c r="C88" s="12"/>
      <c r="D88" s="12" t="s">
        <v>120</v>
      </c>
      <c r="E88" s="5" t="s">
        <v>79</v>
      </c>
      <c r="F88" s="12"/>
      <c r="G88" s="12"/>
      <c r="H88" s="13" t="str">
        <f aca="false">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2"/>
      <c r="J88" s="12"/>
      <c r="K88" s="12"/>
      <c r="L88" s="12"/>
      <c r="M88" s="12"/>
      <c r="N88" s="5"/>
      <c r="O88" s="12"/>
      <c r="P88" s="5" t="s">
        <v>1625</v>
      </c>
      <c r="Q88" s="12" t="s">
        <v>1392</v>
      </c>
      <c r="R88" s="12" t="s">
        <v>1416</v>
      </c>
      <c r="S88" s="5" t="s">
        <v>1624</v>
      </c>
      <c r="T88" s="5" t="s">
        <v>1522</v>
      </c>
      <c r="U88" s="12" t="n">
        <v>4</v>
      </c>
      <c r="V88" s="12" t="n">
        <v>1</v>
      </c>
      <c r="W88" s="12" t="n">
        <v>1</v>
      </c>
      <c r="X88" s="12" t="n">
        <v>1</v>
      </c>
      <c r="Y88" s="12" t="n">
        <v>1</v>
      </c>
    </row>
    <row r="89" customFormat="false" ht="68.25" hidden="false" customHeight="true" outlineLevel="0" collapsed="false">
      <c r="A89" s="12" t="s">
        <v>1623</v>
      </c>
      <c r="B89" s="5" t="s">
        <v>1624</v>
      </c>
      <c r="C89" s="12" t="s">
        <v>1623</v>
      </c>
      <c r="D89" s="12" t="s">
        <v>120</v>
      </c>
      <c r="E89" s="5" t="s">
        <v>1626</v>
      </c>
      <c r="F89" s="14"/>
      <c r="G89" s="14"/>
      <c r="H89" s="14" t="s">
        <v>87</v>
      </c>
      <c r="I89" s="14"/>
      <c r="J89" s="14"/>
      <c r="K89" s="14"/>
      <c r="L89" s="15"/>
      <c r="M89" s="12"/>
      <c r="N89" s="5"/>
      <c r="O89" s="12"/>
      <c r="P89" s="5" t="s">
        <v>1625</v>
      </c>
      <c r="Q89" s="12" t="s">
        <v>1392</v>
      </c>
      <c r="R89" s="12" t="s">
        <v>1416</v>
      </c>
      <c r="S89" s="5" t="s">
        <v>1624</v>
      </c>
      <c r="T89" s="5" t="s">
        <v>1522</v>
      </c>
      <c r="U89" s="12" t="n">
        <v>4</v>
      </c>
      <c r="V89" s="12" t="n">
        <v>1</v>
      </c>
      <c r="W89" s="12" t="n">
        <v>1</v>
      </c>
      <c r="X89" s="12" t="n">
        <v>1</v>
      </c>
      <c r="Y89" s="12" t="n">
        <v>1</v>
      </c>
    </row>
    <row r="90" customFormat="false" ht="54.75" hidden="false" customHeight="true" outlineLevel="0" collapsed="false">
      <c r="A90" s="10" t="s">
        <v>1627</v>
      </c>
      <c r="B90" s="11" t="s">
        <v>1628</v>
      </c>
      <c r="C90" s="12"/>
      <c r="D90" s="12" t="s">
        <v>120</v>
      </c>
      <c r="E90" s="5" t="s">
        <v>79</v>
      </c>
      <c r="F90" s="12"/>
      <c r="G90" s="12"/>
      <c r="H90" s="13" t="str">
        <f aca="false">IF(OR(COUNTBLANK($H$91:$H$93)&gt;0,COUNTIF($H$91:$H$93,"unbearbeitet")=COUNTA($H$91:$H$93)),"Bitte Teilanforderungen ausfüllen",IF(COUNTIF($H$91:$H$93,"zu klären")&gt;0,"zu klären",IF(COUNTIF($H$91:$H$93,"entbehrlich")=COUNTA($H$91:$H$93),"entbehrlich",IF(COUNTIF($H$91:$H$93,"verwiesen")=COUNTA($H$91:$H$93),"verwiesen",IF(COUNTIF($H$91:$H$93,"nein")+COUNTIF($H$91:$H$93,"entbehrlich")=COUNTA($H$91:$H$93),"nein",IF(COUNTIF($H$91:$H$93,"ja")+COUNTIF($H$91:$H$93,"entbehrlich")+COUNTIF($H$91:$H$93,"verwiesen")=COUNTA($H$91:$H$93),"ja","teilweise"))))))</f>
        <v>Bitte Teilanforderungen ausfüllen</v>
      </c>
      <c r="I90" s="12"/>
      <c r="J90" s="12"/>
      <c r="K90" s="12"/>
      <c r="L90" s="12"/>
      <c r="M90" s="12"/>
      <c r="N90" s="5"/>
      <c r="O90" s="12"/>
      <c r="P90" s="5" t="s">
        <v>1629</v>
      </c>
      <c r="Q90" s="12" t="s">
        <v>1563</v>
      </c>
      <c r="R90" s="12" t="s">
        <v>1416</v>
      </c>
      <c r="S90" s="5" t="s">
        <v>1630</v>
      </c>
      <c r="T90" s="5" t="s">
        <v>1522</v>
      </c>
      <c r="U90" s="12" t="n">
        <v>3</v>
      </c>
      <c r="V90" s="12" t="n">
        <v>1</v>
      </c>
      <c r="W90" s="12" t="n">
        <v>1</v>
      </c>
      <c r="X90" s="12" t="n">
        <v>1</v>
      </c>
      <c r="Y90" s="12" t="n">
        <v>1</v>
      </c>
    </row>
    <row r="91" customFormat="false" ht="54.75" hidden="false" customHeight="true" outlineLevel="0" collapsed="false">
      <c r="A91" s="12" t="s">
        <v>1627</v>
      </c>
      <c r="B91" s="5" t="s">
        <v>1628</v>
      </c>
      <c r="C91" s="12" t="s">
        <v>1627</v>
      </c>
      <c r="D91" s="12" t="s">
        <v>120</v>
      </c>
      <c r="E91" s="5" t="s">
        <v>1631</v>
      </c>
      <c r="F91" s="14"/>
      <c r="G91" s="14"/>
      <c r="H91" s="14" t="s">
        <v>87</v>
      </c>
      <c r="I91" s="14"/>
      <c r="J91" s="14"/>
      <c r="K91" s="14"/>
      <c r="L91" s="15"/>
      <c r="M91" s="12"/>
      <c r="N91" s="5"/>
      <c r="O91" s="12"/>
      <c r="P91" s="5" t="s">
        <v>1629</v>
      </c>
      <c r="Q91" s="12" t="s">
        <v>1563</v>
      </c>
      <c r="R91" s="12" t="s">
        <v>1416</v>
      </c>
      <c r="S91" s="5" t="s">
        <v>1630</v>
      </c>
      <c r="T91" s="5" t="s">
        <v>1522</v>
      </c>
      <c r="U91" s="12" t="n">
        <v>3</v>
      </c>
      <c r="V91" s="12" t="n">
        <v>1</v>
      </c>
      <c r="W91" s="12" t="n">
        <v>1</v>
      </c>
      <c r="X91" s="12" t="n">
        <v>1</v>
      </c>
      <c r="Y91" s="12" t="n">
        <v>1</v>
      </c>
    </row>
    <row r="92" customFormat="false" ht="283.5" hidden="false" customHeight="true" outlineLevel="0" collapsed="false">
      <c r="A92" s="12" t="s">
        <v>1627</v>
      </c>
      <c r="B92" s="5" t="s">
        <v>1628</v>
      </c>
      <c r="C92" s="12" t="s">
        <v>1632</v>
      </c>
      <c r="D92" s="12" t="s">
        <v>160</v>
      </c>
      <c r="E92" s="5" t="s">
        <v>1633</v>
      </c>
      <c r="F92" s="14"/>
      <c r="G92" s="14"/>
      <c r="H92" s="14" t="s">
        <v>87</v>
      </c>
      <c r="I92" s="14"/>
      <c r="J92" s="14"/>
      <c r="K92" s="14"/>
      <c r="L92" s="15"/>
      <c r="M92" s="12"/>
      <c r="N92" s="5"/>
      <c r="O92" s="12"/>
      <c r="P92" s="5" t="s">
        <v>1634</v>
      </c>
      <c r="Q92" s="12" t="s">
        <v>1563</v>
      </c>
      <c r="R92" s="12" t="s">
        <v>1416</v>
      </c>
      <c r="S92" s="5" t="s">
        <v>1635</v>
      </c>
      <c r="T92" s="5" t="s">
        <v>1522</v>
      </c>
      <c r="U92" s="12" t="n">
        <v>4</v>
      </c>
      <c r="V92" s="12" t="n">
        <v>1</v>
      </c>
      <c r="W92" s="12" t="n">
        <v>1</v>
      </c>
      <c r="X92" s="12" t="n">
        <v>1</v>
      </c>
      <c r="Y92" s="12" t="n">
        <v>1</v>
      </c>
    </row>
    <row r="93" customFormat="false" ht="54.75" hidden="false" customHeight="true" outlineLevel="0" collapsed="false">
      <c r="A93" s="12" t="s">
        <v>1627</v>
      </c>
      <c r="B93" s="5" t="s">
        <v>1628</v>
      </c>
      <c r="C93" s="12" t="s">
        <v>1636</v>
      </c>
      <c r="D93" s="12" t="s">
        <v>120</v>
      </c>
      <c r="E93" s="5" t="s">
        <v>1637</v>
      </c>
      <c r="F93" s="14"/>
      <c r="G93" s="14"/>
      <c r="H93" s="14" t="s">
        <v>87</v>
      </c>
      <c r="I93" s="14"/>
      <c r="J93" s="14"/>
      <c r="K93" s="14"/>
      <c r="L93" s="15"/>
      <c r="M93" s="12"/>
      <c r="N93" s="5"/>
      <c r="O93" s="12"/>
      <c r="P93" s="5" t="s">
        <v>1638</v>
      </c>
      <c r="Q93" s="12" t="s">
        <v>1563</v>
      </c>
      <c r="R93" s="12" t="s">
        <v>1416</v>
      </c>
      <c r="S93" s="5" t="s">
        <v>1639</v>
      </c>
      <c r="T93" s="5" t="s">
        <v>1522</v>
      </c>
      <c r="U93" s="12" t="n">
        <v>4</v>
      </c>
      <c r="V93" s="12" t="n">
        <v>1</v>
      </c>
      <c r="W93" s="12" t="n">
        <v>1</v>
      </c>
      <c r="X93" s="12" t="n">
        <v>1</v>
      </c>
      <c r="Y93" s="12" t="n">
        <v>1</v>
      </c>
    </row>
    <row r="94" customFormat="false" ht="336.75" hidden="false" customHeight="true" outlineLevel="0" collapsed="false">
      <c r="A94" s="10" t="s">
        <v>1640</v>
      </c>
      <c r="B94" s="11" t="s">
        <v>1641</v>
      </c>
      <c r="C94" s="12"/>
      <c r="D94" s="12" t="s">
        <v>120</v>
      </c>
      <c r="E94" s="5" t="s">
        <v>79</v>
      </c>
      <c r="F94" s="12"/>
      <c r="G94" s="12"/>
      <c r="H94" s="13" t="str">
        <f aca="false">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Bitte Teilanforderungen ausfüllen</v>
      </c>
      <c r="I94" s="12"/>
      <c r="J94" s="12"/>
      <c r="K94" s="12"/>
      <c r="L94" s="12"/>
      <c r="M94" s="12"/>
      <c r="N94" s="5"/>
      <c r="O94" s="12"/>
      <c r="P94" s="5" t="s">
        <v>1642</v>
      </c>
      <c r="Q94" s="12" t="s">
        <v>1392</v>
      </c>
      <c r="R94" s="12" t="s">
        <v>1416</v>
      </c>
      <c r="S94" s="5" t="s">
        <v>1643</v>
      </c>
      <c r="T94" s="5" t="s">
        <v>1522</v>
      </c>
      <c r="U94" s="12" t="n">
        <v>4</v>
      </c>
      <c r="V94" s="12" t="n">
        <v>1</v>
      </c>
      <c r="W94" s="12" t="n">
        <v>1</v>
      </c>
      <c r="X94" s="12" t="n">
        <v>1</v>
      </c>
      <c r="Y94" s="12" t="n">
        <v>1</v>
      </c>
    </row>
    <row r="95" customFormat="false" ht="336.75" hidden="false" customHeight="true" outlineLevel="0" collapsed="false">
      <c r="A95" s="12" t="s">
        <v>1640</v>
      </c>
      <c r="B95" s="5" t="s">
        <v>1641</v>
      </c>
      <c r="C95" s="12" t="s">
        <v>1640</v>
      </c>
      <c r="D95" s="12" t="s">
        <v>120</v>
      </c>
      <c r="E95" s="5" t="s">
        <v>1644</v>
      </c>
      <c r="F95" s="14"/>
      <c r="G95" s="14"/>
      <c r="H95" s="14" t="s">
        <v>87</v>
      </c>
      <c r="I95" s="14"/>
      <c r="J95" s="14"/>
      <c r="K95" s="14"/>
      <c r="L95" s="15"/>
      <c r="M95" s="12"/>
      <c r="N95" s="5"/>
      <c r="O95" s="12"/>
      <c r="P95" s="5" t="s">
        <v>1642</v>
      </c>
      <c r="Q95" s="12" t="s">
        <v>1392</v>
      </c>
      <c r="R95" s="12" t="s">
        <v>1416</v>
      </c>
      <c r="S95" s="5" t="s">
        <v>1643</v>
      </c>
      <c r="T95" s="5" t="s">
        <v>1522</v>
      </c>
      <c r="U95" s="12" t="n">
        <v>4</v>
      </c>
      <c r="V95" s="12" t="n">
        <v>1</v>
      </c>
      <c r="W95" s="12" t="n">
        <v>1</v>
      </c>
      <c r="X95" s="12" t="n">
        <v>1</v>
      </c>
      <c r="Y95" s="12" t="n">
        <v>1</v>
      </c>
    </row>
    <row r="96" customFormat="false" ht="216" hidden="false" customHeight="true" outlineLevel="0" collapsed="false">
      <c r="A96" s="12" t="s">
        <v>1640</v>
      </c>
      <c r="B96" s="5" t="s">
        <v>1641</v>
      </c>
      <c r="C96" s="12" t="s">
        <v>1645</v>
      </c>
      <c r="D96" s="12" t="s">
        <v>120</v>
      </c>
      <c r="E96" s="5" t="s">
        <v>1646</v>
      </c>
      <c r="F96" s="14"/>
      <c r="G96" s="14"/>
      <c r="H96" s="14" t="s">
        <v>87</v>
      </c>
      <c r="I96" s="14"/>
      <c r="J96" s="14"/>
      <c r="K96" s="14"/>
      <c r="L96" s="15"/>
      <c r="M96" s="12"/>
      <c r="N96" s="5"/>
      <c r="O96" s="12"/>
      <c r="P96" s="5" t="s">
        <v>1647</v>
      </c>
      <c r="Q96" s="12" t="s">
        <v>1392</v>
      </c>
      <c r="R96" s="12" t="s">
        <v>1416</v>
      </c>
      <c r="S96" s="5" t="s">
        <v>1648</v>
      </c>
      <c r="T96" s="5" t="s">
        <v>1522</v>
      </c>
      <c r="U96" s="12" t="n">
        <v>4</v>
      </c>
      <c r="V96" s="12" t="n">
        <v>1</v>
      </c>
      <c r="W96" s="12" t="n">
        <v>1</v>
      </c>
      <c r="X96" s="12" t="n">
        <v>1</v>
      </c>
      <c r="Y96" s="12" t="n">
        <v>1</v>
      </c>
    </row>
    <row r="97" customFormat="false" ht="162" hidden="false" customHeight="true" outlineLevel="0" collapsed="false">
      <c r="A97" s="12" t="s">
        <v>1640</v>
      </c>
      <c r="B97" s="5" t="s">
        <v>1641</v>
      </c>
      <c r="C97" s="12" t="s">
        <v>1649</v>
      </c>
      <c r="D97" s="12" t="s">
        <v>160</v>
      </c>
      <c r="E97" s="5" t="s">
        <v>1650</v>
      </c>
      <c r="F97" s="14"/>
      <c r="G97" s="14"/>
      <c r="H97" s="14" t="s">
        <v>87</v>
      </c>
      <c r="I97" s="14"/>
      <c r="J97" s="14"/>
      <c r="K97" s="14"/>
      <c r="L97" s="15"/>
      <c r="M97" s="12"/>
      <c r="N97" s="5"/>
      <c r="O97" s="12"/>
      <c r="P97" s="5" t="s">
        <v>1651</v>
      </c>
      <c r="Q97" s="12" t="s">
        <v>1392</v>
      </c>
      <c r="R97" s="12" t="s">
        <v>1416</v>
      </c>
      <c r="S97" s="5" t="s">
        <v>1652</v>
      </c>
      <c r="T97" s="5" t="s">
        <v>1522</v>
      </c>
      <c r="U97" s="12" t="n">
        <v>5</v>
      </c>
      <c r="V97" s="12" t="n">
        <v>1</v>
      </c>
      <c r="W97" s="12" t="n">
        <v>1</v>
      </c>
      <c r="X97" s="12" t="n">
        <v>1</v>
      </c>
      <c r="Y97" s="12" t="n">
        <v>1</v>
      </c>
    </row>
    <row r="98" customFormat="false" ht="229.5" hidden="false" customHeight="true" outlineLevel="0" collapsed="false">
      <c r="A98" s="12" t="s">
        <v>1640</v>
      </c>
      <c r="B98" s="5" t="s">
        <v>1641</v>
      </c>
      <c r="C98" s="12" t="s">
        <v>1653</v>
      </c>
      <c r="D98" s="12" t="s">
        <v>160</v>
      </c>
      <c r="E98" s="5" t="s">
        <v>1654</v>
      </c>
      <c r="F98" s="14"/>
      <c r="G98" s="14"/>
      <c r="H98" s="14" t="s">
        <v>87</v>
      </c>
      <c r="I98" s="14"/>
      <c r="J98" s="14"/>
      <c r="K98" s="14"/>
      <c r="L98" s="15"/>
      <c r="M98" s="12"/>
      <c r="N98" s="5"/>
      <c r="O98" s="12"/>
      <c r="P98" s="5" t="s">
        <v>1655</v>
      </c>
      <c r="Q98" s="12" t="s">
        <v>1437</v>
      </c>
      <c r="R98" s="12" t="s">
        <v>1416</v>
      </c>
      <c r="S98" s="5" t="s">
        <v>1656</v>
      </c>
      <c r="T98" s="5" t="s">
        <v>1522</v>
      </c>
      <c r="U98" s="12" t="n">
        <v>5</v>
      </c>
      <c r="V98" s="12" t="n">
        <v>1</v>
      </c>
      <c r="W98" s="12" t="n">
        <v>1</v>
      </c>
      <c r="X98" s="12" t="n">
        <v>1</v>
      </c>
      <c r="Y98" s="12" t="n">
        <v>1</v>
      </c>
    </row>
    <row r="99" customFormat="false" ht="336.75" hidden="false" customHeight="true" outlineLevel="0" collapsed="false">
      <c r="A99" s="10" t="s">
        <v>1657</v>
      </c>
      <c r="B99" s="11" t="s">
        <v>1658</v>
      </c>
      <c r="C99" s="12"/>
      <c r="D99" s="12" t="s">
        <v>160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c r="N99" s="5"/>
      <c r="O99" s="12"/>
      <c r="P99" s="5" t="s">
        <v>1659</v>
      </c>
      <c r="Q99" s="12" t="s">
        <v>1392</v>
      </c>
      <c r="R99" s="12" t="s">
        <v>1416</v>
      </c>
      <c r="S99" s="5" t="s">
        <v>1660</v>
      </c>
      <c r="T99" s="5" t="s">
        <v>1522</v>
      </c>
      <c r="U99" s="12" t="n">
        <v>5</v>
      </c>
      <c r="V99" s="12" t="n">
        <v>1</v>
      </c>
      <c r="W99" s="12" t="n">
        <v>1</v>
      </c>
      <c r="X99" s="12" t="n">
        <v>1</v>
      </c>
      <c r="Y99" s="12" t="n">
        <v>1</v>
      </c>
    </row>
    <row r="100" customFormat="false" ht="336.75" hidden="false" customHeight="true" outlineLevel="0" collapsed="false">
      <c r="A100" s="12" t="s">
        <v>1657</v>
      </c>
      <c r="B100" s="5" t="s">
        <v>1658</v>
      </c>
      <c r="C100" s="12" t="s">
        <v>1657</v>
      </c>
      <c r="D100" s="12" t="s">
        <v>160</v>
      </c>
      <c r="E100" s="5" t="s">
        <v>1661</v>
      </c>
      <c r="F100" s="14"/>
      <c r="G100" s="14"/>
      <c r="H100" s="14" t="s">
        <v>87</v>
      </c>
      <c r="I100" s="14"/>
      <c r="J100" s="14"/>
      <c r="K100" s="14"/>
      <c r="L100" s="15"/>
      <c r="M100" s="12"/>
      <c r="N100" s="5"/>
      <c r="O100" s="12"/>
      <c r="P100" s="5" t="s">
        <v>1659</v>
      </c>
      <c r="Q100" s="12" t="s">
        <v>1392</v>
      </c>
      <c r="R100" s="12" t="s">
        <v>1416</v>
      </c>
      <c r="S100" s="5" t="s">
        <v>1660</v>
      </c>
      <c r="T100" s="5" t="s">
        <v>1522</v>
      </c>
      <c r="U100" s="12" t="n">
        <v>5</v>
      </c>
      <c r="V100" s="12" t="n">
        <v>1</v>
      </c>
      <c r="W100" s="12" t="n">
        <v>1</v>
      </c>
      <c r="X100" s="12" t="n">
        <v>1</v>
      </c>
      <c r="Y100" s="12" t="n">
        <v>1</v>
      </c>
    </row>
    <row r="101" customFormat="false" ht="323.25" hidden="false" customHeight="true" outlineLevel="0" collapsed="false">
      <c r="A101" s="10" t="s">
        <v>1662</v>
      </c>
      <c r="B101" s="11" t="s">
        <v>1663</v>
      </c>
      <c r="C101" s="12"/>
      <c r="D101" s="12" t="s">
        <v>120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c r="N101" s="5"/>
      <c r="O101" s="12"/>
      <c r="P101" s="5" t="s">
        <v>1664</v>
      </c>
      <c r="Q101" s="12" t="s">
        <v>1563</v>
      </c>
      <c r="R101" s="12" t="s">
        <v>1416</v>
      </c>
      <c r="S101" s="5" t="s">
        <v>1665</v>
      </c>
      <c r="T101" s="5" t="s">
        <v>1522</v>
      </c>
      <c r="U101" s="12" t="n">
        <v>2</v>
      </c>
      <c r="V101" s="12" t="n">
        <v>1</v>
      </c>
      <c r="W101" s="12" t="n">
        <v>1</v>
      </c>
      <c r="X101" s="12" t="n">
        <v>1</v>
      </c>
      <c r="Y101" s="12" t="n">
        <v>1</v>
      </c>
    </row>
    <row r="102" customFormat="false" ht="323.25" hidden="false" customHeight="true" outlineLevel="0" collapsed="false">
      <c r="A102" s="12" t="s">
        <v>1662</v>
      </c>
      <c r="B102" s="5" t="s">
        <v>1663</v>
      </c>
      <c r="C102" s="12" t="s">
        <v>1662</v>
      </c>
      <c r="D102" s="12" t="s">
        <v>120</v>
      </c>
      <c r="E102" s="5" t="s">
        <v>1666</v>
      </c>
      <c r="F102" s="14"/>
      <c r="G102" s="14"/>
      <c r="H102" s="14" t="s">
        <v>87</v>
      </c>
      <c r="I102" s="14"/>
      <c r="J102" s="14"/>
      <c r="K102" s="14"/>
      <c r="L102" s="15"/>
      <c r="M102" s="12"/>
      <c r="N102" s="5"/>
      <c r="O102" s="12"/>
      <c r="P102" s="5" t="s">
        <v>1664</v>
      </c>
      <c r="Q102" s="12" t="s">
        <v>1563</v>
      </c>
      <c r="R102" s="12" t="s">
        <v>1416</v>
      </c>
      <c r="S102" s="5" t="s">
        <v>1665</v>
      </c>
      <c r="T102" s="5" t="s">
        <v>1522</v>
      </c>
      <c r="U102" s="12" t="n">
        <v>2</v>
      </c>
      <c r="V102" s="12" t="n">
        <v>1</v>
      </c>
      <c r="W102" s="12" t="n">
        <v>1</v>
      </c>
      <c r="X102" s="12" t="n">
        <v>1</v>
      </c>
      <c r="Y102" s="12" t="n">
        <v>1</v>
      </c>
    </row>
    <row r="103" customFormat="false" ht="283.5" hidden="false" customHeight="true" outlineLevel="0" collapsed="false">
      <c r="A103" s="10" t="s">
        <v>1667</v>
      </c>
      <c r="B103" s="11" t="s">
        <v>1668</v>
      </c>
      <c r="C103" s="12"/>
      <c r="D103" s="12" t="s">
        <v>120</v>
      </c>
      <c r="E103" s="5" t="s">
        <v>79</v>
      </c>
      <c r="F103" s="12"/>
      <c r="G103" s="12"/>
      <c r="H103" s="13" t="str">
        <f aca="false">IF(OR(COUNTBLANK($H$104:$H$105)&gt;0,COUNTIF($H$104:$H$105,"unbearbeitet")=COUNTA($H$104:$H$105)),"Bitte Teilanforderungen ausfüllen",IF(COUNTIF($H$104:$H$105,"zu klären")&gt;0,"zu klären",IF(COUNTIF($H$104:$H$105,"entbehrlich")=COUNTA($H$104:$H$105),"entbehrlich",IF(COUNTIF($H$104:$H$105,"verwiesen")=COUNTA($H$104:$H$105),"verwiesen",IF(COUNTIF($H$104:$H$105,"nein")+COUNTIF($H$104:$H$105,"entbehrlich")=COUNTA($H$104:$H$105),"nein",IF(COUNTIF($H$104:$H$105,"ja")+COUNTIF($H$104:$H$105,"entbehrlich")+COUNTIF($H$104:$H$105,"verwiesen")=COUNTA($H$104:$H$105),"ja","teilweise"))))))</f>
        <v>Bitte Teilanforderungen ausfüllen</v>
      </c>
      <c r="I103" s="12"/>
      <c r="J103" s="12"/>
      <c r="K103" s="12"/>
      <c r="L103" s="12"/>
      <c r="M103" s="12"/>
      <c r="N103" s="5"/>
      <c r="O103" s="12"/>
      <c r="P103" s="5" t="s">
        <v>1669</v>
      </c>
      <c r="Q103" s="12" t="s">
        <v>1563</v>
      </c>
      <c r="R103" s="12" t="s">
        <v>1416</v>
      </c>
      <c r="S103" s="5" t="s">
        <v>1670</v>
      </c>
      <c r="T103" s="5" t="s">
        <v>1522</v>
      </c>
      <c r="U103" s="12" t="n">
        <v>4</v>
      </c>
      <c r="V103" s="12" t="n">
        <v>1</v>
      </c>
      <c r="W103" s="12" t="n">
        <v>1</v>
      </c>
      <c r="X103" s="12" t="n">
        <v>1</v>
      </c>
      <c r="Y103" s="12" t="n">
        <v>1</v>
      </c>
    </row>
    <row r="104" customFormat="false" ht="283.5" hidden="false" customHeight="true" outlineLevel="0" collapsed="false">
      <c r="A104" s="12" t="s">
        <v>1667</v>
      </c>
      <c r="B104" s="5" t="s">
        <v>1668</v>
      </c>
      <c r="C104" s="12" t="s">
        <v>1667</v>
      </c>
      <c r="D104" s="12" t="s">
        <v>120</v>
      </c>
      <c r="E104" s="5" t="s">
        <v>1671</v>
      </c>
      <c r="F104" s="14"/>
      <c r="G104" s="14"/>
      <c r="H104" s="14" t="s">
        <v>87</v>
      </c>
      <c r="I104" s="14"/>
      <c r="J104" s="14"/>
      <c r="K104" s="14"/>
      <c r="L104" s="15"/>
      <c r="M104" s="12"/>
      <c r="N104" s="5"/>
      <c r="O104" s="12"/>
      <c r="P104" s="5" t="s">
        <v>1669</v>
      </c>
      <c r="Q104" s="12" t="s">
        <v>1563</v>
      </c>
      <c r="R104" s="12" t="s">
        <v>1416</v>
      </c>
      <c r="S104" s="5" t="s">
        <v>1670</v>
      </c>
      <c r="T104" s="5" t="s">
        <v>1522</v>
      </c>
      <c r="U104" s="12" t="n">
        <v>4</v>
      </c>
      <c r="V104" s="12" t="n">
        <v>1</v>
      </c>
      <c r="W104" s="12" t="n">
        <v>1</v>
      </c>
      <c r="X104" s="12" t="n">
        <v>1</v>
      </c>
      <c r="Y104" s="12" t="n">
        <v>1</v>
      </c>
    </row>
    <row r="105" customFormat="false" ht="323.25" hidden="false" customHeight="true" outlineLevel="0" collapsed="false">
      <c r="A105" s="12" t="s">
        <v>1667</v>
      </c>
      <c r="B105" s="5" t="s">
        <v>1668</v>
      </c>
      <c r="C105" s="12" t="s">
        <v>1672</v>
      </c>
      <c r="D105" s="12" t="s">
        <v>160</v>
      </c>
      <c r="E105" s="5" t="s">
        <v>1673</v>
      </c>
      <c r="F105" s="14"/>
      <c r="G105" s="14"/>
      <c r="H105" s="14" t="s">
        <v>87</v>
      </c>
      <c r="I105" s="14"/>
      <c r="J105" s="14"/>
      <c r="K105" s="14"/>
      <c r="L105" s="15"/>
      <c r="M105" s="12"/>
      <c r="N105" s="5"/>
      <c r="O105" s="12"/>
      <c r="P105" s="5" t="s">
        <v>1674</v>
      </c>
      <c r="Q105" s="12" t="s">
        <v>1563</v>
      </c>
      <c r="R105" s="12" t="s">
        <v>1416</v>
      </c>
      <c r="S105" s="5" t="s">
        <v>1675</v>
      </c>
      <c r="T105" s="5" t="s">
        <v>1594</v>
      </c>
      <c r="U105" s="12" t="n">
        <v>5</v>
      </c>
      <c r="V105" s="12" t="n">
        <v>1</v>
      </c>
      <c r="W105" s="12" t="n">
        <v>1</v>
      </c>
      <c r="X105" s="12" t="n">
        <v>1</v>
      </c>
      <c r="Y105" s="12" t="n">
        <v>1</v>
      </c>
    </row>
    <row r="106" customFormat="false" ht="175.5" hidden="false" customHeight="true" outlineLevel="0" collapsed="false">
      <c r="A106" s="10" t="s">
        <v>1676</v>
      </c>
      <c r="B106" s="11" t="s">
        <v>1677</v>
      </c>
      <c r="C106" s="12"/>
      <c r="D106" s="12" t="s">
        <v>120</v>
      </c>
      <c r="E106" s="5" t="s">
        <v>79</v>
      </c>
      <c r="F106" s="12"/>
      <c r="G106" s="12"/>
      <c r="H106" s="13" t="str">
        <f aca="false">IF(OR(COUNTBLANK($H$107:$H$113)&gt;0,COUNTIF($H$107:$H$113,"unbearbeitet")=COUNTA($H$107:$H$113)),"Bitte Teilanforderungen ausfüllen",IF(COUNTIF($H$107:$H$113,"zu klären")&gt;0,"zu klären",IF(COUNTIF($H$107:$H$113,"entbehrlich")=COUNTA($H$107:$H$113),"entbehrlich",IF(COUNTIF($H$107:$H$113,"verwiesen")=COUNTA($H$107:$H$113),"verwiesen",IF(COUNTIF($H$107:$H$113,"nein")+COUNTIF($H$107:$H$113,"entbehrlich")=COUNTA($H$107:$H$113),"nein",IF(COUNTIF($H$107:$H$113,"ja")+COUNTIF($H$107:$H$113,"entbehrlich")+COUNTIF($H$107:$H$113,"verwiesen")=COUNTA($H$107:$H$113),"ja","teilweise"))))))</f>
        <v>Bitte Teilanforderungen ausfüllen</v>
      </c>
      <c r="I106" s="12"/>
      <c r="J106" s="12"/>
      <c r="K106" s="12"/>
      <c r="L106" s="12"/>
      <c r="M106" s="12"/>
      <c r="N106" s="5"/>
      <c r="O106" s="12"/>
      <c r="P106" s="5" t="s">
        <v>1678</v>
      </c>
      <c r="Q106" s="12" t="s">
        <v>1392</v>
      </c>
      <c r="R106" s="12" t="s">
        <v>1416</v>
      </c>
      <c r="S106" s="5" t="s">
        <v>1679</v>
      </c>
      <c r="T106" s="5" t="s">
        <v>1594</v>
      </c>
      <c r="U106" s="12" t="n">
        <v>3</v>
      </c>
      <c r="V106" s="12" t="n">
        <v>1</v>
      </c>
      <c r="W106" s="12" t="n">
        <v>1</v>
      </c>
      <c r="X106" s="12" t="n">
        <v>1</v>
      </c>
      <c r="Y106" s="12" t="n">
        <v>1</v>
      </c>
    </row>
    <row r="107" customFormat="false" ht="175.5" hidden="false" customHeight="true" outlineLevel="0" collapsed="false">
      <c r="A107" s="12" t="s">
        <v>1676</v>
      </c>
      <c r="B107" s="5" t="s">
        <v>1677</v>
      </c>
      <c r="C107" s="12" t="s">
        <v>1676</v>
      </c>
      <c r="D107" s="12" t="s">
        <v>120</v>
      </c>
      <c r="E107" s="5" t="s">
        <v>1680</v>
      </c>
      <c r="F107" s="14"/>
      <c r="G107" s="14"/>
      <c r="H107" s="14" t="s">
        <v>87</v>
      </c>
      <c r="I107" s="14"/>
      <c r="J107" s="14"/>
      <c r="K107" s="14"/>
      <c r="L107" s="15"/>
      <c r="M107" s="12"/>
      <c r="N107" s="5"/>
      <c r="O107" s="12"/>
      <c r="P107" s="5" t="s">
        <v>1678</v>
      </c>
      <c r="Q107" s="12" t="s">
        <v>1392</v>
      </c>
      <c r="R107" s="12" t="s">
        <v>1416</v>
      </c>
      <c r="S107" s="5" t="s">
        <v>1679</v>
      </c>
      <c r="T107" s="5" t="s">
        <v>1594</v>
      </c>
      <c r="U107" s="12" t="n">
        <v>3</v>
      </c>
      <c r="V107" s="12" t="n">
        <v>1</v>
      </c>
      <c r="W107" s="12" t="n">
        <v>1</v>
      </c>
      <c r="X107" s="12" t="n">
        <v>1</v>
      </c>
      <c r="Y107" s="12" t="n">
        <v>1</v>
      </c>
    </row>
    <row r="108" customFormat="false" ht="256.5" hidden="false" customHeight="true" outlineLevel="0" collapsed="false">
      <c r="A108" s="12" t="s">
        <v>1676</v>
      </c>
      <c r="B108" s="5" t="s">
        <v>1677</v>
      </c>
      <c r="C108" s="12" t="s">
        <v>1681</v>
      </c>
      <c r="D108" s="12" t="s">
        <v>120</v>
      </c>
      <c r="E108" s="5" t="s">
        <v>1682</v>
      </c>
      <c r="F108" s="14"/>
      <c r="G108" s="14"/>
      <c r="H108" s="14" t="s">
        <v>87</v>
      </c>
      <c r="I108" s="14"/>
      <c r="J108" s="14"/>
      <c r="K108" s="14"/>
      <c r="L108" s="15"/>
      <c r="M108" s="12"/>
      <c r="N108" s="5"/>
      <c r="O108" s="12"/>
      <c r="P108" s="5" t="s">
        <v>1683</v>
      </c>
      <c r="Q108" s="12" t="s">
        <v>1392</v>
      </c>
      <c r="R108" s="12" t="s">
        <v>1416</v>
      </c>
      <c r="S108" s="5" t="s">
        <v>1684</v>
      </c>
      <c r="T108" s="5" t="s">
        <v>1522</v>
      </c>
      <c r="U108" s="12" t="n">
        <v>3</v>
      </c>
      <c r="V108" s="12" t="n">
        <v>1</v>
      </c>
      <c r="W108" s="12" t="n">
        <v>1</v>
      </c>
      <c r="X108" s="12" t="n">
        <v>1</v>
      </c>
      <c r="Y108" s="12" t="n">
        <v>1</v>
      </c>
    </row>
    <row r="109" customFormat="false" ht="202.5" hidden="false" customHeight="true" outlineLevel="0" collapsed="false">
      <c r="A109" s="12" t="s">
        <v>1676</v>
      </c>
      <c r="B109" s="5" t="s">
        <v>1677</v>
      </c>
      <c r="C109" s="12" t="s">
        <v>1685</v>
      </c>
      <c r="D109" s="12" t="s">
        <v>120</v>
      </c>
      <c r="E109" s="5" t="s">
        <v>1686</v>
      </c>
      <c r="F109" s="14"/>
      <c r="G109" s="14"/>
      <c r="H109" s="14" t="s">
        <v>87</v>
      </c>
      <c r="I109" s="14"/>
      <c r="J109" s="14"/>
      <c r="K109" s="14"/>
      <c r="L109" s="15"/>
      <c r="M109" s="12"/>
      <c r="N109" s="5"/>
      <c r="O109" s="12"/>
      <c r="P109" s="5" t="s">
        <v>1687</v>
      </c>
      <c r="Q109" s="12" t="s">
        <v>1392</v>
      </c>
      <c r="R109" s="12" t="s">
        <v>1416</v>
      </c>
      <c r="S109" s="5" t="s">
        <v>1688</v>
      </c>
      <c r="T109" s="5" t="s">
        <v>1522</v>
      </c>
      <c r="U109" s="12" t="n">
        <v>3</v>
      </c>
      <c r="V109" s="12" t="n">
        <v>1</v>
      </c>
      <c r="W109" s="12" t="n">
        <v>1</v>
      </c>
      <c r="X109" s="12" t="n">
        <v>1</v>
      </c>
      <c r="Y109" s="12" t="n">
        <v>1</v>
      </c>
    </row>
    <row r="110" customFormat="false" ht="54.75" hidden="false" customHeight="true" outlineLevel="0" collapsed="false">
      <c r="A110" s="12" t="s">
        <v>1676</v>
      </c>
      <c r="B110" s="5" t="s">
        <v>1677</v>
      </c>
      <c r="C110" s="12" t="s">
        <v>1689</v>
      </c>
      <c r="D110" s="12" t="s">
        <v>120</v>
      </c>
      <c r="E110" s="5" t="s">
        <v>1690</v>
      </c>
      <c r="F110" s="14"/>
      <c r="G110" s="14"/>
      <c r="H110" s="14" t="s">
        <v>87</v>
      </c>
      <c r="I110" s="14"/>
      <c r="J110" s="14"/>
      <c r="K110" s="14"/>
      <c r="L110" s="15"/>
      <c r="M110" s="12"/>
      <c r="N110" s="5"/>
      <c r="O110" s="12"/>
      <c r="P110" s="5" t="s">
        <v>1691</v>
      </c>
      <c r="Q110" s="12" t="s">
        <v>1392</v>
      </c>
      <c r="R110" s="12" t="s">
        <v>1416</v>
      </c>
      <c r="S110" s="5" t="s">
        <v>1692</v>
      </c>
      <c r="T110" s="5" t="s">
        <v>1522</v>
      </c>
      <c r="U110" s="12" t="n">
        <v>3</v>
      </c>
      <c r="V110" s="12" t="n">
        <v>1</v>
      </c>
      <c r="W110" s="12" t="n">
        <v>1</v>
      </c>
      <c r="X110" s="12" t="n">
        <v>1</v>
      </c>
      <c r="Y110" s="12" t="n">
        <v>1</v>
      </c>
    </row>
    <row r="111" customFormat="false" ht="81.75" hidden="false" customHeight="true" outlineLevel="0" collapsed="false">
      <c r="A111" s="12" t="s">
        <v>1676</v>
      </c>
      <c r="B111" s="5" t="s">
        <v>1677</v>
      </c>
      <c r="C111" s="12" t="s">
        <v>1693</v>
      </c>
      <c r="D111" s="12" t="s">
        <v>160</v>
      </c>
      <c r="E111" s="5" t="s">
        <v>1694</v>
      </c>
      <c r="F111" s="14"/>
      <c r="G111" s="14"/>
      <c r="H111" s="14" t="s">
        <v>87</v>
      </c>
      <c r="I111" s="14"/>
      <c r="J111" s="14"/>
      <c r="K111" s="14"/>
      <c r="L111" s="15"/>
      <c r="M111" s="12"/>
      <c r="N111" s="5"/>
      <c r="O111" s="12"/>
      <c r="P111" s="5" t="s">
        <v>1695</v>
      </c>
      <c r="Q111" s="12" t="s">
        <v>1437</v>
      </c>
      <c r="R111" s="12" t="s">
        <v>1416</v>
      </c>
      <c r="S111" s="5" t="s">
        <v>1696</v>
      </c>
      <c r="T111" s="5" t="s">
        <v>1522</v>
      </c>
      <c r="U111" s="12" t="n">
        <v>5</v>
      </c>
      <c r="V111" s="12" t="n">
        <v>1</v>
      </c>
      <c r="W111" s="12" t="n">
        <v>1</v>
      </c>
      <c r="X111" s="12" t="n">
        <v>1</v>
      </c>
      <c r="Y111" s="12" t="n">
        <v>1</v>
      </c>
    </row>
    <row r="112" customFormat="false" ht="350.25" hidden="false" customHeight="true" outlineLevel="0" collapsed="false">
      <c r="A112" s="12" t="s">
        <v>1676</v>
      </c>
      <c r="B112" s="5" t="s">
        <v>1677</v>
      </c>
      <c r="C112" s="12" t="s">
        <v>1697</v>
      </c>
      <c r="D112" s="12" t="s">
        <v>160</v>
      </c>
      <c r="E112" s="5" t="s">
        <v>1698</v>
      </c>
      <c r="F112" s="14"/>
      <c r="G112" s="14"/>
      <c r="H112" s="14" t="s">
        <v>87</v>
      </c>
      <c r="I112" s="14"/>
      <c r="J112" s="14"/>
      <c r="K112" s="14"/>
      <c r="L112" s="15"/>
      <c r="M112" s="12"/>
      <c r="N112" s="5"/>
      <c r="O112" s="12"/>
      <c r="P112" s="5" t="s">
        <v>1699</v>
      </c>
      <c r="Q112" s="12" t="s">
        <v>1392</v>
      </c>
      <c r="R112" s="12" t="s">
        <v>1416</v>
      </c>
      <c r="S112" s="5" t="s">
        <v>1700</v>
      </c>
      <c r="T112" s="5" t="s">
        <v>1522</v>
      </c>
      <c r="U112" s="12" t="n">
        <v>5</v>
      </c>
      <c r="V112" s="12" t="n">
        <v>1</v>
      </c>
      <c r="W112" s="12" t="n">
        <v>1</v>
      </c>
      <c r="X112" s="12" t="n">
        <v>1</v>
      </c>
      <c r="Y112" s="12" t="n">
        <v>1</v>
      </c>
    </row>
    <row r="113" customFormat="false" ht="54.75" hidden="false" customHeight="true" outlineLevel="0" collapsed="false">
      <c r="A113" s="12" t="s">
        <v>1676</v>
      </c>
      <c r="B113" s="5" t="s">
        <v>1677</v>
      </c>
      <c r="C113" s="12" t="s">
        <v>1701</v>
      </c>
      <c r="D113" s="12" t="s">
        <v>160</v>
      </c>
      <c r="E113" s="5" t="s">
        <v>1702</v>
      </c>
      <c r="F113" s="14"/>
      <c r="G113" s="14"/>
      <c r="H113" s="14" t="s">
        <v>87</v>
      </c>
      <c r="I113" s="14"/>
      <c r="J113" s="14"/>
      <c r="K113" s="14"/>
      <c r="L113" s="15"/>
      <c r="M113" s="12"/>
      <c r="N113" s="5"/>
      <c r="O113" s="12"/>
      <c r="P113" s="5" t="s">
        <v>1703</v>
      </c>
      <c r="Q113" s="12" t="s">
        <v>1392</v>
      </c>
      <c r="R113" s="12" t="s">
        <v>1416</v>
      </c>
      <c r="S113" s="5" t="s">
        <v>1704</v>
      </c>
      <c r="T113" s="5" t="s">
        <v>1522</v>
      </c>
      <c r="U113" s="12" t="n">
        <v>5</v>
      </c>
      <c r="V113" s="12" t="n">
        <v>1</v>
      </c>
      <c r="W113" s="12" t="n">
        <v>1</v>
      </c>
      <c r="X113" s="12" t="n">
        <v>1</v>
      </c>
      <c r="Y113" s="12" t="n">
        <v>1</v>
      </c>
    </row>
    <row r="114" customFormat="false" ht="81.75" hidden="false" customHeight="true" outlineLevel="0" collapsed="false">
      <c r="A114" s="10" t="s">
        <v>1705</v>
      </c>
      <c r="B114" s="11" t="s">
        <v>1706</v>
      </c>
      <c r="C114" s="12"/>
      <c r="D114" s="12" t="s">
        <v>120</v>
      </c>
      <c r="E114" s="5" t="s">
        <v>79</v>
      </c>
      <c r="F114" s="12"/>
      <c r="G114" s="12"/>
      <c r="H114" s="13" t="str">
        <f aca="false">IF(OR(COUNTBLANK($H$115:$H$115)&gt;0,COUNTIF($H$115:$H$115,"unbearbeitet")=COUNTA($H$115:$H$115)),"Bitte Teilanforderungen ausfüllen",IF(COUNTIF($H$115:$H$115,"zu klären")&gt;0,"zu klären",IF(COUNTIF($H$115:$H$115,"entbehrlich")=COUNTA($H$115:$H$115),"entbehrlich",IF(COUNTIF($H$115:$H$115,"verwiesen")=COUNTA($H$115:$H$115),"verwiesen",IF(COUNTIF($H$115:$H$115,"nein")+COUNTIF($H$115:$H$115,"entbehrlich")=COUNTA($H$115:$H$115),"nein",IF(COUNTIF($H$115:$H$115,"ja")+COUNTIF($H$115:$H$115,"entbehrlich")+COUNTIF($H$115:$H$115,"verwiesen")=COUNTA($H$115:$H$115),"ja","teilweise"))))))</f>
        <v>Bitte Teilanforderungen ausfüllen</v>
      </c>
      <c r="I114" s="12"/>
      <c r="J114" s="12"/>
      <c r="K114" s="12"/>
      <c r="L114" s="12"/>
      <c r="M114" s="12"/>
      <c r="N114" s="5"/>
      <c r="O114" s="12"/>
      <c r="P114" s="5" t="s">
        <v>1707</v>
      </c>
      <c r="Q114" s="12" t="s">
        <v>1403</v>
      </c>
      <c r="R114" s="12" t="s">
        <v>1416</v>
      </c>
      <c r="S114" s="5" t="s">
        <v>1708</v>
      </c>
      <c r="T114" s="5" t="s">
        <v>1709</v>
      </c>
      <c r="U114" s="12" t="n">
        <v>4</v>
      </c>
      <c r="V114" s="12" t="n">
        <v>1</v>
      </c>
      <c r="W114" s="12" t="n">
        <v>1</v>
      </c>
      <c r="X114" s="12" t="n">
        <v>1</v>
      </c>
      <c r="Y114" s="12" t="n">
        <v>1</v>
      </c>
    </row>
    <row r="115" customFormat="false" ht="81.75" hidden="false" customHeight="true" outlineLevel="0" collapsed="false">
      <c r="A115" s="12" t="s">
        <v>1705</v>
      </c>
      <c r="B115" s="5" t="s">
        <v>1706</v>
      </c>
      <c r="C115" s="12" t="s">
        <v>1705</v>
      </c>
      <c r="D115" s="12" t="s">
        <v>120</v>
      </c>
      <c r="E115" s="5" t="s">
        <v>1710</v>
      </c>
      <c r="F115" s="14"/>
      <c r="G115" s="14"/>
      <c r="H115" s="14" t="s">
        <v>87</v>
      </c>
      <c r="I115" s="14"/>
      <c r="J115" s="14"/>
      <c r="K115" s="14"/>
      <c r="L115" s="15"/>
      <c r="M115" s="12"/>
      <c r="N115" s="5"/>
      <c r="O115" s="12"/>
      <c r="P115" s="5" t="s">
        <v>1707</v>
      </c>
      <c r="Q115" s="12" t="s">
        <v>1403</v>
      </c>
      <c r="R115" s="12" t="s">
        <v>1416</v>
      </c>
      <c r="S115" s="5" t="s">
        <v>1708</v>
      </c>
      <c r="T115" s="5" t="s">
        <v>1709</v>
      </c>
      <c r="U115" s="12" t="n">
        <v>4</v>
      </c>
      <c r="V115" s="12" t="n">
        <v>1</v>
      </c>
      <c r="W115" s="12" t="n">
        <v>1</v>
      </c>
      <c r="X115" s="12" t="n">
        <v>1</v>
      </c>
      <c r="Y115" s="12" t="n">
        <v>1</v>
      </c>
    </row>
    <row r="116" customFormat="false" ht="149.25" hidden="false" customHeight="true" outlineLevel="0" collapsed="false">
      <c r="A116" s="10" t="s">
        <v>1711</v>
      </c>
      <c r="B116" s="11" t="s">
        <v>1712</v>
      </c>
      <c r="C116" s="12"/>
      <c r="D116" s="12" t="s">
        <v>120</v>
      </c>
      <c r="E116" s="5" t="s">
        <v>79</v>
      </c>
      <c r="F116" s="12"/>
      <c r="G116" s="12"/>
      <c r="H116" s="13" t="str">
        <f aca="false">IF(OR(COUNTBLANK($H$117:$H$117)&gt;0,COUNTIF($H$117:$H$117,"unbearbeitet")=COUNTA($H$117:$H$117)),"Bitte Teilanforderungen ausfüllen",IF(COUNTIF($H$117:$H$117,"zu klären")&gt;0,"zu klären",IF(COUNTIF($H$117:$H$117,"entbehrlich")=COUNTA($H$117:$H$117),"entbehrlich",IF(COUNTIF($H$117:$H$117,"verwiesen")=COUNTA($H$117:$H$117),"verwiesen",IF(COUNTIF($H$117:$H$117,"nein")+COUNTIF($H$117:$H$117,"entbehrlich")=COUNTA($H$117:$H$117),"nein",IF(COUNTIF($H$117:$H$117,"ja")+COUNTIF($H$117:$H$117,"entbehrlich")+COUNTIF($H$117:$H$117,"verwiesen")=COUNTA($H$117:$H$117),"ja","teilweise"))))))</f>
        <v>Bitte Teilanforderungen ausfüllen</v>
      </c>
      <c r="I116" s="12"/>
      <c r="J116" s="12"/>
      <c r="K116" s="12"/>
      <c r="L116" s="12"/>
      <c r="M116" s="12"/>
      <c r="N116" s="5"/>
      <c r="O116" s="12"/>
      <c r="P116" s="5" t="s">
        <v>1713</v>
      </c>
      <c r="Q116" s="12" t="s">
        <v>1563</v>
      </c>
      <c r="R116" s="12" t="s">
        <v>1416</v>
      </c>
      <c r="S116" s="5" t="s">
        <v>1714</v>
      </c>
      <c r="T116" s="5" t="s">
        <v>1522</v>
      </c>
      <c r="U116" s="12" t="n">
        <v>3</v>
      </c>
      <c r="V116" s="12" t="n">
        <v>1</v>
      </c>
      <c r="W116" s="12" t="n">
        <v>1</v>
      </c>
      <c r="X116" s="12" t="n">
        <v>1</v>
      </c>
      <c r="Y116" s="12" t="n">
        <v>1</v>
      </c>
    </row>
    <row r="117" customFormat="false" ht="149.25" hidden="false" customHeight="true" outlineLevel="0" collapsed="false">
      <c r="A117" s="12" t="s">
        <v>1711</v>
      </c>
      <c r="B117" s="5" t="s">
        <v>1712</v>
      </c>
      <c r="C117" s="12" t="s">
        <v>1711</v>
      </c>
      <c r="D117" s="12" t="s">
        <v>120</v>
      </c>
      <c r="E117" s="5" t="s">
        <v>1715</v>
      </c>
      <c r="F117" s="14"/>
      <c r="G117" s="14"/>
      <c r="H117" s="14" t="s">
        <v>87</v>
      </c>
      <c r="I117" s="14"/>
      <c r="J117" s="14"/>
      <c r="K117" s="14"/>
      <c r="L117" s="15"/>
      <c r="M117" s="12"/>
      <c r="N117" s="5"/>
      <c r="O117" s="12"/>
      <c r="P117" s="5" t="s">
        <v>1713</v>
      </c>
      <c r="Q117" s="12" t="s">
        <v>1563</v>
      </c>
      <c r="R117" s="12" t="s">
        <v>1416</v>
      </c>
      <c r="S117" s="5" t="s">
        <v>1714</v>
      </c>
      <c r="T117" s="5" t="s">
        <v>1522</v>
      </c>
      <c r="U117" s="12" t="n">
        <v>3</v>
      </c>
      <c r="V117" s="12" t="n">
        <v>1</v>
      </c>
      <c r="W117" s="12" t="n">
        <v>1</v>
      </c>
      <c r="X117" s="12" t="n">
        <v>1</v>
      </c>
      <c r="Y117" s="12" t="n">
        <v>1</v>
      </c>
    </row>
    <row r="118" customFormat="false" ht="229.5" hidden="false" customHeight="true" outlineLevel="0" collapsed="false">
      <c r="A118" s="10" t="s">
        <v>1716</v>
      </c>
      <c r="B118" s="11" t="s">
        <v>1717</v>
      </c>
      <c r="C118" s="12"/>
      <c r="D118" s="12" t="s">
        <v>120</v>
      </c>
      <c r="E118" s="5" t="s">
        <v>79</v>
      </c>
      <c r="F118" s="12"/>
      <c r="G118" s="12"/>
      <c r="H118" s="13" t="str">
        <f aca="false">IF(OR(COUNTBLANK($H$119:$H$120)&gt;0,COUNTIF($H$119:$H$120,"unbearbeitet")=COUNTA($H$119:$H$120)),"Bitte Teilanforderungen ausfüllen",IF(COUNTIF($H$119:$H$120,"zu klären")&gt;0,"zu klären",IF(COUNTIF($H$119:$H$120,"entbehrlich")=COUNTA($H$119:$H$120),"entbehrlich",IF(COUNTIF($H$119:$H$120,"verwiesen")=COUNTA($H$119:$H$120),"verwiesen",IF(COUNTIF($H$119:$H$120,"nein")+COUNTIF($H$119:$H$120,"entbehrlich")=COUNTA($H$119:$H$120),"nein",IF(COUNTIF($H$119:$H$120,"ja")+COUNTIF($H$119:$H$120,"entbehrlich")+COUNTIF($H$119:$H$120,"verwiesen")=COUNTA($H$119:$H$120),"ja","teilweise"))))))</f>
        <v>Bitte Teilanforderungen ausfüllen</v>
      </c>
      <c r="I118" s="12"/>
      <c r="J118" s="12"/>
      <c r="K118" s="12"/>
      <c r="L118" s="12"/>
      <c r="M118" s="12"/>
      <c r="N118" s="5"/>
      <c r="O118" s="12"/>
      <c r="P118" s="5" t="s">
        <v>1718</v>
      </c>
      <c r="Q118" s="12" t="s">
        <v>1563</v>
      </c>
      <c r="R118" s="12" t="s">
        <v>1416</v>
      </c>
      <c r="S118" s="5" t="s">
        <v>1719</v>
      </c>
      <c r="T118" s="5" t="s">
        <v>1522</v>
      </c>
      <c r="U118" s="12" t="n">
        <v>3</v>
      </c>
      <c r="V118" s="12" t="n">
        <v>1</v>
      </c>
      <c r="W118" s="12" t="n">
        <v>1</v>
      </c>
      <c r="X118" s="12" t="n">
        <v>1</v>
      </c>
      <c r="Y118" s="12" t="n">
        <v>1</v>
      </c>
    </row>
    <row r="119" customFormat="false" ht="229.5" hidden="false" customHeight="true" outlineLevel="0" collapsed="false">
      <c r="A119" s="12" t="s">
        <v>1716</v>
      </c>
      <c r="B119" s="5" t="s">
        <v>1717</v>
      </c>
      <c r="C119" s="12" t="s">
        <v>1716</v>
      </c>
      <c r="D119" s="12" t="s">
        <v>120</v>
      </c>
      <c r="E119" s="5" t="s">
        <v>1720</v>
      </c>
      <c r="F119" s="14"/>
      <c r="G119" s="14"/>
      <c r="H119" s="14" t="s">
        <v>87</v>
      </c>
      <c r="I119" s="14"/>
      <c r="J119" s="14"/>
      <c r="K119" s="14"/>
      <c r="L119" s="15"/>
      <c r="M119" s="12"/>
      <c r="N119" s="5"/>
      <c r="O119" s="12"/>
      <c r="P119" s="5" t="s">
        <v>1718</v>
      </c>
      <c r="Q119" s="12" t="s">
        <v>1563</v>
      </c>
      <c r="R119" s="12" t="s">
        <v>1416</v>
      </c>
      <c r="S119" s="5" t="s">
        <v>1719</v>
      </c>
      <c r="T119" s="5" t="s">
        <v>1522</v>
      </c>
      <c r="U119" s="12" t="n">
        <v>3</v>
      </c>
      <c r="V119" s="12" t="n">
        <v>1</v>
      </c>
      <c r="W119" s="12" t="n">
        <v>1</v>
      </c>
      <c r="X119" s="12" t="n">
        <v>1</v>
      </c>
      <c r="Y119" s="12" t="n">
        <v>1</v>
      </c>
    </row>
    <row r="120" customFormat="false" ht="95.25" hidden="false" customHeight="true" outlineLevel="0" collapsed="false">
      <c r="A120" s="12" t="s">
        <v>1716</v>
      </c>
      <c r="B120" s="5" t="s">
        <v>1717</v>
      </c>
      <c r="C120" s="12" t="s">
        <v>1721</v>
      </c>
      <c r="D120" s="12" t="s">
        <v>160</v>
      </c>
      <c r="E120" s="5" t="s">
        <v>1722</v>
      </c>
      <c r="F120" s="14"/>
      <c r="G120" s="14"/>
      <c r="H120" s="14" t="s">
        <v>87</v>
      </c>
      <c r="I120" s="14"/>
      <c r="J120" s="14"/>
      <c r="K120" s="14"/>
      <c r="L120" s="15"/>
      <c r="M120" s="12" t="s">
        <v>74</v>
      </c>
      <c r="N120" s="5"/>
      <c r="O120" s="12"/>
      <c r="P120" s="5" t="s">
        <v>1723</v>
      </c>
      <c r="Q120" s="12" t="s">
        <v>1403</v>
      </c>
      <c r="R120" s="12" t="s">
        <v>1416</v>
      </c>
      <c r="S120" s="5" t="s">
        <v>1724</v>
      </c>
      <c r="T120" s="5" t="s">
        <v>1725</v>
      </c>
      <c r="U120" s="12" t="n">
        <v>5</v>
      </c>
      <c r="V120" s="12" t="n">
        <v>1</v>
      </c>
      <c r="W120" s="12" t="n">
        <v>1</v>
      </c>
      <c r="X120" s="12" t="n">
        <v>2</v>
      </c>
      <c r="Y120" s="12" t="n">
        <v>1</v>
      </c>
    </row>
    <row r="121" customFormat="false" ht="54.75" hidden="false" customHeight="true" outlineLevel="0" collapsed="false">
      <c r="A121" s="10" t="s">
        <v>1726</v>
      </c>
      <c r="B121" s="11" t="s">
        <v>1727</v>
      </c>
      <c r="C121" s="12"/>
      <c r="D121" s="12" t="s">
        <v>120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c r="N121" s="5"/>
      <c r="O121" s="12"/>
      <c r="P121" s="5" t="s">
        <v>1728</v>
      </c>
      <c r="Q121" s="12" t="s">
        <v>1403</v>
      </c>
      <c r="R121" s="12" t="s">
        <v>1416</v>
      </c>
      <c r="S121" s="5" t="s">
        <v>1729</v>
      </c>
      <c r="T121" s="5" t="s">
        <v>1522</v>
      </c>
      <c r="U121" s="12" t="n">
        <v>3</v>
      </c>
      <c r="V121" s="12" t="n">
        <v>1</v>
      </c>
      <c r="W121" s="12" t="n">
        <v>1</v>
      </c>
      <c r="X121" s="12" t="n">
        <v>1</v>
      </c>
      <c r="Y121" s="12" t="n">
        <v>1</v>
      </c>
    </row>
    <row r="122" customFormat="false" ht="54.75" hidden="false" customHeight="true" outlineLevel="0" collapsed="false">
      <c r="A122" s="12" t="s">
        <v>1726</v>
      </c>
      <c r="B122" s="5" t="s">
        <v>1727</v>
      </c>
      <c r="C122" s="12" t="s">
        <v>1726</v>
      </c>
      <c r="D122" s="12" t="s">
        <v>120</v>
      </c>
      <c r="E122" s="5" t="s">
        <v>1730</v>
      </c>
      <c r="F122" s="14"/>
      <c r="G122" s="14"/>
      <c r="H122" s="14" t="s">
        <v>87</v>
      </c>
      <c r="I122" s="14"/>
      <c r="J122" s="14"/>
      <c r="K122" s="14"/>
      <c r="L122" s="15"/>
      <c r="M122" s="12"/>
      <c r="N122" s="5"/>
      <c r="O122" s="12"/>
      <c r="P122" s="5" t="s">
        <v>1728</v>
      </c>
      <c r="Q122" s="12" t="s">
        <v>1403</v>
      </c>
      <c r="R122" s="12" t="s">
        <v>1416</v>
      </c>
      <c r="S122" s="5" t="s">
        <v>1729</v>
      </c>
      <c r="T122" s="5" t="s">
        <v>1522</v>
      </c>
      <c r="U122" s="12" t="n">
        <v>3</v>
      </c>
      <c r="V122" s="12" t="n">
        <v>1</v>
      </c>
      <c r="W122" s="12" t="n">
        <v>1</v>
      </c>
      <c r="X122" s="12" t="n">
        <v>1</v>
      </c>
      <c r="Y122" s="12" t="n">
        <v>1</v>
      </c>
    </row>
    <row r="123" customFormat="false" ht="149.25" hidden="false" customHeight="true" outlineLevel="0" collapsed="false">
      <c r="A123" s="10" t="s">
        <v>1731</v>
      </c>
      <c r="B123" s="11" t="s">
        <v>1732</v>
      </c>
      <c r="C123" s="12"/>
      <c r="D123" s="12" t="s">
        <v>120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c r="N123" s="5"/>
      <c r="O123" s="12"/>
      <c r="P123" s="5" t="s">
        <v>1733</v>
      </c>
      <c r="Q123" s="12" t="s">
        <v>1563</v>
      </c>
      <c r="R123" s="12" t="s">
        <v>1416</v>
      </c>
      <c r="S123" s="5" t="s">
        <v>1734</v>
      </c>
      <c r="T123" s="5" t="s">
        <v>1522</v>
      </c>
      <c r="U123" s="12" t="n">
        <v>2</v>
      </c>
      <c r="V123" s="12" t="n">
        <v>1</v>
      </c>
      <c r="W123" s="12" t="n">
        <v>1</v>
      </c>
      <c r="X123" s="12" t="n">
        <v>1</v>
      </c>
      <c r="Y123" s="12" t="n">
        <v>1</v>
      </c>
    </row>
    <row r="124" customFormat="false" ht="149.25" hidden="false" customHeight="true" outlineLevel="0" collapsed="false">
      <c r="A124" s="12" t="s">
        <v>1731</v>
      </c>
      <c r="B124" s="5" t="s">
        <v>1732</v>
      </c>
      <c r="C124" s="12" t="s">
        <v>1731</v>
      </c>
      <c r="D124" s="12" t="s">
        <v>120</v>
      </c>
      <c r="E124" s="5" t="s">
        <v>1735</v>
      </c>
      <c r="F124" s="14"/>
      <c r="G124" s="14"/>
      <c r="H124" s="14" t="s">
        <v>87</v>
      </c>
      <c r="I124" s="14"/>
      <c r="J124" s="14"/>
      <c r="K124" s="14"/>
      <c r="L124" s="15"/>
      <c r="M124" s="12"/>
      <c r="N124" s="5"/>
      <c r="O124" s="12"/>
      <c r="P124" s="5" t="s">
        <v>1733</v>
      </c>
      <c r="Q124" s="12" t="s">
        <v>1563</v>
      </c>
      <c r="R124" s="12" t="s">
        <v>1416</v>
      </c>
      <c r="S124" s="5" t="s">
        <v>1734</v>
      </c>
      <c r="T124" s="5" t="s">
        <v>1522</v>
      </c>
      <c r="U124" s="12" t="n">
        <v>2</v>
      </c>
      <c r="V124" s="12" t="n">
        <v>1</v>
      </c>
      <c r="W124" s="12" t="n">
        <v>1</v>
      </c>
      <c r="X124" s="12" t="n">
        <v>1</v>
      </c>
      <c r="Y124" s="12" t="n">
        <v>1</v>
      </c>
    </row>
    <row r="125" customFormat="false" ht="81.75" hidden="false" customHeight="true" outlineLevel="0" collapsed="false">
      <c r="A125" s="10" t="s">
        <v>1736</v>
      </c>
      <c r="B125" s="11" t="s">
        <v>1737</v>
      </c>
      <c r="C125" s="12"/>
      <c r="D125" s="12" t="s">
        <v>120</v>
      </c>
      <c r="E125" s="5" t="s">
        <v>79</v>
      </c>
      <c r="F125" s="12"/>
      <c r="G125" s="12"/>
      <c r="H125" s="13" t="str">
        <f aca="false">IF(OR(COUNTBLANK($H$126:$H$127)&gt;0,COUNTIF($H$126:$H$127,"unbearbeitet")=COUNTA($H$126:$H$127)),"Bitte Teilanforderungen ausfüllen",IF(COUNTIF($H$126:$H$127,"zu klären")&gt;0,"zu klären",IF(COUNTIF($H$126:$H$127,"entbehrlich")=COUNTA($H$126:$H$127),"entbehrlich",IF(COUNTIF($H$126:$H$127,"verwiesen")=COUNTA($H$126:$H$127),"verwiesen",IF(COUNTIF($H$126:$H$127,"nein")+COUNTIF($H$126:$H$127,"entbehrlich")=COUNTA($H$126:$H$127),"nein",IF(COUNTIF($H$126:$H$127,"ja")+COUNTIF($H$126:$H$127,"entbehrlich")+COUNTIF($H$126:$H$127,"verwiesen")=COUNTA($H$126:$H$127),"ja","teilweise"))))))</f>
        <v>Bitte Teilanforderungen ausfüllen</v>
      </c>
      <c r="I125" s="12"/>
      <c r="J125" s="12"/>
      <c r="K125" s="12"/>
      <c r="L125" s="12"/>
      <c r="M125" s="12"/>
      <c r="N125" s="5"/>
      <c r="O125" s="12"/>
      <c r="P125" s="5" t="s">
        <v>1738</v>
      </c>
      <c r="Q125" s="12" t="s">
        <v>1563</v>
      </c>
      <c r="R125" s="12" t="s">
        <v>1416</v>
      </c>
      <c r="S125" s="5" t="s">
        <v>1739</v>
      </c>
      <c r="T125" s="5" t="s">
        <v>1522</v>
      </c>
      <c r="U125" s="12" t="n">
        <v>3</v>
      </c>
      <c r="V125" s="12" t="n">
        <v>1</v>
      </c>
      <c r="W125" s="12" t="n">
        <v>1</v>
      </c>
      <c r="X125" s="12" t="n">
        <v>1</v>
      </c>
      <c r="Y125" s="12" t="n">
        <v>1</v>
      </c>
    </row>
    <row r="126" customFormat="false" ht="81.75" hidden="false" customHeight="true" outlineLevel="0" collapsed="false">
      <c r="A126" s="12" t="s">
        <v>1736</v>
      </c>
      <c r="B126" s="5" t="s">
        <v>1737</v>
      </c>
      <c r="C126" s="12" t="s">
        <v>1736</v>
      </c>
      <c r="D126" s="12" t="s">
        <v>120</v>
      </c>
      <c r="E126" s="5" t="s">
        <v>1740</v>
      </c>
      <c r="F126" s="14"/>
      <c r="G126" s="14"/>
      <c r="H126" s="14" t="s">
        <v>87</v>
      </c>
      <c r="I126" s="14"/>
      <c r="J126" s="14"/>
      <c r="K126" s="14"/>
      <c r="L126" s="15"/>
      <c r="M126" s="12"/>
      <c r="N126" s="5"/>
      <c r="O126" s="12"/>
      <c r="P126" s="5" t="s">
        <v>1738</v>
      </c>
      <c r="Q126" s="12" t="s">
        <v>1563</v>
      </c>
      <c r="R126" s="12" t="s">
        <v>1416</v>
      </c>
      <c r="S126" s="5" t="s">
        <v>1739</v>
      </c>
      <c r="T126" s="5" t="s">
        <v>1522</v>
      </c>
      <c r="U126" s="12" t="n">
        <v>3</v>
      </c>
      <c r="V126" s="12" t="n">
        <v>1</v>
      </c>
      <c r="W126" s="12" t="n">
        <v>1</v>
      </c>
      <c r="X126" s="12" t="n">
        <v>1</v>
      </c>
      <c r="Y126" s="12" t="n">
        <v>1</v>
      </c>
    </row>
    <row r="127" customFormat="false" ht="202.5" hidden="false" customHeight="true" outlineLevel="0" collapsed="false">
      <c r="A127" s="12" t="s">
        <v>1736</v>
      </c>
      <c r="B127" s="5" t="s">
        <v>1737</v>
      </c>
      <c r="C127" s="12" t="s">
        <v>1741</v>
      </c>
      <c r="D127" s="12" t="s">
        <v>160</v>
      </c>
      <c r="E127" s="5" t="s">
        <v>1742</v>
      </c>
      <c r="F127" s="14"/>
      <c r="G127" s="14"/>
      <c r="H127" s="14" t="s">
        <v>87</v>
      </c>
      <c r="I127" s="14"/>
      <c r="J127" s="14"/>
      <c r="K127" s="14"/>
      <c r="L127" s="15"/>
      <c r="M127" s="12"/>
      <c r="N127" s="5"/>
      <c r="O127" s="12"/>
      <c r="P127" s="5" t="s">
        <v>1743</v>
      </c>
      <c r="Q127" s="12" t="s">
        <v>1563</v>
      </c>
      <c r="R127" s="12" t="s">
        <v>1416</v>
      </c>
      <c r="S127" s="5" t="s">
        <v>1744</v>
      </c>
      <c r="T127" s="5" t="s">
        <v>1594</v>
      </c>
      <c r="U127" s="12" t="n">
        <v>5</v>
      </c>
      <c r="V127" s="12" t="n">
        <v>1</v>
      </c>
      <c r="W127" s="12" t="n">
        <v>1</v>
      </c>
      <c r="X127" s="12" t="n">
        <v>1</v>
      </c>
      <c r="Y127" s="12" t="n">
        <v>1</v>
      </c>
    </row>
    <row r="128" customFormat="false" ht="243" hidden="false" customHeight="true" outlineLevel="0" collapsed="false">
      <c r="A128" s="10" t="s">
        <v>1745</v>
      </c>
      <c r="B128" s="11" t="s">
        <v>1746</v>
      </c>
      <c r="C128" s="12"/>
      <c r="D128" s="12" t="s">
        <v>120</v>
      </c>
      <c r="E128" s="5" t="s">
        <v>79</v>
      </c>
      <c r="F128" s="12"/>
      <c r="G128" s="12"/>
      <c r="H128" s="13" t="str">
        <f aca="false">IF(OR(COUNTBLANK($H$129:$H$129)&gt;0,COUNTIF($H$129:$H$129,"unbearbeitet")=COUNTA($H$129:$H$129)),"Bitte Teilanforderungen ausfüllen",IF(COUNTIF($H$129:$H$129,"zu klären")&gt;0,"zu klären",IF(COUNTIF($H$129:$H$129,"entbehrlich")=COUNTA($H$129:$H$129),"entbehrlich",IF(COUNTIF($H$129:$H$129,"verwiesen")=COUNTA($H$129:$H$129),"verwiesen",IF(COUNTIF($H$129:$H$129,"nein")+COUNTIF($H$129:$H$129,"entbehrlich")=COUNTA($H$129:$H$129),"nein",IF(COUNTIF($H$129:$H$129,"ja")+COUNTIF($H$129:$H$129,"entbehrlich")+COUNTIF($H$129:$H$129,"verwiesen")=COUNTA($H$129:$H$129),"ja","teilweise"))))))</f>
        <v>Bitte Teilanforderungen ausfüllen</v>
      </c>
      <c r="I128" s="12"/>
      <c r="J128" s="12"/>
      <c r="K128" s="12"/>
      <c r="L128" s="12"/>
      <c r="M128" s="12"/>
      <c r="N128" s="5"/>
      <c r="O128" s="12"/>
      <c r="P128" s="5" t="s">
        <v>1747</v>
      </c>
      <c r="Q128" s="12" t="s">
        <v>1563</v>
      </c>
      <c r="R128" s="12" t="s">
        <v>1416</v>
      </c>
      <c r="S128" s="5" t="s">
        <v>1748</v>
      </c>
      <c r="T128" s="5" t="s">
        <v>1522</v>
      </c>
      <c r="U128" s="12" t="n">
        <v>3</v>
      </c>
      <c r="V128" s="12" t="n">
        <v>1</v>
      </c>
      <c r="W128" s="12" t="n">
        <v>1</v>
      </c>
      <c r="X128" s="12" t="n">
        <v>1</v>
      </c>
      <c r="Y128" s="12" t="n">
        <v>1</v>
      </c>
    </row>
    <row r="129" customFormat="false" ht="243" hidden="false" customHeight="true" outlineLevel="0" collapsed="false">
      <c r="A129" s="12" t="s">
        <v>1745</v>
      </c>
      <c r="B129" s="5" t="s">
        <v>1746</v>
      </c>
      <c r="C129" s="12" t="s">
        <v>1745</v>
      </c>
      <c r="D129" s="12" t="s">
        <v>120</v>
      </c>
      <c r="E129" s="5" t="s">
        <v>1749</v>
      </c>
      <c r="F129" s="14"/>
      <c r="G129" s="14"/>
      <c r="H129" s="14" t="s">
        <v>87</v>
      </c>
      <c r="I129" s="14"/>
      <c r="J129" s="14"/>
      <c r="K129" s="14"/>
      <c r="L129" s="15"/>
      <c r="M129" s="12"/>
      <c r="N129" s="5"/>
      <c r="O129" s="12"/>
      <c r="P129" s="5" t="s">
        <v>1747</v>
      </c>
      <c r="Q129" s="12" t="s">
        <v>1563</v>
      </c>
      <c r="R129" s="12" t="s">
        <v>1416</v>
      </c>
      <c r="S129" s="5" t="s">
        <v>1748</v>
      </c>
      <c r="T129" s="5" t="s">
        <v>1522</v>
      </c>
      <c r="U129" s="12" t="n">
        <v>3</v>
      </c>
      <c r="V129" s="12" t="n">
        <v>1</v>
      </c>
      <c r="W129" s="12" t="n">
        <v>1</v>
      </c>
      <c r="X129" s="12" t="n">
        <v>1</v>
      </c>
      <c r="Y129" s="12" t="n">
        <v>1</v>
      </c>
    </row>
    <row r="130" customFormat="false" ht="297" hidden="false" customHeight="true" outlineLevel="0" collapsed="false">
      <c r="A130" s="10" t="s">
        <v>1750</v>
      </c>
      <c r="B130" s="11" t="s">
        <v>1751</v>
      </c>
      <c r="C130" s="12"/>
      <c r="D130" s="12" t="s">
        <v>160</v>
      </c>
      <c r="E130" s="5" t="s">
        <v>79</v>
      </c>
      <c r="F130" s="12"/>
      <c r="G130" s="12"/>
      <c r="H130" s="13" t="str">
        <f aca="false">IF(OR(COUNTBLANK($H$131:$H$131)&gt;0,COUNTIF($H$131:$H$131,"unbearbeitet")=COUNTA($H$131:$H$131)),"Bitte Teilanforderungen ausfüllen",IF(COUNTIF($H$131:$H$131,"zu klären")&gt;0,"zu klären",IF(COUNTIF($H$131:$H$131,"entbehrlich")=COUNTA($H$131:$H$131),"entbehrlich",IF(COUNTIF($H$131:$H$131,"verwiesen")=COUNTA($H$131:$H$131),"verwiesen",IF(COUNTIF($H$131:$H$131,"nein")+COUNTIF($H$131:$H$131,"entbehrlich")=COUNTA($H$131:$H$131),"nein",IF(COUNTIF($H$131:$H$131,"ja")+COUNTIF($H$131:$H$131,"entbehrlich")+COUNTIF($H$131:$H$131,"verwiesen")=COUNTA($H$131:$H$131),"ja","teilweise"))))))</f>
        <v>Bitte Teilanforderungen ausfüllen</v>
      </c>
      <c r="I130" s="12"/>
      <c r="J130" s="12"/>
      <c r="K130" s="12"/>
      <c r="L130" s="12"/>
      <c r="M130" s="12"/>
      <c r="N130" s="5"/>
      <c r="O130" s="12"/>
      <c r="P130" s="5" t="s">
        <v>1752</v>
      </c>
      <c r="Q130" s="12" t="s">
        <v>1563</v>
      </c>
      <c r="R130" s="12" t="s">
        <v>1416</v>
      </c>
      <c r="S130" s="5" t="s">
        <v>1753</v>
      </c>
      <c r="T130" s="5" t="s">
        <v>1522</v>
      </c>
      <c r="U130" s="12" t="n">
        <v>5</v>
      </c>
      <c r="V130" s="12" t="n">
        <v>1</v>
      </c>
      <c r="W130" s="12" t="n">
        <v>1</v>
      </c>
      <c r="X130" s="12" t="n">
        <v>1</v>
      </c>
      <c r="Y130" s="12" t="n">
        <v>1</v>
      </c>
    </row>
    <row r="131" customFormat="false" ht="297" hidden="false" customHeight="true" outlineLevel="0" collapsed="false">
      <c r="A131" s="12" t="s">
        <v>1750</v>
      </c>
      <c r="B131" s="5" t="s">
        <v>1751</v>
      </c>
      <c r="C131" s="12" t="s">
        <v>1750</v>
      </c>
      <c r="D131" s="12" t="s">
        <v>160</v>
      </c>
      <c r="E131" s="5" t="s">
        <v>1754</v>
      </c>
      <c r="F131" s="14"/>
      <c r="G131" s="14"/>
      <c r="H131" s="14" t="s">
        <v>87</v>
      </c>
      <c r="I131" s="14"/>
      <c r="J131" s="14"/>
      <c r="K131" s="14"/>
      <c r="L131" s="15"/>
      <c r="M131" s="12"/>
      <c r="N131" s="5"/>
      <c r="O131" s="12"/>
      <c r="P131" s="5" t="s">
        <v>1752</v>
      </c>
      <c r="Q131" s="12" t="s">
        <v>1563</v>
      </c>
      <c r="R131" s="12" t="s">
        <v>1416</v>
      </c>
      <c r="S131" s="5" t="s">
        <v>1753</v>
      </c>
      <c r="T131" s="5" t="s">
        <v>1522</v>
      </c>
      <c r="U131" s="12" t="n">
        <v>5</v>
      </c>
      <c r="V131" s="12" t="n">
        <v>1</v>
      </c>
      <c r="W131" s="12" t="n">
        <v>1</v>
      </c>
      <c r="X131" s="12" t="n">
        <v>1</v>
      </c>
      <c r="Y131" s="12" t="n">
        <v>1</v>
      </c>
    </row>
    <row r="132" customFormat="false" ht="162" hidden="false" customHeight="true" outlineLevel="0" collapsed="false">
      <c r="A132" s="10" t="s">
        <v>1755</v>
      </c>
      <c r="B132" s="11" t="s">
        <v>1756</v>
      </c>
      <c r="C132" s="12"/>
      <c r="D132" s="12" t="s">
        <v>120</v>
      </c>
      <c r="E132" s="5" t="s">
        <v>79</v>
      </c>
      <c r="F132" s="12"/>
      <c r="G132" s="12"/>
      <c r="H132" s="13" t="str">
        <f aca="false">IF(OR(COUNTBLANK($H$133:$H$133)&gt;0,COUNTIF($H$133:$H$133,"unbearbeitet")=COUNTA($H$133:$H$133)),"Bitte Teilanforderungen ausfüllen",IF(COUNTIF($H$133:$H$133,"zu klären")&gt;0,"zu klären",IF(COUNTIF($H$133:$H$133,"entbehrlich")=COUNTA($H$133:$H$133),"entbehrlich",IF(COUNTIF($H$133:$H$133,"verwiesen")=COUNTA($H$133:$H$133),"verwiesen",IF(COUNTIF($H$133:$H$133,"nein")+COUNTIF($H$133:$H$133,"entbehrlich")=COUNTA($H$133:$H$133),"nein",IF(COUNTIF($H$133:$H$133,"ja")+COUNTIF($H$133:$H$133,"entbehrlich")+COUNTIF($H$133:$H$133,"verwiesen")=COUNTA($H$133:$H$133),"ja","teilweise"))))))</f>
        <v>Bitte Teilanforderungen ausfüllen</v>
      </c>
      <c r="I132" s="12"/>
      <c r="J132" s="12"/>
      <c r="K132" s="12"/>
      <c r="L132" s="12"/>
      <c r="M132" s="12"/>
      <c r="N132" s="5"/>
      <c r="O132" s="12"/>
      <c r="P132" s="5" t="s">
        <v>1757</v>
      </c>
      <c r="Q132" s="12" t="s">
        <v>1563</v>
      </c>
      <c r="R132" s="12" t="s">
        <v>1416</v>
      </c>
      <c r="S132" s="5" t="s">
        <v>1758</v>
      </c>
      <c r="T132" s="5" t="s">
        <v>1522</v>
      </c>
      <c r="U132" s="12" t="n">
        <v>4</v>
      </c>
      <c r="V132" s="12" t="n">
        <v>1</v>
      </c>
      <c r="W132" s="12" t="n">
        <v>1</v>
      </c>
      <c r="X132" s="12" t="n">
        <v>1</v>
      </c>
      <c r="Y132" s="12" t="n">
        <v>1</v>
      </c>
    </row>
    <row r="133" customFormat="false" ht="162" hidden="false" customHeight="true" outlineLevel="0" collapsed="false">
      <c r="A133" s="12" t="s">
        <v>1755</v>
      </c>
      <c r="B133" s="5" t="s">
        <v>1756</v>
      </c>
      <c r="C133" s="12" t="s">
        <v>1755</v>
      </c>
      <c r="D133" s="12" t="s">
        <v>120</v>
      </c>
      <c r="E133" s="5" t="s">
        <v>1759</v>
      </c>
      <c r="F133" s="14"/>
      <c r="G133" s="14"/>
      <c r="H133" s="14" t="s">
        <v>87</v>
      </c>
      <c r="I133" s="14"/>
      <c r="J133" s="14"/>
      <c r="K133" s="14"/>
      <c r="L133" s="15"/>
      <c r="M133" s="12"/>
      <c r="N133" s="5"/>
      <c r="O133" s="12"/>
      <c r="P133" s="5" t="s">
        <v>1757</v>
      </c>
      <c r="Q133" s="12" t="s">
        <v>1563</v>
      </c>
      <c r="R133" s="12" t="s">
        <v>1416</v>
      </c>
      <c r="S133" s="5" t="s">
        <v>1758</v>
      </c>
      <c r="T133" s="5" t="s">
        <v>1522</v>
      </c>
      <c r="U133" s="12" t="n">
        <v>4</v>
      </c>
      <c r="V133" s="12" t="n">
        <v>1</v>
      </c>
      <c r="W133" s="12" t="n">
        <v>1</v>
      </c>
      <c r="X133" s="12" t="n">
        <v>1</v>
      </c>
      <c r="Y133" s="12" t="n">
        <v>1</v>
      </c>
    </row>
    <row r="134" customFormat="false" ht="336.75" hidden="false" customHeight="true" outlineLevel="0" collapsed="false">
      <c r="A134" s="10" t="s">
        <v>1760</v>
      </c>
      <c r="B134" s="11" t="s">
        <v>1761</v>
      </c>
      <c r="C134" s="12"/>
      <c r="D134" s="12" t="s">
        <v>120</v>
      </c>
      <c r="E134" s="5" t="s">
        <v>79</v>
      </c>
      <c r="F134" s="12"/>
      <c r="G134" s="12"/>
      <c r="H134" s="13" t="str">
        <f aca="false">IF(OR(COUNTBLANK($H$135:$H$135)&gt;0,COUNTIF($H$135:$H$135,"unbearbeitet")=COUNTA($H$135:$H$135)),"Bitte Teilanforderungen ausfüllen",IF(COUNTIF($H$135:$H$135,"zu klären")&gt;0,"zu klären",IF(COUNTIF($H$135:$H$135,"entbehrlich")=COUNTA($H$135:$H$135),"entbehrlich",IF(COUNTIF($H$135:$H$135,"verwiesen")=COUNTA($H$135:$H$135),"verwiesen",IF(COUNTIF($H$135:$H$135,"nein")+COUNTIF($H$135:$H$135,"entbehrlich")=COUNTA($H$135:$H$135),"nein",IF(COUNTIF($H$135:$H$135,"ja")+COUNTIF($H$135:$H$135,"entbehrlich")+COUNTIF($H$135:$H$135,"verwiesen")=COUNTA($H$135:$H$135),"ja","teilweise"))))))</f>
        <v>Bitte Teilanforderungen ausfüllen</v>
      </c>
      <c r="I134" s="12"/>
      <c r="J134" s="12"/>
      <c r="K134" s="12"/>
      <c r="L134" s="12"/>
      <c r="M134" s="12"/>
      <c r="N134" s="5"/>
      <c r="O134" s="12"/>
      <c r="P134" s="5" t="s">
        <v>1762</v>
      </c>
      <c r="Q134" s="12" t="s">
        <v>1563</v>
      </c>
      <c r="R134" s="12" t="s">
        <v>1416</v>
      </c>
      <c r="S134" s="5" t="s">
        <v>1763</v>
      </c>
      <c r="T134" s="5" t="s">
        <v>1522</v>
      </c>
      <c r="U134" s="12" t="n">
        <v>2</v>
      </c>
      <c r="V134" s="12" t="n">
        <v>1</v>
      </c>
      <c r="W134" s="12" t="n">
        <v>1</v>
      </c>
      <c r="X134" s="12" t="n">
        <v>1</v>
      </c>
      <c r="Y134" s="12" t="n">
        <v>1</v>
      </c>
    </row>
    <row r="135" customFormat="false" ht="336.75" hidden="false" customHeight="true" outlineLevel="0" collapsed="false">
      <c r="A135" s="12" t="s">
        <v>1760</v>
      </c>
      <c r="B135" s="5" t="s">
        <v>1761</v>
      </c>
      <c r="C135" s="12" t="s">
        <v>1760</v>
      </c>
      <c r="D135" s="12" t="s">
        <v>120</v>
      </c>
      <c r="E135" s="5" t="s">
        <v>1764</v>
      </c>
      <c r="F135" s="14"/>
      <c r="G135" s="14"/>
      <c r="H135" s="14" t="s">
        <v>87</v>
      </c>
      <c r="I135" s="14"/>
      <c r="J135" s="14"/>
      <c r="K135" s="14"/>
      <c r="L135" s="15"/>
      <c r="M135" s="12"/>
      <c r="N135" s="5"/>
      <c r="O135" s="12"/>
      <c r="P135" s="5" t="s">
        <v>1762</v>
      </c>
      <c r="Q135" s="12" t="s">
        <v>1563</v>
      </c>
      <c r="R135" s="12" t="s">
        <v>1416</v>
      </c>
      <c r="S135" s="5" t="s">
        <v>1763</v>
      </c>
      <c r="T135" s="5" t="s">
        <v>1522</v>
      </c>
      <c r="U135" s="12" t="n">
        <v>2</v>
      </c>
      <c r="V135" s="12" t="n">
        <v>1</v>
      </c>
      <c r="W135" s="12" t="n">
        <v>1</v>
      </c>
      <c r="X135" s="12" t="n">
        <v>1</v>
      </c>
      <c r="Y135" s="12" t="n">
        <v>1</v>
      </c>
    </row>
    <row r="136" customFormat="false" ht="108.75" hidden="false" customHeight="true" outlineLevel="0" collapsed="false">
      <c r="A136" s="10" t="s">
        <v>1765</v>
      </c>
      <c r="B136" s="11" t="s">
        <v>1766</v>
      </c>
      <c r="C136" s="12"/>
      <c r="D136" s="12" t="s">
        <v>120</v>
      </c>
      <c r="E136" s="5" t="s">
        <v>79</v>
      </c>
      <c r="F136" s="12"/>
      <c r="G136" s="12"/>
      <c r="H136" s="13" t="str">
        <f aca="false">IF(OR(COUNTBLANK($H$137:$H$139)&gt;0,COUNTIF($H$137:$H$139,"unbearbeitet")=COUNTA($H$137:$H$139)),"Bitte Teilanforderungen ausfüllen",IF(COUNTIF($H$137:$H$139,"zu klären")&gt;0,"zu klären",IF(COUNTIF($H$137:$H$139,"entbehrlich")=COUNTA($H$137:$H$139),"entbehrlich",IF(COUNTIF($H$137:$H$139,"verwiesen")=COUNTA($H$137:$H$139),"verwiesen",IF(COUNTIF($H$137:$H$139,"nein")+COUNTIF($H$137:$H$139,"entbehrlich")=COUNTA($H$137:$H$139),"nein",IF(COUNTIF($H$137:$H$139,"ja")+COUNTIF($H$137:$H$139,"entbehrlich")+COUNTIF($H$137:$H$139,"verwiesen")=COUNTA($H$137:$H$139),"ja","teilweise"))))))</f>
        <v>Bitte Teilanforderungen ausfüllen</v>
      </c>
      <c r="I136" s="12"/>
      <c r="J136" s="12"/>
      <c r="K136" s="12"/>
      <c r="L136" s="12"/>
      <c r="M136" s="12"/>
      <c r="N136" s="5"/>
      <c r="O136" s="12"/>
      <c r="P136" s="5" t="s">
        <v>1767</v>
      </c>
      <c r="Q136" s="12" t="s">
        <v>1392</v>
      </c>
      <c r="R136" s="12" t="s">
        <v>1768</v>
      </c>
      <c r="S136" s="5" t="s">
        <v>1769</v>
      </c>
      <c r="T136" s="5" t="s">
        <v>1770</v>
      </c>
      <c r="U136" s="12" t="n">
        <v>3</v>
      </c>
      <c r="V136" s="12" t="n">
        <v>1</v>
      </c>
      <c r="W136" s="12" t="n">
        <v>1</v>
      </c>
      <c r="X136" s="12" t="n">
        <v>1</v>
      </c>
      <c r="Y136" s="12" t="n">
        <v>0</v>
      </c>
    </row>
    <row r="137" customFormat="false" ht="108.75" hidden="false" customHeight="true" outlineLevel="0" collapsed="false">
      <c r="A137" s="12" t="s">
        <v>1765</v>
      </c>
      <c r="B137" s="5" t="s">
        <v>1766</v>
      </c>
      <c r="C137" s="12" t="s">
        <v>1765</v>
      </c>
      <c r="D137" s="12" t="s">
        <v>120</v>
      </c>
      <c r="E137" s="5" t="s">
        <v>1771</v>
      </c>
      <c r="F137" s="14"/>
      <c r="G137" s="14"/>
      <c r="H137" s="14" t="s">
        <v>87</v>
      </c>
      <c r="I137" s="14"/>
      <c r="J137" s="14"/>
      <c r="K137" s="14"/>
      <c r="L137" s="15"/>
      <c r="M137" s="12"/>
      <c r="N137" s="5"/>
      <c r="O137" s="12"/>
      <c r="P137" s="5" t="s">
        <v>1767</v>
      </c>
      <c r="Q137" s="12" t="s">
        <v>1392</v>
      </c>
      <c r="R137" s="12" t="s">
        <v>1768</v>
      </c>
      <c r="S137" s="5" t="s">
        <v>1769</v>
      </c>
      <c r="T137" s="5" t="s">
        <v>1770</v>
      </c>
      <c r="U137" s="12" t="n">
        <v>3</v>
      </c>
      <c r="V137" s="12" t="n">
        <v>1</v>
      </c>
      <c r="W137" s="12" t="n">
        <v>1</v>
      </c>
      <c r="X137" s="12" t="n">
        <v>1</v>
      </c>
      <c r="Y137" s="12" t="n">
        <v>0</v>
      </c>
    </row>
    <row r="138" customFormat="false" ht="229.5" hidden="false" customHeight="true" outlineLevel="0" collapsed="false">
      <c r="A138" s="12" t="s">
        <v>1765</v>
      </c>
      <c r="B138" s="5" t="s">
        <v>1766</v>
      </c>
      <c r="C138" s="12" t="s">
        <v>1772</v>
      </c>
      <c r="D138" s="12" t="s">
        <v>120</v>
      </c>
      <c r="E138" s="5" t="s">
        <v>1773</v>
      </c>
      <c r="F138" s="14"/>
      <c r="G138" s="14"/>
      <c r="H138" s="14" t="s">
        <v>87</v>
      </c>
      <c r="I138" s="14"/>
      <c r="J138" s="14"/>
      <c r="K138" s="14"/>
      <c r="L138" s="15"/>
      <c r="M138" s="12"/>
      <c r="N138" s="5"/>
      <c r="O138" s="12"/>
      <c r="P138" s="5" t="s">
        <v>1774</v>
      </c>
      <c r="Q138" s="12" t="s">
        <v>1403</v>
      </c>
      <c r="R138" s="12" t="s">
        <v>1768</v>
      </c>
      <c r="S138" s="5" t="s">
        <v>1775</v>
      </c>
      <c r="T138" s="5" t="s">
        <v>1776</v>
      </c>
      <c r="U138" s="12" t="n">
        <v>3</v>
      </c>
      <c r="V138" s="12" t="n">
        <v>1</v>
      </c>
      <c r="W138" s="12" t="n">
        <v>1</v>
      </c>
      <c r="X138" s="12" t="n">
        <v>1</v>
      </c>
      <c r="Y138" s="12" t="n">
        <v>0</v>
      </c>
    </row>
    <row r="139" customFormat="false" ht="336.75" hidden="false" customHeight="true" outlineLevel="0" collapsed="false">
      <c r="A139" s="12" t="s">
        <v>1765</v>
      </c>
      <c r="B139" s="5" t="s">
        <v>1766</v>
      </c>
      <c r="C139" s="12" t="s">
        <v>1777</v>
      </c>
      <c r="D139" s="12" t="s">
        <v>120</v>
      </c>
      <c r="E139" s="5" t="s">
        <v>1778</v>
      </c>
      <c r="F139" s="14"/>
      <c r="G139" s="14"/>
      <c r="H139" s="14" t="s">
        <v>87</v>
      </c>
      <c r="I139" s="14"/>
      <c r="J139" s="14"/>
      <c r="K139" s="14"/>
      <c r="L139" s="15"/>
      <c r="M139" s="12"/>
      <c r="N139" s="5"/>
      <c r="O139" s="12"/>
      <c r="P139" s="5" t="s">
        <v>1779</v>
      </c>
      <c r="Q139" s="12" t="s">
        <v>1403</v>
      </c>
      <c r="R139" s="12" t="s">
        <v>1768</v>
      </c>
      <c r="S139" s="5" t="s">
        <v>1780</v>
      </c>
      <c r="T139" s="5" t="s">
        <v>1770</v>
      </c>
      <c r="U139" s="12" t="n">
        <v>3</v>
      </c>
      <c r="V139" s="12" t="n">
        <v>1</v>
      </c>
      <c r="W139" s="12" t="n">
        <v>1</v>
      </c>
      <c r="X139" s="12" t="n">
        <v>1</v>
      </c>
      <c r="Y139" s="12" t="n">
        <v>0</v>
      </c>
    </row>
    <row r="140" customFormat="false" ht="377.25" hidden="false" customHeight="true" outlineLevel="0" collapsed="false">
      <c r="A140" s="10" t="s">
        <v>1781</v>
      </c>
      <c r="B140" s="11" t="s">
        <v>1782</v>
      </c>
      <c r="C140" s="12"/>
      <c r="D140" s="12" t="s">
        <v>120</v>
      </c>
      <c r="E140" s="5" t="s">
        <v>79</v>
      </c>
      <c r="F140" s="12"/>
      <c r="G140" s="12"/>
      <c r="H140" s="13" t="str">
        <f aca="false">IF(OR(COUNTBLANK($H$141:$H$141)&gt;0,COUNTIF($H$141:$H$141,"unbearbeitet")=COUNTA($H$141:$H$141)),"Bitte Teilanforderungen ausfüllen",IF(COUNTIF($H$141:$H$141,"zu klären")&gt;0,"zu klären",IF(COUNTIF($H$141:$H$141,"entbehrlich")=COUNTA($H$141:$H$141),"entbehrlich",IF(COUNTIF($H$141:$H$141,"verwiesen")=COUNTA($H$141:$H$141),"verwiesen",IF(COUNTIF($H$141:$H$141,"nein")+COUNTIF($H$141:$H$141,"entbehrlich")=COUNTA($H$141:$H$141),"nein",IF(COUNTIF($H$141:$H$141,"ja")+COUNTIF($H$141:$H$141,"entbehrlich")+COUNTIF($H$141:$H$141,"verwiesen")=COUNTA($H$141:$H$141),"ja","teilweise"))))))</f>
        <v>Bitte Teilanforderungen ausfüllen</v>
      </c>
      <c r="I140" s="12"/>
      <c r="J140" s="12"/>
      <c r="K140" s="12"/>
      <c r="L140" s="12"/>
      <c r="M140" s="12"/>
      <c r="N140" s="5"/>
      <c r="O140" s="12"/>
      <c r="P140" s="5" t="s">
        <v>1783</v>
      </c>
      <c r="Q140" s="12" t="s">
        <v>1403</v>
      </c>
      <c r="R140" s="12" t="s">
        <v>1768</v>
      </c>
      <c r="S140" s="5" t="s">
        <v>1784</v>
      </c>
      <c r="T140" s="5" t="s">
        <v>1785</v>
      </c>
      <c r="U140" s="12" t="n">
        <v>3</v>
      </c>
      <c r="V140" s="12" t="n">
        <v>1</v>
      </c>
      <c r="W140" s="12" t="n">
        <v>1</v>
      </c>
      <c r="X140" s="12" t="n">
        <v>1</v>
      </c>
      <c r="Y140" s="12" t="n">
        <v>0</v>
      </c>
    </row>
    <row r="141" customFormat="false" ht="377.25" hidden="false" customHeight="true" outlineLevel="0" collapsed="false">
      <c r="A141" s="12" t="s">
        <v>1781</v>
      </c>
      <c r="B141" s="5" t="s">
        <v>1782</v>
      </c>
      <c r="C141" s="12" t="s">
        <v>1781</v>
      </c>
      <c r="D141" s="12" t="s">
        <v>120</v>
      </c>
      <c r="E141" s="5" t="s">
        <v>1786</v>
      </c>
      <c r="F141" s="14"/>
      <c r="G141" s="14"/>
      <c r="H141" s="14" t="s">
        <v>87</v>
      </c>
      <c r="I141" s="14"/>
      <c r="J141" s="14"/>
      <c r="K141" s="14"/>
      <c r="L141" s="15"/>
      <c r="M141" s="12"/>
      <c r="N141" s="5"/>
      <c r="O141" s="12"/>
      <c r="P141" s="5" t="s">
        <v>1783</v>
      </c>
      <c r="Q141" s="12" t="s">
        <v>1403</v>
      </c>
      <c r="R141" s="12" t="s">
        <v>1768</v>
      </c>
      <c r="S141" s="5" t="s">
        <v>1784</v>
      </c>
      <c r="T141" s="5" t="s">
        <v>1785</v>
      </c>
      <c r="U141" s="12" t="n">
        <v>3</v>
      </c>
      <c r="V141" s="12" t="n">
        <v>1</v>
      </c>
      <c r="W141" s="12" t="n">
        <v>1</v>
      </c>
      <c r="X141" s="12" t="n">
        <v>1</v>
      </c>
      <c r="Y141" s="12" t="n">
        <v>0</v>
      </c>
    </row>
    <row r="142" customFormat="false" ht="41.25" hidden="false" customHeight="true" outlineLevel="0" collapsed="false">
      <c r="A142" s="10" t="s">
        <v>1787</v>
      </c>
      <c r="B142" s="11" t="s">
        <v>1788</v>
      </c>
      <c r="C142" s="12"/>
      <c r="D142" s="12" t="s">
        <v>120</v>
      </c>
      <c r="E142" s="5" t="s">
        <v>79</v>
      </c>
      <c r="F142" s="12"/>
      <c r="G142" s="12"/>
      <c r="H142" s="13" t="str">
        <f aca="false">IF(OR(COUNTBLANK($H$143:$H$143)&gt;0,COUNTIF($H$143:$H$143,"unbearbeitet")=COUNTA($H$143:$H$143)),"Bitte Teilanforderungen ausfüllen",IF(COUNTIF($H$143:$H$143,"zu klären")&gt;0,"zu klären",IF(COUNTIF($H$143:$H$143,"entbehrlich")=COUNTA($H$143:$H$143),"entbehrlich",IF(COUNTIF($H$143:$H$143,"verwiesen")=COUNTA($H$143:$H$143),"verwiesen",IF(COUNTIF($H$143:$H$143,"nein")+COUNTIF($H$143:$H$143,"entbehrlich")=COUNTA($H$143:$H$143),"nein",IF(COUNTIF($H$143:$H$143,"ja")+COUNTIF($H$143:$H$143,"entbehrlich")+COUNTIF($H$143:$H$143,"verwiesen")=COUNTA($H$143:$H$143),"ja","teilweise"))))))</f>
        <v>Bitte Teilanforderungen ausfüllen</v>
      </c>
      <c r="I142" s="12"/>
      <c r="J142" s="12"/>
      <c r="K142" s="12"/>
      <c r="L142" s="12"/>
      <c r="M142" s="12"/>
      <c r="N142" s="5"/>
      <c r="O142" s="12"/>
      <c r="P142" s="5" t="s">
        <v>1789</v>
      </c>
      <c r="Q142" s="12" t="s">
        <v>1403</v>
      </c>
      <c r="R142" s="12" t="s">
        <v>1768</v>
      </c>
      <c r="S142" s="5" t="s">
        <v>1790</v>
      </c>
      <c r="T142" s="5" t="s">
        <v>1791</v>
      </c>
      <c r="U142" s="12" t="n">
        <v>3</v>
      </c>
      <c r="V142" s="12" t="n">
        <v>1</v>
      </c>
      <c r="W142" s="12" t="n">
        <v>1</v>
      </c>
      <c r="X142" s="12" t="n">
        <v>1</v>
      </c>
      <c r="Y142" s="12" t="n">
        <v>0</v>
      </c>
    </row>
    <row r="143" customFormat="false" ht="41.25" hidden="false" customHeight="true" outlineLevel="0" collapsed="false">
      <c r="A143" s="12" t="s">
        <v>1787</v>
      </c>
      <c r="B143" s="5" t="s">
        <v>1788</v>
      </c>
      <c r="C143" s="12" t="s">
        <v>1787</v>
      </c>
      <c r="D143" s="12" t="s">
        <v>120</v>
      </c>
      <c r="E143" s="5" t="s">
        <v>1792</v>
      </c>
      <c r="F143" s="14"/>
      <c r="G143" s="14"/>
      <c r="H143" s="14" t="s">
        <v>87</v>
      </c>
      <c r="I143" s="14"/>
      <c r="J143" s="14"/>
      <c r="K143" s="14"/>
      <c r="L143" s="15"/>
      <c r="M143" s="12"/>
      <c r="N143" s="5"/>
      <c r="O143" s="12"/>
      <c r="P143" s="5" t="s">
        <v>1789</v>
      </c>
      <c r="Q143" s="12" t="s">
        <v>1403</v>
      </c>
      <c r="R143" s="12" t="s">
        <v>1768</v>
      </c>
      <c r="S143" s="5" t="s">
        <v>1790</v>
      </c>
      <c r="T143" s="5" t="s">
        <v>1791</v>
      </c>
      <c r="U143" s="12" t="n">
        <v>3</v>
      </c>
      <c r="V143" s="12" t="n">
        <v>1</v>
      </c>
      <c r="W143" s="12" t="n">
        <v>1</v>
      </c>
      <c r="X143" s="12" t="n">
        <v>1</v>
      </c>
      <c r="Y143" s="12" t="n">
        <v>0</v>
      </c>
    </row>
    <row r="144" customFormat="false" ht="552" hidden="false" customHeight="true" outlineLevel="0" collapsed="false">
      <c r="A144" s="10" t="s">
        <v>1793</v>
      </c>
      <c r="B144" s="11" t="s">
        <v>1794</v>
      </c>
      <c r="C144" s="12"/>
      <c r="D144" s="12" t="s">
        <v>120</v>
      </c>
      <c r="E144" s="5" t="s">
        <v>79</v>
      </c>
      <c r="F144" s="12"/>
      <c r="G144" s="12"/>
      <c r="H144" s="13" t="str">
        <f aca="false">IF(OR(COUNTBLANK($H$145:$H$158)&gt;0,COUNTIF($H$145:$H$158,"unbearbeitet")=COUNTA($H$145:$H$158)),"Bitte Teilanforderungen ausfüllen",IF(COUNTIF($H$145:$H$158,"zu klären")&gt;0,"zu klären",IF(COUNTIF($H$145:$H$158,"entbehrlich")=COUNTA($H$145:$H$158),"entbehrlich",IF(COUNTIF($H$145:$H$158,"verwiesen")=COUNTA($H$145:$H$158),"verwiesen",IF(COUNTIF($H$145:$H$158,"nein")+COUNTIF($H$145:$H$158,"entbehrlich")=COUNTA($H$145:$H$158),"nein",IF(COUNTIF($H$145:$H$158,"ja")+COUNTIF($H$145:$H$158,"entbehrlich")+COUNTIF($H$145:$H$158,"verwiesen")=COUNTA($H$145:$H$158),"ja","teilweise"))))))</f>
        <v>Bitte Teilanforderungen ausfüllen</v>
      </c>
      <c r="I144" s="12"/>
      <c r="J144" s="12"/>
      <c r="K144" s="12"/>
      <c r="L144" s="12"/>
      <c r="M144" s="12"/>
      <c r="N144" s="5"/>
      <c r="O144" s="12"/>
      <c r="P144" s="5" t="s">
        <v>1795</v>
      </c>
      <c r="Q144" s="12" t="s">
        <v>1392</v>
      </c>
      <c r="R144" s="12" t="s">
        <v>1768</v>
      </c>
      <c r="S144" s="5" t="s">
        <v>1796</v>
      </c>
      <c r="T144" s="5" t="s">
        <v>1770</v>
      </c>
      <c r="U144" s="12" t="n">
        <v>2</v>
      </c>
      <c r="V144" s="12" t="n">
        <v>1</v>
      </c>
      <c r="W144" s="12" t="n">
        <v>1</v>
      </c>
      <c r="X144" s="12" t="n">
        <v>1</v>
      </c>
      <c r="Y144" s="12" t="n">
        <v>0</v>
      </c>
    </row>
    <row r="145" customFormat="false" ht="552" hidden="false" customHeight="true" outlineLevel="0" collapsed="false">
      <c r="A145" s="12" t="s">
        <v>1793</v>
      </c>
      <c r="B145" s="5" t="s">
        <v>1794</v>
      </c>
      <c r="C145" s="12" t="s">
        <v>1793</v>
      </c>
      <c r="D145" s="12" t="s">
        <v>120</v>
      </c>
      <c r="E145" s="5" t="s">
        <v>1797</v>
      </c>
      <c r="F145" s="14"/>
      <c r="G145" s="14"/>
      <c r="H145" s="14" t="s">
        <v>87</v>
      </c>
      <c r="I145" s="14"/>
      <c r="J145" s="14"/>
      <c r="K145" s="14"/>
      <c r="L145" s="15"/>
      <c r="M145" s="12"/>
      <c r="N145" s="5"/>
      <c r="O145" s="12"/>
      <c r="P145" s="5" t="s">
        <v>1795</v>
      </c>
      <c r="Q145" s="12" t="s">
        <v>1392</v>
      </c>
      <c r="R145" s="12" t="s">
        <v>1768</v>
      </c>
      <c r="S145" s="5" t="s">
        <v>1796</v>
      </c>
      <c r="T145" s="5" t="s">
        <v>1770</v>
      </c>
      <c r="U145" s="12" t="n">
        <v>2</v>
      </c>
      <c r="V145" s="12" t="n">
        <v>1</v>
      </c>
      <c r="W145" s="12" t="n">
        <v>1</v>
      </c>
      <c r="X145" s="12" t="n">
        <v>1</v>
      </c>
      <c r="Y145" s="12" t="n">
        <v>0</v>
      </c>
    </row>
    <row r="146" customFormat="false" ht="336.75" hidden="false" customHeight="true" outlineLevel="0" collapsed="false">
      <c r="A146" s="12" t="s">
        <v>1793</v>
      </c>
      <c r="B146" s="5" t="s">
        <v>1794</v>
      </c>
      <c r="C146" s="12" t="s">
        <v>1798</v>
      </c>
      <c r="D146" s="12" t="s">
        <v>120</v>
      </c>
      <c r="E146" s="5" t="s">
        <v>1799</v>
      </c>
      <c r="F146" s="14"/>
      <c r="G146" s="14"/>
      <c r="H146" s="14" t="s">
        <v>87</v>
      </c>
      <c r="I146" s="14"/>
      <c r="J146" s="14"/>
      <c r="K146" s="14"/>
      <c r="L146" s="15"/>
      <c r="M146" s="12"/>
      <c r="N146" s="5"/>
      <c r="O146" s="12"/>
      <c r="P146" s="5" t="s">
        <v>1800</v>
      </c>
      <c r="Q146" s="12" t="s">
        <v>1437</v>
      </c>
      <c r="R146" s="12" t="s">
        <v>805</v>
      </c>
      <c r="S146" s="5" t="s">
        <v>1801</v>
      </c>
      <c r="T146" s="5" t="s">
        <v>1785</v>
      </c>
      <c r="U146" s="12" t="n">
        <v>3</v>
      </c>
      <c r="V146" s="12" t="n">
        <v>1</v>
      </c>
      <c r="W146" s="12" t="n">
        <v>1</v>
      </c>
      <c r="X146" s="12" t="n">
        <v>1</v>
      </c>
      <c r="Y146" s="12" t="n">
        <v>0</v>
      </c>
    </row>
    <row r="147" customFormat="false" ht="41.25" hidden="false" customHeight="true" outlineLevel="0" collapsed="false">
      <c r="A147" s="12" t="s">
        <v>1793</v>
      </c>
      <c r="B147" s="5" t="s">
        <v>1794</v>
      </c>
      <c r="C147" s="12" t="s">
        <v>1802</v>
      </c>
      <c r="D147" s="12" t="s">
        <v>120</v>
      </c>
      <c r="E147" s="5" t="s">
        <v>1803</v>
      </c>
      <c r="F147" s="14"/>
      <c r="G147" s="14"/>
      <c r="H147" s="14" t="s">
        <v>87</v>
      </c>
      <c r="I147" s="14"/>
      <c r="J147" s="14"/>
      <c r="K147" s="14"/>
      <c r="L147" s="15"/>
      <c r="M147" s="12"/>
      <c r="N147" s="5"/>
      <c r="O147" s="12"/>
      <c r="P147" s="5" t="s">
        <v>1804</v>
      </c>
      <c r="Q147" s="12" t="s">
        <v>1437</v>
      </c>
      <c r="R147" s="12" t="s">
        <v>805</v>
      </c>
      <c r="S147" s="5" t="s">
        <v>1805</v>
      </c>
      <c r="T147" s="5" t="s">
        <v>1770</v>
      </c>
      <c r="U147" s="12" t="n">
        <v>4</v>
      </c>
      <c r="V147" s="12" t="n">
        <v>1</v>
      </c>
      <c r="W147" s="12" t="n">
        <v>1</v>
      </c>
      <c r="X147" s="12" t="n">
        <v>1</v>
      </c>
      <c r="Y147" s="12" t="n">
        <v>0</v>
      </c>
    </row>
    <row r="148" customFormat="false" ht="297" hidden="false" customHeight="true" outlineLevel="0" collapsed="false">
      <c r="A148" s="12" t="s">
        <v>1793</v>
      </c>
      <c r="B148" s="5" t="s">
        <v>1794</v>
      </c>
      <c r="C148" s="12" t="s">
        <v>1806</v>
      </c>
      <c r="D148" s="12" t="s">
        <v>120</v>
      </c>
      <c r="E148" s="5" t="s">
        <v>1807</v>
      </c>
      <c r="F148" s="14"/>
      <c r="G148" s="14"/>
      <c r="H148" s="14" t="s">
        <v>87</v>
      </c>
      <c r="I148" s="14"/>
      <c r="J148" s="14"/>
      <c r="K148" s="14"/>
      <c r="L148" s="15"/>
      <c r="M148" s="12"/>
      <c r="N148" s="5"/>
      <c r="O148" s="12"/>
      <c r="P148" s="5" t="s">
        <v>1808</v>
      </c>
      <c r="Q148" s="12" t="s">
        <v>1437</v>
      </c>
      <c r="R148" s="12" t="s">
        <v>805</v>
      </c>
      <c r="S148" s="5" t="s">
        <v>1809</v>
      </c>
      <c r="T148" s="5" t="s">
        <v>1810</v>
      </c>
      <c r="U148" s="12" t="n">
        <v>3</v>
      </c>
      <c r="V148" s="12" t="n">
        <v>1</v>
      </c>
      <c r="W148" s="12" t="n">
        <v>1</v>
      </c>
      <c r="X148" s="12" t="n">
        <v>1</v>
      </c>
      <c r="Y148" s="12" t="n">
        <v>0</v>
      </c>
    </row>
    <row r="149" customFormat="false" ht="54.75" hidden="false" customHeight="true" outlineLevel="0" collapsed="false">
      <c r="A149" s="12" t="s">
        <v>1793</v>
      </c>
      <c r="B149" s="5" t="s">
        <v>1794</v>
      </c>
      <c r="C149" s="12" t="s">
        <v>1811</v>
      </c>
      <c r="D149" s="12" t="s">
        <v>120</v>
      </c>
      <c r="E149" s="5" t="s">
        <v>1812</v>
      </c>
      <c r="F149" s="14"/>
      <c r="G149" s="14"/>
      <c r="H149" s="14" t="s">
        <v>87</v>
      </c>
      <c r="I149" s="14"/>
      <c r="J149" s="14"/>
      <c r="K149" s="14"/>
      <c r="L149" s="15"/>
      <c r="M149" s="12"/>
      <c r="N149" s="5" t="s">
        <v>648</v>
      </c>
      <c r="O149" s="12" t="s">
        <v>524</v>
      </c>
      <c r="P149" s="5" t="s">
        <v>1813</v>
      </c>
      <c r="Q149" s="12" t="s">
        <v>1392</v>
      </c>
      <c r="R149" s="12" t="s">
        <v>805</v>
      </c>
      <c r="S149" s="5" t="s">
        <v>1814</v>
      </c>
      <c r="T149" s="5" t="s">
        <v>1815</v>
      </c>
      <c r="U149" s="12" t="n">
        <v>3</v>
      </c>
      <c r="V149" s="12" t="n">
        <v>1</v>
      </c>
      <c r="W149" s="12" t="n">
        <v>1</v>
      </c>
      <c r="X149" s="12" t="n">
        <v>1</v>
      </c>
      <c r="Y149" s="12" t="n">
        <v>0</v>
      </c>
    </row>
    <row r="150" customFormat="false" ht="54.75" hidden="false" customHeight="true" outlineLevel="0" collapsed="false">
      <c r="A150" s="12" t="s">
        <v>1793</v>
      </c>
      <c r="B150" s="5" t="s">
        <v>1794</v>
      </c>
      <c r="C150" s="12" t="s">
        <v>1816</v>
      </c>
      <c r="D150" s="12" t="s">
        <v>160</v>
      </c>
      <c r="E150" s="5" t="s">
        <v>1817</v>
      </c>
      <c r="F150" s="14"/>
      <c r="G150" s="14"/>
      <c r="H150" s="14" t="s">
        <v>87</v>
      </c>
      <c r="I150" s="14"/>
      <c r="J150" s="14"/>
      <c r="K150" s="14"/>
      <c r="L150" s="15"/>
      <c r="M150" s="12"/>
      <c r="N150" s="5"/>
      <c r="O150" s="12"/>
      <c r="P150" s="5" t="s">
        <v>1818</v>
      </c>
      <c r="Q150" s="12" t="s">
        <v>1437</v>
      </c>
      <c r="R150" s="12" t="s">
        <v>805</v>
      </c>
      <c r="S150" s="5" t="s">
        <v>1819</v>
      </c>
      <c r="T150" s="5" t="s">
        <v>1776</v>
      </c>
      <c r="U150" s="12" t="n">
        <v>5</v>
      </c>
      <c r="V150" s="12" t="n">
        <v>1</v>
      </c>
      <c r="W150" s="12" t="n">
        <v>1</v>
      </c>
      <c r="X150" s="12" t="n">
        <v>1</v>
      </c>
      <c r="Y150" s="12" t="n">
        <v>0</v>
      </c>
    </row>
    <row r="151" customFormat="false" ht="135.75" hidden="false" customHeight="true" outlineLevel="0" collapsed="false">
      <c r="A151" s="12" t="s">
        <v>1793</v>
      </c>
      <c r="B151" s="5" t="s">
        <v>1794</v>
      </c>
      <c r="C151" s="12" t="s">
        <v>1820</v>
      </c>
      <c r="D151" s="12" t="s">
        <v>120</v>
      </c>
      <c r="E151" s="5" t="s">
        <v>1821</v>
      </c>
      <c r="F151" s="14"/>
      <c r="G151" s="14"/>
      <c r="H151" s="14" t="s">
        <v>87</v>
      </c>
      <c r="I151" s="14"/>
      <c r="J151" s="14"/>
      <c r="K151" s="14"/>
      <c r="L151" s="15"/>
      <c r="M151" s="12"/>
      <c r="N151" s="5"/>
      <c r="O151" s="12"/>
      <c r="P151" s="5" t="s">
        <v>1822</v>
      </c>
      <c r="Q151" s="12" t="s">
        <v>1437</v>
      </c>
      <c r="R151" s="12" t="s">
        <v>805</v>
      </c>
      <c r="S151" s="5" t="s">
        <v>1823</v>
      </c>
      <c r="T151" s="5" t="s">
        <v>1776</v>
      </c>
      <c r="U151" s="12" t="n">
        <v>4</v>
      </c>
      <c r="V151" s="12" t="n">
        <v>1</v>
      </c>
      <c r="W151" s="12" t="n">
        <v>1</v>
      </c>
      <c r="X151" s="12" t="n">
        <v>1</v>
      </c>
      <c r="Y151" s="12" t="n">
        <v>0</v>
      </c>
    </row>
    <row r="152" customFormat="false" ht="68.25" hidden="false" customHeight="true" outlineLevel="0" collapsed="false">
      <c r="A152" s="12" t="s">
        <v>1793</v>
      </c>
      <c r="B152" s="5" t="s">
        <v>1794</v>
      </c>
      <c r="C152" s="12" t="s">
        <v>1824</v>
      </c>
      <c r="D152" s="12" t="s">
        <v>120</v>
      </c>
      <c r="E152" s="5" t="s">
        <v>1825</v>
      </c>
      <c r="F152" s="14"/>
      <c r="G152" s="14"/>
      <c r="H152" s="14" t="s">
        <v>87</v>
      </c>
      <c r="I152" s="14"/>
      <c r="J152" s="14"/>
      <c r="K152" s="14"/>
      <c r="L152" s="15"/>
      <c r="M152" s="12"/>
      <c r="N152" s="5"/>
      <c r="O152" s="12"/>
      <c r="P152" s="5" t="s">
        <v>1826</v>
      </c>
      <c r="Q152" s="12" t="s">
        <v>1563</v>
      </c>
      <c r="R152" s="12" t="s">
        <v>1827</v>
      </c>
      <c r="S152" s="5" t="s">
        <v>1828</v>
      </c>
      <c r="T152" s="5" t="s">
        <v>1791</v>
      </c>
      <c r="U152" s="12" t="n">
        <v>3</v>
      </c>
      <c r="V152" s="12" t="n">
        <v>1</v>
      </c>
      <c r="W152" s="12" t="n">
        <v>1</v>
      </c>
      <c r="X152" s="12" t="n">
        <v>1</v>
      </c>
      <c r="Y152" s="12" t="n">
        <v>0</v>
      </c>
    </row>
    <row r="153" customFormat="false" ht="41.25" hidden="false" customHeight="true" outlineLevel="0" collapsed="false">
      <c r="A153" s="12" t="s">
        <v>1793</v>
      </c>
      <c r="B153" s="5" t="s">
        <v>1794</v>
      </c>
      <c r="C153" s="12" t="s">
        <v>1829</v>
      </c>
      <c r="D153" s="12" t="s">
        <v>120</v>
      </c>
      <c r="E153" s="5" t="s">
        <v>1830</v>
      </c>
      <c r="F153" s="14"/>
      <c r="G153" s="14"/>
      <c r="H153" s="14" t="s">
        <v>87</v>
      </c>
      <c r="I153" s="14"/>
      <c r="J153" s="14"/>
      <c r="K153" s="14"/>
      <c r="L153" s="15"/>
      <c r="M153" s="12"/>
      <c r="N153" s="5"/>
      <c r="O153" s="12"/>
      <c r="P153" s="5" t="s">
        <v>1831</v>
      </c>
      <c r="Q153" s="12" t="s">
        <v>1563</v>
      </c>
      <c r="R153" s="12" t="s">
        <v>1827</v>
      </c>
      <c r="S153" s="5" t="s">
        <v>1832</v>
      </c>
      <c r="T153" s="5" t="s">
        <v>1770</v>
      </c>
      <c r="U153" s="12" t="n">
        <v>2</v>
      </c>
      <c r="V153" s="12" t="n">
        <v>1</v>
      </c>
      <c r="W153" s="12" t="n">
        <v>1</v>
      </c>
      <c r="X153" s="12" t="n">
        <v>1</v>
      </c>
      <c r="Y153" s="12" t="n">
        <v>0</v>
      </c>
    </row>
    <row r="154" customFormat="false" ht="95.25" hidden="false" customHeight="true" outlineLevel="0" collapsed="false">
      <c r="A154" s="12" t="s">
        <v>1793</v>
      </c>
      <c r="B154" s="5" t="s">
        <v>1794</v>
      </c>
      <c r="C154" s="12" t="s">
        <v>1833</v>
      </c>
      <c r="D154" s="12" t="s">
        <v>120</v>
      </c>
      <c r="E154" s="5" t="s">
        <v>1834</v>
      </c>
      <c r="F154" s="14"/>
      <c r="G154" s="14"/>
      <c r="H154" s="14" t="s">
        <v>87</v>
      </c>
      <c r="I154" s="14"/>
      <c r="J154" s="14"/>
      <c r="K154" s="14"/>
      <c r="L154" s="15"/>
      <c r="M154" s="12"/>
      <c r="N154" s="5"/>
      <c r="O154" s="12"/>
      <c r="P154" s="5" t="s">
        <v>1835</v>
      </c>
      <c r="Q154" s="12" t="s">
        <v>1563</v>
      </c>
      <c r="R154" s="12" t="s">
        <v>1827</v>
      </c>
      <c r="S154" s="5" t="s">
        <v>1836</v>
      </c>
      <c r="T154" s="5" t="s">
        <v>1770</v>
      </c>
      <c r="U154" s="12" t="n">
        <v>3</v>
      </c>
      <c r="V154" s="12" t="n">
        <v>1</v>
      </c>
      <c r="W154" s="12" t="n">
        <v>1</v>
      </c>
      <c r="X154" s="12" t="n">
        <v>1</v>
      </c>
      <c r="Y154" s="12" t="n">
        <v>0</v>
      </c>
    </row>
    <row r="155" customFormat="false" ht="81.75" hidden="false" customHeight="true" outlineLevel="0" collapsed="false">
      <c r="A155" s="12" t="s">
        <v>1793</v>
      </c>
      <c r="B155" s="5" t="s">
        <v>1794</v>
      </c>
      <c r="C155" s="12" t="s">
        <v>1837</v>
      </c>
      <c r="D155" s="12" t="s">
        <v>120</v>
      </c>
      <c r="E155" s="5" t="s">
        <v>1838</v>
      </c>
      <c r="F155" s="14"/>
      <c r="G155" s="14"/>
      <c r="H155" s="14" t="s">
        <v>87</v>
      </c>
      <c r="I155" s="14"/>
      <c r="J155" s="14"/>
      <c r="K155" s="14"/>
      <c r="L155" s="15"/>
      <c r="M155" s="12"/>
      <c r="N155" s="5"/>
      <c r="O155" s="12"/>
      <c r="P155" s="5" t="s">
        <v>1839</v>
      </c>
      <c r="Q155" s="12" t="s">
        <v>1403</v>
      </c>
      <c r="R155" s="12" t="s">
        <v>1827</v>
      </c>
      <c r="S155" s="5" t="s">
        <v>1840</v>
      </c>
      <c r="T155" s="5" t="s">
        <v>1770</v>
      </c>
      <c r="U155" s="12" t="n">
        <v>3</v>
      </c>
      <c r="V155" s="12" t="n">
        <v>1</v>
      </c>
      <c r="W155" s="12" t="n">
        <v>1</v>
      </c>
      <c r="X155" s="12" t="n">
        <v>1</v>
      </c>
      <c r="Y155" s="12" t="n">
        <v>0</v>
      </c>
    </row>
    <row r="156" customFormat="false" ht="95.25" hidden="false" customHeight="true" outlineLevel="0" collapsed="false">
      <c r="A156" s="12" t="s">
        <v>1793</v>
      </c>
      <c r="B156" s="5" t="s">
        <v>1794</v>
      </c>
      <c r="C156" s="12" t="s">
        <v>1841</v>
      </c>
      <c r="D156" s="12" t="s">
        <v>120</v>
      </c>
      <c r="E156" s="5" t="s">
        <v>1842</v>
      </c>
      <c r="F156" s="14"/>
      <c r="G156" s="14"/>
      <c r="H156" s="14" t="s">
        <v>87</v>
      </c>
      <c r="I156" s="14"/>
      <c r="J156" s="14"/>
      <c r="K156" s="14"/>
      <c r="L156" s="15"/>
      <c r="M156" s="12"/>
      <c r="N156" s="5"/>
      <c r="O156" s="12"/>
      <c r="P156" s="5" t="s">
        <v>1843</v>
      </c>
      <c r="Q156" s="12" t="s">
        <v>1415</v>
      </c>
      <c r="R156" s="12" t="s">
        <v>1827</v>
      </c>
      <c r="S156" s="5" t="s">
        <v>1844</v>
      </c>
      <c r="T156" s="5" t="s">
        <v>1770</v>
      </c>
      <c r="U156" s="12" t="n">
        <v>3</v>
      </c>
      <c r="V156" s="12" t="n">
        <v>1</v>
      </c>
      <c r="W156" s="12" t="n">
        <v>1</v>
      </c>
      <c r="X156" s="12" t="n">
        <v>1</v>
      </c>
      <c r="Y156" s="12" t="n">
        <v>0</v>
      </c>
    </row>
    <row r="157" customFormat="false" ht="323.25" hidden="false" customHeight="true" outlineLevel="0" collapsed="false">
      <c r="A157" s="12" t="s">
        <v>1793</v>
      </c>
      <c r="B157" s="5" t="s">
        <v>1794</v>
      </c>
      <c r="C157" s="12" t="s">
        <v>1845</v>
      </c>
      <c r="D157" s="12" t="s">
        <v>160</v>
      </c>
      <c r="E157" s="5" t="s">
        <v>1846</v>
      </c>
      <c r="F157" s="14"/>
      <c r="G157" s="14"/>
      <c r="H157" s="14" t="s">
        <v>87</v>
      </c>
      <c r="I157" s="14"/>
      <c r="J157" s="14"/>
      <c r="K157" s="14"/>
      <c r="L157" s="15"/>
      <c r="M157" s="12"/>
      <c r="N157" s="5"/>
      <c r="O157" s="12"/>
      <c r="P157" s="5" t="s">
        <v>1847</v>
      </c>
      <c r="Q157" s="12" t="s">
        <v>1403</v>
      </c>
      <c r="R157" s="12" t="s">
        <v>805</v>
      </c>
      <c r="S157" s="5" t="s">
        <v>1848</v>
      </c>
      <c r="T157" s="5" t="s">
        <v>1785</v>
      </c>
      <c r="U157" s="12" t="n">
        <v>4</v>
      </c>
      <c r="V157" s="12" t="n">
        <v>1</v>
      </c>
      <c r="W157" s="12" t="n">
        <v>1</v>
      </c>
      <c r="X157" s="12" t="n">
        <v>1</v>
      </c>
      <c r="Y157" s="12" t="n">
        <v>0</v>
      </c>
    </row>
    <row r="158" customFormat="false" ht="54.75" hidden="false" customHeight="true" outlineLevel="0" collapsed="false">
      <c r="A158" s="12" t="s">
        <v>1793</v>
      </c>
      <c r="B158" s="5" t="s">
        <v>1794</v>
      </c>
      <c r="C158" s="12" t="s">
        <v>1849</v>
      </c>
      <c r="D158" s="12" t="s">
        <v>160</v>
      </c>
      <c r="E158" s="5" t="s">
        <v>1850</v>
      </c>
      <c r="F158" s="14"/>
      <c r="G158" s="14"/>
      <c r="H158" s="14" t="s">
        <v>87</v>
      </c>
      <c r="I158" s="14"/>
      <c r="J158" s="14"/>
      <c r="K158" s="14"/>
      <c r="L158" s="15"/>
      <c r="M158" s="12"/>
      <c r="N158" s="5"/>
      <c r="O158" s="12"/>
      <c r="P158" s="5" t="s">
        <v>1851</v>
      </c>
      <c r="Q158" s="12" t="s">
        <v>1415</v>
      </c>
      <c r="R158" s="12" t="s">
        <v>805</v>
      </c>
      <c r="S158" s="5" t="s">
        <v>1852</v>
      </c>
      <c r="T158" s="5" t="s">
        <v>1776</v>
      </c>
      <c r="U158" s="12" t="n">
        <v>5</v>
      </c>
      <c r="V158" s="12" t="n">
        <v>1</v>
      </c>
      <c r="W158" s="12" t="n">
        <v>1</v>
      </c>
      <c r="X158" s="12" t="n">
        <v>1</v>
      </c>
      <c r="Y158" s="12" t="n">
        <v>0</v>
      </c>
    </row>
    <row r="159" customFormat="false" ht="417.75" hidden="false" customHeight="true" outlineLevel="0" collapsed="false">
      <c r="A159" s="10" t="s">
        <v>1853</v>
      </c>
      <c r="B159" s="11" t="s">
        <v>1854</v>
      </c>
      <c r="C159" s="12"/>
      <c r="D159" s="12" t="s">
        <v>160</v>
      </c>
      <c r="E159" s="5" t="s">
        <v>79</v>
      </c>
      <c r="F159" s="12"/>
      <c r="G159" s="12"/>
      <c r="H159" s="13" t="str">
        <f aca="false">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2"/>
      <c r="J159" s="12"/>
      <c r="K159" s="12"/>
      <c r="L159" s="12"/>
      <c r="M159" s="12" t="s">
        <v>74</v>
      </c>
      <c r="N159" s="5"/>
      <c r="O159" s="12"/>
      <c r="P159" s="5" t="s">
        <v>1855</v>
      </c>
      <c r="Q159" s="12" t="s">
        <v>1392</v>
      </c>
      <c r="R159" s="12" t="s">
        <v>1378</v>
      </c>
      <c r="S159" s="5" t="s">
        <v>1856</v>
      </c>
      <c r="T159" s="5" t="s">
        <v>1857</v>
      </c>
      <c r="U159" s="12" t="n">
        <v>5</v>
      </c>
      <c r="V159" s="12" t="n">
        <v>1</v>
      </c>
      <c r="W159" s="12" t="n">
        <v>1</v>
      </c>
      <c r="X159" s="12" t="n">
        <v>2</v>
      </c>
      <c r="Y159" s="12" t="n">
        <v>0</v>
      </c>
    </row>
    <row r="160" customFormat="false" ht="417.75" hidden="false" customHeight="true" outlineLevel="0" collapsed="false">
      <c r="A160" s="12" t="s">
        <v>1853</v>
      </c>
      <c r="B160" s="5" t="s">
        <v>1854</v>
      </c>
      <c r="C160" s="12" t="s">
        <v>1853</v>
      </c>
      <c r="D160" s="12" t="s">
        <v>160</v>
      </c>
      <c r="E160" s="5" t="s">
        <v>1858</v>
      </c>
      <c r="F160" s="14"/>
      <c r="G160" s="14"/>
      <c r="H160" s="14" t="s">
        <v>87</v>
      </c>
      <c r="I160" s="14"/>
      <c r="J160" s="14"/>
      <c r="K160" s="14"/>
      <c r="L160" s="15"/>
      <c r="M160" s="12" t="s">
        <v>74</v>
      </c>
      <c r="N160" s="5"/>
      <c r="O160" s="12"/>
      <c r="P160" s="5" t="s">
        <v>1855</v>
      </c>
      <c r="Q160" s="12" t="s">
        <v>1392</v>
      </c>
      <c r="R160" s="12" t="s">
        <v>1378</v>
      </c>
      <c r="S160" s="5" t="s">
        <v>1856</v>
      </c>
      <c r="T160" s="5" t="s">
        <v>1857</v>
      </c>
      <c r="U160" s="12" t="n">
        <v>5</v>
      </c>
      <c r="V160" s="12" t="n">
        <v>1</v>
      </c>
      <c r="W160" s="12" t="n">
        <v>1</v>
      </c>
      <c r="X160" s="12" t="n">
        <v>2</v>
      </c>
      <c r="Y160" s="12" t="n">
        <v>0</v>
      </c>
    </row>
    <row r="161" customFormat="false" ht="68.25" hidden="false" customHeight="true" outlineLevel="0" collapsed="false">
      <c r="A161" s="10" t="s">
        <v>1859</v>
      </c>
      <c r="B161" s="11" t="s">
        <v>1860</v>
      </c>
      <c r="C161" s="12"/>
      <c r="D161" s="12" t="s">
        <v>160</v>
      </c>
      <c r="E161" s="5" t="s">
        <v>79</v>
      </c>
      <c r="F161" s="12"/>
      <c r="G161" s="12"/>
      <c r="H161" s="13" t="str">
        <f aca="false">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2"/>
      <c r="J161" s="12"/>
      <c r="K161" s="12"/>
      <c r="L161" s="12"/>
      <c r="M161" s="12"/>
      <c r="N161" s="5"/>
      <c r="O161" s="12"/>
      <c r="P161" s="5" t="s">
        <v>1861</v>
      </c>
      <c r="Q161" s="12" t="s">
        <v>1403</v>
      </c>
      <c r="R161" s="12" t="s">
        <v>1442</v>
      </c>
      <c r="S161" s="5" t="s">
        <v>1860</v>
      </c>
      <c r="T161" s="5" t="s">
        <v>306</v>
      </c>
      <c r="U161" s="12" t="n">
        <v>5</v>
      </c>
      <c r="V161" s="12" t="n">
        <v>1</v>
      </c>
      <c r="W161" s="12" t="n">
        <v>1</v>
      </c>
      <c r="X161" s="12" t="n">
        <v>1</v>
      </c>
      <c r="Y161" s="12" t="n">
        <v>0</v>
      </c>
    </row>
    <row r="162" customFormat="false" ht="68.25" hidden="false" customHeight="true" outlineLevel="0" collapsed="false">
      <c r="A162" s="12" t="s">
        <v>1859</v>
      </c>
      <c r="B162" s="5" t="s">
        <v>1860</v>
      </c>
      <c r="C162" s="12" t="s">
        <v>1859</v>
      </c>
      <c r="D162" s="12" t="s">
        <v>160</v>
      </c>
      <c r="E162" s="5" t="s">
        <v>1862</v>
      </c>
      <c r="F162" s="14"/>
      <c r="G162" s="14"/>
      <c r="H162" s="14" t="s">
        <v>87</v>
      </c>
      <c r="I162" s="14"/>
      <c r="J162" s="14"/>
      <c r="K162" s="14"/>
      <c r="L162" s="15"/>
      <c r="M162" s="12"/>
      <c r="N162" s="5"/>
      <c r="O162" s="12"/>
      <c r="P162" s="5" t="s">
        <v>1861</v>
      </c>
      <c r="Q162" s="12" t="s">
        <v>1403</v>
      </c>
      <c r="R162" s="12" t="s">
        <v>1442</v>
      </c>
      <c r="S162" s="5" t="s">
        <v>1860</v>
      </c>
      <c r="T162" s="5" t="s">
        <v>306</v>
      </c>
      <c r="U162" s="12" t="n">
        <v>5</v>
      </c>
      <c r="V162" s="12" t="n">
        <v>1</v>
      </c>
      <c r="W162" s="12" t="n">
        <v>1</v>
      </c>
      <c r="X162" s="12" t="n">
        <v>1</v>
      </c>
      <c r="Y162" s="12" t="n">
        <v>0</v>
      </c>
    </row>
    <row r="163" customFormat="false" ht="108.75" hidden="false" customHeight="true" outlineLevel="0" collapsed="false">
      <c r="A163" s="10" t="s">
        <v>1863</v>
      </c>
      <c r="B163" s="11" t="s">
        <v>1864</v>
      </c>
      <c r="C163" s="12"/>
      <c r="D163" s="12" t="s">
        <v>160</v>
      </c>
      <c r="E163" s="5" t="s">
        <v>79</v>
      </c>
      <c r="F163" s="12"/>
      <c r="G163" s="12"/>
      <c r="H163" s="13" t="str">
        <f aca="false">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2"/>
      <c r="J163" s="12"/>
      <c r="K163" s="12"/>
      <c r="L163" s="12"/>
      <c r="M163" s="12"/>
      <c r="N163" s="5"/>
      <c r="O163" s="12"/>
      <c r="P163" s="5" t="s">
        <v>1865</v>
      </c>
      <c r="Q163" s="12" t="s">
        <v>1403</v>
      </c>
      <c r="R163" s="12" t="s">
        <v>1442</v>
      </c>
      <c r="S163" s="5" t="s">
        <v>1866</v>
      </c>
      <c r="T163" s="5" t="s">
        <v>306</v>
      </c>
      <c r="U163" s="12" t="n">
        <v>4</v>
      </c>
      <c r="V163" s="12" t="n">
        <v>1</v>
      </c>
      <c r="W163" s="12" t="n">
        <v>1</v>
      </c>
      <c r="X163" s="12" t="n">
        <v>1</v>
      </c>
      <c r="Y163" s="12" t="n">
        <v>0</v>
      </c>
    </row>
    <row r="164" customFormat="false" ht="108.75" hidden="false" customHeight="true" outlineLevel="0" collapsed="false">
      <c r="A164" s="12" t="s">
        <v>1863</v>
      </c>
      <c r="B164" s="5" t="s">
        <v>1864</v>
      </c>
      <c r="C164" s="12" t="s">
        <v>1863</v>
      </c>
      <c r="D164" s="12" t="s">
        <v>160</v>
      </c>
      <c r="E164" s="5" t="s">
        <v>1867</v>
      </c>
      <c r="F164" s="14"/>
      <c r="G164" s="14"/>
      <c r="H164" s="14" t="s">
        <v>87</v>
      </c>
      <c r="I164" s="14"/>
      <c r="J164" s="14"/>
      <c r="K164" s="14"/>
      <c r="L164" s="15"/>
      <c r="M164" s="12"/>
      <c r="N164" s="5"/>
      <c r="O164" s="12"/>
      <c r="P164" s="5" t="s">
        <v>1865</v>
      </c>
      <c r="Q164" s="12" t="s">
        <v>1403</v>
      </c>
      <c r="R164" s="12" t="s">
        <v>1442</v>
      </c>
      <c r="S164" s="5" t="s">
        <v>1866</v>
      </c>
      <c r="T164" s="5" t="s">
        <v>306</v>
      </c>
      <c r="U164" s="12" t="n">
        <v>4</v>
      </c>
      <c r="V164" s="12" t="n">
        <v>1</v>
      </c>
      <c r="W164" s="12" t="n">
        <v>1</v>
      </c>
      <c r="X164" s="12" t="n">
        <v>1</v>
      </c>
      <c r="Y164" s="12" t="n">
        <v>0</v>
      </c>
    </row>
    <row r="165" customFormat="false" ht="363.75" hidden="false" customHeight="true" outlineLevel="0" collapsed="false">
      <c r="A165" s="10" t="s">
        <v>1868</v>
      </c>
      <c r="B165" s="11" t="s">
        <v>1869</v>
      </c>
      <c r="C165" s="12"/>
      <c r="D165" s="12" t="s">
        <v>160</v>
      </c>
      <c r="E165" s="5" t="s">
        <v>79</v>
      </c>
      <c r="F165" s="12"/>
      <c r="G165" s="12"/>
      <c r="H165" s="13" t="str">
        <f aca="false">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2"/>
      <c r="J165" s="12"/>
      <c r="K165" s="12"/>
      <c r="L165" s="12"/>
      <c r="M165" s="12"/>
      <c r="N165" s="5"/>
      <c r="O165" s="12"/>
      <c r="P165" s="5" t="s">
        <v>1870</v>
      </c>
      <c r="Q165" s="12" t="s">
        <v>1437</v>
      </c>
      <c r="R165" s="12" t="s">
        <v>1416</v>
      </c>
      <c r="S165" s="5" t="s">
        <v>1871</v>
      </c>
      <c r="T165" s="5" t="s">
        <v>306</v>
      </c>
      <c r="U165" s="12" t="n">
        <v>5</v>
      </c>
      <c r="V165" s="12" t="n">
        <v>1</v>
      </c>
      <c r="W165" s="12" t="n">
        <v>1</v>
      </c>
      <c r="X165" s="12" t="n">
        <v>1</v>
      </c>
      <c r="Y165" s="12" t="n">
        <v>0</v>
      </c>
    </row>
    <row r="166" customFormat="false" ht="363.75" hidden="false" customHeight="true" outlineLevel="0" collapsed="false">
      <c r="A166" s="12" t="s">
        <v>1868</v>
      </c>
      <c r="B166" s="5" t="s">
        <v>1869</v>
      </c>
      <c r="C166" s="12" t="s">
        <v>1868</v>
      </c>
      <c r="D166" s="12" t="s">
        <v>160</v>
      </c>
      <c r="E166" s="5" t="s">
        <v>1872</v>
      </c>
      <c r="F166" s="14"/>
      <c r="G166" s="14"/>
      <c r="H166" s="14" t="s">
        <v>87</v>
      </c>
      <c r="I166" s="14"/>
      <c r="J166" s="14"/>
      <c r="K166" s="14"/>
      <c r="L166" s="15"/>
      <c r="M166" s="12"/>
      <c r="N166" s="5"/>
      <c r="O166" s="12"/>
      <c r="P166" s="5" t="s">
        <v>1870</v>
      </c>
      <c r="Q166" s="12" t="s">
        <v>1437</v>
      </c>
      <c r="R166" s="12" t="s">
        <v>1416</v>
      </c>
      <c r="S166" s="5" t="s">
        <v>1871</v>
      </c>
      <c r="T166" s="5" t="s">
        <v>306</v>
      </c>
      <c r="U166" s="12" t="n">
        <v>5</v>
      </c>
      <c r="V166" s="12" t="n">
        <v>1</v>
      </c>
      <c r="W166" s="12" t="n">
        <v>1</v>
      </c>
      <c r="X166" s="12" t="n">
        <v>1</v>
      </c>
      <c r="Y166" s="12" t="n">
        <v>0</v>
      </c>
    </row>
    <row r="167" customFormat="false" ht="108.75" hidden="false" customHeight="true" outlineLevel="0" collapsed="false">
      <c r="A167" s="10" t="s">
        <v>1873</v>
      </c>
      <c r="B167" s="11" t="s">
        <v>1874</v>
      </c>
      <c r="C167" s="12"/>
      <c r="D167" s="12" t="s">
        <v>160</v>
      </c>
      <c r="E167" s="5" t="s">
        <v>79</v>
      </c>
      <c r="F167" s="12"/>
      <c r="G167" s="12"/>
      <c r="H167" s="13" t="str">
        <f aca="false">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2"/>
      <c r="J167" s="12"/>
      <c r="K167" s="12"/>
      <c r="L167" s="12"/>
      <c r="M167" s="12"/>
      <c r="N167" s="5"/>
      <c r="O167" s="12"/>
      <c r="P167" s="5" t="s">
        <v>1875</v>
      </c>
      <c r="Q167" s="12" t="s">
        <v>1563</v>
      </c>
      <c r="R167" s="12" t="s">
        <v>1416</v>
      </c>
      <c r="S167" s="5" t="s">
        <v>1876</v>
      </c>
      <c r="T167" s="5" t="s">
        <v>109</v>
      </c>
      <c r="U167" s="12" t="n">
        <v>5</v>
      </c>
      <c r="V167" s="12" t="n">
        <v>1</v>
      </c>
      <c r="W167" s="12" t="n">
        <v>1</v>
      </c>
      <c r="X167" s="12" t="n">
        <v>1</v>
      </c>
      <c r="Y167" s="12" t="n">
        <v>0</v>
      </c>
    </row>
    <row r="168" customFormat="false" ht="108.75" hidden="false" customHeight="true" outlineLevel="0" collapsed="false">
      <c r="A168" s="12" t="s">
        <v>1873</v>
      </c>
      <c r="B168" s="5" t="s">
        <v>1874</v>
      </c>
      <c r="C168" s="12" t="s">
        <v>1873</v>
      </c>
      <c r="D168" s="12" t="s">
        <v>160</v>
      </c>
      <c r="E168" s="5" t="s">
        <v>1877</v>
      </c>
      <c r="F168" s="14"/>
      <c r="G168" s="14"/>
      <c r="H168" s="14" t="s">
        <v>87</v>
      </c>
      <c r="I168" s="14"/>
      <c r="J168" s="14"/>
      <c r="K168" s="14"/>
      <c r="L168" s="15"/>
      <c r="M168" s="12"/>
      <c r="N168" s="5"/>
      <c r="O168" s="12"/>
      <c r="P168" s="5" t="s">
        <v>1875</v>
      </c>
      <c r="Q168" s="12" t="s">
        <v>1563</v>
      </c>
      <c r="R168" s="12" t="s">
        <v>1416</v>
      </c>
      <c r="S168" s="5" t="s">
        <v>1876</v>
      </c>
      <c r="T168" s="5" t="s">
        <v>109</v>
      </c>
      <c r="U168" s="12" t="n">
        <v>5</v>
      </c>
      <c r="V168" s="12" t="n">
        <v>1</v>
      </c>
      <c r="W168" s="12" t="n">
        <v>1</v>
      </c>
      <c r="X168" s="12" t="n">
        <v>1</v>
      </c>
      <c r="Y168" s="12" t="n">
        <v>0</v>
      </c>
    </row>
  </sheetData>
  <autoFilter ref="A6:Y6"/>
  <conditionalFormatting sqref="H7:H1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5 H17:H18 H20 H22 H24 H26:H36 H38 H40 H42 H44 H46 H48 H50:H52 H54 H56 H58 H60 H62 H64:H66 H68:H71 H73 H75:H79 H81 H83 H85 H87 H89 H91:H93 H95:H98 H100 H102 H104:H105 H107:H113 H115 H117 H119:H120 H122 H124 H126:H127 H129 H131 H133 H135 H137:H139 H141 H143 H145:H158 H160 H162 H164 H166 H1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586</v>
      </c>
      <c r="B3" s="7" t="s">
        <v>587</v>
      </c>
    </row>
    <row r="4" customFormat="false" ht="15" hidden="false" customHeight="true" outlineLevel="0" collapsed="false">
      <c r="A4" s="4" t="s">
        <v>50</v>
      </c>
      <c r="B4" s="8" t="str">
        <f aca="false">IF(Praktiken!D9="","",Praktiken!D9)</f>
        <v/>
      </c>
    </row>
    <row r="5" customFormat="false" ht="15" hidden="false" customHeight="true" outlineLevel="0" collapsed="false">
      <c r="A5" s="4" t="s">
        <v>51</v>
      </c>
      <c r="B5" s="8" t="str">
        <f aca="false">IF(Praktiken!S9="","",Praktiken!S9)</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22.25" hidden="false" customHeight="true" outlineLevel="0" collapsed="false">
      <c r="A7" s="10" t="s">
        <v>1878</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1879</v>
      </c>
      <c r="O7" s="12" t="s">
        <v>1880</v>
      </c>
      <c r="P7" s="5" t="s">
        <v>1881</v>
      </c>
      <c r="Q7" s="12"/>
      <c r="R7" s="12" t="s">
        <v>1270</v>
      </c>
      <c r="S7" s="5" t="s">
        <v>1882</v>
      </c>
      <c r="T7" s="5" t="s">
        <v>109</v>
      </c>
      <c r="U7" s="12" t="n">
        <v>0</v>
      </c>
      <c r="V7" s="12" t="n">
        <v>1</v>
      </c>
      <c r="W7" s="12" t="n">
        <v>1</v>
      </c>
      <c r="X7" s="12" t="n">
        <v>1</v>
      </c>
      <c r="Y7" s="12" t="n">
        <v>0</v>
      </c>
    </row>
    <row r="8" customFormat="false" ht="216" hidden="false" customHeight="true" outlineLevel="0" collapsed="false">
      <c r="A8" s="12" t="s">
        <v>1878</v>
      </c>
      <c r="B8" s="5" t="s">
        <v>77</v>
      </c>
      <c r="C8" s="12" t="s">
        <v>1883</v>
      </c>
      <c r="D8" s="12" t="s">
        <v>78</v>
      </c>
      <c r="E8" s="5" t="s">
        <v>1884</v>
      </c>
      <c r="F8" s="14"/>
      <c r="G8" s="14"/>
      <c r="H8" s="14" t="s">
        <v>87</v>
      </c>
      <c r="I8" s="14"/>
      <c r="J8" s="14"/>
      <c r="K8" s="14"/>
      <c r="L8" s="15"/>
      <c r="M8" s="12" t="s">
        <v>88</v>
      </c>
      <c r="N8" s="5"/>
      <c r="O8" s="12"/>
      <c r="P8" s="5" t="s">
        <v>624</v>
      </c>
      <c r="Q8" s="12"/>
      <c r="R8" s="12" t="s">
        <v>92</v>
      </c>
      <c r="S8" s="5" t="s">
        <v>93</v>
      </c>
      <c r="T8" s="5" t="s">
        <v>625</v>
      </c>
      <c r="U8" s="12" t="n">
        <v>0</v>
      </c>
      <c r="V8" s="12" t="n">
        <v>2</v>
      </c>
      <c r="W8" s="12" t="n">
        <v>2</v>
      </c>
      <c r="X8" s="12" t="n">
        <v>1</v>
      </c>
      <c r="Y8" s="12" t="n">
        <v>1</v>
      </c>
    </row>
    <row r="9" customFormat="false" ht="336.75" hidden="false" customHeight="true" outlineLevel="0" collapsed="false">
      <c r="A9" s="12" t="s">
        <v>1878</v>
      </c>
      <c r="B9" s="5" t="s">
        <v>77</v>
      </c>
      <c r="C9" s="12" t="s">
        <v>1885</v>
      </c>
      <c r="D9" s="12" t="s">
        <v>78</v>
      </c>
      <c r="E9" s="5" t="s">
        <v>1886</v>
      </c>
      <c r="F9" s="14"/>
      <c r="G9" s="14"/>
      <c r="H9" s="14" t="s">
        <v>87</v>
      </c>
      <c r="I9" s="14"/>
      <c r="J9" s="14"/>
      <c r="K9" s="14"/>
      <c r="L9" s="15"/>
      <c r="M9" s="12"/>
      <c r="N9" s="5"/>
      <c r="O9" s="12"/>
      <c r="P9" s="5" t="s">
        <v>99</v>
      </c>
      <c r="Q9" s="12"/>
      <c r="R9" s="12" t="s">
        <v>100</v>
      </c>
      <c r="S9" s="5" t="s">
        <v>101</v>
      </c>
      <c r="T9" s="5" t="s">
        <v>306</v>
      </c>
      <c r="U9" s="12" t="n">
        <v>0</v>
      </c>
      <c r="V9" s="12" t="n">
        <v>1</v>
      </c>
      <c r="W9" s="12" t="n">
        <v>1</v>
      </c>
      <c r="X9" s="12" t="n">
        <v>1</v>
      </c>
      <c r="Y9" s="12" t="n">
        <v>0</v>
      </c>
    </row>
    <row r="10" customFormat="false" ht="175.5" hidden="false" customHeight="true" outlineLevel="0" collapsed="false">
      <c r="A10" s="12" t="s">
        <v>1878</v>
      </c>
      <c r="B10" s="5" t="s">
        <v>77</v>
      </c>
      <c r="C10" s="12" t="s">
        <v>1887</v>
      </c>
      <c r="D10" s="12" t="s">
        <v>78</v>
      </c>
      <c r="E10" s="5" t="s">
        <v>1888</v>
      </c>
      <c r="F10" s="14"/>
      <c r="G10" s="14"/>
      <c r="H10" s="14" t="s">
        <v>87</v>
      </c>
      <c r="I10" s="14"/>
      <c r="J10" s="14"/>
      <c r="K10" s="14"/>
      <c r="L10" s="15"/>
      <c r="M10" s="12"/>
      <c r="N10" s="5" t="s">
        <v>1889</v>
      </c>
      <c r="O10" s="12" t="s">
        <v>517</v>
      </c>
      <c r="P10" s="5" t="s">
        <v>631</v>
      </c>
      <c r="Q10" s="12"/>
      <c r="R10" s="12" t="s">
        <v>92</v>
      </c>
      <c r="S10" s="5" t="s">
        <v>108</v>
      </c>
      <c r="T10" s="5" t="s">
        <v>102</v>
      </c>
      <c r="U10" s="12" t="n">
        <v>0</v>
      </c>
      <c r="V10" s="12" t="n">
        <v>1</v>
      </c>
      <c r="W10" s="12" t="n">
        <v>1</v>
      </c>
      <c r="X10" s="12" t="n">
        <v>1</v>
      </c>
      <c r="Y10" s="12" t="n">
        <v>0</v>
      </c>
    </row>
    <row r="11" customFormat="false" ht="189" hidden="false" customHeight="true" outlineLevel="0" collapsed="false">
      <c r="A11" s="10" t="s">
        <v>1890</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t="s">
        <v>74</v>
      </c>
      <c r="N11" s="5" t="s">
        <v>1891</v>
      </c>
      <c r="O11" s="12" t="s">
        <v>272</v>
      </c>
      <c r="P11" s="5" t="s">
        <v>114</v>
      </c>
      <c r="Q11" s="12"/>
      <c r="R11" s="12" t="s">
        <v>115</v>
      </c>
      <c r="S11" s="5" t="s">
        <v>93</v>
      </c>
      <c r="T11" s="5" t="s">
        <v>1892</v>
      </c>
      <c r="U11" s="12" t="n">
        <v>0</v>
      </c>
      <c r="V11" s="12" t="n">
        <v>1</v>
      </c>
      <c r="W11" s="12" t="n">
        <v>1</v>
      </c>
      <c r="X11" s="12" t="n">
        <v>2</v>
      </c>
      <c r="Y11" s="12" t="n">
        <v>0</v>
      </c>
    </row>
    <row r="12" customFormat="false" ht="189" hidden="false" customHeight="true" outlineLevel="0" collapsed="false">
      <c r="A12" s="12" t="s">
        <v>1890</v>
      </c>
      <c r="B12" s="5" t="s">
        <v>111</v>
      </c>
      <c r="C12" s="12" t="s">
        <v>1890</v>
      </c>
      <c r="D12" s="12" t="s">
        <v>78</v>
      </c>
      <c r="E12" s="5" t="s">
        <v>1893</v>
      </c>
      <c r="F12" s="14"/>
      <c r="G12" s="14"/>
      <c r="H12" s="14" t="s">
        <v>87</v>
      </c>
      <c r="I12" s="14"/>
      <c r="J12" s="14"/>
      <c r="K12" s="14"/>
      <c r="L12" s="15"/>
      <c r="M12" s="12" t="s">
        <v>74</v>
      </c>
      <c r="N12" s="5" t="s">
        <v>1891</v>
      </c>
      <c r="O12" s="12" t="s">
        <v>272</v>
      </c>
      <c r="P12" s="5" t="s">
        <v>114</v>
      </c>
      <c r="Q12" s="12"/>
      <c r="R12" s="12" t="s">
        <v>115</v>
      </c>
      <c r="S12" s="5" t="s">
        <v>93</v>
      </c>
      <c r="T12" s="5" t="s">
        <v>1892</v>
      </c>
      <c r="U12" s="12" t="n">
        <v>0</v>
      </c>
      <c r="V12" s="12" t="n">
        <v>1</v>
      </c>
      <c r="W12" s="12" t="n">
        <v>1</v>
      </c>
      <c r="X12" s="12" t="n">
        <v>2</v>
      </c>
      <c r="Y12" s="12" t="n">
        <v>0</v>
      </c>
    </row>
    <row r="13" customFormat="false" ht="243" hidden="false" customHeight="true" outlineLevel="0" collapsed="false">
      <c r="A13" s="10" t="s">
        <v>1894</v>
      </c>
      <c r="B13" s="11" t="s">
        <v>1895</v>
      </c>
      <c r="C13" s="12"/>
      <c r="D13" s="12" t="s">
        <v>120</v>
      </c>
      <c r="E13" s="5" t="s">
        <v>79</v>
      </c>
      <c r="F13" s="12"/>
      <c r="G13" s="12"/>
      <c r="H13" s="13" t="str">
        <f aca="false">IF(OR(COUNTBLANK($H$14:$H$17)&gt;0,COUNTIF($H$14:$H$17,"unbearbeitet")=COUNTA($H$14:$H$17)),"Bitte Teilanforderungen ausfüllen",IF(COUNTIF($H$14:$H$17,"zu klären")&gt;0,"zu klären",IF(COUNTIF($H$14:$H$17,"entbehrlich")=COUNTA($H$14:$H$17),"entbehrlich",IF(COUNTIF($H$14:$H$17,"verwiesen")=COUNTA($H$14:$H$17),"verwiesen",IF(COUNTIF($H$14:$H$17,"nein")+COUNTIF($H$14:$H$17,"entbehrlich")=COUNTA($H$14:$H$17),"nein",IF(COUNTIF($H$14:$H$17,"ja")+COUNTIF($H$14:$H$17,"entbehrlich")+COUNTIF($H$14:$H$17,"verwiesen")=COUNTA($H$14:$H$17),"ja","teilweise"))))))</f>
        <v>Bitte Teilanforderungen ausfüllen</v>
      </c>
      <c r="I13" s="12"/>
      <c r="J13" s="12"/>
      <c r="K13" s="12"/>
      <c r="L13" s="12"/>
      <c r="M13" s="12"/>
      <c r="N13" s="5" t="s">
        <v>1896</v>
      </c>
      <c r="O13" s="12" t="s">
        <v>1897</v>
      </c>
      <c r="P13" s="5" t="s">
        <v>1898</v>
      </c>
      <c r="Q13" s="12"/>
      <c r="R13" s="12" t="s">
        <v>688</v>
      </c>
      <c r="S13" s="5" t="s">
        <v>1899</v>
      </c>
      <c r="T13" s="5" t="s">
        <v>1900</v>
      </c>
      <c r="U13" s="12" t="n">
        <v>2</v>
      </c>
      <c r="V13" s="12" t="n">
        <v>1</v>
      </c>
      <c r="W13" s="12" t="n">
        <v>1</v>
      </c>
      <c r="X13" s="12" t="n">
        <v>1</v>
      </c>
      <c r="Y13" s="12" t="n">
        <v>1</v>
      </c>
    </row>
    <row r="14" customFormat="false" ht="243" hidden="false" customHeight="true" outlineLevel="0" collapsed="false">
      <c r="A14" s="12" t="s">
        <v>1894</v>
      </c>
      <c r="B14" s="5" t="s">
        <v>1895</v>
      </c>
      <c r="C14" s="12" t="s">
        <v>1894</v>
      </c>
      <c r="D14" s="12" t="s">
        <v>120</v>
      </c>
      <c r="E14" s="5" t="s">
        <v>1901</v>
      </c>
      <c r="F14" s="14"/>
      <c r="G14" s="14"/>
      <c r="H14" s="14" t="s">
        <v>87</v>
      </c>
      <c r="I14" s="14"/>
      <c r="J14" s="14"/>
      <c r="K14" s="14"/>
      <c r="L14" s="15"/>
      <c r="M14" s="12"/>
      <c r="N14" s="5" t="s">
        <v>1896</v>
      </c>
      <c r="O14" s="12" t="s">
        <v>1897</v>
      </c>
      <c r="P14" s="5" t="s">
        <v>1898</v>
      </c>
      <c r="Q14" s="12"/>
      <c r="R14" s="12" t="s">
        <v>688</v>
      </c>
      <c r="S14" s="5" t="s">
        <v>1899</v>
      </c>
      <c r="T14" s="5" t="s">
        <v>1900</v>
      </c>
      <c r="U14" s="12" t="n">
        <v>2</v>
      </c>
      <c r="V14" s="12" t="n">
        <v>1</v>
      </c>
      <c r="W14" s="12" t="n">
        <v>1</v>
      </c>
      <c r="X14" s="12" t="n">
        <v>1</v>
      </c>
      <c r="Y14" s="12" t="n">
        <v>1</v>
      </c>
    </row>
    <row r="15" customFormat="false" ht="54.75" hidden="false" customHeight="true" outlineLevel="0" collapsed="false">
      <c r="A15" s="12" t="s">
        <v>1894</v>
      </c>
      <c r="B15" s="5" t="s">
        <v>1895</v>
      </c>
      <c r="C15" s="12" t="s">
        <v>1902</v>
      </c>
      <c r="D15" s="12" t="s">
        <v>120</v>
      </c>
      <c r="E15" s="5" t="s">
        <v>1903</v>
      </c>
      <c r="F15" s="14"/>
      <c r="G15" s="14"/>
      <c r="H15" s="14" t="s">
        <v>87</v>
      </c>
      <c r="I15" s="14"/>
      <c r="J15" s="14"/>
      <c r="K15" s="14"/>
      <c r="L15" s="15"/>
      <c r="M15" s="12" t="s">
        <v>74</v>
      </c>
      <c r="N15" s="5" t="s">
        <v>1904</v>
      </c>
      <c r="O15" s="12" t="s">
        <v>303</v>
      </c>
      <c r="P15" s="5" t="s">
        <v>1905</v>
      </c>
      <c r="Q15" s="12"/>
      <c r="R15" s="12" t="s">
        <v>688</v>
      </c>
      <c r="S15" s="5" t="s">
        <v>1906</v>
      </c>
      <c r="T15" s="5" t="s">
        <v>1907</v>
      </c>
      <c r="U15" s="12" t="n">
        <v>2</v>
      </c>
      <c r="V15" s="12" t="n">
        <v>1</v>
      </c>
      <c r="W15" s="12" t="n">
        <v>1</v>
      </c>
      <c r="X15" s="12" t="n">
        <v>2</v>
      </c>
      <c r="Y15" s="12" t="n">
        <v>0</v>
      </c>
    </row>
    <row r="16" customFormat="false" ht="41.25" hidden="false" customHeight="true" outlineLevel="0" collapsed="false">
      <c r="A16" s="12" t="s">
        <v>1894</v>
      </c>
      <c r="B16" s="5" t="s">
        <v>1895</v>
      </c>
      <c r="C16" s="12" t="s">
        <v>1908</v>
      </c>
      <c r="D16" s="12" t="s">
        <v>120</v>
      </c>
      <c r="E16" s="5" t="s">
        <v>1909</v>
      </c>
      <c r="F16" s="14"/>
      <c r="G16" s="14"/>
      <c r="H16" s="14" t="s">
        <v>87</v>
      </c>
      <c r="I16" s="14"/>
      <c r="J16" s="14"/>
      <c r="K16" s="14"/>
      <c r="L16" s="15"/>
      <c r="M16" s="12" t="s">
        <v>74</v>
      </c>
      <c r="N16" s="5" t="s">
        <v>1910</v>
      </c>
      <c r="O16" s="12" t="s">
        <v>661</v>
      </c>
      <c r="P16" s="5" t="s">
        <v>1911</v>
      </c>
      <c r="Q16" s="12"/>
      <c r="R16" s="12" t="s">
        <v>1270</v>
      </c>
      <c r="S16" s="5" t="s">
        <v>1912</v>
      </c>
      <c r="T16" s="5" t="s">
        <v>1913</v>
      </c>
      <c r="U16" s="12" t="n">
        <v>4</v>
      </c>
      <c r="V16" s="12" t="n">
        <v>1</v>
      </c>
      <c r="W16" s="12" t="n">
        <v>1</v>
      </c>
      <c r="X16" s="12" t="n">
        <v>2</v>
      </c>
      <c r="Y16" s="12" t="n">
        <v>0</v>
      </c>
    </row>
    <row r="17" customFormat="false" ht="350.25" hidden="false" customHeight="true" outlineLevel="0" collapsed="false">
      <c r="A17" s="12" t="s">
        <v>1894</v>
      </c>
      <c r="B17" s="5" t="s">
        <v>1895</v>
      </c>
      <c r="C17" s="12" t="s">
        <v>1914</v>
      </c>
      <c r="D17" s="12" t="s">
        <v>120</v>
      </c>
      <c r="E17" s="5" t="s">
        <v>1915</v>
      </c>
      <c r="F17" s="14"/>
      <c r="G17" s="14"/>
      <c r="H17" s="14" t="s">
        <v>87</v>
      </c>
      <c r="I17" s="14"/>
      <c r="J17" s="14"/>
      <c r="K17" s="14"/>
      <c r="L17" s="15"/>
      <c r="M17" s="12" t="s">
        <v>74</v>
      </c>
      <c r="N17" s="5" t="s">
        <v>1916</v>
      </c>
      <c r="O17" s="12" t="s">
        <v>303</v>
      </c>
      <c r="P17" s="5" t="s">
        <v>1917</v>
      </c>
      <c r="Q17" s="12"/>
      <c r="R17" s="12" t="s">
        <v>1270</v>
      </c>
      <c r="S17" s="5" t="s">
        <v>1918</v>
      </c>
      <c r="T17" s="5" t="s">
        <v>1919</v>
      </c>
      <c r="U17" s="12" t="n">
        <v>4</v>
      </c>
      <c r="V17" s="12" t="n">
        <v>1</v>
      </c>
      <c r="W17" s="12" t="n">
        <v>1</v>
      </c>
      <c r="X17" s="12" t="n">
        <v>2</v>
      </c>
      <c r="Y17" s="12" t="n">
        <v>0</v>
      </c>
    </row>
    <row r="18" customFormat="false" ht="175.5" hidden="false" customHeight="true" outlineLevel="0" collapsed="false">
      <c r="A18" s="10" t="s">
        <v>1920</v>
      </c>
      <c r="B18" s="11" t="s">
        <v>1921</v>
      </c>
      <c r="C18" s="12"/>
      <c r="D18" s="12" t="s">
        <v>160</v>
      </c>
      <c r="E18" s="5" t="s">
        <v>79</v>
      </c>
      <c r="F18" s="12"/>
      <c r="G18" s="12"/>
      <c r="H18" s="13" t="str">
        <f aca="false">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Bitte Teilanforderungen ausfüllen</v>
      </c>
      <c r="I18" s="12"/>
      <c r="J18" s="12"/>
      <c r="K18" s="12"/>
      <c r="L18" s="12"/>
      <c r="M18" s="12" t="s">
        <v>74</v>
      </c>
      <c r="N18" s="5" t="s">
        <v>1922</v>
      </c>
      <c r="O18" s="12" t="s">
        <v>1923</v>
      </c>
      <c r="P18" s="5" t="s">
        <v>1924</v>
      </c>
      <c r="Q18" s="12"/>
      <c r="R18" s="12" t="s">
        <v>1270</v>
      </c>
      <c r="S18" s="5" t="s">
        <v>1925</v>
      </c>
      <c r="T18" s="5" t="s">
        <v>1926</v>
      </c>
      <c r="U18" s="12" t="n">
        <v>4</v>
      </c>
      <c r="V18" s="12" t="n">
        <v>1</v>
      </c>
      <c r="W18" s="12" t="n">
        <v>1</v>
      </c>
      <c r="X18" s="12" t="n">
        <v>2</v>
      </c>
      <c r="Y18" s="12" t="n">
        <v>1</v>
      </c>
    </row>
    <row r="19" customFormat="false" ht="175.5" hidden="false" customHeight="true" outlineLevel="0" collapsed="false">
      <c r="A19" s="12" t="s">
        <v>1920</v>
      </c>
      <c r="B19" s="5" t="s">
        <v>1921</v>
      </c>
      <c r="C19" s="12" t="s">
        <v>1920</v>
      </c>
      <c r="D19" s="12" t="s">
        <v>160</v>
      </c>
      <c r="E19" s="5" t="s">
        <v>1927</v>
      </c>
      <c r="F19" s="14"/>
      <c r="G19" s="14"/>
      <c r="H19" s="14" t="s">
        <v>87</v>
      </c>
      <c r="I19" s="14"/>
      <c r="J19" s="14"/>
      <c r="K19" s="14"/>
      <c r="L19" s="15"/>
      <c r="M19" s="12" t="s">
        <v>74</v>
      </c>
      <c r="N19" s="5" t="s">
        <v>1922</v>
      </c>
      <c r="O19" s="12" t="s">
        <v>1923</v>
      </c>
      <c r="P19" s="5" t="s">
        <v>1924</v>
      </c>
      <c r="Q19" s="12"/>
      <c r="R19" s="12" t="s">
        <v>1270</v>
      </c>
      <c r="S19" s="5" t="s">
        <v>1925</v>
      </c>
      <c r="T19" s="5" t="s">
        <v>1926</v>
      </c>
      <c r="U19" s="12" t="n">
        <v>4</v>
      </c>
      <c r="V19" s="12" t="n">
        <v>1</v>
      </c>
      <c r="W19" s="12" t="n">
        <v>1</v>
      </c>
      <c r="X19" s="12" t="n">
        <v>2</v>
      </c>
      <c r="Y19" s="12" t="n">
        <v>1</v>
      </c>
    </row>
    <row r="20" customFormat="false" ht="81.75" hidden="false" customHeight="true" outlineLevel="0" collapsed="false">
      <c r="A20" s="10" t="s">
        <v>1928</v>
      </c>
      <c r="B20" s="11" t="s">
        <v>1929</v>
      </c>
      <c r="C20" s="12"/>
      <c r="D20" s="12" t="s">
        <v>160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t="s">
        <v>74</v>
      </c>
      <c r="N20" s="5" t="s">
        <v>1930</v>
      </c>
      <c r="O20" s="12" t="s">
        <v>1931</v>
      </c>
      <c r="P20" s="5" t="s">
        <v>1932</v>
      </c>
      <c r="Q20" s="12"/>
      <c r="R20" s="12" t="s">
        <v>1270</v>
      </c>
      <c r="S20" s="5" t="s">
        <v>1933</v>
      </c>
      <c r="T20" s="5" t="s">
        <v>1934</v>
      </c>
      <c r="U20" s="12" t="n">
        <v>5</v>
      </c>
      <c r="V20" s="12" t="n">
        <v>1</v>
      </c>
      <c r="W20" s="12" t="n">
        <v>1</v>
      </c>
      <c r="X20" s="12" t="n">
        <v>2</v>
      </c>
      <c r="Y20" s="12" t="n">
        <v>0</v>
      </c>
    </row>
    <row r="21" customFormat="false" ht="81.75" hidden="false" customHeight="true" outlineLevel="0" collapsed="false">
      <c r="A21" s="12" t="s">
        <v>1928</v>
      </c>
      <c r="B21" s="5" t="s">
        <v>1929</v>
      </c>
      <c r="C21" s="12" t="s">
        <v>1928</v>
      </c>
      <c r="D21" s="12" t="s">
        <v>160</v>
      </c>
      <c r="E21" s="5" t="s">
        <v>1935</v>
      </c>
      <c r="F21" s="14"/>
      <c r="G21" s="14"/>
      <c r="H21" s="14" t="s">
        <v>87</v>
      </c>
      <c r="I21" s="14"/>
      <c r="J21" s="14"/>
      <c r="K21" s="14"/>
      <c r="L21" s="15"/>
      <c r="M21" s="12" t="s">
        <v>74</v>
      </c>
      <c r="N21" s="5" t="s">
        <v>1930</v>
      </c>
      <c r="O21" s="12" t="s">
        <v>1931</v>
      </c>
      <c r="P21" s="5" t="s">
        <v>1932</v>
      </c>
      <c r="Q21" s="12"/>
      <c r="R21" s="12" t="s">
        <v>1270</v>
      </c>
      <c r="S21" s="5" t="s">
        <v>1933</v>
      </c>
      <c r="T21" s="5" t="s">
        <v>1934</v>
      </c>
      <c r="U21" s="12" t="n">
        <v>5</v>
      </c>
      <c r="V21" s="12" t="n">
        <v>1</v>
      </c>
      <c r="W21" s="12" t="n">
        <v>1</v>
      </c>
      <c r="X21" s="12" t="n">
        <v>2</v>
      </c>
      <c r="Y21" s="12" t="n">
        <v>0</v>
      </c>
    </row>
    <row r="22" customFormat="false" ht="95.25" hidden="false" customHeight="true" outlineLevel="0" collapsed="false">
      <c r="A22" s="10" t="s">
        <v>1936</v>
      </c>
      <c r="B22" s="11" t="s">
        <v>1937</v>
      </c>
      <c r="C22" s="12"/>
      <c r="D22" s="12" t="s">
        <v>120</v>
      </c>
      <c r="E22" s="5" t="s">
        <v>79</v>
      </c>
      <c r="F22" s="12"/>
      <c r="G22" s="12"/>
      <c r="H22" s="13" t="str">
        <f aca="false">IF(OR(COUNTBLANK($H$23:$H$35)&gt;0,COUNTIF($H$23:$H$35,"unbearbeitet")=COUNTA($H$23:$H$35)),"Bitte Teilanforderungen ausfüllen",IF(COUNTIF($H$23:$H$35,"zu klären")&gt;0,"zu klären",IF(COUNTIF($H$23:$H$35,"entbehrlich")=COUNTA($H$23:$H$35),"entbehrlich",IF(COUNTIF($H$23:$H$35,"verwiesen")=COUNTA($H$23:$H$35),"verwiesen",IF(COUNTIF($H$23:$H$35,"nein")+COUNTIF($H$23:$H$35,"entbehrlich")=COUNTA($H$23:$H$35),"nein",IF(COUNTIF($H$23:$H$35,"ja")+COUNTIF($H$23:$H$35,"entbehrlich")+COUNTIF($H$23:$H$35,"verwiesen")=COUNTA($H$23:$H$35),"ja","teilweise"))))))</f>
        <v>Bitte Teilanforderungen ausfüllen</v>
      </c>
      <c r="I22" s="12"/>
      <c r="J22" s="12"/>
      <c r="K22" s="12"/>
      <c r="L22" s="12"/>
      <c r="M22" s="12" t="s">
        <v>88</v>
      </c>
      <c r="N22" s="5" t="s">
        <v>1938</v>
      </c>
      <c r="O22" s="12" t="s">
        <v>1939</v>
      </c>
      <c r="P22" s="5" t="s">
        <v>1940</v>
      </c>
      <c r="Q22" s="12" t="s">
        <v>460</v>
      </c>
      <c r="R22" s="12" t="s">
        <v>1270</v>
      </c>
      <c r="S22" s="5" t="s">
        <v>1941</v>
      </c>
      <c r="T22" s="5" t="s">
        <v>1942</v>
      </c>
      <c r="U22" s="12" t="n">
        <v>2</v>
      </c>
      <c r="V22" s="12" t="n">
        <v>2</v>
      </c>
      <c r="W22" s="12" t="n">
        <v>2</v>
      </c>
      <c r="X22" s="12" t="n">
        <v>1</v>
      </c>
      <c r="Y22" s="12" t="n">
        <v>1</v>
      </c>
    </row>
    <row r="23" customFormat="false" ht="95.25" hidden="false" customHeight="true" outlineLevel="0" collapsed="false">
      <c r="A23" s="12" t="s">
        <v>1936</v>
      </c>
      <c r="B23" s="5" t="s">
        <v>1937</v>
      </c>
      <c r="C23" s="12" t="s">
        <v>1936</v>
      </c>
      <c r="D23" s="12" t="s">
        <v>120</v>
      </c>
      <c r="E23" s="5" t="s">
        <v>1943</v>
      </c>
      <c r="F23" s="14"/>
      <c r="G23" s="14"/>
      <c r="H23" s="14" t="s">
        <v>87</v>
      </c>
      <c r="I23" s="14"/>
      <c r="J23" s="14"/>
      <c r="K23" s="14"/>
      <c r="L23" s="15"/>
      <c r="M23" s="12" t="s">
        <v>88</v>
      </c>
      <c r="N23" s="5" t="s">
        <v>1938</v>
      </c>
      <c r="O23" s="12" t="s">
        <v>1939</v>
      </c>
      <c r="P23" s="5" t="s">
        <v>1940</v>
      </c>
      <c r="Q23" s="12" t="s">
        <v>460</v>
      </c>
      <c r="R23" s="12" t="s">
        <v>1270</v>
      </c>
      <c r="S23" s="5" t="s">
        <v>1941</v>
      </c>
      <c r="T23" s="5" t="s">
        <v>1942</v>
      </c>
      <c r="U23" s="12" t="n">
        <v>2</v>
      </c>
      <c r="V23" s="12" t="n">
        <v>2</v>
      </c>
      <c r="W23" s="12" t="n">
        <v>2</v>
      </c>
      <c r="X23" s="12" t="n">
        <v>1</v>
      </c>
      <c r="Y23" s="12" t="n">
        <v>1</v>
      </c>
    </row>
    <row r="24" customFormat="false" ht="41.25" hidden="false" customHeight="true" outlineLevel="0" collapsed="false">
      <c r="A24" s="12" t="s">
        <v>1936</v>
      </c>
      <c r="B24" s="5" t="s">
        <v>1937</v>
      </c>
      <c r="C24" s="12" t="s">
        <v>1944</v>
      </c>
      <c r="D24" s="12" t="s">
        <v>120</v>
      </c>
      <c r="E24" s="5" t="s">
        <v>1945</v>
      </c>
      <c r="F24" s="14"/>
      <c r="G24" s="14"/>
      <c r="H24" s="14" t="s">
        <v>87</v>
      </c>
      <c r="I24" s="14"/>
      <c r="J24" s="14"/>
      <c r="K24" s="14"/>
      <c r="L24" s="15"/>
      <c r="M24" s="12" t="s">
        <v>88</v>
      </c>
      <c r="N24" s="5" t="s">
        <v>1946</v>
      </c>
      <c r="O24" s="12" t="s">
        <v>532</v>
      </c>
      <c r="P24" s="5" t="s">
        <v>1947</v>
      </c>
      <c r="Q24" s="12" t="s">
        <v>226</v>
      </c>
      <c r="R24" s="12" t="s">
        <v>793</v>
      </c>
      <c r="S24" s="5" t="s">
        <v>1948</v>
      </c>
      <c r="T24" s="5" t="s">
        <v>1949</v>
      </c>
      <c r="U24" s="12" t="n">
        <v>3</v>
      </c>
      <c r="V24" s="12" t="n">
        <v>2</v>
      </c>
      <c r="W24" s="12" t="n">
        <v>2</v>
      </c>
      <c r="X24" s="12" t="n">
        <v>1</v>
      </c>
      <c r="Y24" s="12" t="n">
        <v>1</v>
      </c>
    </row>
    <row r="25" customFormat="false" ht="68.25" hidden="false" customHeight="true" outlineLevel="0" collapsed="false">
      <c r="A25" s="12" t="s">
        <v>1936</v>
      </c>
      <c r="B25" s="5" t="s">
        <v>1937</v>
      </c>
      <c r="C25" s="12" t="s">
        <v>1950</v>
      </c>
      <c r="D25" s="12" t="s">
        <v>120</v>
      </c>
      <c r="E25" s="5" t="s">
        <v>1951</v>
      </c>
      <c r="F25" s="14"/>
      <c r="G25" s="14"/>
      <c r="H25" s="14" t="s">
        <v>87</v>
      </c>
      <c r="I25" s="14"/>
      <c r="J25" s="14"/>
      <c r="K25" s="14"/>
      <c r="L25" s="15"/>
      <c r="M25" s="12"/>
      <c r="N25" s="5" t="s">
        <v>1952</v>
      </c>
      <c r="O25" s="12" t="s">
        <v>1953</v>
      </c>
      <c r="P25" s="5" t="s">
        <v>1954</v>
      </c>
      <c r="Q25" s="12" t="s">
        <v>226</v>
      </c>
      <c r="R25" s="12" t="s">
        <v>793</v>
      </c>
      <c r="S25" s="5" t="s">
        <v>1955</v>
      </c>
      <c r="T25" s="5" t="s">
        <v>1956</v>
      </c>
      <c r="U25" s="12" t="n">
        <v>3</v>
      </c>
      <c r="V25" s="12" t="n">
        <v>1</v>
      </c>
      <c r="W25" s="12" t="n">
        <v>1</v>
      </c>
      <c r="X25" s="12" t="n">
        <v>1</v>
      </c>
      <c r="Y25" s="12" t="n">
        <v>1</v>
      </c>
    </row>
    <row r="26" customFormat="false" ht="216" hidden="false" customHeight="true" outlineLevel="0" collapsed="false">
      <c r="A26" s="12" t="s">
        <v>1936</v>
      </c>
      <c r="B26" s="5" t="s">
        <v>1937</v>
      </c>
      <c r="C26" s="12" t="s">
        <v>1957</v>
      </c>
      <c r="D26" s="12" t="s">
        <v>120</v>
      </c>
      <c r="E26" s="5" t="s">
        <v>1958</v>
      </c>
      <c r="F26" s="14"/>
      <c r="G26" s="14"/>
      <c r="H26" s="14" t="s">
        <v>87</v>
      </c>
      <c r="I26" s="14"/>
      <c r="J26" s="14"/>
      <c r="K26" s="14"/>
      <c r="L26" s="15"/>
      <c r="M26" s="12" t="s">
        <v>88</v>
      </c>
      <c r="N26" s="5" t="s">
        <v>1959</v>
      </c>
      <c r="O26" s="12" t="s">
        <v>1960</v>
      </c>
      <c r="P26" s="5" t="s">
        <v>1961</v>
      </c>
      <c r="Q26" s="12" t="s">
        <v>226</v>
      </c>
      <c r="R26" s="12" t="s">
        <v>793</v>
      </c>
      <c r="S26" s="5" t="s">
        <v>1962</v>
      </c>
      <c r="T26" s="5" t="s">
        <v>1963</v>
      </c>
      <c r="U26" s="12" t="n">
        <v>3</v>
      </c>
      <c r="V26" s="12" t="n">
        <v>2</v>
      </c>
      <c r="W26" s="12" t="n">
        <v>2</v>
      </c>
      <c r="X26" s="12" t="n">
        <v>1</v>
      </c>
      <c r="Y26" s="12" t="n">
        <v>1</v>
      </c>
    </row>
    <row r="27" customFormat="false" ht="189" hidden="false" customHeight="true" outlineLevel="0" collapsed="false">
      <c r="A27" s="12" t="s">
        <v>1936</v>
      </c>
      <c r="B27" s="5" t="s">
        <v>1937</v>
      </c>
      <c r="C27" s="12" t="s">
        <v>1964</v>
      </c>
      <c r="D27" s="12" t="s">
        <v>120</v>
      </c>
      <c r="E27" s="5" t="s">
        <v>1965</v>
      </c>
      <c r="F27" s="14"/>
      <c r="G27" s="14"/>
      <c r="H27" s="14" t="s">
        <v>87</v>
      </c>
      <c r="I27" s="14"/>
      <c r="J27" s="14"/>
      <c r="K27" s="14"/>
      <c r="L27" s="15"/>
      <c r="M27" s="12" t="s">
        <v>88</v>
      </c>
      <c r="N27" s="5" t="s">
        <v>1966</v>
      </c>
      <c r="O27" s="12" t="s">
        <v>1967</v>
      </c>
      <c r="P27" s="5" t="s">
        <v>1968</v>
      </c>
      <c r="Q27" s="12" t="s">
        <v>226</v>
      </c>
      <c r="R27" s="12" t="s">
        <v>793</v>
      </c>
      <c r="S27" s="5" t="s">
        <v>1969</v>
      </c>
      <c r="T27" s="5" t="s">
        <v>1970</v>
      </c>
      <c r="U27" s="12" t="n">
        <v>3</v>
      </c>
      <c r="V27" s="12" t="n">
        <v>2</v>
      </c>
      <c r="W27" s="12" t="n">
        <v>2</v>
      </c>
      <c r="X27" s="12" t="n">
        <v>1</v>
      </c>
      <c r="Y27" s="12" t="n">
        <v>1</v>
      </c>
    </row>
    <row r="28" customFormat="false" ht="54.75" hidden="false" customHeight="true" outlineLevel="0" collapsed="false">
      <c r="A28" s="12" t="s">
        <v>1936</v>
      </c>
      <c r="B28" s="5" t="s">
        <v>1937</v>
      </c>
      <c r="C28" s="12" t="s">
        <v>1971</v>
      </c>
      <c r="D28" s="12" t="s">
        <v>160</v>
      </c>
      <c r="E28" s="5" t="s">
        <v>1972</v>
      </c>
      <c r="F28" s="14"/>
      <c r="G28" s="14"/>
      <c r="H28" s="14" t="s">
        <v>87</v>
      </c>
      <c r="I28" s="14"/>
      <c r="J28" s="14"/>
      <c r="K28" s="14"/>
      <c r="L28" s="15"/>
      <c r="M28" s="12"/>
      <c r="N28" s="5" t="s">
        <v>1973</v>
      </c>
      <c r="O28" s="12" t="s">
        <v>1974</v>
      </c>
      <c r="P28" s="5" t="s">
        <v>1975</v>
      </c>
      <c r="Q28" s="12" t="s">
        <v>226</v>
      </c>
      <c r="R28" s="12" t="s">
        <v>793</v>
      </c>
      <c r="S28" s="5" t="s">
        <v>1976</v>
      </c>
      <c r="T28" s="5" t="s">
        <v>1977</v>
      </c>
      <c r="U28" s="12" t="n">
        <v>3</v>
      </c>
      <c r="V28" s="12" t="n">
        <v>1</v>
      </c>
      <c r="W28" s="12" t="n">
        <v>1</v>
      </c>
      <c r="X28" s="12" t="n">
        <v>1</v>
      </c>
      <c r="Y28" s="12" t="n">
        <v>1</v>
      </c>
    </row>
    <row r="29" customFormat="false" ht="149.25" hidden="false" customHeight="true" outlineLevel="0" collapsed="false">
      <c r="A29" s="12" t="s">
        <v>1936</v>
      </c>
      <c r="B29" s="5" t="s">
        <v>1937</v>
      </c>
      <c r="C29" s="12" t="s">
        <v>1978</v>
      </c>
      <c r="D29" s="12" t="s">
        <v>160</v>
      </c>
      <c r="E29" s="5" t="s">
        <v>1979</v>
      </c>
      <c r="F29" s="14"/>
      <c r="G29" s="14"/>
      <c r="H29" s="14" t="s">
        <v>87</v>
      </c>
      <c r="I29" s="14"/>
      <c r="J29" s="14"/>
      <c r="K29" s="14"/>
      <c r="L29" s="15"/>
      <c r="M29" s="12" t="s">
        <v>88</v>
      </c>
      <c r="N29" s="5" t="s">
        <v>1980</v>
      </c>
      <c r="O29" s="12" t="s">
        <v>1981</v>
      </c>
      <c r="P29" s="5" t="s">
        <v>1982</v>
      </c>
      <c r="Q29" s="12" t="s">
        <v>226</v>
      </c>
      <c r="R29" s="12" t="s">
        <v>793</v>
      </c>
      <c r="S29" s="5" t="s">
        <v>1983</v>
      </c>
      <c r="T29" s="5" t="s">
        <v>1977</v>
      </c>
      <c r="U29" s="12" t="n">
        <v>5</v>
      </c>
      <c r="V29" s="12" t="n">
        <v>2</v>
      </c>
      <c r="W29" s="12" t="n">
        <v>2</v>
      </c>
      <c r="X29" s="12" t="n">
        <v>1</v>
      </c>
      <c r="Y29" s="12" t="n">
        <v>1</v>
      </c>
    </row>
    <row r="30" customFormat="false" ht="95.25" hidden="false" customHeight="true" outlineLevel="0" collapsed="false">
      <c r="A30" s="12" t="s">
        <v>1936</v>
      </c>
      <c r="B30" s="5" t="s">
        <v>1937</v>
      </c>
      <c r="C30" s="12" t="s">
        <v>1984</v>
      </c>
      <c r="D30" s="12" t="s">
        <v>120</v>
      </c>
      <c r="E30" s="5" t="s">
        <v>1985</v>
      </c>
      <c r="F30" s="14"/>
      <c r="G30" s="14"/>
      <c r="H30" s="14" t="s">
        <v>87</v>
      </c>
      <c r="I30" s="14"/>
      <c r="J30" s="14"/>
      <c r="K30" s="14"/>
      <c r="L30" s="15"/>
      <c r="M30" s="12"/>
      <c r="N30" s="5" t="s">
        <v>1986</v>
      </c>
      <c r="O30" s="12" t="s">
        <v>1987</v>
      </c>
      <c r="P30" s="5" t="s">
        <v>1988</v>
      </c>
      <c r="Q30" s="12" t="s">
        <v>460</v>
      </c>
      <c r="R30" s="12" t="s">
        <v>793</v>
      </c>
      <c r="S30" s="5" t="s">
        <v>1989</v>
      </c>
      <c r="T30" s="5" t="s">
        <v>1990</v>
      </c>
      <c r="U30" s="12" t="n">
        <v>5</v>
      </c>
      <c r="V30" s="12" t="n">
        <v>1</v>
      </c>
      <c r="W30" s="12" t="n">
        <v>1</v>
      </c>
      <c r="X30" s="12" t="n">
        <v>1</v>
      </c>
      <c r="Y30" s="12" t="n">
        <v>1</v>
      </c>
    </row>
    <row r="31" customFormat="false" ht="135.75" hidden="false" customHeight="true" outlineLevel="0" collapsed="false">
      <c r="A31" s="12" t="s">
        <v>1936</v>
      </c>
      <c r="B31" s="5" t="s">
        <v>1937</v>
      </c>
      <c r="C31" s="12" t="s">
        <v>1991</v>
      </c>
      <c r="D31" s="12" t="s">
        <v>120</v>
      </c>
      <c r="E31" s="5" t="s">
        <v>1992</v>
      </c>
      <c r="F31" s="14"/>
      <c r="G31" s="14"/>
      <c r="H31" s="14" t="s">
        <v>87</v>
      </c>
      <c r="I31" s="14"/>
      <c r="J31" s="14"/>
      <c r="K31" s="14"/>
      <c r="L31" s="15"/>
      <c r="M31" s="12" t="s">
        <v>88</v>
      </c>
      <c r="N31" s="5" t="s">
        <v>1993</v>
      </c>
      <c r="O31" s="12" t="s">
        <v>1994</v>
      </c>
      <c r="P31" s="5" t="s">
        <v>1995</v>
      </c>
      <c r="Q31" s="12" t="s">
        <v>460</v>
      </c>
      <c r="R31" s="12" t="s">
        <v>793</v>
      </c>
      <c r="S31" s="5" t="s">
        <v>1996</v>
      </c>
      <c r="T31" s="5" t="s">
        <v>1977</v>
      </c>
      <c r="U31" s="12" t="n">
        <v>2</v>
      </c>
      <c r="V31" s="12" t="n">
        <v>2</v>
      </c>
      <c r="W31" s="12" t="n">
        <v>2</v>
      </c>
      <c r="X31" s="12" t="n">
        <v>1</v>
      </c>
      <c r="Y31" s="12" t="n">
        <v>1</v>
      </c>
    </row>
    <row r="32" customFormat="false" ht="81.75" hidden="false" customHeight="true" outlineLevel="0" collapsed="false">
      <c r="A32" s="12" t="s">
        <v>1936</v>
      </c>
      <c r="B32" s="5" t="s">
        <v>1937</v>
      </c>
      <c r="C32" s="12" t="s">
        <v>1997</v>
      </c>
      <c r="D32" s="12" t="s">
        <v>120</v>
      </c>
      <c r="E32" s="5" t="s">
        <v>1998</v>
      </c>
      <c r="F32" s="14"/>
      <c r="G32" s="14"/>
      <c r="H32" s="14" t="s">
        <v>87</v>
      </c>
      <c r="I32" s="14"/>
      <c r="J32" s="14"/>
      <c r="K32" s="14"/>
      <c r="L32" s="15"/>
      <c r="M32" s="12"/>
      <c r="N32" s="5" t="s">
        <v>1999</v>
      </c>
      <c r="O32" s="12" t="s">
        <v>2000</v>
      </c>
      <c r="P32" s="5" t="s">
        <v>2001</v>
      </c>
      <c r="Q32" s="12" t="s">
        <v>460</v>
      </c>
      <c r="R32" s="12" t="s">
        <v>793</v>
      </c>
      <c r="S32" s="5" t="s">
        <v>2002</v>
      </c>
      <c r="T32" s="5" t="s">
        <v>2003</v>
      </c>
      <c r="U32" s="12" t="n">
        <v>3</v>
      </c>
      <c r="V32" s="12" t="n">
        <v>1</v>
      </c>
      <c r="W32" s="12" t="n">
        <v>1</v>
      </c>
      <c r="X32" s="12" t="n">
        <v>1</v>
      </c>
      <c r="Y32" s="12" t="n">
        <v>1</v>
      </c>
    </row>
    <row r="33" customFormat="false" ht="149.25" hidden="false" customHeight="true" outlineLevel="0" collapsed="false">
      <c r="A33" s="12" t="s">
        <v>1936</v>
      </c>
      <c r="B33" s="5" t="s">
        <v>1937</v>
      </c>
      <c r="C33" s="12" t="s">
        <v>2004</v>
      </c>
      <c r="D33" s="12" t="s">
        <v>160</v>
      </c>
      <c r="E33" s="5" t="s">
        <v>2005</v>
      </c>
      <c r="F33" s="14"/>
      <c r="G33" s="14"/>
      <c r="H33" s="14" t="s">
        <v>87</v>
      </c>
      <c r="I33" s="14"/>
      <c r="J33" s="14"/>
      <c r="K33" s="14"/>
      <c r="L33" s="15"/>
      <c r="M33" s="12"/>
      <c r="N33" s="5" t="s">
        <v>2006</v>
      </c>
      <c r="O33" s="12" t="s">
        <v>2007</v>
      </c>
      <c r="P33" s="5" t="s">
        <v>2008</v>
      </c>
      <c r="Q33" s="12" t="s">
        <v>460</v>
      </c>
      <c r="R33" s="12" t="s">
        <v>793</v>
      </c>
      <c r="S33" s="5" t="s">
        <v>2009</v>
      </c>
      <c r="T33" s="5" t="s">
        <v>2010</v>
      </c>
      <c r="U33" s="12" t="n">
        <v>4</v>
      </c>
      <c r="V33" s="12" t="n">
        <v>1</v>
      </c>
      <c r="W33" s="12" t="n">
        <v>1</v>
      </c>
      <c r="X33" s="12" t="n">
        <v>1</v>
      </c>
      <c r="Y33" s="12" t="n">
        <v>1</v>
      </c>
    </row>
    <row r="34" customFormat="false" ht="135.75" hidden="false" customHeight="true" outlineLevel="0" collapsed="false">
      <c r="A34" s="12" t="s">
        <v>1936</v>
      </c>
      <c r="B34" s="5" t="s">
        <v>1937</v>
      </c>
      <c r="C34" s="12" t="s">
        <v>2011</v>
      </c>
      <c r="D34" s="12" t="s">
        <v>160</v>
      </c>
      <c r="E34" s="5" t="s">
        <v>2012</v>
      </c>
      <c r="F34" s="14"/>
      <c r="G34" s="14"/>
      <c r="H34" s="14" t="s">
        <v>87</v>
      </c>
      <c r="I34" s="14"/>
      <c r="J34" s="14"/>
      <c r="K34" s="14"/>
      <c r="L34" s="15"/>
      <c r="M34" s="12" t="s">
        <v>73</v>
      </c>
      <c r="N34" s="5" t="s">
        <v>2013</v>
      </c>
      <c r="O34" s="12" t="s">
        <v>2014</v>
      </c>
      <c r="P34" s="5" t="s">
        <v>2015</v>
      </c>
      <c r="Q34" s="12" t="s">
        <v>460</v>
      </c>
      <c r="R34" s="12" t="s">
        <v>793</v>
      </c>
      <c r="S34" s="5" t="s">
        <v>2016</v>
      </c>
      <c r="T34" s="5" t="s">
        <v>2017</v>
      </c>
      <c r="U34" s="12" t="n">
        <v>4</v>
      </c>
      <c r="V34" s="12" t="n">
        <v>1</v>
      </c>
      <c r="W34" s="12" t="n">
        <v>2</v>
      </c>
      <c r="X34" s="12" t="n">
        <v>1</v>
      </c>
      <c r="Y34" s="12" t="n">
        <v>1</v>
      </c>
    </row>
    <row r="35" customFormat="false" ht="95.25" hidden="false" customHeight="true" outlineLevel="0" collapsed="false">
      <c r="A35" s="12" t="s">
        <v>1936</v>
      </c>
      <c r="B35" s="5" t="s">
        <v>1937</v>
      </c>
      <c r="C35" s="12" t="s">
        <v>2018</v>
      </c>
      <c r="D35" s="12" t="s">
        <v>160</v>
      </c>
      <c r="E35" s="5" t="s">
        <v>2019</v>
      </c>
      <c r="F35" s="14"/>
      <c r="G35" s="14"/>
      <c r="H35" s="14" t="s">
        <v>87</v>
      </c>
      <c r="I35" s="14"/>
      <c r="J35" s="14"/>
      <c r="K35" s="14"/>
      <c r="L35" s="15"/>
      <c r="M35" s="12"/>
      <c r="N35" s="5" t="s">
        <v>2020</v>
      </c>
      <c r="O35" s="12" t="s">
        <v>2021</v>
      </c>
      <c r="P35" s="5" t="s">
        <v>2022</v>
      </c>
      <c r="Q35" s="12" t="s">
        <v>644</v>
      </c>
      <c r="R35" s="12" t="s">
        <v>793</v>
      </c>
      <c r="S35" s="5" t="s">
        <v>2023</v>
      </c>
      <c r="T35" s="5" t="s">
        <v>1462</v>
      </c>
      <c r="U35" s="12" t="n">
        <v>5</v>
      </c>
      <c r="V35" s="12" t="n">
        <v>1</v>
      </c>
      <c r="W35" s="12" t="n">
        <v>1</v>
      </c>
      <c r="X35" s="12" t="n">
        <v>0</v>
      </c>
      <c r="Y35" s="12" t="n">
        <v>1</v>
      </c>
    </row>
    <row r="36" customFormat="false" ht="283.5" hidden="false" customHeight="true" outlineLevel="0" collapsed="false">
      <c r="A36" s="10" t="s">
        <v>2024</v>
      </c>
      <c r="B36" s="11" t="s">
        <v>2025</v>
      </c>
      <c r="C36" s="12"/>
      <c r="D36" s="12" t="s">
        <v>160</v>
      </c>
      <c r="E36" s="5" t="s">
        <v>79</v>
      </c>
      <c r="F36" s="12"/>
      <c r="G36" s="12"/>
      <c r="H36" s="13" t="str">
        <f aca="false">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2"/>
      <c r="J36" s="12"/>
      <c r="K36" s="12"/>
      <c r="L36" s="12"/>
      <c r="M36" s="12" t="s">
        <v>72</v>
      </c>
      <c r="N36" s="5" t="s">
        <v>2026</v>
      </c>
      <c r="O36" s="12" t="s">
        <v>2027</v>
      </c>
      <c r="P36" s="5" t="s">
        <v>2028</v>
      </c>
      <c r="Q36" s="12" t="s">
        <v>1415</v>
      </c>
      <c r="R36" s="12" t="s">
        <v>793</v>
      </c>
      <c r="S36" s="5" t="s">
        <v>2029</v>
      </c>
      <c r="T36" s="5" t="s">
        <v>2030</v>
      </c>
      <c r="U36" s="12" t="n">
        <v>5</v>
      </c>
      <c r="V36" s="12" t="n">
        <v>2</v>
      </c>
      <c r="W36" s="12" t="n">
        <v>1</v>
      </c>
      <c r="X36" s="12" t="n">
        <v>1</v>
      </c>
      <c r="Y36" s="12" t="n">
        <v>0</v>
      </c>
    </row>
    <row r="37" customFormat="false" ht="283.5" hidden="false" customHeight="true" outlineLevel="0" collapsed="false">
      <c r="A37" s="12" t="s">
        <v>2024</v>
      </c>
      <c r="B37" s="5" t="s">
        <v>2025</v>
      </c>
      <c r="C37" s="12" t="s">
        <v>2024</v>
      </c>
      <c r="D37" s="12" t="s">
        <v>160</v>
      </c>
      <c r="E37" s="5" t="s">
        <v>2031</v>
      </c>
      <c r="F37" s="14"/>
      <c r="G37" s="14"/>
      <c r="H37" s="14" t="s">
        <v>87</v>
      </c>
      <c r="I37" s="14"/>
      <c r="J37" s="14"/>
      <c r="K37" s="14"/>
      <c r="L37" s="15"/>
      <c r="M37" s="12" t="s">
        <v>72</v>
      </c>
      <c r="N37" s="5" t="s">
        <v>2026</v>
      </c>
      <c r="O37" s="12" t="s">
        <v>2027</v>
      </c>
      <c r="P37" s="5" t="s">
        <v>2028</v>
      </c>
      <c r="Q37" s="12" t="s">
        <v>1415</v>
      </c>
      <c r="R37" s="12" t="s">
        <v>793</v>
      </c>
      <c r="S37" s="5" t="s">
        <v>2029</v>
      </c>
      <c r="T37" s="5" t="s">
        <v>2030</v>
      </c>
      <c r="U37" s="12" t="n">
        <v>5</v>
      </c>
      <c r="V37" s="12" t="n">
        <v>2</v>
      </c>
      <c r="W37" s="12" t="n">
        <v>1</v>
      </c>
      <c r="X37" s="12" t="n">
        <v>1</v>
      </c>
      <c r="Y37" s="12" t="n">
        <v>0</v>
      </c>
    </row>
    <row r="38" customFormat="false" ht="175.5" hidden="false" customHeight="true" outlineLevel="0" collapsed="false">
      <c r="A38" s="10" t="s">
        <v>2032</v>
      </c>
      <c r="B38" s="11" t="s">
        <v>2033</v>
      </c>
      <c r="C38" s="12"/>
      <c r="D38" s="12" t="s">
        <v>160</v>
      </c>
      <c r="E38" s="5" t="s">
        <v>79</v>
      </c>
      <c r="F38" s="12"/>
      <c r="G38" s="12"/>
      <c r="H38" s="13" t="str">
        <f aca="false">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2"/>
      <c r="J38" s="12"/>
      <c r="K38" s="12"/>
      <c r="L38" s="12"/>
      <c r="M38" s="12" t="s">
        <v>73</v>
      </c>
      <c r="N38" s="5" t="s">
        <v>2034</v>
      </c>
      <c r="O38" s="12" t="s">
        <v>661</v>
      </c>
      <c r="P38" s="5" t="s">
        <v>2035</v>
      </c>
      <c r="Q38" s="12"/>
      <c r="R38" s="12" t="s">
        <v>1270</v>
      </c>
      <c r="S38" s="5" t="s">
        <v>2036</v>
      </c>
      <c r="T38" s="5" t="s">
        <v>2037</v>
      </c>
      <c r="U38" s="12" t="n">
        <v>5</v>
      </c>
      <c r="V38" s="12" t="n">
        <v>1</v>
      </c>
      <c r="W38" s="12" t="n">
        <v>2</v>
      </c>
      <c r="X38" s="12" t="n">
        <v>1</v>
      </c>
      <c r="Y38" s="12" t="n">
        <v>1</v>
      </c>
    </row>
    <row r="39" customFormat="false" ht="175.5" hidden="false" customHeight="true" outlineLevel="0" collapsed="false">
      <c r="A39" s="12" t="s">
        <v>2032</v>
      </c>
      <c r="B39" s="5" t="s">
        <v>2033</v>
      </c>
      <c r="C39" s="12" t="s">
        <v>2032</v>
      </c>
      <c r="D39" s="12" t="s">
        <v>160</v>
      </c>
      <c r="E39" s="5" t="s">
        <v>2038</v>
      </c>
      <c r="F39" s="14"/>
      <c r="G39" s="14"/>
      <c r="H39" s="14" t="s">
        <v>87</v>
      </c>
      <c r="I39" s="14"/>
      <c r="J39" s="14"/>
      <c r="K39" s="14"/>
      <c r="L39" s="15"/>
      <c r="M39" s="12" t="s">
        <v>73</v>
      </c>
      <c r="N39" s="5" t="s">
        <v>2034</v>
      </c>
      <c r="O39" s="12" t="s">
        <v>661</v>
      </c>
      <c r="P39" s="5" t="s">
        <v>2035</v>
      </c>
      <c r="Q39" s="12"/>
      <c r="R39" s="12" t="s">
        <v>1270</v>
      </c>
      <c r="S39" s="5" t="s">
        <v>2036</v>
      </c>
      <c r="T39" s="5" t="s">
        <v>2037</v>
      </c>
      <c r="U39" s="12" t="n">
        <v>5</v>
      </c>
      <c r="V39" s="12" t="n">
        <v>1</v>
      </c>
      <c r="W39" s="12" t="n">
        <v>2</v>
      </c>
      <c r="X39" s="12" t="n">
        <v>1</v>
      </c>
      <c r="Y39" s="12" t="n">
        <v>1</v>
      </c>
    </row>
    <row r="40" customFormat="false" ht="229.5" hidden="false" customHeight="true" outlineLevel="0" collapsed="false">
      <c r="A40" s="10" t="s">
        <v>2039</v>
      </c>
      <c r="B40" s="11" t="s">
        <v>2040</v>
      </c>
      <c r="C40" s="12"/>
      <c r="D40" s="12" t="s">
        <v>120</v>
      </c>
      <c r="E40" s="5" t="s">
        <v>79</v>
      </c>
      <c r="F40" s="12"/>
      <c r="G40" s="12"/>
      <c r="H40" s="13" t="str">
        <f aca="false">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Bitte Teilanforderungen ausfüllen</v>
      </c>
      <c r="I40" s="12"/>
      <c r="J40" s="12"/>
      <c r="K40" s="12"/>
      <c r="L40" s="12"/>
      <c r="M40" s="12" t="s">
        <v>73</v>
      </c>
      <c r="N40" s="5" t="s">
        <v>2041</v>
      </c>
      <c r="O40" s="12" t="s">
        <v>2042</v>
      </c>
      <c r="P40" s="5" t="s">
        <v>2043</v>
      </c>
      <c r="Q40" s="12"/>
      <c r="R40" s="12" t="s">
        <v>1270</v>
      </c>
      <c r="S40" s="5" t="s">
        <v>2044</v>
      </c>
      <c r="T40" s="5" t="s">
        <v>2045</v>
      </c>
      <c r="U40" s="12" t="n">
        <v>4</v>
      </c>
      <c r="V40" s="12" t="n">
        <v>1</v>
      </c>
      <c r="W40" s="12" t="n">
        <v>2</v>
      </c>
      <c r="X40" s="12" t="n">
        <v>1</v>
      </c>
      <c r="Y40" s="12" t="n">
        <v>0</v>
      </c>
    </row>
    <row r="41" customFormat="false" ht="229.5" hidden="false" customHeight="true" outlineLevel="0" collapsed="false">
      <c r="A41" s="12" t="s">
        <v>2039</v>
      </c>
      <c r="B41" s="5" t="s">
        <v>2040</v>
      </c>
      <c r="C41" s="12" t="s">
        <v>2039</v>
      </c>
      <c r="D41" s="12" t="s">
        <v>120</v>
      </c>
      <c r="E41" s="5" t="s">
        <v>2046</v>
      </c>
      <c r="F41" s="14"/>
      <c r="G41" s="14"/>
      <c r="H41" s="14" t="s">
        <v>87</v>
      </c>
      <c r="I41" s="14"/>
      <c r="J41" s="14"/>
      <c r="K41" s="14"/>
      <c r="L41" s="15"/>
      <c r="M41" s="12" t="s">
        <v>73</v>
      </c>
      <c r="N41" s="5" t="s">
        <v>2041</v>
      </c>
      <c r="O41" s="12" t="s">
        <v>2042</v>
      </c>
      <c r="P41" s="5" t="s">
        <v>2043</v>
      </c>
      <c r="Q41" s="12"/>
      <c r="R41" s="12" t="s">
        <v>1270</v>
      </c>
      <c r="S41" s="5" t="s">
        <v>2044</v>
      </c>
      <c r="T41" s="5" t="s">
        <v>2045</v>
      </c>
      <c r="U41" s="12" t="n">
        <v>4</v>
      </c>
      <c r="V41" s="12" t="n">
        <v>1</v>
      </c>
      <c r="W41" s="12" t="n">
        <v>2</v>
      </c>
      <c r="X41" s="12" t="n">
        <v>1</v>
      </c>
      <c r="Y41" s="12" t="n">
        <v>0</v>
      </c>
    </row>
    <row r="42" customFormat="false" ht="175.5" hidden="false" customHeight="true" outlineLevel="0" collapsed="false">
      <c r="A42" s="10" t="s">
        <v>2047</v>
      </c>
      <c r="B42" s="11" t="s">
        <v>2048</v>
      </c>
      <c r="C42" s="12"/>
      <c r="D42" s="12" t="s">
        <v>120</v>
      </c>
      <c r="E42" s="5" t="s">
        <v>79</v>
      </c>
      <c r="F42" s="12"/>
      <c r="G42" s="12"/>
      <c r="H42" s="13" t="str">
        <f aca="false">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Bitte Teilanforderungen ausfüllen</v>
      </c>
      <c r="I42" s="12"/>
      <c r="J42" s="12"/>
      <c r="K42" s="12"/>
      <c r="L42" s="12"/>
      <c r="M42" s="12" t="s">
        <v>88</v>
      </c>
      <c r="N42" s="5" t="s">
        <v>2049</v>
      </c>
      <c r="O42" s="12" t="s">
        <v>1880</v>
      </c>
      <c r="P42" s="5" t="s">
        <v>2050</v>
      </c>
      <c r="Q42" s="12"/>
      <c r="R42" s="12" t="s">
        <v>1270</v>
      </c>
      <c r="S42" s="5" t="s">
        <v>2051</v>
      </c>
      <c r="T42" s="5" t="s">
        <v>625</v>
      </c>
      <c r="U42" s="12" t="n">
        <v>4</v>
      </c>
      <c r="V42" s="12" t="n">
        <v>2</v>
      </c>
      <c r="W42" s="12" t="n">
        <v>2</v>
      </c>
      <c r="X42" s="12" t="n">
        <v>1</v>
      </c>
      <c r="Y42" s="12" t="n">
        <v>0</v>
      </c>
    </row>
    <row r="43" customFormat="false" ht="175.5" hidden="false" customHeight="true" outlineLevel="0" collapsed="false">
      <c r="A43" s="12" t="s">
        <v>2047</v>
      </c>
      <c r="B43" s="5" t="s">
        <v>2048</v>
      </c>
      <c r="C43" s="12" t="s">
        <v>2047</v>
      </c>
      <c r="D43" s="12" t="s">
        <v>120</v>
      </c>
      <c r="E43" s="5" t="s">
        <v>2052</v>
      </c>
      <c r="F43" s="14"/>
      <c r="G43" s="14"/>
      <c r="H43" s="14" t="s">
        <v>87</v>
      </c>
      <c r="I43" s="14"/>
      <c r="J43" s="14"/>
      <c r="K43" s="14"/>
      <c r="L43" s="15"/>
      <c r="M43" s="12" t="s">
        <v>88</v>
      </c>
      <c r="N43" s="5" t="s">
        <v>2049</v>
      </c>
      <c r="O43" s="12" t="s">
        <v>1880</v>
      </c>
      <c r="P43" s="5" t="s">
        <v>2050</v>
      </c>
      <c r="Q43" s="12"/>
      <c r="R43" s="12" t="s">
        <v>1270</v>
      </c>
      <c r="S43" s="5" t="s">
        <v>2051</v>
      </c>
      <c r="T43" s="5" t="s">
        <v>625</v>
      </c>
      <c r="U43" s="12" t="n">
        <v>4</v>
      </c>
      <c r="V43" s="12" t="n">
        <v>2</v>
      </c>
      <c r="W43" s="12" t="n">
        <v>2</v>
      </c>
      <c r="X43" s="12" t="n">
        <v>1</v>
      </c>
      <c r="Y43" s="12" t="n">
        <v>0</v>
      </c>
    </row>
    <row r="44" customFormat="false" ht="243" hidden="false" customHeight="true" outlineLevel="0" collapsed="false">
      <c r="A44" s="10" t="s">
        <v>2053</v>
      </c>
      <c r="B44" s="11" t="s">
        <v>2054</v>
      </c>
      <c r="C44" s="12"/>
      <c r="D44" s="12" t="s">
        <v>160</v>
      </c>
      <c r="E44" s="5" t="s">
        <v>79</v>
      </c>
      <c r="F44" s="12"/>
      <c r="G44" s="12"/>
      <c r="H44" s="13" t="str">
        <f aca="false">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2"/>
      <c r="J44" s="12"/>
      <c r="K44" s="12"/>
      <c r="L44" s="12"/>
      <c r="M44" s="12" t="s">
        <v>88</v>
      </c>
      <c r="N44" s="5"/>
      <c r="O44" s="12"/>
      <c r="P44" s="5" t="s">
        <v>2055</v>
      </c>
      <c r="Q44" s="12" t="s">
        <v>644</v>
      </c>
      <c r="R44" s="12" t="s">
        <v>1270</v>
      </c>
      <c r="S44" s="5" t="s">
        <v>2056</v>
      </c>
      <c r="T44" s="5" t="s">
        <v>2017</v>
      </c>
      <c r="U44" s="12" t="n">
        <v>3</v>
      </c>
      <c r="V44" s="12" t="n">
        <v>2</v>
      </c>
      <c r="W44" s="12" t="n">
        <v>2</v>
      </c>
      <c r="X44" s="12" t="n">
        <v>1</v>
      </c>
      <c r="Y44" s="12" t="n">
        <v>1</v>
      </c>
    </row>
    <row r="45" customFormat="false" ht="243" hidden="false" customHeight="true" outlineLevel="0" collapsed="false">
      <c r="A45" s="12" t="s">
        <v>2053</v>
      </c>
      <c r="B45" s="5" t="s">
        <v>2054</v>
      </c>
      <c r="C45" s="12" t="s">
        <v>2053</v>
      </c>
      <c r="D45" s="12" t="s">
        <v>160</v>
      </c>
      <c r="E45" s="5" t="s">
        <v>2057</v>
      </c>
      <c r="F45" s="14"/>
      <c r="G45" s="14"/>
      <c r="H45" s="14" t="s">
        <v>87</v>
      </c>
      <c r="I45" s="14"/>
      <c r="J45" s="14"/>
      <c r="K45" s="14"/>
      <c r="L45" s="15"/>
      <c r="M45" s="12" t="s">
        <v>88</v>
      </c>
      <c r="N45" s="5"/>
      <c r="O45" s="12"/>
      <c r="P45" s="5" t="s">
        <v>2055</v>
      </c>
      <c r="Q45" s="12" t="s">
        <v>644</v>
      </c>
      <c r="R45" s="12" t="s">
        <v>1270</v>
      </c>
      <c r="S45" s="5" t="s">
        <v>2056</v>
      </c>
      <c r="T45" s="5" t="s">
        <v>2017</v>
      </c>
      <c r="U45" s="12" t="n">
        <v>3</v>
      </c>
      <c r="V45" s="12" t="n">
        <v>2</v>
      </c>
      <c r="W45" s="12" t="n">
        <v>2</v>
      </c>
      <c r="X45" s="12" t="n">
        <v>1</v>
      </c>
      <c r="Y45" s="12" t="n">
        <v>1</v>
      </c>
    </row>
    <row r="46" customFormat="false" ht="41.25" hidden="false" customHeight="true" outlineLevel="0" collapsed="false">
      <c r="A46" s="10" t="s">
        <v>2058</v>
      </c>
      <c r="B46" s="11" t="s">
        <v>2059</v>
      </c>
      <c r="C46" s="12"/>
      <c r="D46" s="12" t="s">
        <v>120</v>
      </c>
      <c r="E46" s="5" t="s">
        <v>79</v>
      </c>
      <c r="F46" s="12"/>
      <c r="G46" s="12"/>
      <c r="H46" s="13" t="str">
        <f aca="false">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2"/>
      <c r="J46" s="12"/>
      <c r="K46" s="12"/>
      <c r="L46" s="12"/>
      <c r="M46" s="12"/>
      <c r="N46" s="5" t="s">
        <v>2060</v>
      </c>
      <c r="O46" s="12" t="s">
        <v>2061</v>
      </c>
      <c r="P46" s="5" t="s">
        <v>2062</v>
      </c>
      <c r="Q46" s="12"/>
      <c r="R46" s="12" t="s">
        <v>1270</v>
      </c>
      <c r="S46" s="5" t="s">
        <v>2063</v>
      </c>
      <c r="T46" s="5" t="s">
        <v>2064</v>
      </c>
      <c r="U46" s="12" t="n">
        <v>4</v>
      </c>
      <c r="V46" s="12" t="n">
        <v>1</v>
      </c>
      <c r="W46" s="12" t="n">
        <v>1</v>
      </c>
      <c r="X46" s="12" t="n">
        <v>1</v>
      </c>
      <c r="Y46" s="12" t="n">
        <v>1</v>
      </c>
    </row>
    <row r="47" customFormat="false" ht="41.25" hidden="false" customHeight="true" outlineLevel="0" collapsed="false">
      <c r="A47" s="12" t="s">
        <v>2058</v>
      </c>
      <c r="B47" s="5" t="s">
        <v>2059</v>
      </c>
      <c r="C47" s="12" t="s">
        <v>2058</v>
      </c>
      <c r="D47" s="12" t="s">
        <v>120</v>
      </c>
      <c r="E47" s="5" t="s">
        <v>2065</v>
      </c>
      <c r="F47" s="14"/>
      <c r="G47" s="14"/>
      <c r="H47" s="14" t="s">
        <v>87</v>
      </c>
      <c r="I47" s="14"/>
      <c r="J47" s="14"/>
      <c r="K47" s="14"/>
      <c r="L47" s="15"/>
      <c r="M47" s="12"/>
      <c r="N47" s="5" t="s">
        <v>2060</v>
      </c>
      <c r="O47" s="12" t="s">
        <v>2061</v>
      </c>
      <c r="P47" s="5" t="s">
        <v>2062</v>
      </c>
      <c r="Q47" s="12"/>
      <c r="R47" s="12" t="s">
        <v>1270</v>
      </c>
      <c r="S47" s="5" t="s">
        <v>2063</v>
      </c>
      <c r="T47" s="5" t="s">
        <v>2064</v>
      </c>
      <c r="U47" s="12" t="n">
        <v>4</v>
      </c>
      <c r="V47" s="12" t="n">
        <v>1</v>
      </c>
      <c r="W47" s="12" t="n">
        <v>1</v>
      </c>
      <c r="X47" s="12" t="n">
        <v>1</v>
      </c>
      <c r="Y47" s="12" t="n">
        <v>1</v>
      </c>
    </row>
    <row r="48" customFormat="false" ht="216" hidden="false" customHeight="true" outlineLevel="0" collapsed="false">
      <c r="A48" s="10" t="s">
        <v>2066</v>
      </c>
      <c r="B48" s="11" t="s">
        <v>2067</v>
      </c>
      <c r="C48" s="12"/>
      <c r="D48" s="12" t="s">
        <v>120</v>
      </c>
      <c r="E48" s="5" t="s">
        <v>79</v>
      </c>
      <c r="F48" s="12"/>
      <c r="G48" s="12"/>
      <c r="H48" s="13" t="str">
        <f aca="false">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2"/>
      <c r="J48" s="12"/>
      <c r="K48" s="12"/>
      <c r="L48" s="12"/>
      <c r="M48" s="12" t="s">
        <v>88</v>
      </c>
      <c r="N48" s="5" t="s">
        <v>2068</v>
      </c>
      <c r="O48" s="12" t="s">
        <v>2069</v>
      </c>
      <c r="P48" s="5" t="s">
        <v>2070</v>
      </c>
      <c r="Q48" s="12" t="s">
        <v>226</v>
      </c>
      <c r="R48" s="12" t="s">
        <v>1270</v>
      </c>
      <c r="S48" s="5" t="s">
        <v>2071</v>
      </c>
      <c r="T48" s="5" t="s">
        <v>2072</v>
      </c>
      <c r="U48" s="12" t="n">
        <v>5</v>
      </c>
      <c r="V48" s="12" t="n">
        <v>2</v>
      </c>
      <c r="W48" s="12" t="n">
        <v>2</v>
      </c>
      <c r="X48" s="12" t="n">
        <v>1</v>
      </c>
      <c r="Y48" s="12" t="n">
        <v>0</v>
      </c>
    </row>
    <row r="49" customFormat="false" ht="216" hidden="false" customHeight="true" outlineLevel="0" collapsed="false">
      <c r="A49" s="12" t="s">
        <v>2066</v>
      </c>
      <c r="B49" s="5" t="s">
        <v>2067</v>
      </c>
      <c r="C49" s="12" t="s">
        <v>2066</v>
      </c>
      <c r="D49" s="12" t="s">
        <v>120</v>
      </c>
      <c r="E49" s="5" t="s">
        <v>2073</v>
      </c>
      <c r="F49" s="14"/>
      <c r="G49" s="14"/>
      <c r="H49" s="14" t="s">
        <v>87</v>
      </c>
      <c r="I49" s="14"/>
      <c r="J49" s="14"/>
      <c r="K49" s="14"/>
      <c r="L49" s="15"/>
      <c r="M49" s="12" t="s">
        <v>88</v>
      </c>
      <c r="N49" s="5" t="s">
        <v>2068</v>
      </c>
      <c r="O49" s="12" t="s">
        <v>2069</v>
      </c>
      <c r="P49" s="5" t="s">
        <v>2070</v>
      </c>
      <c r="Q49" s="12" t="s">
        <v>226</v>
      </c>
      <c r="R49" s="12" t="s">
        <v>1270</v>
      </c>
      <c r="S49" s="5" t="s">
        <v>2071</v>
      </c>
      <c r="T49" s="5" t="s">
        <v>2072</v>
      </c>
      <c r="U49" s="12" t="n">
        <v>5</v>
      </c>
      <c r="V49" s="12" t="n">
        <v>2</v>
      </c>
      <c r="W49" s="12" t="n">
        <v>2</v>
      </c>
      <c r="X49" s="12" t="n">
        <v>1</v>
      </c>
      <c r="Y49" s="12" t="n">
        <v>0</v>
      </c>
    </row>
    <row r="50" customFormat="false" ht="41.25" hidden="false" customHeight="true" outlineLevel="0" collapsed="false">
      <c r="A50" s="10" t="s">
        <v>2074</v>
      </c>
      <c r="B50" s="11" t="s">
        <v>2075</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c r="N50" s="5" t="s">
        <v>2076</v>
      </c>
      <c r="O50" s="12" t="s">
        <v>1169</v>
      </c>
      <c r="P50" s="5" t="s">
        <v>2077</v>
      </c>
      <c r="Q50" s="12"/>
      <c r="R50" s="12" t="s">
        <v>1270</v>
      </c>
      <c r="S50" s="5" t="s">
        <v>2078</v>
      </c>
      <c r="T50" s="5" t="s">
        <v>2079</v>
      </c>
      <c r="U50" s="12" t="n">
        <v>4</v>
      </c>
      <c r="V50" s="12" t="n">
        <v>1</v>
      </c>
      <c r="W50" s="12" t="n">
        <v>1</v>
      </c>
      <c r="X50" s="12" t="n">
        <v>1</v>
      </c>
      <c r="Y50" s="12" t="n">
        <v>0</v>
      </c>
    </row>
    <row r="51" customFormat="false" ht="41.25" hidden="false" customHeight="true" outlineLevel="0" collapsed="false">
      <c r="A51" s="12" t="s">
        <v>2074</v>
      </c>
      <c r="B51" s="5" t="s">
        <v>2075</v>
      </c>
      <c r="C51" s="12" t="s">
        <v>2074</v>
      </c>
      <c r="D51" s="12" t="s">
        <v>120</v>
      </c>
      <c r="E51" s="5" t="s">
        <v>2080</v>
      </c>
      <c r="F51" s="14"/>
      <c r="G51" s="14"/>
      <c r="H51" s="14" t="s">
        <v>87</v>
      </c>
      <c r="I51" s="14"/>
      <c r="J51" s="14"/>
      <c r="K51" s="14"/>
      <c r="L51" s="15"/>
      <c r="M51" s="12"/>
      <c r="N51" s="5" t="s">
        <v>2076</v>
      </c>
      <c r="O51" s="12" t="s">
        <v>1169</v>
      </c>
      <c r="P51" s="5" t="s">
        <v>2077</v>
      </c>
      <c r="Q51" s="12"/>
      <c r="R51" s="12" t="s">
        <v>1270</v>
      </c>
      <c r="S51" s="5" t="s">
        <v>2078</v>
      </c>
      <c r="T51" s="5" t="s">
        <v>2079</v>
      </c>
      <c r="U51" s="12" t="n">
        <v>4</v>
      </c>
      <c r="V51" s="12" t="n">
        <v>1</v>
      </c>
      <c r="W51" s="12" t="n">
        <v>1</v>
      </c>
      <c r="X51" s="12" t="n">
        <v>1</v>
      </c>
      <c r="Y51" s="12" t="n">
        <v>0</v>
      </c>
    </row>
    <row r="52" customFormat="false" ht="108.75" hidden="false" customHeight="true" outlineLevel="0" collapsed="false">
      <c r="A52" s="10" t="s">
        <v>2081</v>
      </c>
      <c r="B52" s="11" t="s">
        <v>2082</v>
      </c>
      <c r="C52" s="12"/>
      <c r="D52" s="12" t="s">
        <v>120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c r="N52" s="5" t="s">
        <v>2083</v>
      </c>
      <c r="O52" s="12" t="s">
        <v>2084</v>
      </c>
      <c r="P52" s="5" t="s">
        <v>2085</v>
      </c>
      <c r="Q52" s="12"/>
      <c r="R52" s="12" t="s">
        <v>1270</v>
      </c>
      <c r="S52" s="5" t="s">
        <v>2082</v>
      </c>
      <c r="T52" s="5" t="s">
        <v>2079</v>
      </c>
      <c r="U52" s="12" t="n">
        <v>3</v>
      </c>
      <c r="V52" s="12" t="n">
        <v>1</v>
      </c>
      <c r="W52" s="12" t="n">
        <v>1</v>
      </c>
      <c r="X52" s="12" t="n">
        <v>1</v>
      </c>
      <c r="Y52" s="12" t="n">
        <v>0</v>
      </c>
    </row>
    <row r="53" customFormat="false" ht="108.75" hidden="false" customHeight="true" outlineLevel="0" collapsed="false">
      <c r="A53" s="12" t="s">
        <v>2081</v>
      </c>
      <c r="B53" s="5" t="s">
        <v>2082</v>
      </c>
      <c r="C53" s="12" t="s">
        <v>2081</v>
      </c>
      <c r="D53" s="12" t="s">
        <v>120</v>
      </c>
      <c r="E53" s="5" t="s">
        <v>2086</v>
      </c>
      <c r="F53" s="14"/>
      <c r="G53" s="14"/>
      <c r="H53" s="14" t="s">
        <v>87</v>
      </c>
      <c r="I53" s="14"/>
      <c r="J53" s="14"/>
      <c r="K53" s="14"/>
      <c r="L53" s="15"/>
      <c r="M53" s="12"/>
      <c r="N53" s="5" t="s">
        <v>2083</v>
      </c>
      <c r="O53" s="12" t="s">
        <v>2084</v>
      </c>
      <c r="P53" s="5" t="s">
        <v>2085</v>
      </c>
      <c r="Q53" s="12"/>
      <c r="R53" s="12" t="s">
        <v>1270</v>
      </c>
      <c r="S53" s="5" t="s">
        <v>2082</v>
      </c>
      <c r="T53" s="5" t="s">
        <v>2079</v>
      </c>
      <c r="U53" s="12" t="n">
        <v>3</v>
      </c>
      <c r="V53" s="12" t="n">
        <v>1</v>
      </c>
      <c r="W53" s="12" t="n">
        <v>1</v>
      </c>
      <c r="X53" s="12" t="n">
        <v>1</v>
      </c>
      <c r="Y53" s="12" t="n">
        <v>0</v>
      </c>
    </row>
    <row r="54" customFormat="false" ht="323.25" hidden="false" customHeight="true" outlineLevel="0" collapsed="false">
      <c r="A54" s="10" t="s">
        <v>2087</v>
      </c>
      <c r="B54" s="11" t="s">
        <v>2088</v>
      </c>
      <c r="C54" s="12"/>
      <c r="D54" s="12" t="s">
        <v>160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72</v>
      </c>
      <c r="N54" s="5" t="s">
        <v>2089</v>
      </c>
      <c r="O54" s="12" t="s">
        <v>255</v>
      </c>
      <c r="P54" s="5" t="s">
        <v>2090</v>
      </c>
      <c r="Q54" s="12"/>
      <c r="R54" s="12" t="s">
        <v>1270</v>
      </c>
      <c r="S54" s="5" t="s">
        <v>2091</v>
      </c>
      <c r="T54" s="5" t="s">
        <v>2092</v>
      </c>
      <c r="U54" s="12" t="n">
        <v>5</v>
      </c>
      <c r="V54" s="12" t="n">
        <v>2</v>
      </c>
      <c r="W54" s="12" t="n">
        <v>1</v>
      </c>
      <c r="X54" s="12" t="n">
        <v>1</v>
      </c>
      <c r="Y54" s="12" t="n">
        <v>1</v>
      </c>
    </row>
    <row r="55" customFormat="false" ht="323.25" hidden="false" customHeight="true" outlineLevel="0" collapsed="false">
      <c r="A55" s="12" t="s">
        <v>2087</v>
      </c>
      <c r="B55" s="5" t="s">
        <v>2088</v>
      </c>
      <c r="C55" s="12" t="s">
        <v>2087</v>
      </c>
      <c r="D55" s="12" t="s">
        <v>160</v>
      </c>
      <c r="E55" s="5" t="s">
        <v>2093</v>
      </c>
      <c r="F55" s="14"/>
      <c r="G55" s="14"/>
      <c r="H55" s="14" t="s">
        <v>87</v>
      </c>
      <c r="I55" s="14"/>
      <c r="J55" s="14"/>
      <c r="K55" s="14"/>
      <c r="L55" s="15"/>
      <c r="M55" s="12" t="s">
        <v>72</v>
      </c>
      <c r="N55" s="5" t="s">
        <v>2089</v>
      </c>
      <c r="O55" s="12" t="s">
        <v>255</v>
      </c>
      <c r="P55" s="5" t="s">
        <v>2090</v>
      </c>
      <c r="Q55" s="12"/>
      <c r="R55" s="12" t="s">
        <v>1270</v>
      </c>
      <c r="S55" s="5" t="s">
        <v>2091</v>
      </c>
      <c r="T55" s="5" t="s">
        <v>2092</v>
      </c>
      <c r="U55" s="12" t="n">
        <v>5</v>
      </c>
      <c r="V55" s="12" t="n">
        <v>2</v>
      </c>
      <c r="W55" s="12" t="n">
        <v>1</v>
      </c>
      <c r="X55" s="12" t="n">
        <v>1</v>
      </c>
      <c r="Y55" s="12" t="n">
        <v>1</v>
      </c>
    </row>
    <row r="56" customFormat="false" ht="54.75" hidden="false" customHeight="true" outlineLevel="0" collapsed="false">
      <c r="A56" s="10" t="s">
        <v>2094</v>
      </c>
      <c r="B56" s="11" t="s">
        <v>2095</v>
      </c>
      <c r="C56" s="12"/>
      <c r="D56" s="12" t="s">
        <v>160</v>
      </c>
      <c r="E56" s="5" t="s">
        <v>79</v>
      </c>
      <c r="F56" s="12"/>
      <c r="G56" s="12"/>
      <c r="H56" s="13" t="str">
        <f aca="false">IF(OR(COUNTBLANK($H$57:$H$58)&gt;0,COUNTIF($H$57:$H$58,"unbearbeitet")=COUNTA($H$57:$H$58)),"Bitte Teilanforderungen ausfüllen",IF(COUNTIF($H$57:$H$58,"zu klären")&gt;0,"zu klären",IF(COUNTIF($H$57:$H$58,"entbehrlich")=COUNTA($H$57:$H$58),"entbehrlich",IF(COUNTIF($H$57:$H$58,"verwiesen")=COUNTA($H$57:$H$58),"verwiesen",IF(COUNTIF($H$57:$H$58,"nein")+COUNTIF($H$57:$H$58,"entbehrlich")=COUNTA($H$57:$H$58),"nein",IF(COUNTIF($H$57:$H$58,"ja")+COUNTIF($H$57:$H$58,"entbehrlich")+COUNTIF($H$57:$H$58,"verwiesen")=COUNTA($H$57:$H$58),"ja","teilweise"))))))</f>
        <v>Bitte Teilanforderungen ausfüllen</v>
      </c>
      <c r="I56" s="12"/>
      <c r="J56" s="12"/>
      <c r="K56" s="12"/>
      <c r="L56" s="12"/>
      <c r="M56" s="12" t="s">
        <v>88</v>
      </c>
      <c r="N56" s="5" t="s">
        <v>2096</v>
      </c>
      <c r="O56" s="12" t="s">
        <v>2097</v>
      </c>
      <c r="P56" s="5" t="s">
        <v>2098</v>
      </c>
      <c r="Q56" s="12" t="s">
        <v>460</v>
      </c>
      <c r="R56" s="12" t="s">
        <v>1270</v>
      </c>
      <c r="S56" s="5" t="s">
        <v>2099</v>
      </c>
      <c r="T56" s="5" t="s">
        <v>2100</v>
      </c>
      <c r="U56" s="12" t="n">
        <v>3</v>
      </c>
      <c r="V56" s="12" t="n">
        <v>2</v>
      </c>
      <c r="W56" s="12" t="n">
        <v>2</v>
      </c>
      <c r="X56" s="12" t="n">
        <v>1</v>
      </c>
      <c r="Y56" s="12" t="n">
        <v>0</v>
      </c>
    </row>
    <row r="57" customFormat="false" ht="54.75" hidden="false" customHeight="true" outlineLevel="0" collapsed="false">
      <c r="A57" s="12" t="s">
        <v>2094</v>
      </c>
      <c r="B57" s="5" t="s">
        <v>2095</v>
      </c>
      <c r="C57" s="12" t="s">
        <v>2094</v>
      </c>
      <c r="D57" s="12" t="s">
        <v>160</v>
      </c>
      <c r="E57" s="5" t="s">
        <v>2101</v>
      </c>
      <c r="F57" s="14"/>
      <c r="G57" s="14"/>
      <c r="H57" s="14" t="s">
        <v>87</v>
      </c>
      <c r="I57" s="14"/>
      <c r="J57" s="14"/>
      <c r="K57" s="14"/>
      <c r="L57" s="15"/>
      <c r="M57" s="12" t="s">
        <v>88</v>
      </c>
      <c r="N57" s="5" t="s">
        <v>2096</v>
      </c>
      <c r="O57" s="12" t="s">
        <v>2097</v>
      </c>
      <c r="P57" s="5" t="s">
        <v>2098</v>
      </c>
      <c r="Q57" s="12" t="s">
        <v>460</v>
      </c>
      <c r="R57" s="12" t="s">
        <v>1270</v>
      </c>
      <c r="S57" s="5" t="s">
        <v>2099</v>
      </c>
      <c r="T57" s="5" t="s">
        <v>2100</v>
      </c>
      <c r="U57" s="12" t="n">
        <v>3</v>
      </c>
      <c r="V57" s="12" t="n">
        <v>2</v>
      </c>
      <c r="W57" s="12" t="n">
        <v>2</v>
      </c>
      <c r="X57" s="12" t="n">
        <v>1</v>
      </c>
      <c r="Y57" s="12" t="n">
        <v>0</v>
      </c>
    </row>
    <row r="58" customFormat="false" ht="189" hidden="false" customHeight="true" outlineLevel="0" collapsed="false">
      <c r="A58" s="12" t="s">
        <v>2094</v>
      </c>
      <c r="B58" s="5" t="s">
        <v>2095</v>
      </c>
      <c r="C58" s="12" t="s">
        <v>2102</v>
      </c>
      <c r="D58" s="12" t="s">
        <v>160</v>
      </c>
      <c r="E58" s="5" t="s">
        <v>2103</v>
      </c>
      <c r="F58" s="14"/>
      <c r="G58" s="14"/>
      <c r="H58" s="14" t="s">
        <v>87</v>
      </c>
      <c r="I58" s="14"/>
      <c r="J58" s="14"/>
      <c r="K58" s="14"/>
      <c r="L58" s="15"/>
      <c r="M58" s="12" t="s">
        <v>88</v>
      </c>
      <c r="N58" s="5" t="s">
        <v>2104</v>
      </c>
      <c r="O58" s="12" t="s">
        <v>255</v>
      </c>
      <c r="P58" s="5" t="s">
        <v>2105</v>
      </c>
      <c r="Q58" s="12" t="s">
        <v>1098</v>
      </c>
      <c r="R58" s="12" t="s">
        <v>1270</v>
      </c>
      <c r="S58" s="5" t="s">
        <v>2106</v>
      </c>
      <c r="T58" s="5" t="s">
        <v>2107</v>
      </c>
      <c r="U58" s="12" t="n">
        <v>5</v>
      </c>
      <c r="V58" s="12" t="n">
        <v>2</v>
      </c>
      <c r="W58" s="12" t="n">
        <v>2</v>
      </c>
      <c r="X58" s="12" t="n">
        <v>1</v>
      </c>
      <c r="Y58" s="12" t="n">
        <v>1</v>
      </c>
    </row>
    <row r="59" customFormat="false" ht="283.5" hidden="false" customHeight="true" outlineLevel="0" collapsed="false">
      <c r="A59" s="10" t="s">
        <v>2108</v>
      </c>
      <c r="B59" s="11" t="s">
        <v>2109</v>
      </c>
      <c r="C59" s="12"/>
      <c r="D59" s="12" t="s">
        <v>160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74</v>
      </c>
      <c r="N59" s="5" t="s">
        <v>2110</v>
      </c>
      <c r="O59" s="12" t="s">
        <v>2111</v>
      </c>
      <c r="P59" s="5" t="s">
        <v>2112</v>
      </c>
      <c r="Q59" s="12" t="s">
        <v>2113</v>
      </c>
      <c r="R59" s="12" t="s">
        <v>1270</v>
      </c>
      <c r="S59" s="5" t="s">
        <v>2114</v>
      </c>
      <c r="T59" s="5" t="s">
        <v>2115</v>
      </c>
      <c r="U59" s="12" t="n">
        <v>5</v>
      </c>
      <c r="V59" s="12" t="n">
        <v>1</v>
      </c>
      <c r="W59" s="12" t="n">
        <v>1</v>
      </c>
      <c r="X59" s="12" t="n">
        <v>2</v>
      </c>
      <c r="Y59" s="12" t="n">
        <v>0</v>
      </c>
    </row>
    <row r="60" customFormat="false" ht="283.5" hidden="false" customHeight="true" outlineLevel="0" collapsed="false">
      <c r="A60" s="12" t="s">
        <v>2108</v>
      </c>
      <c r="B60" s="5" t="s">
        <v>2109</v>
      </c>
      <c r="C60" s="12" t="s">
        <v>2108</v>
      </c>
      <c r="D60" s="12" t="s">
        <v>160</v>
      </c>
      <c r="E60" s="5" t="s">
        <v>2116</v>
      </c>
      <c r="F60" s="14"/>
      <c r="G60" s="14"/>
      <c r="H60" s="14" t="s">
        <v>87</v>
      </c>
      <c r="I60" s="14"/>
      <c r="J60" s="14"/>
      <c r="K60" s="14"/>
      <c r="L60" s="15"/>
      <c r="M60" s="12" t="s">
        <v>74</v>
      </c>
      <c r="N60" s="5" t="s">
        <v>2110</v>
      </c>
      <c r="O60" s="12" t="s">
        <v>2111</v>
      </c>
      <c r="P60" s="5" t="s">
        <v>2112</v>
      </c>
      <c r="Q60" s="12" t="s">
        <v>2113</v>
      </c>
      <c r="R60" s="12" t="s">
        <v>1270</v>
      </c>
      <c r="S60" s="5" t="s">
        <v>2114</v>
      </c>
      <c r="T60" s="5" t="s">
        <v>2115</v>
      </c>
      <c r="U60" s="12" t="n">
        <v>5</v>
      </c>
      <c r="V60" s="12" t="n">
        <v>1</v>
      </c>
      <c r="W60" s="12" t="n">
        <v>1</v>
      </c>
      <c r="X60" s="12" t="n">
        <v>2</v>
      </c>
      <c r="Y60" s="12" t="n">
        <v>0</v>
      </c>
    </row>
    <row r="61" customFormat="false" ht="336.75" hidden="false" customHeight="true" outlineLevel="0" collapsed="false">
      <c r="A61" s="10" t="s">
        <v>2117</v>
      </c>
      <c r="B61" s="11" t="s">
        <v>2118</v>
      </c>
      <c r="C61" s="12"/>
      <c r="D61" s="12" t="s">
        <v>160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72</v>
      </c>
      <c r="N61" s="5"/>
      <c r="O61" s="12"/>
      <c r="P61" s="5" t="s">
        <v>2119</v>
      </c>
      <c r="Q61" s="12" t="s">
        <v>2113</v>
      </c>
      <c r="R61" s="12" t="s">
        <v>1270</v>
      </c>
      <c r="S61" s="5" t="s">
        <v>2120</v>
      </c>
      <c r="T61" s="5" t="s">
        <v>2121</v>
      </c>
      <c r="U61" s="12" t="n">
        <v>5</v>
      </c>
      <c r="V61" s="12" t="n">
        <v>2</v>
      </c>
      <c r="W61" s="12" t="n">
        <v>1</v>
      </c>
      <c r="X61" s="12" t="n">
        <v>1</v>
      </c>
      <c r="Y61" s="12" t="n">
        <v>0</v>
      </c>
    </row>
    <row r="62" customFormat="false" ht="336.75" hidden="false" customHeight="true" outlineLevel="0" collapsed="false">
      <c r="A62" s="12" t="s">
        <v>2117</v>
      </c>
      <c r="B62" s="5" t="s">
        <v>2118</v>
      </c>
      <c r="C62" s="12" t="s">
        <v>2117</v>
      </c>
      <c r="D62" s="12" t="s">
        <v>160</v>
      </c>
      <c r="E62" s="5" t="s">
        <v>2122</v>
      </c>
      <c r="F62" s="14"/>
      <c r="G62" s="14"/>
      <c r="H62" s="14" t="s">
        <v>87</v>
      </c>
      <c r="I62" s="14"/>
      <c r="J62" s="14"/>
      <c r="K62" s="14"/>
      <c r="L62" s="15"/>
      <c r="M62" s="12" t="s">
        <v>72</v>
      </c>
      <c r="N62" s="5"/>
      <c r="O62" s="12"/>
      <c r="P62" s="5" t="s">
        <v>2119</v>
      </c>
      <c r="Q62" s="12" t="s">
        <v>2113</v>
      </c>
      <c r="R62" s="12" t="s">
        <v>1270</v>
      </c>
      <c r="S62" s="5" t="s">
        <v>2120</v>
      </c>
      <c r="T62" s="5" t="s">
        <v>2121</v>
      </c>
      <c r="U62" s="12" t="n">
        <v>5</v>
      </c>
      <c r="V62" s="12" t="n">
        <v>2</v>
      </c>
      <c r="W62" s="12" t="n">
        <v>1</v>
      </c>
      <c r="X62" s="12" t="n">
        <v>1</v>
      </c>
      <c r="Y62" s="12" t="n">
        <v>0</v>
      </c>
    </row>
    <row r="63" customFormat="false" ht="95.25" hidden="false" customHeight="true" outlineLevel="0" collapsed="false">
      <c r="A63" s="10" t="s">
        <v>2123</v>
      </c>
      <c r="B63" s="11" t="s">
        <v>2124</v>
      </c>
      <c r="C63" s="12"/>
      <c r="D63" s="12" t="s">
        <v>160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c r="N63" s="5" t="s">
        <v>2125</v>
      </c>
      <c r="O63" s="12" t="s">
        <v>2126</v>
      </c>
      <c r="P63" s="5" t="s">
        <v>2127</v>
      </c>
      <c r="Q63" s="12" t="s">
        <v>226</v>
      </c>
      <c r="R63" s="12" t="s">
        <v>1270</v>
      </c>
      <c r="S63" s="5" t="s">
        <v>2128</v>
      </c>
      <c r="T63" s="5" t="s">
        <v>2129</v>
      </c>
      <c r="U63" s="12" t="n">
        <v>5</v>
      </c>
      <c r="V63" s="12" t="n">
        <v>1</v>
      </c>
      <c r="W63" s="12" t="n">
        <v>1</v>
      </c>
      <c r="X63" s="12" t="n">
        <v>1</v>
      </c>
      <c r="Y63" s="12" t="n">
        <v>0</v>
      </c>
    </row>
    <row r="64" customFormat="false" ht="95.25" hidden="false" customHeight="true" outlineLevel="0" collapsed="false">
      <c r="A64" s="12" t="s">
        <v>2123</v>
      </c>
      <c r="B64" s="5" t="s">
        <v>2124</v>
      </c>
      <c r="C64" s="12" t="s">
        <v>2123</v>
      </c>
      <c r="D64" s="12" t="s">
        <v>160</v>
      </c>
      <c r="E64" s="5" t="s">
        <v>2130</v>
      </c>
      <c r="F64" s="14"/>
      <c r="G64" s="14"/>
      <c r="H64" s="14" t="s">
        <v>87</v>
      </c>
      <c r="I64" s="14"/>
      <c r="J64" s="14"/>
      <c r="K64" s="14"/>
      <c r="L64" s="15"/>
      <c r="M64" s="12"/>
      <c r="N64" s="5" t="s">
        <v>2125</v>
      </c>
      <c r="O64" s="12" t="s">
        <v>2126</v>
      </c>
      <c r="P64" s="5" t="s">
        <v>2127</v>
      </c>
      <c r="Q64" s="12" t="s">
        <v>226</v>
      </c>
      <c r="R64" s="12" t="s">
        <v>1270</v>
      </c>
      <c r="S64" s="5" t="s">
        <v>2128</v>
      </c>
      <c r="T64" s="5" t="s">
        <v>2129</v>
      </c>
      <c r="U64" s="12" t="n">
        <v>5</v>
      </c>
      <c r="V64" s="12" t="n">
        <v>1</v>
      </c>
      <c r="W64" s="12" t="n">
        <v>1</v>
      </c>
      <c r="X64" s="12" t="n">
        <v>1</v>
      </c>
      <c r="Y64" s="12" t="n">
        <v>0</v>
      </c>
    </row>
    <row r="65" customFormat="false" ht="256.5" hidden="false" customHeight="true" outlineLevel="0" collapsed="false">
      <c r="A65" s="10" t="s">
        <v>2131</v>
      </c>
      <c r="B65" s="11" t="s">
        <v>2132</v>
      </c>
      <c r="C65" s="12"/>
      <c r="D65" s="12" t="s">
        <v>160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c r="N65" s="5" t="s">
        <v>2133</v>
      </c>
      <c r="O65" s="12" t="s">
        <v>524</v>
      </c>
      <c r="P65" s="5" t="s">
        <v>2134</v>
      </c>
      <c r="Q65" s="12" t="s">
        <v>226</v>
      </c>
      <c r="R65" s="12" t="s">
        <v>1270</v>
      </c>
      <c r="S65" s="5" t="s">
        <v>2132</v>
      </c>
      <c r="T65" s="5" t="s">
        <v>2135</v>
      </c>
      <c r="U65" s="12" t="n">
        <v>5</v>
      </c>
      <c r="V65" s="12" t="n">
        <v>1</v>
      </c>
      <c r="W65" s="12" t="n">
        <v>1</v>
      </c>
      <c r="X65" s="12" t="n">
        <v>1</v>
      </c>
      <c r="Y65" s="12" t="n">
        <v>0</v>
      </c>
    </row>
    <row r="66" customFormat="false" ht="256.5" hidden="false" customHeight="true" outlineLevel="0" collapsed="false">
      <c r="A66" s="12" t="s">
        <v>2131</v>
      </c>
      <c r="B66" s="5" t="s">
        <v>2132</v>
      </c>
      <c r="C66" s="12" t="s">
        <v>2131</v>
      </c>
      <c r="D66" s="12" t="s">
        <v>160</v>
      </c>
      <c r="E66" s="5" t="s">
        <v>2136</v>
      </c>
      <c r="F66" s="14"/>
      <c r="G66" s="14"/>
      <c r="H66" s="14" t="s">
        <v>87</v>
      </c>
      <c r="I66" s="14"/>
      <c r="J66" s="14"/>
      <c r="K66" s="14"/>
      <c r="L66" s="15"/>
      <c r="M66" s="12"/>
      <c r="N66" s="5" t="s">
        <v>2133</v>
      </c>
      <c r="O66" s="12" t="s">
        <v>524</v>
      </c>
      <c r="P66" s="5" t="s">
        <v>2134</v>
      </c>
      <c r="Q66" s="12" t="s">
        <v>226</v>
      </c>
      <c r="R66" s="12" t="s">
        <v>1270</v>
      </c>
      <c r="S66" s="5" t="s">
        <v>2132</v>
      </c>
      <c r="T66" s="5" t="s">
        <v>2135</v>
      </c>
      <c r="U66" s="12" t="n">
        <v>5</v>
      </c>
      <c r="V66" s="12" t="n">
        <v>1</v>
      </c>
      <c r="W66" s="12" t="n">
        <v>1</v>
      </c>
      <c r="X66" s="12" t="n">
        <v>1</v>
      </c>
      <c r="Y66" s="12" t="n">
        <v>0</v>
      </c>
    </row>
    <row r="67" customFormat="false" ht="108.75" hidden="false" customHeight="true" outlineLevel="0" collapsed="false">
      <c r="A67" s="10" t="s">
        <v>2137</v>
      </c>
      <c r="B67" s="11" t="s">
        <v>2138</v>
      </c>
      <c r="C67" s="12"/>
      <c r="D67" s="12" t="s">
        <v>120</v>
      </c>
      <c r="E67" s="5" t="s">
        <v>79</v>
      </c>
      <c r="F67" s="12"/>
      <c r="G67" s="12"/>
      <c r="H67" s="13" t="str">
        <f aca="false">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Bitte Teilanforderungen ausfüllen</v>
      </c>
      <c r="I67" s="12"/>
      <c r="J67" s="12"/>
      <c r="K67" s="12"/>
      <c r="L67" s="12"/>
      <c r="M67" s="12" t="s">
        <v>88</v>
      </c>
      <c r="N67" s="5" t="s">
        <v>2139</v>
      </c>
      <c r="O67" s="12" t="s">
        <v>393</v>
      </c>
      <c r="P67" s="5" t="s">
        <v>2140</v>
      </c>
      <c r="Q67" s="12" t="s">
        <v>124</v>
      </c>
      <c r="R67" s="12" t="s">
        <v>1270</v>
      </c>
      <c r="S67" s="5" t="s">
        <v>2141</v>
      </c>
      <c r="T67" s="5" t="s">
        <v>2142</v>
      </c>
      <c r="U67" s="12" t="n">
        <v>5</v>
      </c>
      <c r="V67" s="12" t="n">
        <v>2</v>
      </c>
      <c r="W67" s="12" t="n">
        <v>2</v>
      </c>
      <c r="X67" s="12" t="n">
        <v>1</v>
      </c>
      <c r="Y67" s="12" t="n">
        <v>0</v>
      </c>
    </row>
    <row r="68" customFormat="false" ht="108.75" hidden="false" customHeight="true" outlineLevel="0" collapsed="false">
      <c r="A68" s="12" t="s">
        <v>2137</v>
      </c>
      <c r="B68" s="5" t="s">
        <v>2138</v>
      </c>
      <c r="C68" s="12" t="s">
        <v>2137</v>
      </c>
      <c r="D68" s="12" t="s">
        <v>120</v>
      </c>
      <c r="E68" s="5" t="s">
        <v>2143</v>
      </c>
      <c r="F68" s="14"/>
      <c r="G68" s="14"/>
      <c r="H68" s="14" t="s">
        <v>87</v>
      </c>
      <c r="I68" s="14"/>
      <c r="J68" s="14"/>
      <c r="K68" s="14"/>
      <c r="L68" s="15"/>
      <c r="M68" s="12" t="s">
        <v>88</v>
      </c>
      <c r="N68" s="5" t="s">
        <v>2139</v>
      </c>
      <c r="O68" s="12" t="s">
        <v>393</v>
      </c>
      <c r="P68" s="5" t="s">
        <v>2140</v>
      </c>
      <c r="Q68" s="12" t="s">
        <v>124</v>
      </c>
      <c r="R68" s="12" t="s">
        <v>1270</v>
      </c>
      <c r="S68" s="5" t="s">
        <v>2141</v>
      </c>
      <c r="T68" s="5" t="s">
        <v>2142</v>
      </c>
      <c r="U68" s="12" t="n">
        <v>5</v>
      </c>
      <c r="V68" s="12" t="n">
        <v>2</v>
      </c>
      <c r="W68" s="12" t="n">
        <v>2</v>
      </c>
      <c r="X68" s="12" t="n">
        <v>1</v>
      </c>
      <c r="Y68" s="12" t="n">
        <v>0</v>
      </c>
    </row>
    <row r="69" customFormat="false" ht="297" hidden="false" customHeight="true" outlineLevel="0" collapsed="false">
      <c r="A69" s="12" t="s">
        <v>2137</v>
      </c>
      <c r="B69" s="5" t="s">
        <v>2138</v>
      </c>
      <c r="C69" s="12" t="s">
        <v>2144</v>
      </c>
      <c r="D69" s="12" t="s">
        <v>160</v>
      </c>
      <c r="E69" s="5" t="s">
        <v>2145</v>
      </c>
      <c r="F69" s="14"/>
      <c r="G69" s="14"/>
      <c r="H69" s="14" t="s">
        <v>87</v>
      </c>
      <c r="I69" s="14"/>
      <c r="J69" s="14"/>
      <c r="K69" s="14"/>
      <c r="L69" s="15"/>
      <c r="M69" s="12" t="s">
        <v>88</v>
      </c>
      <c r="N69" s="5" t="s">
        <v>2146</v>
      </c>
      <c r="O69" s="12" t="s">
        <v>2147</v>
      </c>
      <c r="P69" s="5" t="s">
        <v>2148</v>
      </c>
      <c r="Q69" s="12" t="s">
        <v>360</v>
      </c>
      <c r="R69" s="12" t="s">
        <v>1270</v>
      </c>
      <c r="S69" s="5" t="s">
        <v>2149</v>
      </c>
      <c r="T69" s="5" t="s">
        <v>2150</v>
      </c>
      <c r="U69" s="12" t="n">
        <v>5</v>
      </c>
      <c r="V69" s="12" t="n">
        <v>2</v>
      </c>
      <c r="W69" s="12" t="n">
        <v>2</v>
      </c>
      <c r="X69" s="12" t="n">
        <v>1</v>
      </c>
      <c r="Y69" s="12" t="n">
        <v>0</v>
      </c>
    </row>
    <row r="70" customFormat="false" ht="162" hidden="false" customHeight="true" outlineLevel="0" collapsed="false">
      <c r="A70" s="12" t="s">
        <v>2137</v>
      </c>
      <c r="B70" s="5" t="s">
        <v>2138</v>
      </c>
      <c r="C70" s="12" t="s">
        <v>2151</v>
      </c>
      <c r="D70" s="12" t="s">
        <v>160</v>
      </c>
      <c r="E70" s="5" t="s">
        <v>2152</v>
      </c>
      <c r="F70" s="14"/>
      <c r="G70" s="14"/>
      <c r="H70" s="14" t="s">
        <v>87</v>
      </c>
      <c r="I70" s="14"/>
      <c r="J70" s="14"/>
      <c r="K70" s="14"/>
      <c r="L70" s="15"/>
      <c r="M70" s="12" t="s">
        <v>88</v>
      </c>
      <c r="N70" s="5" t="s">
        <v>2153</v>
      </c>
      <c r="O70" s="12" t="s">
        <v>524</v>
      </c>
      <c r="P70" s="5" t="s">
        <v>2154</v>
      </c>
      <c r="Q70" s="12" t="s">
        <v>124</v>
      </c>
      <c r="R70" s="12" t="s">
        <v>1270</v>
      </c>
      <c r="S70" s="5" t="s">
        <v>2155</v>
      </c>
      <c r="T70" s="5" t="s">
        <v>2156</v>
      </c>
      <c r="U70" s="12" t="n">
        <v>5</v>
      </c>
      <c r="V70" s="12" t="n">
        <v>2</v>
      </c>
      <c r="W70" s="12" t="n">
        <v>2</v>
      </c>
      <c r="X70" s="12" t="n">
        <v>1</v>
      </c>
      <c r="Y70" s="12" t="n">
        <v>0</v>
      </c>
    </row>
    <row r="71" customFormat="false" ht="149.25" hidden="false" customHeight="true" outlineLevel="0" collapsed="false">
      <c r="A71" s="12" t="s">
        <v>2137</v>
      </c>
      <c r="B71" s="5" t="s">
        <v>2138</v>
      </c>
      <c r="C71" s="12" t="s">
        <v>2157</v>
      </c>
      <c r="D71" s="12" t="s">
        <v>160</v>
      </c>
      <c r="E71" s="5" t="s">
        <v>2158</v>
      </c>
      <c r="F71" s="14"/>
      <c r="G71" s="14"/>
      <c r="H71" s="14" t="s">
        <v>87</v>
      </c>
      <c r="I71" s="14"/>
      <c r="J71" s="14"/>
      <c r="K71" s="14"/>
      <c r="L71" s="15"/>
      <c r="M71" s="12" t="s">
        <v>88</v>
      </c>
      <c r="N71" s="5" t="s">
        <v>2159</v>
      </c>
      <c r="O71" s="12" t="s">
        <v>661</v>
      </c>
      <c r="P71" s="5" t="s">
        <v>2160</v>
      </c>
      <c r="Q71" s="12" t="s">
        <v>124</v>
      </c>
      <c r="R71" s="12" t="s">
        <v>793</v>
      </c>
      <c r="S71" s="5" t="s">
        <v>2161</v>
      </c>
      <c r="T71" s="5" t="s">
        <v>2162</v>
      </c>
      <c r="U71" s="12" t="n">
        <v>5</v>
      </c>
      <c r="V71" s="12" t="n">
        <v>2</v>
      </c>
      <c r="W71" s="12" t="n">
        <v>2</v>
      </c>
      <c r="X71" s="12" t="n">
        <v>1</v>
      </c>
      <c r="Y71" s="12" t="n">
        <v>1</v>
      </c>
    </row>
    <row r="72" customFormat="false" ht="95.25" hidden="false" customHeight="true" outlineLevel="0" collapsed="false">
      <c r="A72" s="10" t="s">
        <v>2163</v>
      </c>
      <c r="B72" s="11" t="s">
        <v>2164</v>
      </c>
      <c r="C72" s="12"/>
      <c r="D72" s="12" t="s">
        <v>120</v>
      </c>
      <c r="E72" s="5" t="s">
        <v>79</v>
      </c>
      <c r="F72" s="12"/>
      <c r="G72" s="12"/>
      <c r="H72" s="13" t="str">
        <f aca="false">IF(OR(COUNTBLANK($H$73:$H$74)&gt;0,COUNTIF($H$73:$H$74,"unbearbeitet")=COUNTA($H$73:$H$74)),"Bitte Teilanforderungen ausfüllen",IF(COUNTIF($H$73:$H$74,"zu klären")&gt;0,"zu klären",IF(COUNTIF($H$73:$H$74,"entbehrlich")=COUNTA($H$73:$H$74),"entbehrlich",IF(COUNTIF($H$73:$H$74,"verwiesen")=COUNTA($H$73:$H$74),"verwiesen",IF(COUNTIF($H$73:$H$74,"nein")+COUNTIF($H$73:$H$74,"entbehrlich")=COUNTA($H$73:$H$74),"nein",IF(COUNTIF($H$73:$H$74,"ja")+COUNTIF($H$73:$H$74,"entbehrlich")+COUNTIF($H$73:$H$74,"verwiesen")=COUNTA($H$73:$H$74),"ja","teilweise"))))))</f>
        <v>Bitte Teilanforderungen ausfüllen</v>
      </c>
      <c r="I72" s="12"/>
      <c r="J72" s="12"/>
      <c r="K72" s="12"/>
      <c r="L72" s="12"/>
      <c r="M72" s="12" t="s">
        <v>74</v>
      </c>
      <c r="N72" s="5" t="s">
        <v>2165</v>
      </c>
      <c r="O72" s="12" t="s">
        <v>2166</v>
      </c>
      <c r="P72" s="5" t="s">
        <v>2167</v>
      </c>
      <c r="Q72" s="12" t="s">
        <v>124</v>
      </c>
      <c r="R72" s="12" t="s">
        <v>1270</v>
      </c>
      <c r="S72" s="5" t="s">
        <v>2168</v>
      </c>
      <c r="T72" s="5" t="s">
        <v>2169</v>
      </c>
      <c r="U72" s="12" t="n">
        <v>3</v>
      </c>
      <c r="V72" s="12" t="n">
        <v>1</v>
      </c>
      <c r="W72" s="12" t="n">
        <v>1</v>
      </c>
      <c r="X72" s="12" t="n">
        <v>2</v>
      </c>
      <c r="Y72" s="12" t="n">
        <v>0</v>
      </c>
    </row>
    <row r="73" customFormat="false" ht="95.25" hidden="false" customHeight="true" outlineLevel="0" collapsed="false">
      <c r="A73" s="12" t="s">
        <v>2163</v>
      </c>
      <c r="B73" s="5" t="s">
        <v>2164</v>
      </c>
      <c r="C73" s="12" t="s">
        <v>2163</v>
      </c>
      <c r="D73" s="12" t="s">
        <v>120</v>
      </c>
      <c r="E73" s="5" t="s">
        <v>2170</v>
      </c>
      <c r="F73" s="14"/>
      <c r="G73" s="14"/>
      <c r="H73" s="14" t="s">
        <v>87</v>
      </c>
      <c r="I73" s="14"/>
      <c r="J73" s="14"/>
      <c r="K73" s="14"/>
      <c r="L73" s="15"/>
      <c r="M73" s="12" t="s">
        <v>74</v>
      </c>
      <c r="N73" s="5" t="s">
        <v>2165</v>
      </c>
      <c r="O73" s="12" t="s">
        <v>2166</v>
      </c>
      <c r="P73" s="5" t="s">
        <v>2167</v>
      </c>
      <c r="Q73" s="12" t="s">
        <v>124</v>
      </c>
      <c r="R73" s="12" t="s">
        <v>1270</v>
      </c>
      <c r="S73" s="5" t="s">
        <v>2168</v>
      </c>
      <c r="T73" s="5" t="s">
        <v>2169</v>
      </c>
      <c r="U73" s="12" t="n">
        <v>3</v>
      </c>
      <c r="V73" s="12" t="n">
        <v>1</v>
      </c>
      <c r="W73" s="12" t="n">
        <v>1</v>
      </c>
      <c r="X73" s="12" t="n">
        <v>2</v>
      </c>
      <c r="Y73" s="12" t="n">
        <v>0</v>
      </c>
    </row>
    <row r="74" customFormat="false" ht="81.75" hidden="false" customHeight="true" outlineLevel="0" collapsed="false">
      <c r="A74" s="12" t="s">
        <v>2163</v>
      </c>
      <c r="B74" s="5" t="s">
        <v>2164</v>
      </c>
      <c r="C74" s="12" t="s">
        <v>2171</v>
      </c>
      <c r="D74" s="12" t="s">
        <v>160</v>
      </c>
      <c r="E74" s="5" t="s">
        <v>2172</v>
      </c>
      <c r="F74" s="14"/>
      <c r="G74" s="14"/>
      <c r="H74" s="14" t="s">
        <v>87</v>
      </c>
      <c r="I74" s="14"/>
      <c r="J74" s="14"/>
      <c r="K74" s="14"/>
      <c r="L74" s="15"/>
      <c r="M74" s="12" t="s">
        <v>74</v>
      </c>
      <c r="N74" s="5" t="s">
        <v>2173</v>
      </c>
      <c r="O74" s="12" t="s">
        <v>2174</v>
      </c>
      <c r="P74" s="5" t="s">
        <v>2175</v>
      </c>
      <c r="Q74" s="12" t="s">
        <v>124</v>
      </c>
      <c r="R74" s="12" t="s">
        <v>1270</v>
      </c>
      <c r="S74" s="5" t="s">
        <v>2176</v>
      </c>
      <c r="T74" s="5" t="s">
        <v>2177</v>
      </c>
      <c r="U74" s="12" t="n">
        <v>4</v>
      </c>
      <c r="V74" s="12" t="n">
        <v>1</v>
      </c>
      <c r="W74" s="12" t="n">
        <v>1</v>
      </c>
      <c r="X74" s="12" t="n">
        <v>2</v>
      </c>
      <c r="Y74" s="12" t="n">
        <v>0</v>
      </c>
    </row>
    <row r="75" customFormat="false" ht="283.5" hidden="false" customHeight="true" outlineLevel="0" collapsed="false">
      <c r="A75" s="10" t="s">
        <v>2178</v>
      </c>
      <c r="B75" s="11" t="s">
        <v>2179</v>
      </c>
      <c r="C75" s="12"/>
      <c r="D75" s="12" t="s">
        <v>120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t="s">
        <v>74</v>
      </c>
      <c r="N75" s="5" t="s">
        <v>2180</v>
      </c>
      <c r="O75" s="12" t="s">
        <v>2181</v>
      </c>
      <c r="P75" s="5" t="s">
        <v>2182</v>
      </c>
      <c r="Q75" s="12" t="s">
        <v>469</v>
      </c>
      <c r="R75" s="12" t="s">
        <v>1270</v>
      </c>
      <c r="S75" s="5" t="s">
        <v>2183</v>
      </c>
      <c r="T75" s="5" t="s">
        <v>2184</v>
      </c>
      <c r="U75" s="12" t="n">
        <v>3</v>
      </c>
      <c r="V75" s="12" t="n">
        <v>1</v>
      </c>
      <c r="W75" s="12" t="n">
        <v>1</v>
      </c>
      <c r="X75" s="12" t="n">
        <v>2</v>
      </c>
      <c r="Y75" s="12" t="n">
        <v>0</v>
      </c>
    </row>
    <row r="76" customFormat="false" ht="283.5" hidden="false" customHeight="true" outlineLevel="0" collapsed="false">
      <c r="A76" s="12" t="s">
        <v>2178</v>
      </c>
      <c r="B76" s="5" t="s">
        <v>2179</v>
      </c>
      <c r="C76" s="12" t="s">
        <v>2178</v>
      </c>
      <c r="D76" s="12" t="s">
        <v>120</v>
      </c>
      <c r="E76" s="5" t="s">
        <v>2185</v>
      </c>
      <c r="F76" s="14"/>
      <c r="G76" s="14"/>
      <c r="H76" s="14" t="s">
        <v>87</v>
      </c>
      <c r="I76" s="14"/>
      <c r="J76" s="14"/>
      <c r="K76" s="14"/>
      <c r="L76" s="15"/>
      <c r="M76" s="12" t="s">
        <v>74</v>
      </c>
      <c r="N76" s="5" t="s">
        <v>2180</v>
      </c>
      <c r="O76" s="12" t="s">
        <v>2181</v>
      </c>
      <c r="P76" s="5" t="s">
        <v>2182</v>
      </c>
      <c r="Q76" s="12" t="s">
        <v>469</v>
      </c>
      <c r="R76" s="12" t="s">
        <v>1270</v>
      </c>
      <c r="S76" s="5" t="s">
        <v>2183</v>
      </c>
      <c r="T76" s="5" t="s">
        <v>2184</v>
      </c>
      <c r="U76" s="12" t="n">
        <v>3</v>
      </c>
      <c r="V76" s="12" t="n">
        <v>1</v>
      </c>
      <c r="W76" s="12" t="n">
        <v>1</v>
      </c>
      <c r="X76" s="12" t="n">
        <v>2</v>
      </c>
      <c r="Y76" s="12" t="n">
        <v>0</v>
      </c>
    </row>
    <row r="77" customFormat="false" ht="68.25" hidden="false" customHeight="true" outlineLevel="0" collapsed="false">
      <c r="A77" s="10" t="s">
        <v>2186</v>
      </c>
      <c r="B77" s="11" t="s">
        <v>2187</v>
      </c>
      <c r="C77" s="12"/>
      <c r="D77" s="12" t="s">
        <v>120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t="s">
        <v>74</v>
      </c>
      <c r="N77" s="5" t="s">
        <v>2188</v>
      </c>
      <c r="O77" s="12" t="s">
        <v>2189</v>
      </c>
      <c r="P77" s="5" t="s">
        <v>2190</v>
      </c>
      <c r="Q77" s="12" t="s">
        <v>460</v>
      </c>
      <c r="R77" s="12" t="s">
        <v>1270</v>
      </c>
      <c r="S77" s="5" t="s">
        <v>2183</v>
      </c>
      <c r="T77" s="5" t="s">
        <v>2184</v>
      </c>
      <c r="U77" s="12" t="n">
        <v>4</v>
      </c>
      <c r="V77" s="12" t="n">
        <v>1</v>
      </c>
      <c r="W77" s="12" t="n">
        <v>1</v>
      </c>
      <c r="X77" s="12" t="n">
        <v>2</v>
      </c>
      <c r="Y77" s="12" t="n">
        <v>0</v>
      </c>
    </row>
    <row r="78" customFormat="false" ht="68.25" hidden="false" customHeight="true" outlineLevel="0" collapsed="false">
      <c r="A78" s="12" t="s">
        <v>2186</v>
      </c>
      <c r="B78" s="5" t="s">
        <v>2187</v>
      </c>
      <c r="C78" s="12" t="s">
        <v>2186</v>
      </c>
      <c r="D78" s="12" t="s">
        <v>120</v>
      </c>
      <c r="E78" s="5" t="s">
        <v>2191</v>
      </c>
      <c r="F78" s="14"/>
      <c r="G78" s="14"/>
      <c r="H78" s="14" t="s">
        <v>87</v>
      </c>
      <c r="I78" s="14"/>
      <c r="J78" s="14"/>
      <c r="K78" s="14"/>
      <c r="L78" s="15"/>
      <c r="M78" s="12" t="s">
        <v>74</v>
      </c>
      <c r="N78" s="5" t="s">
        <v>2188</v>
      </c>
      <c r="O78" s="12" t="s">
        <v>2189</v>
      </c>
      <c r="P78" s="5" t="s">
        <v>2190</v>
      </c>
      <c r="Q78" s="12" t="s">
        <v>460</v>
      </c>
      <c r="R78" s="12" t="s">
        <v>1270</v>
      </c>
      <c r="S78" s="5" t="s">
        <v>2183</v>
      </c>
      <c r="T78" s="5" t="s">
        <v>2184</v>
      </c>
      <c r="U78" s="12" t="n">
        <v>4</v>
      </c>
      <c r="V78" s="12" t="n">
        <v>1</v>
      </c>
      <c r="W78" s="12" t="n">
        <v>1</v>
      </c>
      <c r="X78" s="12" t="n">
        <v>2</v>
      </c>
      <c r="Y78" s="12" t="n">
        <v>0</v>
      </c>
    </row>
    <row r="79" customFormat="false" ht="68.25" hidden="false" customHeight="true" outlineLevel="0" collapsed="false">
      <c r="A79" s="10" t="s">
        <v>2192</v>
      </c>
      <c r="B79" s="11" t="s">
        <v>2193</v>
      </c>
      <c r="C79" s="12"/>
      <c r="D79" s="12" t="s">
        <v>120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t="s">
        <v>74</v>
      </c>
      <c r="N79" s="5" t="s">
        <v>2194</v>
      </c>
      <c r="O79" s="12" t="s">
        <v>2195</v>
      </c>
      <c r="P79" s="5" t="s">
        <v>2196</v>
      </c>
      <c r="Q79" s="12" t="s">
        <v>469</v>
      </c>
      <c r="R79" s="12" t="s">
        <v>1270</v>
      </c>
      <c r="S79" s="5" t="s">
        <v>2197</v>
      </c>
      <c r="T79" s="5" t="s">
        <v>2198</v>
      </c>
      <c r="U79" s="12" t="n">
        <v>3</v>
      </c>
      <c r="V79" s="12" t="n">
        <v>1</v>
      </c>
      <c r="W79" s="12" t="n">
        <v>1</v>
      </c>
      <c r="X79" s="12" t="n">
        <v>2</v>
      </c>
      <c r="Y79" s="12" t="n">
        <v>0</v>
      </c>
    </row>
    <row r="80" customFormat="false" ht="68.25" hidden="false" customHeight="true" outlineLevel="0" collapsed="false">
      <c r="A80" s="12" t="s">
        <v>2192</v>
      </c>
      <c r="B80" s="5" t="s">
        <v>2193</v>
      </c>
      <c r="C80" s="12" t="s">
        <v>2192</v>
      </c>
      <c r="D80" s="12" t="s">
        <v>120</v>
      </c>
      <c r="E80" s="5" t="s">
        <v>2199</v>
      </c>
      <c r="F80" s="14"/>
      <c r="G80" s="14"/>
      <c r="H80" s="14" t="s">
        <v>87</v>
      </c>
      <c r="I80" s="14"/>
      <c r="J80" s="14"/>
      <c r="K80" s="14"/>
      <c r="L80" s="15"/>
      <c r="M80" s="12" t="s">
        <v>74</v>
      </c>
      <c r="N80" s="5" t="s">
        <v>2194</v>
      </c>
      <c r="O80" s="12" t="s">
        <v>2195</v>
      </c>
      <c r="P80" s="5" t="s">
        <v>2196</v>
      </c>
      <c r="Q80" s="12" t="s">
        <v>469</v>
      </c>
      <c r="R80" s="12" t="s">
        <v>1270</v>
      </c>
      <c r="S80" s="5" t="s">
        <v>2197</v>
      </c>
      <c r="T80" s="5" t="s">
        <v>2198</v>
      </c>
      <c r="U80" s="12" t="n">
        <v>3</v>
      </c>
      <c r="V80" s="12" t="n">
        <v>1</v>
      </c>
      <c r="W80" s="12" t="n">
        <v>1</v>
      </c>
      <c r="X80" s="12" t="n">
        <v>2</v>
      </c>
      <c r="Y80" s="12" t="n">
        <v>0</v>
      </c>
    </row>
    <row r="81" customFormat="false" ht="81.75" hidden="false" customHeight="true" outlineLevel="0" collapsed="false">
      <c r="A81" s="10" t="s">
        <v>2200</v>
      </c>
      <c r="B81" s="11" t="s">
        <v>2201</v>
      </c>
      <c r="C81" s="12"/>
      <c r="D81" s="12" t="s">
        <v>160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74</v>
      </c>
      <c r="N81" s="5" t="s">
        <v>2202</v>
      </c>
      <c r="O81" s="12" t="s">
        <v>2203</v>
      </c>
      <c r="P81" s="5" t="s">
        <v>2204</v>
      </c>
      <c r="Q81" s="12" t="s">
        <v>460</v>
      </c>
      <c r="R81" s="12" t="s">
        <v>1270</v>
      </c>
      <c r="S81" s="5" t="s">
        <v>2205</v>
      </c>
      <c r="T81" s="5" t="s">
        <v>2206</v>
      </c>
      <c r="U81" s="12" t="n">
        <v>3</v>
      </c>
      <c r="V81" s="12" t="n">
        <v>1</v>
      </c>
      <c r="W81" s="12" t="n">
        <v>1</v>
      </c>
      <c r="X81" s="12" t="n">
        <v>2</v>
      </c>
      <c r="Y81" s="12" t="n">
        <v>0</v>
      </c>
    </row>
    <row r="82" customFormat="false" ht="81.75" hidden="false" customHeight="true" outlineLevel="0" collapsed="false">
      <c r="A82" s="12" t="s">
        <v>2200</v>
      </c>
      <c r="B82" s="5" t="s">
        <v>2201</v>
      </c>
      <c r="C82" s="12" t="s">
        <v>2200</v>
      </c>
      <c r="D82" s="12" t="s">
        <v>160</v>
      </c>
      <c r="E82" s="5" t="s">
        <v>2207</v>
      </c>
      <c r="F82" s="14"/>
      <c r="G82" s="14"/>
      <c r="H82" s="14" t="s">
        <v>87</v>
      </c>
      <c r="I82" s="14"/>
      <c r="J82" s="14"/>
      <c r="K82" s="14"/>
      <c r="L82" s="15"/>
      <c r="M82" s="12" t="s">
        <v>74</v>
      </c>
      <c r="N82" s="5" t="s">
        <v>2202</v>
      </c>
      <c r="O82" s="12" t="s">
        <v>2203</v>
      </c>
      <c r="P82" s="5" t="s">
        <v>2204</v>
      </c>
      <c r="Q82" s="12" t="s">
        <v>460</v>
      </c>
      <c r="R82" s="12" t="s">
        <v>1270</v>
      </c>
      <c r="S82" s="5" t="s">
        <v>2205</v>
      </c>
      <c r="T82" s="5" t="s">
        <v>2206</v>
      </c>
      <c r="U82" s="12" t="n">
        <v>3</v>
      </c>
      <c r="V82" s="12" t="n">
        <v>1</v>
      </c>
      <c r="W82" s="12" t="n">
        <v>1</v>
      </c>
      <c r="X82" s="12" t="n">
        <v>2</v>
      </c>
      <c r="Y82" s="12" t="n">
        <v>0</v>
      </c>
    </row>
    <row r="83" customFormat="false" ht="54.75" hidden="false" customHeight="true" outlineLevel="0" collapsed="false">
      <c r="A83" s="10" t="s">
        <v>2208</v>
      </c>
      <c r="B83" s="11" t="s">
        <v>2209</v>
      </c>
      <c r="C83" s="12"/>
      <c r="D83" s="12" t="s">
        <v>160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74</v>
      </c>
      <c r="N83" s="5" t="s">
        <v>2210</v>
      </c>
      <c r="O83" s="12" t="s">
        <v>2211</v>
      </c>
      <c r="P83" s="5" t="s">
        <v>2212</v>
      </c>
      <c r="Q83" s="12" t="s">
        <v>460</v>
      </c>
      <c r="R83" s="12" t="s">
        <v>1270</v>
      </c>
      <c r="S83" s="5" t="s">
        <v>2213</v>
      </c>
      <c r="T83" s="5" t="s">
        <v>2206</v>
      </c>
      <c r="U83" s="12" t="n">
        <v>3</v>
      </c>
      <c r="V83" s="12" t="n">
        <v>1</v>
      </c>
      <c r="W83" s="12" t="n">
        <v>1</v>
      </c>
      <c r="X83" s="12" t="n">
        <v>2</v>
      </c>
      <c r="Y83" s="12" t="n">
        <v>0</v>
      </c>
    </row>
    <row r="84" customFormat="false" ht="54.75" hidden="false" customHeight="true" outlineLevel="0" collapsed="false">
      <c r="A84" s="12" t="s">
        <v>2208</v>
      </c>
      <c r="B84" s="5" t="s">
        <v>2209</v>
      </c>
      <c r="C84" s="12" t="s">
        <v>2208</v>
      </c>
      <c r="D84" s="12" t="s">
        <v>160</v>
      </c>
      <c r="E84" s="5" t="s">
        <v>2214</v>
      </c>
      <c r="F84" s="14"/>
      <c r="G84" s="14"/>
      <c r="H84" s="14" t="s">
        <v>87</v>
      </c>
      <c r="I84" s="14"/>
      <c r="J84" s="14"/>
      <c r="K84" s="14"/>
      <c r="L84" s="15"/>
      <c r="M84" s="12" t="s">
        <v>74</v>
      </c>
      <c r="N84" s="5" t="s">
        <v>2210</v>
      </c>
      <c r="O84" s="12" t="s">
        <v>2211</v>
      </c>
      <c r="P84" s="5" t="s">
        <v>2212</v>
      </c>
      <c r="Q84" s="12" t="s">
        <v>460</v>
      </c>
      <c r="R84" s="12" t="s">
        <v>1270</v>
      </c>
      <c r="S84" s="5" t="s">
        <v>2213</v>
      </c>
      <c r="T84" s="5" t="s">
        <v>2206</v>
      </c>
      <c r="U84" s="12" t="n">
        <v>3</v>
      </c>
      <c r="V84" s="12" t="n">
        <v>1</v>
      </c>
      <c r="W84" s="12" t="n">
        <v>1</v>
      </c>
      <c r="X84" s="12" t="n">
        <v>2</v>
      </c>
      <c r="Y84" s="12" t="n">
        <v>0</v>
      </c>
    </row>
    <row r="85" customFormat="false" ht="216" hidden="false" customHeight="true" outlineLevel="0" collapsed="false">
      <c r="A85" s="10" t="s">
        <v>2215</v>
      </c>
      <c r="B85" s="11" t="s">
        <v>2216</v>
      </c>
      <c r="C85" s="12"/>
      <c r="D85" s="12" t="s">
        <v>160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c r="N85" s="5" t="s">
        <v>2217</v>
      </c>
      <c r="O85" s="12" t="s">
        <v>272</v>
      </c>
      <c r="P85" s="5" t="s">
        <v>2218</v>
      </c>
      <c r="Q85" s="12" t="s">
        <v>2219</v>
      </c>
      <c r="R85" s="12" t="s">
        <v>1270</v>
      </c>
      <c r="S85" s="5" t="s">
        <v>2220</v>
      </c>
      <c r="T85" s="5" t="s">
        <v>2221</v>
      </c>
      <c r="U85" s="12" t="n">
        <v>5</v>
      </c>
      <c r="V85" s="12" t="n">
        <v>0</v>
      </c>
      <c r="W85" s="12" t="n">
        <v>0</v>
      </c>
      <c r="X85" s="12" t="n">
        <v>1</v>
      </c>
      <c r="Y85" s="12" t="n">
        <v>0</v>
      </c>
    </row>
    <row r="86" customFormat="false" ht="216" hidden="false" customHeight="true" outlineLevel="0" collapsed="false">
      <c r="A86" s="12" t="s">
        <v>2215</v>
      </c>
      <c r="B86" s="5" t="s">
        <v>2216</v>
      </c>
      <c r="C86" s="12" t="s">
        <v>2215</v>
      </c>
      <c r="D86" s="12" t="s">
        <v>160</v>
      </c>
      <c r="E86" s="5" t="s">
        <v>2222</v>
      </c>
      <c r="F86" s="14"/>
      <c r="G86" s="14"/>
      <c r="H86" s="14" t="s">
        <v>87</v>
      </c>
      <c r="I86" s="14"/>
      <c r="J86" s="14"/>
      <c r="K86" s="14"/>
      <c r="L86" s="15"/>
      <c r="M86" s="12"/>
      <c r="N86" s="5" t="s">
        <v>2217</v>
      </c>
      <c r="O86" s="12" t="s">
        <v>272</v>
      </c>
      <c r="P86" s="5" t="s">
        <v>2218</v>
      </c>
      <c r="Q86" s="12" t="s">
        <v>2219</v>
      </c>
      <c r="R86" s="12" t="s">
        <v>1270</v>
      </c>
      <c r="S86" s="5" t="s">
        <v>2220</v>
      </c>
      <c r="T86" s="5" t="s">
        <v>2221</v>
      </c>
      <c r="U86" s="12" t="n">
        <v>5</v>
      </c>
      <c r="V86" s="12" t="n">
        <v>0</v>
      </c>
      <c r="W86" s="12" t="n">
        <v>0</v>
      </c>
      <c r="X86" s="12" t="n">
        <v>1</v>
      </c>
      <c r="Y86" s="12" t="n">
        <v>0</v>
      </c>
    </row>
    <row r="87" customFormat="false" ht="216" hidden="false" customHeight="true" outlineLevel="0" collapsed="false">
      <c r="A87" s="10" t="s">
        <v>2223</v>
      </c>
      <c r="B87" s="11" t="s">
        <v>2224</v>
      </c>
      <c r="C87" s="12"/>
      <c r="D87" s="12" t="s">
        <v>160</v>
      </c>
      <c r="E87" s="5" t="s">
        <v>79</v>
      </c>
      <c r="F87" s="12"/>
      <c r="G87" s="12"/>
      <c r="H87" s="13" t="str">
        <f aca="false">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2"/>
      <c r="J87" s="12"/>
      <c r="K87" s="12"/>
      <c r="L87" s="12"/>
      <c r="M87" s="12" t="s">
        <v>88</v>
      </c>
      <c r="N87" s="5" t="s">
        <v>2225</v>
      </c>
      <c r="O87" s="12" t="s">
        <v>2226</v>
      </c>
      <c r="P87" s="5" t="s">
        <v>2227</v>
      </c>
      <c r="Q87" s="12" t="s">
        <v>2228</v>
      </c>
      <c r="R87" s="12" t="s">
        <v>1270</v>
      </c>
      <c r="S87" s="5" t="s">
        <v>2229</v>
      </c>
      <c r="T87" s="5" t="s">
        <v>2230</v>
      </c>
      <c r="U87" s="12" t="n">
        <v>5</v>
      </c>
      <c r="V87" s="12" t="n">
        <v>2</v>
      </c>
      <c r="W87" s="12" t="n">
        <v>2</v>
      </c>
      <c r="X87" s="12" t="n">
        <v>1</v>
      </c>
      <c r="Y87" s="12" t="n">
        <v>1</v>
      </c>
    </row>
    <row r="88" customFormat="false" ht="216" hidden="false" customHeight="true" outlineLevel="0" collapsed="false">
      <c r="A88" s="12" t="s">
        <v>2223</v>
      </c>
      <c r="B88" s="5" t="s">
        <v>2224</v>
      </c>
      <c r="C88" s="12" t="s">
        <v>2223</v>
      </c>
      <c r="D88" s="12" t="s">
        <v>160</v>
      </c>
      <c r="E88" s="5" t="s">
        <v>2231</v>
      </c>
      <c r="F88" s="14"/>
      <c r="G88" s="14"/>
      <c r="H88" s="14" t="s">
        <v>87</v>
      </c>
      <c r="I88" s="14"/>
      <c r="J88" s="14"/>
      <c r="K88" s="14"/>
      <c r="L88" s="15"/>
      <c r="M88" s="12" t="s">
        <v>88</v>
      </c>
      <c r="N88" s="5" t="s">
        <v>2225</v>
      </c>
      <c r="O88" s="12" t="s">
        <v>2226</v>
      </c>
      <c r="P88" s="5" t="s">
        <v>2227</v>
      </c>
      <c r="Q88" s="12" t="s">
        <v>2228</v>
      </c>
      <c r="R88" s="12" t="s">
        <v>1270</v>
      </c>
      <c r="S88" s="5" t="s">
        <v>2229</v>
      </c>
      <c r="T88" s="5" t="s">
        <v>2230</v>
      </c>
      <c r="U88" s="12" t="n">
        <v>5</v>
      </c>
      <c r="V88" s="12" t="n">
        <v>2</v>
      </c>
      <c r="W88" s="12" t="n">
        <v>2</v>
      </c>
      <c r="X88" s="12" t="n">
        <v>1</v>
      </c>
      <c r="Y88" s="12" t="n">
        <v>1</v>
      </c>
    </row>
    <row r="89" customFormat="false" ht="135.75" hidden="false" customHeight="true" outlineLevel="0" collapsed="false">
      <c r="A89" s="10" t="s">
        <v>2232</v>
      </c>
      <c r="B89" s="11" t="s">
        <v>2233</v>
      </c>
      <c r="C89" s="12"/>
      <c r="D89" s="12" t="s">
        <v>120</v>
      </c>
      <c r="E89" s="5" t="s">
        <v>79</v>
      </c>
      <c r="F89" s="12"/>
      <c r="G89" s="12"/>
      <c r="H89" s="13" t="str">
        <f aca="false">IF(OR(COUNTBLANK($H$90:$H$91)&gt;0,COUNTIF($H$90:$H$91,"unbearbeitet")=COUNTA($H$90:$H$91)),"Bitte Teilanforderungen ausfüllen",IF(COUNTIF($H$90:$H$91,"zu klären")&gt;0,"zu klären",IF(COUNTIF($H$90:$H$91,"entbehrlich")=COUNTA($H$90:$H$91),"entbehrlich",IF(COUNTIF($H$90:$H$91,"verwiesen")=COUNTA($H$90:$H$91),"verwiesen",IF(COUNTIF($H$90:$H$91,"nein")+COUNTIF($H$90:$H$91,"entbehrlich")=COUNTA($H$90:$H$91),"nein",IF(COUNTIF($H$90:$H$91,"ja")+COUNTIF($H$90:$H$91,"entbehrlich")+COUNTIF($H$90:$H$91,"verwiesen")=COUNTA($H$90:$H$91),"ja","teilweise"))))))</f>
        <v>Bitte Teilanforderungen ausfüllen</v>
      </c>
      <c r="I89" s="12"/>
      <c r="J89" s="12"/>
      <c r="K89" s="12"/>
      <c r="L89" s="12"/>
      <c r="M89" s="12" t="s">
        <v>88</v>
      </c>
      <c r="N89" s="5" t="s">
        <v>2234</v>
      </c>
      <c r="O89" s="12" t="s">
        <v>2235</v>
      </c>
      <c r="P89" s="5" t="s">
        <v>2236</v>
      </c>
      <c r="Q89" s="12"/>
      <c r="R89" s="12" t="s">
        <v>2237</v>
      </c>
      <c r="S89" s="5" t="s">
        <v>2238</v>
      </c>
      <c r="T89" s="5" t="s">
        <v>2239</v>
      </c>
      <c r="U89" s="12" t="n">
        <v>4</v>
      </c>
      <c r="V89" s="12" t="n">
        <v>2</v>
      </c>
      <c r="W89" s="12" t="n">
        <v>2</v>
      </c>
      <c r="X89" s="12" t="n">
        <v>1</v>
      </c>
      <c r="Y89" s="12" t="n">
        <v>0</v>
      </c>
    </row>
    <row r="90" customFormat="false" ht="135.75" hidden="false" customHeight="true" outlineLevel="0" collapsed="false">
      <c r="A90" s="12" t="s">
        <v>2232</v>
      </c>
      <c r="B90" s="5" t="s">
        <v>2233</v>
      </c>
      <c r="C90" s="12" t="s">
        <v>2232</v>
      </c>
      <c r="D90" s="12" t="s">
        <v>120</v>
      </c>
      <c r="E90" s="5" t="s">
        <v>2240</v>
      </c>
      <c r="F90" s="14"/>
      <c r="G90" s="14"/>
      <c r="H90" s="14" t="s">
        <v>87</v>
      </c>
      <c r="I90" s="14"/>
      <c r="J90" s="14"/>
      <c r="K90" s="14"/>
      <c r="L90" s="15"/>
      <c r="M90" s="12" t="s">
        <v>88</v>
      </c>
      <c r="N90" s="5" t="s">
        <v>2234</v>
      </c>
      <c r="O90" s="12" t="s">
        <v>2235</v>
      </c>
      <c r="P90" s="5" t="s">
        <v>2236</v>
      </c>
      <c r="Q90" s="12"/>
      <c r="R90" s="12" t="s">
        <v>2237</v>
      </c>
      <c r="S90" s="5" t="s">
        <v>2238</v>
      </c>
      <c r="T90" s="5" t="s">
        <v>2239</v>
      </c>
      <c r="U90" s="12" t="n">
        <v>4</v>
      </c>
      <c r="V90" s="12" t="n">
        <v>2</v>
      </c>
      <c r="W90" s="12" t="n">
        <v>2</v>
      </c>
      <c r="X90" s="12" t="n">
        <v>1</v>
      </c>
      <c r="Y90" s="12" t="n">
        <v>0</v>
      </c>
    </row>
    <row r="91" customFormat="false" ht="175.5" hidden="false" customHeight="true" outlineLevel="0" collapsed="false">
      <c r="A91" s="12" t="s">
        <v>2232</v>
      </c>
      <c r="B91" s="5" t="s">
        <v>2233</v>
      </c>
      <c r="C91" s="12" t="s">
        <v>2241</v>
      </c>
      <c r="D91" s="12" t="s">
        <v>160</v>
      </c>
      <c r="E91" s="5" t="s">
        <v>2242</v>
      </c>
      <c r="F91" s="14"/>
      <c r="G91" s="14"/>
      <c r="H91" s="14" t="s">
        <v>87</v>
      </c>
      <c r="I91" s="14"/>
      <c r="J91" s="14"/>
      <c r="K91" s="14"/>
      <c r="L91" s="15"/>
      <c r="M91" s="12" t="s">
        <v>88</v>
      </c>
      <c r="N91" s="5" t="s">
        <v>2243</v>
      </c>
      <c r="O91" s="12" t="s">
        <v>661</v>
      </c>
      <c r="P91" s="5" t="s">
        <v>2244</v>
      </c>
      <c r="Q91" s="12"/>
      <c r="R91" s="12" t="s">
        <v>2237</v>
      </c>
      <c r="S91" s="5" t="s">
        <v>2245</v>
      </c>
      <c r="T91" s="5" t="s">
        <v>2246</v>
      </c>
      <c r="U91" s="12" t="n">
        <v>5</v>
      </c>
      <c r="V91" s="12" t="n">
        <v>2</v>
      </c>
      <c r="W91" s="12" t="n">
        <v>2</v>
      </c>
      <c r="X91" s="12" t="n">
        <v>1</v>
      </c>
      <c r="Y91" s="12" t="n">
        <v>0</v>
      </c>
    </row>
    <row r="92" customFormat="false" ht="108.75" hidden="false" customHeight="true" outlineLevel="0" collapsed="false">
      <c r="A92" s="10" t="s">
        <v>2247</v>
      </c>
      <c r="B92" s="11" t="s">
        <v>2237</v>
      </c>
      <c r="C92" s="12"/>
      <c r="D92" s="12" t="s">
        <v>120</v>
      </c>
      <c r="E92" s="5" t="s">
        <v>79</v>
      </c>
      <c r="F92" s="12"/>
      <c r="G92" s="12"/>
      <c r="H92" s="13" t="str">
        <f aca="false">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Bitte Teilanforderungen ausfüllen</v>
      </c>
      <c r="I92" s="12"/>
      <c r="J92" s="12"/>
      <c r="K92" s="12"/>
      <c r="L92" s="12"/>
      <c r="M92" s="12" t="s">
        <v>88</v>
      </c>
      <c r="N92" s="5" t="s">
        <v>2248</v>
      </c>
      <c r="O92" s="12" t="s">
        <v>2249</v>
      </c>
      <c r="P92" s="5" t="s">
        <v>2250</v>
      </c>
      <c r="Q92" s="12"/>
      <c r="R92" s="12" t="s">
        <v>2237</v>
      </c>
      <c r="S92" s="5" t="s">
        <v>2251</v>
      </c>
      <c r="T92" s="5" t="s">
        <v>2246</v>
      </c>
      <c r="U92" s="12" t="n">
        <v>3</v>
      </c>
      <c r="V92" s="12" t="n">
        <v>2</v>
      </c>
      <c r="W92" s="12" t="n">
        <v>2</v>
      </c>
      <c r="X92" s="12" t="n">
        <v>1</v>
      </c>
      <c r="Y92" s="12" t="n">
        <v>0</v>
      </c>
    </row>
    <row r="93" customFormat="false" ht="108.75" hidden="false" customHeight="true" outlineLevel="0" collapsed="false">
      <c r="A93" s="12" t="s">
        <v>2247</v>
      </c>
      <c r="B93" s="5" t="s">
        <v>2237</v>
      </c>
      <c r="C93" s="12" t="s">
        <v>2247</v>
      </c>
      <c r="D93" s="12" t="s">
        <v>120</v>
      </c>
      <c r="E93" s="5" t="s">
        <v>2252</v>
      </c>
      <c r="F93" s="14"/>
      <c r="G93" s="14"/>
      <c r="H93" s="14" t="s">
        <v>87</v>
      </c>
      <c r="I93" s="14"/>
      <c r="J93" s="14"/>
      <c r="K93" s="14"/>
      <c r="L93" s="15"/>
      <c r="M93" s="12" t="s">
        <v>88</v>
      </c>
      <c r="N93" s="5" t="s">
        <v>2248</v>
      </c>
      <c r="O93" s="12" t="s">
        <v>2249</v>
      </c>
      <c r="P93" s="5" t="s">
        <v>2250</v>
      </c>
      <c r="Q93" s="12"/>
      <c r="R93" s="12" t="s">
        <v>2237</v>
      </c>
      <c r="S93" s="5" t="s">
        <v>2251</v>
      </c>
      <c r="T93" s="5" t="s">
        <v>2246</v>
      </c>
      <c r="U93" s="12" t="n">
        <v>3</v>
      </c>
      <c r="V93" s="12" t="n">
        <v>2</v>
      </c>
      <c r="W93" s="12" t="n">
        <v>2</v>
      </c>
      <c r="X93" s="12" t="n">
        <v>1</v>
      </c>
      <c r="Y93" s="12" t="n">
        <v>0</v>
      </c>
    </row>
    <row r="94" customFormat="false" ht="81.75" hidden="false" customHeight="true" outlineLevel="0" collapsed="false">
      <c r="A94" s="10" t="s">
        <v>2253</v>
      </c>
      <c r="B94" s="11" t="s">
        <v>2254</v>
      </c>
      <c r="C94" s="12"/>
      <c r="D94" s="12" t="s">
        <v>120</v>
      </c>
      <c r="E94" s="5" t="s">
        <v>79</v>
      </c>
      <c r="F94" s="12"/>
      <c r="G94" s="12"/>
      <c r="H94" s="13" t="str">
        <f aca="false">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Bitte Teilanforderungen ausfüllen</v>
      </c>
      <c r="I94" s="12"/>
      <c r="J94" s="12"/>
      <c r="K94" s="12"/>
      <c r="L94" s="12"/>
      <c r="M94" s="12" t="s">
        <v>88</v>
      </c>
      <c r="N94" s="5" t="s">
        <v>2255</v>
      </c>
      <c r="O94" s="12" t="s">
        <v>2256</v>
      </c>
      <c r="P94" s="5" t="s">
        <v>2257</v>
      </c>
      <c r="Q94" s="12"/>
      <c r="R94" s="12" t="s">
        <v>1270</v>
      </c>
      <c r="S94" s="5" t="s">
        <v>2258</v>
      </c>
      <c r="T94" s="5" t="s">
        <v>2246</v>
      </c>
      <c r="U94" s="12" t="n">
        <v>3</v>
      </c>
      <c r="V94" s="12" t="n">
        <v>2</v>
      </c>
      <c r="W94" s="12" t="n">
        <v>2</v>
      </c>
      <c r="X94" s="12" t="n">
        <v>1</v>
      </c>
      <c r="Y94" s="12" t="n">
        <v>0</v>
      </c>
    </row>
    <row r="95" customFormat="false" ht="81.75" hidden="false" customHeight="true" outlineLevel="0" collapsed="false">
      <c r="A95" s="12" t="s">
        <v>2253</v>
      </c>
      <c r="B95" s="5" t="s">
        <v>2254</v>
      </c>
      <c r="C95" s="12" t="s">
        <v>2253</v>
      </c>
      <c r="D95" s="12" t="s">
        <v>120</v>
      </c>
      <c r="E95" s="5" t="s">
        <v>2259</v>
      </c>
      <c r="F95" s="14"/>
      <c r="G95" s="14"/>
      <c r="H95" s="14" t="s">
        <v>87</v>
      </c>
      <c r="I95" s="14"/>
      <c r="J95" s="14"/>
      <c r="K95" s="14"/>
      <c r="L95" s="15"/>
      <c r="M95" s="12" t="s">
        <v>88</v>
      </c>
      <c r="N95" s="5" t="s">
        <v>2255</v>
      </c>
      <c r="O95" s="12" t="s">
        <v>2256</v>
      </c>
      <c r="P95" s="5" t="s">
        <v>2257</v>
      </c>
      <c r="Q95" s="12"/>
      <c r="R95" s="12" t="s">
        <v>1270</v>
      </c>
      <c r="S95" s="5" t="s">
        <v>2258</v>
      </c>
      <c r="T95" s="5" t="s">
        <v>2246</v>
      </c>
      <c r="U95" s="12" t="n">
        <v>3</v>
      </c>
      <c r="V95" s="12" t="n">
        <v>2</v>
      </c>
      <c r="W95" s="12" t="n">
        <v>2</v>
      </c>
      <c r="X95" s="12" t="n">
        <v>1</v>
      </c>
      <c r="Y95" s="12" t="n">
        <v>0</v>
      </c>
    </row>
    <row r="96" customFormat="false" ht="95.25" hidden="false" customHeight="true" outlineLevel="0" collapsed="false">
      <c r="A96" s="12" t="s">
        <v>2253</v>
      </c>
      <c r="B96" s="5" t="s">
        <v>2254</v>
      </c>
      <c r="C96" s="12" t="s">
        <v>2260</v>
      </c>
      <c r="D96" s="12" t="s">
        <v>120</v>
      </c>
      <c r="E96" s="5" t="s">
        <v>2261</v>
      </c>
      <c r="F96" s="14"/>
      <c r="G96" s="14"/>
      <c r="H96" s="14" t="s">
        <v>87</v>
      </c>
      <c r="I96" s="14"/>
      <c r="J96" s="14"/>
      <c r="K96" s="14"/>
      <c r="L96" s="15"/>
      <c r="M96" s="12"/>
      <c r="N96" s="5" t="s">
        <v>2262</v>
      </c>
      <c r="O96" s="12" t="s">
        <v>2263</v>
      </c>
      <c r="P96" s="5" t="s">
        <v>2264</v>
      </c>
      <c r="Q96" s="12"/>
      <c r="R96" s="12" t="s">
        <v>1270</v>
      </c>
      <c r="S96" s="5" t="s">
        <v>2265</v>
      </c>
      <c r="T96" s="5" t="s">
        <v>2266</v>
      </c>
      <c r="U96" s="12" t="n">
        <v>4</v>
      </c>
      <c r="V96" s="12" t="n">
        <v>1</v>
      </c>
      <c r="W96" s="12" t="n">
        <v>1</v>
      </c>
      <c r="X96" s="12" t="n">
        <v>1</v>
      </c>
      <c r="Y96" s="12" t="n">
        <v>0</v>
      </c>
    </row>
    <row r="97" customFormat="false" ht="95.25" hidden="false" customHeight="true" outlineLevel="0" collapsed="false">
      <c r="A97" s="12" t="s">
        <v>2253</v>
      </c>
      <c r="B97" s="5" t="s">
        <v>2254</v>
      </c>
      <c r="C97" s="12" t="s">
        <v>2267</v>
      </c>
      <c r="D97" s="12" t="s">
        <v>160</v>
      </c>
      <c r="E97" s="5" t="s">
        <v>2268</v>
      </c>
      <c r="F97" s="14"/>
      <c r="G97" s="14"/>
      <c r="H97" s="14" t="s">
        <v>87</v>
      </c>
      <c r="I97" s="14"/>
      <c r="J97" s="14"/>
      <c r="K97" s="14"/>
      <c r="L97" s="15"/>
      <c r="M97" s="12" t="s">
        <v>88</v>
      </c>
      <c r="N97" s="5" t="s">
        <v>2269</v>
      </c>
      <c r="O97" s="12" t="s">
        <v>2211</v>
      </c>
      <c r="P97" s="5" t="s">
        <v>2270</v>
      </c>
      <c r="Q97" s="12"/>
      <c r="R97" s="12" t="s">
        <v>1270</v>
      </c>
      <c r="S97" s="5" t="s">
        <v>2271</v>
      </c>
      <c r="T97" s="5" t="s">
        <v>2272</v>
      </c>
      <c r="U97" s="12" t="n">
        <v>3</v>
      </c>
      <c r="V97" s="12" t="n">
        <v>2</v>
      </c>
      <c r="W97" s="12" t="n">
        <v>2</v>
      </c>
      <c r="X97" s="12" t="n">
        <v>1</v>
      </c>
      <c r="Y97" s="12" t="n">
        <v>0</v>
      </c>
    </row>
    <row r="98" customFormat="false" ht="243" hidden="false" customHeight="true" outlineLevel="0" collapsed="false">
      <c r="A98" s="12" t="s">
        <v>2253</v>
      </c>
      <c r="B98" s="5" t="s">
        <v>2254</v>
      </c>
      <c r="C98" s="12" t="s">
        <v>2273</v>
      </c>
      <c r="D98" s="12" t="s">
        <v>160</v>
      </c>
      <c r="E98" s="5" t="s">
        <v>2274</v>
      </c>
      <c r="F98" s="14"/>
      <c r="G98" s="14"/>
      <c r="H98" s="14" t="s">
        <v>87</v>
      </c>
      <c r="I98" s="14"/>
      <c r="J98" s="14"/>
      <c r="K98" s="14"/>
      <c r="L98" s="15"/>
      <c r="M98" s="12" t="s">
        <v>88</v>
      </c>
      <c r="N98" s="5" t="s">
        <v>2275</v>
      </c>
      <c r="O98" s="12" t="s">
        <v>2203</v>
      </c>
      <c r="P98" s="5" t="s">
        <v>2276</v>
      </c>
      <c r="Q98" s="12"/>
      <c r="R98" s="12" t="s">
        <v>1270</v>
      </c>
      <c r="S98" s="5" t="s">
        <v>2277</v>
      </c>
      <c r="T98" s="5" t="s">
        <v>2278</v>
      </c>
      <c r="U98" s="12" t="n">
        <v>3</v>
      </c>
      <c r="V98" s="12" t="n">
        <v>2</v>
      </c>
      <c r="W98" s="12" t="n">
        <v>2</v>
      </c>
      <c r="X98" s="12" t="n">
        <v>1</v>
      </c>
      <c r="Y98" s="12" t="n">
        <v>0</v>
      </c>
    </row>
    <row r="99" customFormat="false" ht="377.25" hidden="false" customHeight="true" outlineLevel="0" collapsed="false">
      <c r="A99" s="10" t="s">
        <v>2279</v>
      </c>
      <c r="B99" s="11" t="s">
        <v>2280</v>
      </c>
      <c r="C99" s="12"/>
      <c r="D99" s="12" t="s">
        <v>160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c r="N99" s="5" t="s">
        <v>2281</v>
      </c>
      <c r="O99" s="12" t="s">
        <v>2282</v>
      </c>
      <c r="P99" s="5" t="s">
        <v>2283</v>
      </c>
      <c r="Q99" s="12" t="s">
        <v>226</v>
      </c>
      <c r="R99" s="12" t="s">
        <v>1270</v>
      </c>
      <c r="S99" s="5" t="s">
        <v>2284</v>
      </c>
      <c r="T99" s="5" t="s">
        <v>151</v>
      </c>
      <c r="U99" s="12" t="n">
        <v>5</v>
      </c>
      <c r="V99" s="12" t="n">
        <v>1</v>
      </c>
      <c r="W99" s="12" t="n">
        <v>1</v>
      </c>
      <c r="X99" s="12" t="n">
        <v>0</v>
      </c>
      <c r="Y99" s="12" t="n">
        <v>0</v>
      </c>
    </row>
    <row r="100" customFormat="false" ht="377.25" hidden="false" customHeight="true" outlineLevel="0" collapsed="false">
      <c r="A100" s="12" t="s">
        <v>2279</v>
      </c>
      <c r="B100" s="5" t="s">
        <v>2280</v>
      </c>
      <c r="C100" s="12" t="s">
        <v>2279</v>
      </c>
      <c r="D100" s="12" t="s">
        <v>160</v>
      </c>
      <c r="E100" s="5" t="s">
        <v>2285</v>
      </c>
      <c r="F100" s="14"/>
      <c r="G100" s="14"/>
      <c r="H100" s="14" t="s">
        <v>87</v>
      </c>
      <c r="I100" s="14"/>
      <c r="J100" s="14"/>
      <c r="K100" s="14"/>
      <c r="L100" s="15"/>
      <c r="M100" s="12"/>
      <c r="N100" s="5" t="s">
        <v>2281</v>
      </c>
      <c r="O100" s="12" t="s">
        <v>2282</v>
      </c>
      <c r="P100" s="5" t="s">
        <v>2283</v>
      </c>
      <c r="Q100" s="12" t="s">
        <v>226</v>
      </c>
      <c r="R100" s="12" t="s">
        <v>1270</v>
      </c>
      <c r="S100" s="5" t="s">
        <v>2284</v>
      </c>
      <c r="T100" s="5" t="s">
        <v>151</v>
      </c>
      <c r="U100" s="12" t="n">
        <v>5</v>
      </c>
      <c r="V100" s="12" t="n">
        <v>1</v>
      </c>
      <c r="W100" s="12" t="n">
        <v>1</v>
      </c>
      <c r="X100" s="12" t="n">
        <v>0</v>
      </c>
      <c r="Y100" s="12" t="n">
        <v>0</v>
      </c>
    </row>
    <row r="101" customFormat="false" ht="202.5" hidden="false" customHeight="true" outlineLevel="0" collapsed="false">
      <c r="A101" s="10" t="s">
        <v>2286</v>
      </c>
      <c r="B101" s="11" t="s">
        <v>2287</v>
      </c>
      <c r="C101" s="12"/>
      <c r="D101" s="12" t="s">
        <v>160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88</v>
      </c>
      <c r="N101" s="5"/>
      <c r="O101" s="12"/>
      <c r="P101" s="5" t="s">
        <v>2288</v>
      </c>
      <c r="Q101" s="12" t="s">
        <v>226</v>
      </c>
      <c r="R101" s="12" t="s">
        <v>1270</v>
      </c>
      <c r="S101" s="5" t="s">
        <v>2284</v>
      </c>
      <c r="T101" s="5" t="s">
        <v>2289</v>
      </c>
      <c r="U101" s="12" t="n">
        <v>5</v>
      </c>
      <c r="V101" s="12" t="n">
        <v>2</v>
      </c>
      <c r="W101" s="12" t="n">
        <v>2</v>
      </c>
      <c r="X101" s="12" t="n">
        <v>1</v>
      </c>
      <c r="Y101" s="12" t="n">
        <v>0</v>
      </c>
    </row>
    <row r="102" customFormat="false" ht="202.5" hidden="false" customHeight="true" outlineLevel="0" collapsed="false">
      <c r="A102" s="12" t="s">
        <v>2286</v>
      </c>
      <c r="B102" s="5" t="s">
        <v>2287</v>
      </c>
      <c r="C102" s="12" t="s">
        <v>2286</v>
      </c>
      <c r="D102" s="12" t="s">
        <v>160</v>
      </c>
      <c r="E102" s="5" t="s">
        <v>2290</v>
      </c>
      <c r="F102" s="14"/>
      <c r="G102" s="14"/>
      <c r="H102" s="14" t="s">
        <v>87</v>
      </c>
      <c r="I102" s="14"/>
      <c r="J102" s="14"/>
      <c r="K102" s="14"/>
      <c r="L102" s="15"/>
      <c r="M102" s="12" t="s">
        <v>88</v>
      </c>
      <c r="N102" s="5"/>
      <c r="O102" s="12"/>
      <c r="P102" s="5" t="s">
        <v>2288</v>
      </c>
      <c r="Q102" s="12" t="s">
        <v>226</v>
      </c>
      <c r="R102" s="12" t="s">
        <v>1270</v>
      </c>
      <c r="S102" s="5" t="s">
        <v>2284</v>
      </c>
      <c r="T102" s="5" t="s">
        <v>2289</v>
      </c>
      <c r="U102" s="12" t="n">
        <v>5</v>
      </c>
      <c r="V102" s="12" t="n">
        <v>2</v>
      </c>
      <c r="W102" s="12" t="n">
        <v>2</v>
      </c>
      <c r="X102" s="12" t="n">
        <v>1</v>
      </c>
      <c r="Y102" s="12" t="n">
        <v>0</v>
      </c>
    </row>
    <row r="103" customFormat="false" ht="202.5" hidden="false" customHeight="true" outlineLevel="0" collapsed="false">
      <c r="A103" s="10" t="s">
        <v>2291</v>
      </c>
      <c r="B103" s="11" t="s">
        <v>2292</v>
      </c>
      <c r="C103" s="12"/>
      <c r="D103" s="12" t="s">
        <v>160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88</v>
      </c>
      <c r="N103" s="5" t="s">
        <v>2293</v>
      </c>
      <c r="O103" s="12" t="s">
        <v>2294</v>
      </c>
      <c r="P103" s="5" t="s">
        <v>2295</v>
      </c>
      <c r="Q103" s="12"/>
      <c r="R103" s="12" t="s">
        <v>1270</v>
      </c>
      <c r="S103" s="5" t="s">
        <v>2296</v>
      </c>
      <c r="T103" s="5" t="s">
        <v>2156</v>
      </c>
      <c r="U103" s="12" t="n">
        <v>4</v>
      </c>
      <c r="V103" s="12" t="n">
        <v>2</v>
      </c>
      <c r="W103" s="12" t="n">
        <v>2</v>
      </c>
      <c r="X103" s="12" t="n">
        <v>1</v>
      </c>
      <c r="Y103" s="12" t="n">
        <v>0</v>
      </c>
    </row>
    <row r="104" customFormat="false" ht="202.5" hidden="false" customHeight="true" outlineLevel="0" collapsed="false">
      <c r="A104" s="12" t="s">
        <v>2291</v>
      </c>
      <c r="B104" s="5" t="s">
        <v>2292</v>
      </c>
      <c r="C104" s="12" t="s">
        <v>2291</v>
      </c>
      <c r="D104" s="12" t="s">
        <v>160</v>
      </c>
      <c r="E104" s="5" t="s">
        <v>2297</v>
      </c>
      <c r="F104" s="14"/>
      <c r="G104" s="14"/>
      <c r="H104" s="14" t="s">
        <v>87</v>
      </c>
      <c r="I104" s="14"/>
      <c r="J104" s="14"/>
      <c r="K104" s="14"/>
      <c r="L104" s="15"/>
      <c r="M104" s="12" t="s">
        <v>88</v>
      </c>
      <c r="N104" s="5" t="s">
        <v>2293</v>
      </c>
      <c r="O104" s="12" t="s">
        <v>2294</v>
      </c>
      <c r="P104" s="5" t="s">
        <v>2295</v>
      </c>
      <c r="Q104" s="12"/>
      <c r="R104" s="12" t="s">
        <v>1270</v>
      </c>
      <c r="S104" s="5" t="s">
        <v>2296</v>
      </c>
      <c r="T104" s="5" t="s">
        <v>2156</v>
      </c>
      <c r="U104" s="12" t="n">
        <v>4</v>
      </c>
      <c r="V104" s="12" t="n">
        <v>2</v>
      </c>
      <c r="W104" s="12" t="n">
        <v>2</v>
      </c>
      <c r="X104" s="12" t="n">
        <v>1</v>
      </c>
      <c r="Y104" s="12" t="n">
        <v>0</v>
      </c>
    </row>
    <row r="105" customFormat="false" ht="336.75" hidden="false" customHeight="true" outlineLevel="0" collapsed="false">
      <c r="A105" s="10" t="s">
        <v>2298</v>
      </c>
      <c r="B105" s="11" t="s">
        <v>2299</v>
      </c>
      <c r="C105" s="12"/>
      <c r="D105" s="12" t="s">
        <v>160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c r="N105" s="5" t="s">
        <v>2300</v>
      </c>
      <c r="O105" s="12" t="s">
        <v>2294</v>
      </c>
      <c r="P105" s="5" t="s">
        <v>2301</v>
      </c>
      <c r="Q105" s="12"/>
      <c r="R105" s="12" t="s">
        <v>1270</v>
      </c>
      <c r="S105" s="5" t="s">
        <v>2302</v>
      </c>
      <c r="T105" s="5" t="s">
        <v>2303</v>
      </c>
      <c r="U105" s="12" t="n">
        <v>5</v>
      </c>
      <c r="V105" s="12" t="n">
        <v>1</v>
      </c>
      <c r="W105" s="12" t="n">
        <v>1</v>
      </c>
      <c r="X105" s="12" t="n">
        <v>1</v>
      </c>
      <c r="Y105" s="12" t="n">
        <v>0</v>
      </c>
    </row>
    <row r="106" customFormat="false" ht="336.75" hidden="false" customHeight="true" outlineLevel="0" collapsed="false">
      <c r="A106" s="12" t="s">
        <v>2298</v>
      </c>
      <c r="B106" s="5" t="s">
        <v>2299</v>
      </c>
      <c r="C106" s="12" t="s">
        <v>2298</v>
      </c>
      <c r="D106" s="12" t="s">
        <v>160</v>
      </c>
      <c r="E106" s="5" t="s">
        <v>2304</v>
      </c>
      <c r="F106" s="14"/>
      <c r="G106" s="14"/>
      <c r="H106" s="14" t="s">
        <v>87</v>
      </c>
      <c r="I106" s="14"/>
      <c r="J106" s="14"/>
      <c r="K106" s="14"/>
      <c r="L106" s="15"/>
      <c r="M106" s="12"/>
      <c r="N106" s="5" t="s">
        <v>2300</v>
      </c>
      <c r="O106" s="12" t="s">
        <v>2294</v>
      </c>
      <c r="P106" s="5" t="s">
        <v>2301</v>
      </c>
      <c r="Q106" s="12"/>
      <c r="R106" s="12" t="s">
        <v>1270</v>
      </c>
      <c r="S106" s="5" t="s">
        <v>2302</v>
      </c>
      <c r="T106" s="5" t="s">
        <v>2303</v>
      </c>
      <c r="U106" s="12" t="n">
        <v>5</v>
      </c>
      <c r="V106" s="12" t="n">
        <v>1</v>
      </c>
      <c r="W106" s="12" t="n">
        <v>1</v>
      </c>
      <c r="X106" s="12" t="n">
        <v>1</v>
      </c>
      <c r="Y106" s="12" t="n">
        <v>0</v>
      </c>
    </row>
    <row r="107" customFormat="false" ht="283.5" hidden="false" customHeight="true" outlineLevel="0" collapsed="false">
      <c r="A107" s="10" t="s">
        <v>2305</v>
      </c>
      <c r="B107" s="11" t="s">
        <v>2306</v>
      </c>
      <c r="C107" s="12"/>
      <c r="D107" s="12" t="s">
        <v>120</v>
      </c>
      <c r="E107" s="5" t="s">
        <v>79</v>
      </c>
      <c r="F107" s="12"/>
      <c r="G107" s="12"/>
      <c r="H107" s="13" t="str">
        <f aca="false">IF(OR(COUNTBLANK($H$108:$H$110)&gt;0,COUNTIF($H$108:$H$110,"unbearbeitet")=COUNTA($H$108:$H$110)),"Bitte Teilanforderungen ausfüllen",IF(COUNTIF($H$108:$H$110,"zu klären")&gt;0,"zu klären",IF(COUNTIF($H$108:$H$110,"entbehrlich")=COUNTA($H$108:$H$110),"entbehrlich",IF(COUNTIF($H$108:$H$110,"verwiesen")=COUNTA($H$108:$H$110),"verwiesen",IF(COUNTIF($H$108:$H$110,"nein")+COUNTIF($H$108:$H$110,"entbehrlich")=COUNTA($H$108:$H$110),"nein",IF(COUNTIF($H$108:$H$110,"ja")+COUNTIF($H$108:$H$110,"entbehrlich")+COUNTIF($H$108:$H$110,"verwiesen")=COUNTA($H$108:$H$110),"ja","teilweise"))))))</f>
        <v>Bitte Teilanforderungen ausfüllen</v>
      </c>
      <c r="I107" s="12"/>
      <c r="J107" s="12"/>
      <c r="K107" s="12"/>
      <c r="L107" s="12"/>
      <c r="M107" s="12"/>
      <c r="N107" s="5" t="s">
        <v>2307</v>
      </c>
      <c r="O107" s="12" t="s">
        <v>1953</v>
      </c>
      <c r="P107" s="5" t="s">
        <v>2308</v>
      </c>
      <c r="Q107" s="12"/>
      <c r="R107" s="12" t="s">
        <v>1270</v>
      </c>
      <c r="S107" s="5" t="s">
        <v>2309</v>
      </c>
      <c r="T107" s="5" t="s">
        <v>2310</v>
      </c>
      <c r="U107" s="12" t="n">
        <v>5</v>
      </c>
      <c r="V107" s="12" t="n">
        <v>1</v>
      </c>
      <c r="W107" s="12" t="n">
        <v>1</v>
      </c>
      <c r="X107" s="12" t="n">
        <v>1</v>
      </c>
      <c r="Y107" s="12" t="n">
        <v>0</v>
      </c>
    </row>
    <row r="108" customFormat="false" ht="283.5" hidden="false" customHeight="true" outlineLevel="0" collapsed="false">
      <c r="A108" s="12" t="s">
        <v>2305</v>
      </c>
      <c r="B108" s="5" t="s">
        <v>2306</v>
      </c>
      <c r="C108" s="12" t="s">
        <v>2305</v>
      </c>
      <c r="D108" s="12" t="s">
        <v>120</v>
      </c>
      <c r="E108" s="5" t="s">
        <v>2311</v>
      </c>
      <c r="F108" s="14"/>
      <c r="G108" s="14"/>
      <c r="H108" s="14" t="s">
        <v>87</v>
      </c>
      <c r="I108" s="14"/>
      <c r="J108" s="14"/>
      <c r="K108" s="14"/>
      <c r="L108" s="15"/>
      <c r="M108" s="12"/>
      <c r="N108" s="5" t="s">
        <v>2307</v>
      </c>
      <c r="O108" s="12" t="s">
        <v>1953</v>
      </c>
      <c r="P108" s="5" t="s">
        <v>2308</v>
      </c>
      <c r="Q108" s="12"/>
      <c r="R108" s="12" t="s">
        <v>1270</v>
      </c>
      <c r="S108" s="5" t="s">
        <v>2309</v>
      </c>
      <c r="T108" s="5" t="s">
        <v>2310</v>
      </c>
      <c r="U108" s="12" t="n">
        <v>5</v>
      </c>
      <c r="V108" s="12" t="n">
        <v>1</v>
      </c>
      <c r="W108" s="12" t="n">
        <v>1</v>
      </c>
      <c r="X108" s="12" t="n">
        <v>1</v>
      </c>
      <c r="Y108" s="12" t="n">
        <v>0</v>
      </c>
    </row>
    <row r="109" customFormat="false" ht="162" hidden="false" customHeight="true" outlineLevel="0" collapsed="false">
      <c r="A109" s="12" t="s">
        <v>2305</v>
      </c>
      <c r="B109" s="5" t="s">
        <v>2306</v>
      </c>
      <c r="C109" s="12" t="s">
        <v>2312</v>
      </c>
      <c r="D109" s="12" t="s">
        <v>160</v>
      </c>
      <c r="E109" s="5" t="s">
        <v>2313</v>
      </c>
      <c r="F109" s="14"/>
      <c r="G109" s="14"/>
      <c r="H109" s="14" t="s">
        <v>87</v>
      </c>
      <c r="I109" s="14"/>
      <c r="J109" s="14"/>
      <c r="K109" s="14"/>
      <c r="L109" s="15"/>
      <c r="M109" s="12" t="s">
        <v>88</v>
      </c>
      <c r="N109" s="5" t="s">
        <v>2314</v>
      </c>
      <c r="O109" s="12" t="s">
        <v>2315</v>
      </c>
      <c r="P109" s="5" t="s">
        <v>2316</v>
      </c>
      <c r="Q109" s="12"/>
      <c r="R109" s="12" t="s">
        <v>1270</v>
      </c>
      <c r="S109" s="5" t="s">
        <v>2317</v>
      </c>
      <c r="T109" s="5" t="s">
        <v>2318</v>
      </c>
      <c r="U109" s="12" t="n">
        <v>5</v>
      </c>
      <c r="V109" s="12" t="n">
        <v>2</v>
      </c>
      <c r="W109" s="12" t="n">
        <v>2</v>
      </c>
      <c r="X109" s="12" t="n">
        <v>1</v>
      </c>
      <c r="Y109" s="12" t="n">
        <v>0</v>
      </c>
    </row>
    <row r="110" customFormat="false" ht="81.75" hidden="false" customHeight="true" outlineLevel="0" collapsed="false">
      <c r="A110" s="12" t="s">
        <v>2305</v>
      </c>
      <c r="B110" s="5" t="s">
        <v>2306</v>
      </c>
      <c r="C110" s="12" t="s">
        <v>2319</v>
      </c>
      <c r="D110" s="12" t="s">
        <v>160</v>
      </c>
      <c r="E110" s="5" t="s">
        <v>2320</v>
      </c>
      <c r="F110" s="14"/>
      <c r="G110" s="14"/>
      <c r="H110" s="14" t="s">
        <v>87</v>
      </c>
      <c r="I110" s="14"/>
      <c r="J110" s="14"/>
      <c r="K110" s="14"/>
      <c r="L110" s="15"/>
      <c r="M110" s="12"/>
      <c r="N110" s="5"/>
      <c r="O110" s="12"/>
      <c r="P110" s="5" t="s">
        <v>2321</v>
      </c>
      <c r="Q110" s="12"/>
      <c r="R110" s="12" t="s">
        <v>1270</v>
      </c>
      <c r="S110" s="5" t="s">
        <v>2322</v>
      </c>
      <c r="T110" s="5" t="s">
        <v>2323</v>
      </c>
      <c r="U110" s="12" t="n">
        <v>5</v>
      </c>
      <c r="V110" s="12" t="n">
        <v>1</v>
      </c>
      <c r="W110" s="12" t="n">
        <v>1</v>
      </c>
      <c r="X110" s="12" t="n">
        <v>1</v>
      </c>
      <c r="Y110" s="12" t="n">
        <v>0</v>
      </c>
    </row>
    <row r="111" customFormat="false" ht="350.25" hidden="false" customHeight="true" outlineLevel="0" collapsed="false">
      <c r="A111" s="10" t="s">
        <v>2324</v>
      </c>
      <c r="B111" s="11" t="s">
        <v>2325</v>
      </c>
      <c r="C111" s="12"/>
      <c r="D111" s="12" t="s">
        <v>120</v>
      </c>
      <c r="E111" s="5" t="s">
        <v>79</v>
      </c>
      <c r="F111" s="12"/>
      <c r="G111" s="12"/>
      <c r="H111" s="13" t="str">
        <f aca="false">IF(OR(COUNTBLANK($H$112:$H$113)&gt;0,COUNTIF($H$112:$H$113,"unbearbeitet")=COUNTA($H$112:$H$113)),"Bitte Teilanforderungen ausfüllen",IF(COUNTIF($H$112:$H$113,"zu klären")&gt;0,"zu klären",IF(COUNTIF($H$112:$H$113,"entbehrlich")=COUNTA($H$112:$H$113),"entbehrlich",IF(COUNTIF($H$112:$H$113,"verwiesen")=COUNTA($H$112:$H$113),"verwiesen",IF(COUNTIF($H$112:$H$113,"nein")+COUNTIF($H$112:$H$113,"entbehrlich")=COUNTA($H$112:$H$113),"nein",IF(COUNTIF($H$112:$H$113,"ja")+COUNTIF($H$112:$H$113,"entbehrlich")+COUNTIF($H$112:$H$113,"verwiesen")=COUNTA($H$112:$H$113),"ja","teilweise"))))))</f>
        <v>Bitte Teilanforderungen ausfüllen</v>
      </c>
      <c r="I111" s="12"/>
      <c r="J111" s="12"/>
      <c r="K111" s="12"/>
      <c r="L111" s="12"/>
      <c r="M111" s="12"/>
      <c r="N111" s="5" t="s">
        <v>2326</v>
      </c>
      <c r="O111" s="12" t="s">
        <v>2294</v>
      </c>
      <c r="P111" s="5" t="s">
        <v>2327</v>
      </c>
      <c r="Q111" s="12"/>
      <c r="R111" s="12" t="s">
        <v>1270</v>
      </c>
      <c r="S111" s="5" t="s">
        <v>2328</v>
      </c>
      <c r="T111" s="5" t="s">
        <v>2272</v>
      </c>
      <c r="U111" s="12" t="n">
        <v>4</v>
      </c>
      <c r="V111" s="12" t="n">
        <v>1</v>
      </c>
      <c r="W111" s="12" t="n">
        <v>1</v>
      </c>
      <c r="X111" s="12" t="n">
        <v>1</v>
      </c>
      <c r="Y111" s="12" t="n">
        <v>0</v>
      </c>
    </row>
    <row r="112" customFormat="false" ht="350.25" hidden="false" customHeight="true" outlineLevel="0" collapsed="false">
      <c r="A112" s="12" t="s">
        <v>2324</v>
      </c>
      <c r="B112" s="5" t="s">
        <v>2325</v>
      </c>
      <c r="C112" s="12" t="s">
        <v>2324</v>
      </c>
      <c r="D112" s="12" t="s">
        <v>120</v>
      </c>
      <c r="E112" s="5" t="s">
        <v>2329</v>
      </c>
      <c r="F112" s="14"/>
      <c r="G112" s="14"/>
      <c r="H112" s="14" t="s">
        <v>87</v>
      </c>
      <c r="I112" s="14"/>
      <c r="J112" s="14"/>
      <c r="K112" s="14"/>
      <c r="L112" s="15"/>
      <c r="M112" s="12"/>
      <c r="N112" s="5" t="s">
        <v>2326</v>
      </c>
      <c r="O112" s="12" t="s">
        <v>2294</v>
      </c>
      <c r="P112" s="5" t="s">
        <v>2327</v>
      </c>
      <c r="Q112" s="12"/>
      <c r="R112" s="12" t="s">
        <v>1270</v>
      </c>
      <c r="S112" s="5" t="s">
        <v>2328</v>
      </c>
      <c r="T112" s="5" t="s">
        <v>2272</v>
      </c>
      <c r="U112" s="12" t="n">
        <v>4</v>
      </c>
      <c r="V112" s="12" t="n">
        <v>1</v>
      </c>
      <c r="W112" s="12" t="n">
        <v>1</v>
      </c>
      <c r="X112" s="12" t="n">
        <v>1</v>
      </c>
      <c r="Y112" s="12" t="n">
        <v>0</v>
      </c>
    </row>
    <row r="113" customFormat="false" ht="270" hidden="false" customHeight="true" outlineLevel="0" collapsed="false">
      <c r="A113" s="12" t="s">
        <v>2324</v>
      </c>
      <c r="B113" s="5" t="s">
        <v>2325</v>
      </c>
      <c r="C113" s="12" t="s">
        <v>2330</v>
      </c>
      <c r="D113" s="12" t="s">
        <v>160</v>
      </c>
      <c r="E113" s="5" t="s">
        <v>2331</v>
      </c>
      <c r="F113" s="14"/>
      <c r="G113" s="14"/>
      <c r="H113" s="14" t="s">
        <v>87</v>
      </c>
      <c r="I113" s="14"/>
      <c r="J113" s="14"/>
      <c r="K113" s="14"/>
      <c r="L113" s="15"/>
      <c r="M113" s="12" t="s">
        <v>88</v>
      </c>
      <c r="N113" s="5" t="s">
        <v>2332</v>
      </c>
      <c r="O113" s="12" t="s">
        <v>303</v>
      </c>
      <c r="P113" s="5" t="s">
        <v>2333</v>
      </c>
      <c r="Q113" s="12"/>
      <c r="R113" s="12" t="s">
        <v>1270</v>
      </c>
      <c r="S113" s="5" t="s">
        <v>2334</v>
      </c>
      <c r="T113" s="5" t="s">
        <v>2272</v>
      </c>
      <c r="U113" s="12" t="n">
        <v>5</v>
      </c>
      <c r="V113" s="12" t="n">
        <v>2</v>
      </c>
      <c r="W113" s="12" t="n">
        <v>2</v>
      </c>
      <c r="X113" s="12" t="n">
        <v>1</v>
      </c>
      <c r="Y113" s="12" t="n">
        <v>0</v>
      </c>
    </row>
    <row r="114" customFormat="false" ht="175.5" hidden="false" customHeight="true" outlineLevel="0" collapsed="false">
      <c r="A114" s="10" t="s">
        <v>2335</v>
      </c>
      <c r="B114" s="11" t="s">
        <v>2336</v>
      </c>
      <c r="C114" s="12"/>
      <c r="D114" s="12" t="s">
        <v>120</v>
      </c>
      <c r="E114" s="5" t="s">
        <v>79</v>
      </c>
      <c r="F114" s="12"/>
      <c r="G114" s="12"/>
      <c r="H114" s="13" t="str">
        <f aca="false">IF(OR(COUNTBLANK($H$115:$H$120)&gt;0,COUNTIF($H$115:$H$120,"unbearbeitet")=COUNTA($H$115:$H$120)),"Bitte Teilanforderungen ausfüllen",IF(COUNTIF($H$115:$H$120,"zu klären")&gt;0,"zu klären",IF(COUNTIF($H$115:$H$120,"entbehrlich")=COUNTA($H$115:$H$120),"entbehrlich",IF(COUNTIF($H$115:$H$120,"verwiesen")=COUNTA($H$115:$H$120),"verwiesen",IF(COUNTIF($H$115:$H$120,"nein")+COUNTIF($H$115:$H$120,"entbehrlich")=COUNTA($H$115:$H$120),"nein",IF(COUNTIF($H$115:$H$120,"ja")+COUNTIF($H$115:$H$120,"entbehrlich")+COUNTIF($H$115:$H$120,"verwiesen")=COUNTA($H$115:$H$120),"ja","teilweise"))))))</f>
        <v>Bitte Teilanforderungen ausfüllen</v>
      </c>
      <c r="I114" s="12"/>
      <c r="J114" s="12"/>
      <c r="K114" s="12"/>
      <c r="L114" s="12"/>
      <c r="M114" s="12" t="s">
        <v>88</v>
      </c>
      <c r="N114" s="5" t="s">
        <v>2337</v>
      </c>
      <c r="O114" s="12" t="s">
        <v>2338</v>
      </c>
      <c r="P114" s="5" t="s">
        <v>2339</v>
      </c>
      <c r="Q114" s="12"/>
      <c r="R114" s="12" t="s">
        <v>1270</v>
      </c>
      <c r="S114" s="5" t="s">
        <v>2340</v>
      </c>
      <c r="T114" s="5" t="s">
        <v>2272</v>
      </c>
      <c r="U114" s="12" t="n">
        <v>3</v>
      </c>
      <c r="V114" s="12" t="n">
        <v>2</v>
      </c>
      <c r="W114" s="12" t="n">
        <v>2</v>
      </c>
      <c r="X114" s="12" t="n">
        <v>1</v>
      </c>
      <c r="Y114" s="12" t="n">
        <v>0</v>
      </c>
    </row>
    <row r="115" customFormat="false" ht="175.5" hidden="false" customHeight="true" outlineLevel="0" collapsed="false">
      <c r="A115" s="12" t="s">
        <v>2335</v>
      </c>
      <c r="B115" s="5" t="s">
        <v>2336</v>
      </c>
      <c r="C115" s="12" t="s">
        <v>2335</v>
      </c>
      <c r="D115" s="12" t="s">
        <v>120</v>
      </c>
      <c r="E115" s="5" t="s">
        <v>2341</v>
      </c>
      <c r="F115" s="14"/>
      <c r="G115" s="14"/>
      <c r="H115" s="14" t="s">
        <v>87</v>
      </c>
      <c r="I115" s="14"/>
      <c r="J115" s="14"/>
      <c r="K115" s="14"/>
      <c r="L115" s="15"/>
      <c r="M115" s="12" t="s">
        <v>88</v>
      </c>
      <c r="N115" s="5" t="s">
        <v>2337</v>
      </c>
      <c r="O115" s="12" t="s">
        <v>2338</v>
      </c>
      <c r="P115" s="5" t="s">
        <v>2339</v>
      </c>
      <c r="Q115" s="12"/>
      <c r="R115" s="12" t="s">
        <v>1270</v>
      </c>
      <c r="S115" s="5" t="s">
        <v>2340</v>
      </c>
      <c r="T115" s="5" t="s">
        <v>2272</v>
      </c>
      <c r="U115" s="12" t="n">
        <v>3</v>
      </c>
      <c r="V115" s="12" t="n">
        <v>2</v>
      </c>
      <c r="W115" s="12" t="n">
        <v>2</v>
      </c>
      <c r="X115" s="12" t="n">
        <v>1</v>
      </c>
      <c r="Y115" s="12" t="n">
        <v>0</v>
      </c>
    </row>
    <row r="116" customFormat="false" ht="81.75" hidden="false" customHeight="true" outlineLevel="0" collapsed="false">
      <c r="A116" s="12" t="s">
        <v>2335</v>
      </c>
      <c r="B116" s="5" t="s">
        <v>2336</v>
      </c>
      <c r="C116" s="12" t="s">
        <v>2342</v>
      </c>
      <c r="D116" s="12" t="s">
        <v>120</v>
      </c>
      <c r="E116" s="5" t="s">
        <v>2343</v>
      </c>
      <c r="F116" s="14"/>
      <c r="G116" s="14"/>
      <c r="H116" s="14" t="s">
        <v>87</v>
      </c>
      <c r="I116" s="14"/>
      <c r="J116" s="14"/>
      <c r="K116" s="14"/>
      <c r="L116" s="15"/>
      <c r="M116" s="12"/>
      <c r="N116" s="5" t="s">
        <v>2344</v>
      </c>
      <c r="O116" s="12" t="s">
        <v>255</v>
      </c>
      <c r="P116" s="5" t="s">
        <v>2345</v>
      </c>
      <c r="Q116" s="12"/>
      <c r="R116" s="12" t="s">
        <v>1270</v>
      </c>
      <c r="S116" s="5" t="s">
        <v>2346</v>
      </c>
      <c r="T116" s="5" t="s">
        <v>2347</v>
      </c>
      <c r="U116" s="12" t="n">
        <v>5</v>
      </c>
      <c r="V116" s="12" t="n">
        <v>1</v>
      </c>
      <c r="W116" s="12" t="n">
        <v>1</v>
      </c>
      <c r="X116" s="12" t="n">
        <v>1</v>
      </c>
      <c r="Y116" s="12" t="n">
        <v>1</v>
      </c>
    </row>
    <row r="117" customFormat="false" ht="68.25" hidden="false" customHeight="true" outlineLevel="0" collapsed="false">
      <c r="A117" s="12" t="s">
        <v>2335</v>
      </c>
      <c r="B117" s="5" t="s">
        <v>2336</v>
      </c>
      <c r="C117" s="12" t="s">
        <v>2348</v>
      </c>
      <c r="D117" s="12" t="s">
        <v>120</v>
      </c>
      <c r="E117" s="5" t="s">
        <v>2349</v>
      </c>
      <c r="F117" s="14"/>
      <c r="G117" s="14"/>
      <c r="H117" s="14" t="s">
        <v>87</v>
      </c>
      <c r="I117" s="14"/>
      <c r="J117" s="14"/>
      <c r="K117" s="14"/>
      <c r="L117" s="15"/>
      <c r="M117" s="12"/>
      <c r="N117" s="5" t="s">
        <v>2350</v>
      </c>
      <c r="O117" s="12" t="s">
        <v>2351</v>
      </c>
      <c r="P117" s="5" t="s">
        <v>2352</v>
      </c>
      <c r="Q117" s="12" t="s">
        <v>226</v>
      </c>
      <c r="R117" s="12" t="s">
        <v>1270</v>
      </c>
      <c r="S117" s="5" t="s">
        <v>2353</v>
      </c>
      <c r="T117" s="5" t="s">
        <v>2354</v>
      </c>
      <c r="U117" s="12" t="n">
        <v>3</v>
      </c>
      <c r="V117" s="12" t="n">
        <v>1</v>
      </c>
      <c r="W117" s="12" t="n">
        <v>1</v>
      </c>
      <c r="X117" s="12" t="n">
        <v>1</v>
      </c>
      <c r="Y117" s="12" t="n">
        <v>1</v>
      </c>
    </row>
    <row r="118" customFormat="false" ht="229.5" hidden="false" customHeight="true" outlineLevel="0" collapsed="false">
      <c r="A118" s="12" t="s">
        <v>2335</v>
      </c>
      <c r="B118" s="5" t="s">
        <v>2336</v>
      </c>
      <c r="C118" s="12" t="s">
        <v>2355</v>
      </c>
      <c r="D118" s="12" t="s">
        <v>160</v>
      </c>
      <c r="E118" s="5" t="s">
        <v>2356</v>
      </c>
      <c r="F118" s="14"/>
      <c r="G118" s="14"/>
      <c r="H118" s="14" t="s">
        <v>87</v>
      </c>
      <c r="I118" s="14"/>
      <c r="J118" s="14"/>
      <c r="K118" s="14"/>
      <c r="L118" s="15"/>
      <c r="M118" s="12" t="s">
        <v>88</v>
      </c>
      <c r="N118" s="5" t="s">
        <v>2357</v>
      </c>
      <c r="O118" s="12" t="s">
        <v>2358</v>
      </c>
      <c r="P118" s="5" t="s">
        <v>2359</v>
      </c>
      <c r="Q118" s="12" t="s">
        <v>460</v>
      </c>
      <c r="R118" s="12" t="s">
        <v>1270</v>
      </c>
      <c r="S118" s="5" t="s">
        <v>2353</v>
      </c>
      <c r="T118" s="5" t="s">
        <v>2360</v>
      </c>
      <c r="U118" s="12" t="n">
        <v>4</v>
      </c>
      <c r="V118" s="12" t="n">
        <v>2</v>
      </c>
      <c r="W118" s="12" t="n">
        <v>2</v>
      </c>
      <c r="X118" s="12" t="n">
        <v>1</v>
      </c>
      <c r="Y118" s="12" t="n">
        <v>0</v>
      </c>
    </row>
    <row r="119" customFormat="false" ht="81.75" hidden="false" customHeight="true" outlineLevel="0" collapsed="false">
      <c r="A119" s="12" t="s">
        <v>2335</v>
      </c>
      <c r="B119" s="5" t="s">
        <v>2336</v>
      </c>
      <c r="C119" s="12" t="s">
        <v>2361</v>
      </c>
      <c r="D119" s="12" t="s">
        <v>120</v>
      </c>
      <c r="E119" s="5" t="s">
        <v>2362</v>
      </c>
      <c r="F119" s="14"/>
      <c r="G119" s="14"/>
      <c r="H119" s="14" t="s">
        <v>87</v>
      </c>
      <c r="I119" s="14"/>
      <c r="J119" s="14"/>
      <c r="K119" s="14"/>
      <c r="L119" s="15"/>
      <c r="M119" s="12" t="s">
        <v>88</v>
      </c>
      <c r="N119" s="5" t="s">
        <v>2363</v>
      </c>
      <c r="O119" s="12" t="s">
        <v>2364</v>
      </c>
      <c r="P119" s="5" t="s">
        <v>2365</v>
      </c>
      <c r="Q119" s="12"/>
      <c r="R119" s="12" t="s">
        <v>1270</v>
      </c>
      <c r="S119" s="5" t="s">
        <v>2366</v>
      </c>
      <c r="T119" s="5" t="s">
        <v>2367</v>
      </c>
      <c r="U119" s="12" t="n">
        <v>4</v>
      </c>
      <c r="V119" s="12" t="n">
        <v>2</v>
      </c>
      <c r="W119" s="12" t="n">
        <v>2</v>
      </c>
      <c r="X119" s="12" t="n">
        <v>1</v>
      </c>
      <c r="Y119" s="12" t="n">
        <v>1</v>
      </c>
    </row>
    <row r="120" customFormat="false" ht="54.75" hidden="false" customHeight="true" outlineLevel="0" collapsed="false">
      <c r="A120" s="12" t="s">
        <v>2335</v>
      </c>
      <c r="B120" s="5" t="s">
        <v>2336</v>
      </c>
      <c r="C120" s="12" t="s">
        <v>2368</v>
      </c>
      <c r="D120" s="12" t="s">
        <v>160</v>
      </c>
      <c r="E120" s="5" t="s">
        <v>2369</v>
      </c>
      <c r="F120" s="14"/>
      <c r="G120" s="14"/>
      <c r="H120" s="14" t="s">
        <v>87</v>
      </c>
      <c r="I120" s="14"/>
      <c r="J120" s="14"/>
      <c r="K120" s="14"/>
      <c r="L120" s="15"/>
      <c r="M120" s="12"/>
      <c r="N120" s="5" t="s">
        <v>2370</v>
      </c>
      <c r="O120" s="12" t="s">
        <v>2364</v>
      </c>
      <c r="P120" s="5" t="s">
        <v>2371</v>
      </c>
      <c r="Q120" s="12"/>
      <c r="R120" s="12" t="s">
        <v>1270</v>
      </c>
      <c r="S120" s="5" t="s">
        <v>2372</v>
      </c>
      <c r="T120" s="5" t="s">
        <v>2373</v>
      </c>
      <c r="U120" s="12" t="n">
        <v>5</v>
      </c>
      <c r="V120" s="12" t="n">
        <v>1</v>
      </c>
      <c r="W120" s="12" t="n">
        <v>1</v>
      </c>
      <c r="X120" s="12" t="n">
        <v>1</v>
      </c>
      <c r="Y120" s="12" t="n">
        <v>0</v>
      </c>
    </row>
    <row r="121" customFormat="false" ht="243" hidden="false" customHeight="true" outlineLevel="0" collapsed="false">
      <c r="A121" s="10" t="s">
        <v>2374</v>
      </c>
      <c r="B121" s="11" t="s">
        <v>2375</v>
      </c>
      <c r="C121" s="12"/>
      <c r="D121" s="12" t="s">
        <v>120</v>
      </c>
      <c r="E121" s="5" t="s">
        <v>79</v>
      </c>
      <c r="F121" s="12"/>
      <c r="G121" s="12"/>
      <c r="H121" s="13" t="str">
        <f aca="false">IF(OR(COUNTBLANK($H$122:$H$125)&gt;0,COUNTIF($H$122:$H$125,"unbearbeitet")=COUNTA($H$122:$H$125)),"Bitte Teilanforderungen ausfüllen",IF(COUNTIF($H$122:$H$125,"zu klären")&gt;0,"zu klären",IF(COUNTIF($H$122:$H$125,"entbehrlich")=COUNTA($H$122:$H$125),"entbehrlich",IF(COUNTIF($H$122:$H$125,"verwiesen")=COUNTA($H$122:$H$125),"verwiesen",IF(COUNTIF($H$122:$H$125,"nein")+COUNTIF($H$122:$H$125,"entbehrlich")=COUNTA($H$122:$H$125),"nein",IF(COUNTIF($H$122:$H$125,"ja")+COUNTIF($H$122:$H$125,"entbehrlich")+COUNTIF($H$122:$H$125,"verwiesen")=COUNTA($H$122:$H$125),"ja","teilweise"))))))</f>
        <v>Bitte Teilanforderungen ausfüllen</v>
      </c>
      <c r="I121" s="12"/>
      <c r="J121" s="12"/>
      <c r="K121" s="12"/>
      <c r="L121" s="12"/>
      <c r="M121" s="12" t="s">
        <v>88</v>
      </c>
      <c r="N121" s="5" t="s">
        <v>2376</v>
      </c>
      <c r="O121" s="12" t="s">
        <v>272</v>
      </c>
      <c r="P121" s="5" t="s">
        <v>2377</v>
      </c>
      <c r="Q121" s="12"/>
      <c r="R121" s="12" t="s">
        <v>1270</v>
      </c>
      <c r="S121" s="5" t="s">
        <v>2378</v>
      </c>
      <c r="T121" s="5" t="s">
        <v>2379</v>
      </c>
      <c r="U121" s="12" t="n">
        <v>3</v>
      </c>
      <c r="V121" s="12" t="n">
        <v>2</v>
      </c>
      <c r="W121" s="12" t="n">
        <v>2</v>
      </c>
      <c r="X121" s="12" t="n">
        <v>1</v>
      </c>
      <c r="Y121" s="12" t="n">
        <v>0</v>
      </c>
    </row>
    <row r="122" customFormat="false" ht="243" hidden="false" customHeight="true" outlineLevel="0" collapsed="false">
      <c r="A122" s="12" t="s">
        <v>2374</v>
      </c>
      <c r="B122" s="5" t="s">
        <v>2375</v>
      </c>
      <c r="C122" s="12" t="s">
        <v>2374</v>
      </c>
      <c r="D122" s="12" t="s">
        <v>120</v>
      </c>
      <c r="E122" s="5" t="s">
        <v>2380</v>
      </c>
      <c r="F122" s="14"/>
      <c r="G122" s="14"/>
      <c r="H122" s="14" t="s">
        <v>87</v>
      </c>
      <c r="I122" s="14"/>
      <c r="J122" s="14"/>
      <c r="K122" s="14"/>
      <c r="L122" s="15"/>
      <c r="M122" s="12" t="s">
        <v>88</v>
      </c>
      <c r="N122" s="5" t="s">
        <v>2376</v>
      </c>
      <c r="O122" s="12" t="s">
        <v>272</v>
      </c>
      <c r="P122" s="5" t="s">
        <v>2377</v>
      </c>
      <c r="Q122" s="12"/>
      <c r="R122" s="12" t="s">
        <v>1270</v>
      </c>
      <c r="S122" s="5" t="s">
        <v>2378</v>
      </c>
      <c r="T122" s="5" t="s">
        <v>2379</v>
      </c>
      <c r="U122" s="12" t="n">
        <v>3</v>
      </c>
      <c r="V122" s="12" t="n">
        <v>2</v>
      </c>
      <c r="W122" s="12" t="n">
        <v>2</v>
      </c>
      <c r="X122" s="12" t="n">
        <v>1</v>
      </c>
      <c r="Y122" s="12" t="n">
        <v>0</v>
      </c>
    </row>
    <row r="123" customFormat="false" ht="108.75" hidden="false" customHeight="true" outlineLevel="0" collapsed="false">
      <c r="A123" s="12" t="s">
        <v>2374</v>
      </c>
      <c r="B123" s="5" t="s">
        <v>2375</v>
      </c>
      <c r="C123" s="12" t="s">
        <v>2381</v>
      </c>
      <c r="D123" s="12" t="s">
        <v>120</v>
      </c>
      <c r="E123" s="5" t="s">
        <v>2382</v>
      </c>
      <c r="F123" s="14"/>
      <c r="G123" s="14"/>
      <c r="H123" s="14" t="s">
        <v>87</v>
      </c>
      <c r="I123" s="14"/>
      <c r="J123" s="14"/>
      <c r="K123" s="14"/>
      <c r="L123" s="15"/>
      <c r="M123" s="12" t="s">
        <v>88</v>
      </c>
      <c r="N123" s="5" t="s">
        <v>2383</v>
      </c>
      <c r="O123" s="12" t="s">
        <v>524</v>
      </c>
      <c r="P123" s="5" t="s">
        <v>2384</v>
      </c>
      <c r="Q123" s="12"/>
      <c r="R123" s="12" t="s">
        <v>1270</v>
      </c>
      <c r="S123" s="5" t="s">
        <v>2385</v>
      </c>
      <c r="T123" s="5" t="s">
        <v>2386</v>
      </c>
      <c r="U123" s="12" t="n">
        <v>3</v>
      </c>
      <c r="V123" s="12" t="n">
        <v>2</v>
      </c>
      <c r="W123" s="12" t="n">
        <v>2</v>
      </c>
      <c r="X123" s="12" t="n">
        <v>1</v>
      </c>
      <c r="Y123" s="12" t="n">
        <v>0</v>
      </c>
    </row>
    <row r="124" customFormat="false" ht="81.75" hidden="false" customHeight="true" outlineLevel="0" collapsed="false">
      <c r="A124" s="12" t="s">
        <v>2374</v>
      </c>
      <c r="B124" s="5" t="s">
        <v>2375</v>
      </c>
      <c r="C124" s="12" t="s">
        <v>2387</v>
      </c>
      <c r="D124" s="12" t="s">
        <v>120</v>
      </c>
      <c r="E124" s="5" t="s">
        <v>2388</v>
      </c>
      <c r="F124" s="14"/>
      <c r="G124" s="14"/>
      <c r="H124" s="14" t="s">
        <v>87</v>
      </c>
      <c r="I124" s="14"/>
      <c r="J124" s="14"/>
      <c r="K124" s="14"/>
      <c r="L124" s="15"/>
      <c r="M124" s="12" t="s">
        <v>74</v>
      </c>
      <c r="N124" s="5" t="s">
        <v>2389</v>
      </c>
      <c r="O124" s="12" t="s">
        <v>1923</v>
      </c>
      <c r="P124" s="5" t="s">
        <v>2390</v>
      </c>
      <c r="Q124" s="12"/>
      <c r="R124" s="12" t="s">
        <v>1270</v>
      </c>
      <c r="S124" s="5" t="s">
        <v>2391</v>
      </c>
      <c r="T124" s="5" t="s">
        <v>2392</v>
      </c>
      <c r="U124" s="12" t="n">
        <v>3</v>
      </c>
      <c r="V124" s="12" t="n">
        <v>1</v>
      </c>
      <c r="W124" s="12" t="n">
        <v>1</v>
      </c>
      <c r="X124" s="12" t="n">
        <v>2</v>
      </c>
      <c r="Y124" s="12" t="n">
        <v>0</v>
      </c>
    </row>
    <row r="125" customFormat="false" ht="175.5" hidden="false" customHeight="true" outlineLevel="0" collapsed="false">
      <c r="A125" s="12" t="s">
        <v>2374</v>
      </c>
      <c r="B125" s="5" t="s">
        <v>2375</v>
      </c>
      <c r="C125" s="12" t="s">
        <v>2393</v>
      </c>
      <c r="D125" s="12" t="s">
        <v>160</v>
      </c>
      <c r="E125" s="5" t="s">
        <v>2394</v>
      </c>
      <c r="F125" s="14"/>
      <c r="G125" s="14"/>
      <c r="H125" s="14" t="s">
        <v>87</v>
      </c>
      <c r="I125" s="14"/>
      <c r="J125" s="14"/>
      <c r="K125" s="14"/>
      <c r="L125" s="15"/>
      <c r="M125" s="12"/>
      <c r="N125" s="5" t="s">
        <v>2395</v>
      </c>
      <c r="O125" s="12" t="s">
        <v>2396</v>
      </c>
      <c r="P125" s="5" t="s">
        <v>2397</v>
      </c>
      <c r="Q125" s="12"/>
      <c r="R125" s="12" t="s">
        <v>1270</v>
      </c>
      <c r="S125" s="5" t="s">
        <v>2398</v>
      </c>
      <c r="T125" s="5" t="s">
        <v>2399</v>
      </c>
      <c r="U125" s="12" t="n">
        <v>4</v>
      </c>
      <c r="V125" s="12" t="n">
        <v>1</v>
      </c>
      <c r="W125" s="12" t="n">
        <v>1</v>
      </c>
      <c r="X125" s="12" t="n">
        <v>1</v>
      </c>
      <c r="Y125" s="12" t="n">
        <v>1</v>
      </c>
    </row>
    <row r="126" customFormat="false" ht="68.25" hidden="false" customHeight="true" outlineLevel="0" collapsed="false">
      <c r="A126" s="10" t="s">
        <v>2400</v>
      </c>
      <c r="B126" s="11" t="s">
        <v>2401</v>
      </c>
      <c r="C126" s="12"/>
      <c r="D126" s="12" t="s">
        <v>120</v>
      </c>
      <c r="E126" s="5" t="s">
        <v>79</v>
      </c>
      <c r="F126" s="12"/>
      <c r="G126" s="12"/>
      <c r="H126" s="13" t="str">
        <f aca="false">IF(OR(COUNTBLANK($H$127:$H$129)&gt;0,COUNTIF($H$127:$H$129,"unbearbeitet")=COUNTA($H$127:$H$129)),"Bitte Teilanforderungen ausfüllen",IF(COUNTIF($H$127:$H$129,"zu klären")&gt;0,"zu klären",IF(COUNTIF($H$127:$H$129,"entbehrlich")=COUNTA($H$127:$H$129),"entbehrlich",IF(COUNTIF($H$127:$H$129,"verwiesen")=COUNTA($H$127:$H$129),"verwiesen",IF(COUNTIF($H$127:$H$129,"nein")+COUNTIF($H$127:$H$129,"entbehrlich")=COUNTA($H$127:$H$129),"nein",IF(COUNTIF($H$127:$H$129,"ja")+COUNTIF($H$127:$H$129,"entbehrlich")+COUNTIF($H$127:$H$129,"verwiesen")=COUNTA($H$127:$H$129),"ja","teilweise"))))))</f>
        <v>Bitte Teilanforderungen ausfüllen</v>
      </c>
      <c r="I126" s="12"/>
      <c r="J126" s="12"/>
      <c r="K126" s="12"/>
      <c r="L126" s="12"/>
      <c r="M126" s="12" t="s">
        <v>88</v>
      </c>
      <c r="N126" s="5" t="s">
        <v>2402</v>
      </c>
      <c r="O126" s="12" t="s">
        <v>2174</v>
      </c>
      <c r="P126" s="5" t="s">
        <v>2403</v>
      </c>
      <c r="Q126" s="12"/>
      <c r="R126" s="12" t="s">
        <v>1270</v>
      </c>
      <c r="S126" s="5" t="s">
        <v>2404</v>
      </c>
      <c r="T126" s="5" t="s">
        <v>2405</v>
      </c>
      <c r="U126" s="12" t="n">
        <v>4</v>
      </c>
      <c r="V126" s="12" t="n">
        <v>2</v>
      </c>
      <c r="W126" s="12" t="n">
        <v>2</v>
      </c>
      <c r="X126" s="12" t="n">
        <v>1</v>
      </c>
      <c r="Y126" s="12" t="n">
        <v>0</v>
      </c>
    </row>
    <row r="127" customFormat="false" ht="68.25" hidden="false" customHeight="true" outlineLevel="0" collapsed="false">
      <c r="A127" s="12" t="s">
        <v>2400</v>
      </c>
      <c r="B127" s="5" t="s">
        <v>2401</v>
      </c>
      <c r="C127" s="12" t="s">
        <v>2400</v>
      </c>
      <c r="D127" s="12" t="s">
        <v>120</v>
      </c>
      <c r="E127" s="5" t="s">
        <v>2406</v>
      </c>
      <c r="F127" s="14"/>
      <c r="G127" s="14"/>
      <c r="H127" s="14" t="s">
        <v>87</v>
      </c>
      <c r="I127" s="14"/>
      <c r="J127" s="14"/>
      <c r="K127" s="14"/>
      <c r="L127" s="15"/>
      <c r="M127" s="12" t="s">
        <v>88</v>
      </c>
      <c r="N127" s="5" t="s">
        <v>2402</v>
      </c>
      <c r="O127" s="12" t="s">
        <v>2174</v>
      </c>
      <c r="P127" s="5" t="s">
        <v>2403</v>
      </c>
      <c r="Q127" s="12"/>
      <c r="R127" s="12" t="s">
        <v>1270</v>
      </c>
      <c r="S127" s="5" t="s">
        <v>2404</v>
      </c>
      <c r="T127" s="5" t="s">
        <v>2405</v>
      </c>
      <c r="U127" s="12" t="n">
        <v>4</v>
      </c>
      <c r="V127" s="12" t="n">
        <v>2</v>
      </c>
      <c r="W127" s="12" t="n">
        <v>2</v>
      </c>
      <c r="X127" s="12" t="n">
        <v>1</v>
      </c>
      <c r="Y127" s="12" t="n">
        <v>0</v>
      </c>
    </row>
    <row r="128" customFormat="false" ht="229.5" hidden="false" customHeight="true" outlineLevel="0" collapsed="false">
      <c r="A128" s="12" t="s">
        <v>2400</v>
      </c>
      <c r="B128" s="5" t="s">
        <v>2401</v>
      </c>
      <c r="C128" s="12" t="s">
        <v>2407</v>
      </c>
      <c r="D128" s="12" t="s">
        <v>160</v>
      </c>
      <c r="E128" s="5" t="s">
        <v>2408</v>
      </c>
      <c r="F128" s="14"/>
      <c r="G128" s="14"/>
      <c r="H128" s="14" t="s">
        <v>87</v>
      </c>
      <c r="I128" s="14"/>
      <c r="J128" s="14"/>
      <c r="K128" s="14"/>
      <c r="L128" s="15"/>
      <c r="M128" s="12" t="s">
        <v>72</v>
      </c>
      <c r="N128" s="5" t="s">
        <v>2409</v>
      </c>
      <c r="O128" s="12" t="s">
        <v>2410</v>
      </c>
      <c r="P128" s="5" t="s">
        <v>2411</v>
      </c>
      <c r="Q128" s="12"/>
      <c r="R128" s="12" t="s">
        <v>1270</v>
      </c>
      <c r="S128" s="5" t="s">
        <v>2412</v>
      </c>
      <c r="T128" s="5" t="s">
        <v>2413</v>
      </c>
      <c r="U128" s="12" t="n">
        <v>4</v>
      </c>
      <c r="V128" s="12" t="n">
        <v>2</v>
      </c>
      <c r="W128" s="12" t="n">
        <v>1</v>
      </c>
      <c r="X128" s="12" t="n">
        <v>1</v>
      </c>
      <c r="Y128" s="12" t="n">
        <v>0</v>
      </c>
    </row>
    <row r="129" customFormat="false" ht="162" hidden="false" customHeight="true" outlineLevel="0" collapsed="false">
      <c r="A129" s="12" t="s">
        <v>2400</v>
      </c>
      <c r="B129" s="5" t="s">
        <v>2401</v>
      </c>
      <c r="C129" s="12" t="s">
        <v>2414</v>
      </c>
      <c r="D129" s="12" t="s">
        <v>160</v>
      </c>
      <c r="E129" s="5" t="s">
        <v>2415</v>
      </c>
      <c r="F129" s="14"/>
      <c r="G129" s="14"/>
      <c r="H129" s="14" t="s">
        <v>87</v>
      </c>
      <c r="I129" s="14"/>
      <c r="J129" s="14"/>
      <c r="K129" s="14"/>
      <c r="L129" s="15"/>
      <c r="M129" s="12" t="s">
        <v>72</v>
      </c>
      <c r="N129" s="5" t="s">
        <v>2416</v>
      </c>
      <c r="O129" s="12" t="s">
        <v>2417</v>
      </c>
      <c r="P129" s="5" t="s">
        <v>2418</v>
      </c>
      <c r="Q129" s="12"/>
      <c r="R129" s="12" t="s">
        <v>688</v>
      </c>
      <c r="S129" s="5" t="s">
        <v>2419</v>
      </c>
      <c r="T129" s="5" t="s">
        <v>2420</v>
      </c>
      <c r="U129" s="12" t="n">
        <v>5</v>
      </c>
      <c r="V129" s="12" t="n">
        <v>2</v>
      </c>
      <c r="W129" s="12" t="n">
        <v>1</v>
      </c>
      <c r="X129" s="12" t="n">
        <v>1</v>
      </c>
      <c r="Y129" s="12" t="n">
        <v>1</v>
      </c>
    </row>
  </sheetData>
  <autoFilter ref="A6:Y6"/>
  <conditionalFormatting sqref="H7:H129">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7 H19 H21 H23:H35 H37 H39 H41 H43 H45 H47 H49 H51 H53 H55 H57:H58 H60 H62 H64 H66 H68:H71 H73:H74 H76 H78 H80 H82 H84 H86 H88 H90:H91 H93 H95:H98 H100 H102 H104 H106 H108:H110 H112:H113 H115:H120 H122:H125 H127:H129"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588</v>
      </c>
      <c r="B3" s="7" t="s">
        <v>589</v>
      </c>
    </row>
    <row r="4" customFormat="false" ht="15" hidden="false" customHeight="true" outlineLevel="0" collapsed="false">
      <c r="A4" s="4" t="s">
        <v>50</v>
      </c>
      <c r="B4" s="8" t="str">
        <f aca="false">IF(Praktiken!D10="","",Praktiken!D10)</f>
        <v/>
      </c>
    </row>
    <row r="5" customFormat="false" ht="15" hidden="false" customHeight="true" outlineLevel="0" collapsed="false">
      <c r="A5" s="4" t="s">
        <v>51</v>
      </c>
      <c r="B5" s="8" t="str">
        <f aca="false">IF(Praktiken!S10="","",Praktiken!S10)</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68.25" hidden="false" customHeight="true" outlineLevel="0" collapsed="false">
      <c r="A7" s="10" t="s">
        <v>2421</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2422</v>
      </c>
      <c r="O7" s="12" t="s">
        <v>443</v>
      </c>
      <c r="P7" s="5" t="s">
        <v>2423</v>
      </c>
      <c r="Q7" s="12"/>
      <c r="R7" s="12"/>
      <c r="S7" s="5" t="s">
        <v>2424</v>
      </c>
      <c r="T7" s="5" t="s">
        <v>306</v>
      </c>
      <c r="U7" s="12" t="n">
        <v>0</v>
      </c>
      <c r="V7" s="12" t="n">
        <v>1</v>
      </c>
      <c r="W7" s="12" t="n">
        <v>1</v>
      </c>
      <c r="X7" s="12" t="n">
        <v>1</v>
      </c>
      <c r="Y7" s="12" t="n">
        <v>0</v>
      </c>
    </row>
    <row r="8" customFormat="false" ht="216" hidden="false" customHeight="true" outlineLevel="0" collapsed="false">
      <c r="A8" s="12" t="s">
        <v>2421</v>
      </c>
      <c r="B8" s="5" t="s">
        <v>77</v>
      </c>
      <c r="C8" s="12" t="s">
        <v>2425</v>
      </c>
      <c r="D8" s="12" t="s">
        <v>78</v>
      </c>
      <c r="E8" s="5" t="s">
        <v>2426</v>
      </c>
      <c r="F8" s="14"/>
      <c r="G8" s="14"/>
      <c r="H8" s="14" t="s">
        <v>87</v>
      </c>
      <c r="I8" s="14"/>
      <c r="J8" s="14"/>
      <c r="K8" s="14"/>
      <c r="L8" s="15"/>
      <c r="M8" s="12" t="s">
        <v>88</v>
      </c>
      <c r="N8" s="5"/>
      <c r="O8" s="12"/>
      <c r="P8" s="5" t="s">
        <v>624</v>
      </c>
      <c r="Q8" s="12"/>
      <c r="R8" s="12" t="s">
        <v>92</v>
      </c>
      <c r="S8" s="5" t="s">
        <v>93</v>
      </c>
      <c r="T8" s="5" t="s">
        <v>2427</v>
      </c>
      <c r="U8" s="12" t="n">
        <v>0</v>
      </c>
      <c r="V8" s="12" t="n">
        <v>2</v>
      </c>
      <c r="W8" s="12" t="n">
        <v>2</v>
      </c>
      <c r="X8" s="12" t="n">
        <v>1</v>
      </c>
      <c r="Y8" s="12" t="n">
        <v>1</v>
      </c>
    </row>
    <row r="9" customFormat="false" ht="336.75" hidden="false" customHeight="true" outlineLevel="0" collapsed="false">
      <c r="A9" s="12" t="s">
        <v>2421</v>
      </c>
      <c r="B9" s="5" t="s">
        <v>77</v>
      </c>
      <c r="C9" s="12" t="s">
        <v>2428</v>
      </c>
      <c r="D9" s="12" t="s">
        <v>78</v>
      </c>
      <c r="E9" s="5" t="s">
        <v>2429</v>
      </c>
      <c r="F9" s="14"/>
      <c r="G9" s="14"/>
      <c r="H9" s="14" t="s">
        <v>87</v>
      </c>
      <c r="I9" s="14"/>
      <c r="J9" s="14"/>
      <c r="K9" s="14"/>
      <c r="L9" s="15"/>
      <c r="M9" s="12"/>
      <c r="N9" s="5"/>
      <c r="O9" s="12"/>
      <c r="P9" s="5" t="s">
        <v>628</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2421</v>
      </c>
      <c r="B10" s="5" t="s">
        <v>77</v>
      </c>
      <c r="C10" s="12" t="s">
        <v>2430</v>
      </c>
      <c r="D10" s="12" t="s">
        <v>78</v>
      </c>
      <c r="E10" s="5" t="s">
        <v>2431</v>
      </c>
      <c r="F10" s="14"/>
      <c r="G10" s="14"/>
      <c r="H10" s="14" t="s">
        <v>87</v>
      </c>
      <c r="I10" s="14"/>
      <c r="J10" s="14"/>
      <c r="K10" s="14"/>
      <c r="L10" s="15"/>
      <c r="M10" s="12"/>
      <c r="N10" s="5"/>
      <c r="O10" s="12"/>
      <c r="P10" s="5" t="s">
        <v>631</v>
      </c>
      <c r="Q10" s="12"/>
      <c r="R10" s="12" t="s">
        <v>92</v>
      </c>
      <c r="S10" s="5" t="s">
        <v>108</v>
      </c>
      <c r="T10" s="5" t="s">
        <v>306</v>
      </c>
      <c r="U10" s="12" t="n">
        <v>0</v>
      </c>
      <c r="V10" s="12" t="n">
        <v>1</v>
      </c>
      <c r="W10" s="12" t="n">
        <v>1</v>
      </c>
      <c r="X10" s="12" t="n">
        <v>1</v>
      </c>
      <c r="Y10" s="12" t="n">
        <v>0</v>
      </c>
    </row>
    <row r="11" customFormat="false" ht="189" hidden="false" customHeight="true" outlineLevel="0" collapsed="false">
      <c r="A11" s="10" t="s">
        <v>2432</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115</v>
      </c>
      <c r="S11" s="5" t="s">
        <v>93</v>
      </c>
      <c r="T11" s="5" t="s">
        <v>109</v>
      </c>
      <c r="U11" s="12" t="n">
        <v>0</v>
      </c>
      <c r="V11" s="12" t="n">
        <v>1</v>
      </c>
      <c r="W11" s="12" t="n">
        <v>1</v>
      </c>
      <c r="X11" s="12" t="n">
        <v>1</v>
      </c>
      <c r="Y11" s="12" t="n">
        <v>0</v>
      </c>
    </row>
    <row r="12" customFormat="false" ht="189" hidden="false" customHeight="true" outlineLevel="0" collapsed="false">
      <c r="A12" s="12" t="s">
        <v>2432</v>
      </c>
      <c r="B12" s="5" t="s">
        <v>111</v>
      </c>
      <c r="C12" s="12" t="s">
        <v>2432</v>
      </c>
      <c r="D12" s="12" t="s">
        <v>78</v>
      </c>
      <c r="E12" s="5" t="s">
        <v>2433</v>
      </c>
      <c r="F12" s="14"/>
      <c r="G12" s="14"/>
      <c r="H12" s="14" t="s">
        <v>87</v>
      </c>
      <c r="I12" s="14"/>
      <c r="J12" s="14"/>
      <c r="K12" s="14"/>
      <c r="L12" s="15"/>
      <c r="M12" s="12"/>
      <c r="N12" s="5"/>
      <c r="O12" s="12"/>
      <c r="P12" s="5" t="s">
        <v>114</v>
      </c>
      <c r="Q12" s="12"/>
      <c r="R12" s="12" t="s">
        <v>115</v>
      </c>
      <c r="S12" s="5" t="s">
        <v>93</v>
      </c>
      <c r="T12" s="5" t="s">
        <v>109</v>
      </c>
      <c r="U12" s="12" t="n">
        <v>0</v>
      </c>
      <c r="V12" s="12" t="n">
        <v>1</v>
      </c>
      <c r="W12" s="12" t="n">
        <v>1</v>
      </c>
      <c r="X12" s="12" t="n">
        <v>1</v>
      </c>
      <c r="Y12" s="12" t="n">
        <v>0</v>
      </c>
    </row>
    <row r="13" customFormat="false" ht="122.25" hidden="false" customHeight="true" outlineLevel="0" collapsed="false">
      <c r="A13" s="10" t="s">
        <v>2434</v>
      </c>
      <c r="B13" s="11" t="s">
        <v>2435</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73</v>
      </c>
      <c r="N13" s="5" t="s">
        <v>2436</v>
      </c>
      <c r="O13" s="12" t="s">
        <v>2437</v>
      </c>
      <c r="P13" s="5" t="s">
        <v>2438</v>
      </c>
      <c r="Q13" s="12"/>
      <c r="R13" s="12" t="s">
        <v>2439</v>
      </c>
      <c r="S13" s="5" t="s">
        <v>2440</v>
      </c>
      <c r="T13" s="5" t="s">
        <v>2441</v>
      </c>
      <c r="U13" s="12" t="n">
        <v>2</v>
      </c>
      <c r="V13" s="12" t="n">
        <v>1</v>
      </c>
      <c r="W13" s="12" t="n">
        <v>2</v>
      </c>
      <c r="X13" s="12" t="n">
        <v>1</v>
      </c>
      <c r="Y13" s="12" t="n">
        <v>0</v>
      </c>
    </row>
    <row r="14" customFormat="false" ht="122.25" hidden="false" customHeight="true" outlineLevel="0" collapsed="false">
      <c r="A14" s="12" t="s">
        <v>2434</v>
      </c>
      <c r="B14" s="5" t="s">
        <v>2435</v>
      </c>
      <c r="C14" s="12" t="s">
        <v>2434</v>
      </c>
      <c r="D14" s="12" t="s">
        <v>120</v>
      </c>
      <c r="E14" s="5" t="s">
        <v>2442</v>
      </c>
      <c r="F14" s="14"/>
      <c r="G14" s="14"/>
      <c r="H14" s="14" t="s">
        <v>87</v>
      </c>
      <c r="I14" s="14"/>
      <c r="J14" s="14"/>
      <c r="K14" s="14"/>
      <c r="L14" s="15"/>
      <c r="M14" s="12" t="s">
        <v>73</v>
      </c>
      <c r="N14" s="5" t="s">
        <v>2436</v>
      </c>
      <c r="O14" s="12" t="s">
        <v>2437</v>
      </c>
      <c r="P14" s="5" t="s">
        <v>2438</v>
      </c>
      <c r="Q14" s="12"/>
      <c r="R14" s="12" t="s">
        <v>2439</v>
      </c>
      <c r="S14" s="5" t="s">
        <v>2440</v>
      </c>
      <c r="T14" s="5" t="s">
        <v>2441</v>
      </c>
      <c r="U14" s="12" t="n">
        <v>2</v>
      </c>
      <c r="V14" s="12" t="n">
        <v>1</v>
      </c>
      <c r="W14" s="12" t="n">
        <v>2</v>
      </c>
      <c r="X14" s="12" t="n">
        <v>1</v>
      </c>
      <c r="Y14" s="12" t="n">
        <v>0</v>
      </c>
    </row>
    <row r="15" customFormat="false" ht="377.25" hidden="false" customHeight="true" outlineLevel="0" collapsed="false">
      <c r="A15" s="10" t="s">
        <v>2443</v>
      </c>
      <c r="B15" s="11" t="s">
        <v>2444</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t="s">
        <v>2445</v>
      </c>
      <c r="O15" s="12" t="s">
        <v>2446</v>
      </c>
      <c r="P15" s="5" t="s">
        <v>2447</v>
      </c>
      <c r="Q15" s="12" t="s">
        <v>460</v>
      </c>
      <c r="R15" s="12" t="s">
        <v>2439</v>
      </c>
      <c r="S15" s="5" t="s">
        <v>2448</v>
      </c>
      <c r="T15" s="5" t="s">
        <v>306</v>
      </c>
      <c r="U15" s="12" t="n">
        <v>3</v>
      </c>
      <c r="V15" s="12" t="n">
        <v>1</v>
      </c>
      <c r="W15" s="12" t="n">
        <v>1</v>
      </c>
      <c r="X15" s="12" t="n">
        <v>1</v>
      </c>
      <c r="Y15" s="12" t="n">
        <v>0</v>
      </c>
    </row>
    <row r="16" customFormat="false" ht="377.25" hidden="false" customHeight="true" outlineLevel="0" collapsed="false">
      <c r="A16" s="12" t="s">
        <v>2443</v>
      </c>
      <c r="B16" s="5" t="s">
        <v>2444</v>
      </c>
      <c r="C16" s="12" t="s">
        <v>2443</v>
      </c>
      <c r="D16" s="12" t="s">
        <v>120</v>
      </c>
      <c r="E16" s="5" t="s">
        <v>2449</v>
      </c>
      <c r="F16" s="14"/>
      <c r="G16" s="14"/>
      <c r="H16" s="14" t="s">
        <v>87</v>
      </c>
      <c r="I16" s="14"/>
      <c r="J16" s="14"/>
      <c r="K16" s="14"/>
      <c r="L16" s="15"/>
      <c r="M16" s="12"/>
      <c r="N16" s="5" t="s">
        <v>2445</v>
      </c>
      <c r="O16" s="12" t="s">
        <v>2446</v>
      </c>
      <c r="P16" s="5" t="s">
        <v>2447</v>
      </c>
      <c r="Q16" s="12" t="s">
        <v>460</v>
      </c>
      <c r="R16" s="12" t="s">
        <v>2439</v>
      </c>
      <c r="S16" s="5" t="s">
        <v>2448</v>
      </c>
      <c r="T16" s="5" t="s">
        <v>306</v>
      </c>
      <c r="U16" s="12" t="n">
        <v>3</v>
      </c>
      <c r="V16" s="12" t="n">
        <v>1</v>
      </c>
      <c r="W16" s="12" t="n">
        <v>1</v>
      </c>
      <c r="X16" s="12" t="n">
        <v>1</v>
      </c>
      <c r="Y16" s="12" t="n">
        <v>0</v>
      </c>
    </row>
    <row r="17" customFormat="false" ht="95.25" hidden="false" customHeight="true" outlineLevel="0" collapsed="false">
      <c r="A17" s="10" t="s">
        <v>2450</v>
      </c>
      <c r="B17" s="11" t="s">
        <v>2451</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2452</v>
      </c>
      <c r="Q17" s="12" t="s">
        <v>460</v>
      </c>
      <c r="R17" s="12" t="s">
        <v>2453</v>
      </c>
      <c r="S17" s="5" t="s">
        <v>2454</v>
      </c>
      <c r="T17" s="5" t="s">
        <v>2455</v>
      </c>
      <c r="U17" s="12" t="n">
        <v>3</v>
      </c>
      <c r="V17" s="12" t="n">
        <v>1</v>
      </c>
      <c r="W17" s="12" t="n">
        <v>1</v>
      </c>
      <c r="X17" s="12" t="n">
        <v>1</v>
      </c>
      <c r="Y17" s="12" t="n">
        <v>1</v>
      </c>
    </row>
    <row r="18" customFormat="false" ht="95.25" hidden="false" customHeight="true" outlineLevel="0" collapsed="false">
      <c r="A18" s="12" t="s">
        <v>2450</v>
      </c>
      <c r="B18" s="5" t="s">
        <v>2451</v>
      </c>
      <c r="C18" s="12" t="s">
        <v>2450</v>
      </c>
      <c r="D18" s="12" t="s">
        <v>120</v>
      </c>
      <c r="E18" s="5" t="s">
        <v>2456</v>
      </c>
      <c r="F18" s="14"/>
      <c r="G18" s="14"/>
      <c r="H18" s="14" t="s">
        <v>87</v>
      </c>
      <c r="I18" s="14"/>
      <c r="J18" s="14"/>
      <c r="K18" s="14"/>
      <c r="L18" s="15"/>
      <c r="M18" s="12"/>
      <c r="N18" s="5"/>
      <c r="O18" s="12"/>
      <c r="P18" s="5" t="s">
        <v>2452</v>
      </c>
      <c r="Q18" s="12" t="s">
        <v>460</v>
      </c>
      <c r="R18" s="12" t="s">
        <v>2453</v>
      </c>
      <c r="S18" s="5" t="s">
        <v>2454</v>
      </c>
      <c r="T18" s="5" t="s">
        <v>2455</v>
      </c>
      <c r="U18" s="12" t="n">
        <v>3</v>
      </c>
      <c r="V18" s="12" t="n">
        <v>1</v>
      </c>
      <c r="W18" s="12" t="n">
        <v>1</v>
      </c>
      <c r="X18" s="12" t="n">
        <v>1</v>
      </c>
      <c r="Y18" s="12" t="n">
        <v>1</v>
      </c>
    </row>
    <row r="19" customFormat="false" ht="81.75" hidden="false" customHeight="true" outlineLevel="0" collapsed="false">
      <c r="A19" s="10" t="s">
        <v>2457</v>
      </c>
      <c r="B19" s="11" t="s">
        <v>2458</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t="s">
        <v>73</v>
      </c>
      <c r="N19" s="5"/>
      <c r="O19" s="12"/>
      <c r="P19" s="5" t="s">
        <v>2459</v>
      </c>
      <c r="Q19" s="12"/>
      <c r="R19" s="12" t="s">
        <v>926</v>
      </c>
      <c r="S19" s="5" t="s">
        <v>2460</v>
      </c>
      <c r="T19" s="5" t="s">
        <v>2461</v>
      </c>
      <c r="U19" s="12" t="n">
        <v>1</v>
      </c>
      <c r="V19" s="12" t="n">
        <v>0</v>
      </c>
      <c r="W19" s="12" t="n">
        <v>2</v>
      </c>
      <c r="X19" s="12" t="n">
        <v>0</v>
      </c>
      <c r="Y19" s="12" t="n">
        <v>1</v>
      </c>
    </row>
    <row r="20" customFormat="false" ht="81.75" hidden="false" customHeight="true" outlineLevel="0" collapsed="false">
      <c r="A20" s="12" t="s">
        <v>2457</v>
      </c>
      <c r="B20" s="5" t="s">
        <v>2458</v>
      </c>
      <c r="C20" s="12" t="s">
        <v>2457</v>
      </c>
      <c r="D20" s="12" t="s">
        <v>120</v>
      </c>
      <c r="E20" s="5" t="s">
        <v>2462</v>
      </c>
      <c r="F20" s="14"/>
      <c r="G20" s="14"/>
      <c r="H20" s="14" t="s">
        <v>87</v>
      </c>
      <c r="I20" s="14"/>
      <c r="J20" s="14"/>
      <c r="K20" s="14"/>
      <c r="L20" s="15"/>
      <c r="M20" s="12" t="s">
        <v>73</v>
      </c>
      <c r="N20" s="5"/>
      <c r="O20" s="12"/>
      <c r="P20" s="5" t="s">
        <v>2459</v>
      </c>
      <c r="Q20" s="12"/>
      <c r="R20" s="12" t="s">
        <v>926</v>
      </c>
      <c r="S20" s="5" t="s">
        <v>2460</v>
      </c>
      <c r="T20" s="5" t="s">
        <v>2461</v>
      </c>
      <c r="U20" s="12" t="n">
        <v>1</v>
      </c>
      <c r="V20" s="12" t="n">
        <v>0</v>
      </c>
      <c r="W20" s="12" t="n">
        <v>2</v>
      </c>
      <c r="X20" s="12" t="n">
        <v>0</v>
      </c>
      <c r="Y20" s="12" t="n">
        <v>1</v>
      </c>
    </row>
    <row r="21" customFormat="false" ht="68.25" hidden="false" customHeight="true" outlineLevel="0" collapsed="false">
      <c r="A21" s="10" t="s">
        <v>2463</v>
      </c>
      <c r="B21" s="11" t="s">
        <v>2464</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t="s">
        <v>2465</v>
      </c>
      <c r="N21" s="5" t="s">
        <v>2466</v>
      </c>
      <c r="O21" s="12" t="s">
        <v>524</v>
      </c>
      <c r="P21" s="5" t="s">
        <v>2467</v>
      </c>
      <c r="Q21" s="12" t="s">
        <v>460</v>
      </c>
      <c r="R21" s="12" t="s">
        <v>926</v>
      </c>
      <c r="S21" s="5" t="s">
        <v>2468</v>
      </c>
      <c r="T21" s="5" t="s">
        <v>2469</v>
      </c>
      <c r="U21" s="12" t="n">
        <v>2</v>
      </c>
      <c r="V21" s="12" t="n">
        <v>2</v>
      </c>
      <c r="W21" s="12" t="n">
        <v>2</v>
      </c>
      <c r="X21" s="12" t="n">
        <v>1</v>
      </c>
      <c r="Y21" s="12" t="n">
        <v>2</v>
      </c>
    </row>
    <row r="22" customFormat="false" ht="68.25" hidden="false" customHeight="true" outlineLevel="0" collapsed="false">
      <c r="A22" s="12" t="s">
        <v>2463</v>
      </c>
      <c r="B22" s="5" t="s">
        <v>2464</v>
      </c>
      <c r="C22" s="12" t="s">
        <v>2463</v>
      </c>
      <c r="D22" s="12" t="s">
        <v>120</v>
      </c>
      <c r="E22" s="5" t="s">
        <v>2470</v>
      </c>
      <c r="F22" s="14"/>
      <c r="G22" s="14"/>
      <c r="H22" s="14" t="s">
        <v>87</v>
      </c>
      <c r="I22" s="14"/>
      <c r="J22" s="14"/>
      <c r="K22" s="14"/>
      <c r="L22" s="15"/>
      <c r="M22" s="12" t="s">
        <v>2465</v>
      </c>
      <c r="N22" s="5" t="s">
        <v>2466</v>
      </c>
      <c r="O22" s="12" t="s">
        <v>524</v>
      </c>
      <c r="P22" s="5" t="s">
        <v>2467</v>
      </c>
      <c r="Q22" s="12" t="s">
        <v>460</v>
      </c>
      <c r="R22" s="12" t="s">
        <v>926</v>
      </c>
      <c r="S22" s="5" t="s">
        <v>2468</v>
      </c>
      <c r="T22" s="5" t="s">
        <v>2469</v>
      </c>
      <c r="U22" s="12" t="n">
        <v>2</v>
      </c>
      <c r="V22" s="12" t="n">
        <v>2</v>
      </c>
      <c r="W22" s="12" t="n">
        <v>2</v>
      </c>
      <c r="X22" s="12" t="n">
        <v>1</v>
      </c>
      <c r="Y22" s="12" t="n">
        <v>2</v>
      </c>
    </row>
    <row r="23" customFormat="false" ht="243" hidden="false" customHeight="true" outlineLevel="0" collapsed="false">
      <c r="A23" s="10" t="s">
        <v>2471</v>
      </c>
      <c r="B23" s="11" t="s">
        <v>2472</v>
      </c>
      <c r="C23" s="12"/>
      <c r="D23" s="12" t="s">
        <v>120</v>
      </c>
      <c r="E23" s="5" t="s">
        <v>79</v>
      </c>
      <c r="F23" s="12"/>
      <c r="G23" s="12"/>
      <c r="H23" s="13" t="str">
        <f aca="false">IF(OR(COUNTBLANK($H$24:$H$26)&gt;0,COUNTIF($H$24:$H$26,"unbearbeitet")=COUNTA($H$24:$H$26)),"Bitte Teilanforderungen ausfüllen",IF(COUNTIF($H$24:$H$26,"zu klären")&gt;0,"zu klären",IF(COUNTIF($H$24:$H$26,"entbehrlich")=COUNTA($H$24:$H$26),"entbehrlich",IF(COUNTIF($H$24:$H$26,"verwiesen")=COUNTA($H$24:$H$26),"verwiesen",IF(COUNTIF($H$24:$H$26,"nein")+COUNTIF($H$24:$H$26,"entbehrlich")=COUNTA($H$24:$H$26),"nein",IF(COUNTIF($H$24:$H$26,"ja")+COUNTIF($H$24:$H$26,"entbehrlich")+COUNTIF($H$24:$H$26,"verwiesen")=COUNTA($H$24:$H$26),"ja","teilweise"))))))</f>
        <v>Bitte Teilanforderungen ausfüllen</v>
      </c>
      <c r="I23" s="12"/>
      <c r="J23" s="12"/>
      <c r="K23" s="12"/>
      <c r="L23" s="12"/>
      <c r="M23" s="12" t="s">
        <v>73</v>
      </c>
      <c r="N23" s="5"/>
      <c r="O23" s="12"/>
      <c r="P23" s="5" t="s">
        <v>2473</v>
      </c>
      <c r="Q23" s="12" t="s">
        <v>460</v>
      </c>
      <c r="R23" s="12" t="s">
        <v>2453</v>
      </c>
      <c r="S23" s="5" t="s">
        <v>2474</v>
      </c>
      <c r="T23" s="5" t="s">
        <v>2475</v>
      </c>
      <c r="U23" s="12" t="n">
        <v>3</v>
      </c>
      <c r="V23" s="12" t="n">
        <v>1</v>
      </c>
      <c r="W23" s="12" t="n">
        <v>2</v>
      </c>
      <c r="X23" s="12" t="n">
        <v>1</v>
      </c>
      <c r="Y23" s="12" t="n">
        <v>0</v>
      </c>
    </row>
    <row r="24" customFormat="false" ht="243" hidden="false" customHeight="true" outlineLevel="0" collapsed="false">
      <c r="A24" s="12" t="s">
        <v>2471</v>
      </c>
      <c r="B24" s="5" t="s">
        <v>2472</v>
      </c>
      <c r="C24" s="12" t="s">
        <v>2471</v>
      </c>
      <c r="D24" s="12" t="s">
        <v>120</v>
      </c>
      <c r="E24" s="5" t="s">
        <v>2476</v>
      </c>
      <c r="F24" s="14"/>
      <c r="G24" s="14"/>
      <c r="H24" s="14" t="s">
        <v>87</v>
      </c>
      <c r="I24" s="14"/>
      <c r="J24" s="14"/>
      <c r="K24" s="14"/>
      <c r="L24" s="15"/>
      <c r="M24" s="12" t="s">
        <v>73</v>
      </c>
      <c r="N24" s="5"/>
      <c r="O24" s="12"/>
      <c r="P24" s="5" t="s">
        <v>2473</v>
      </c>
      <c r="Q24" s="12" t="s">
        <v>460</v>
      </c>
      <c r="R24" s="12" t="s">
        <v>2453</v>
      </c>
      <c r="S24" s="5" t="s">
        <v>2474</v>
      </c>
      <c r="T24" s="5" t="s">
        <v>2475</v>
      </c>
      <c r="U24" s="12" t="n">
        <v>3</v>
      </c>
      <c r="V24" s="12" t="n">
        <v>1</v>
      </c>
      <c r="W24" s="12" t="n">
        <v>2</v>
      </c>
      <c r="X24" s="12" t="n">
        <v>1</v>
      </c>
      <c r="Y24" s="12" t="n">
        <v>0</v>
      </c>
    </row>
    <row r="25" customFormat="false" ht="81.75" hidden="false" customHeight="true" outlineLevel="0" collapsed="false">
      <c r="A25" s="12" t="s">
        <v>2471</v>
      </c>
      <c r="B25" s="5" t="s">
        <v>2472</v>
      </c>
      <c r="C25" s="12" t="s">
        <v>2477</v>
      </c>
      <c r="D25" s="12" t="s">
        <v>120</v>
      </c>
      <c r="E25" s="5" t="s">
        <v>2478</v>
      </c>
      <c r="F25" s="14"/>
      <c r="G25" s="14"/>
      <c r="H25" s="14" t="s">
        <v>87</v>
      </c>
      <c r="I25" s="14"/>
      <c r="J25" s="14"/>
      <c r="K25" s="14"/>
      <c r="L25" s="15"/>
      <c r="M25" s="12"/>
      <c r="N25" s="5" t="s">
        <v>2479</v>
      </c>
      <c r="O25" s="12" t="s">
        <v>272</v>
      </c>
      <c r="P25" s="5" t="s">
        <v>2480</v>
      </c>
      <c r="Q25" s="12" t="s">
        <v>460</v>
      </c>
      <c r="R25" s="12" t="s">
        <v>2453</v>
      </c>
      <c r="S25" s="5" t="s">
        <v>2481</v>
      </c>
      <c r="T25" s="5" t="s">
        <v>2482</v>
      </c>
      <c r="U25" s="12" t="n">
        <v>3</v>
      </c>
      <c r="V25" s="12" t="n">
        <v>1</v>
      </c>
      <c r="W25" s="12" t="n">
        <v>1</v>
      </c>
      <c r="X25" s="12" t="n">
        <v>1</v>
      </c>
      <c r="Y25" s="12" t="n">
        <v>0</v>
      </c>
    </row>
    <row r="26" customFormat="false" ht="68.25" hidden="false" customHeight="true" outlineLevel="0" collapsed="false">
      <c r="A26" s="12" t="s">
        <v>2471</v>
      </c>
      <c r="B26" s="5" t="s">
        <v>2472</v>
      </c>
      <c r="C26" s="12" t="s">
        <v>2483</v>
      </c>
      <c r="D26" s="12" t="s">
        <v>120</v>
      </c>
      <c r="E26" s="5" t="s">
        <v>2484</v>
      </c>
      <c r="F26" s="14"/>
      <c r="G26" s="14"/>
      <c r="H26" s="14" t="s">
        <v>87</v>
      </c>
      <c r="I26" s="14"/>
      <c r="J26" s="14"/>
      <c r="K26" s="14"/>
      <c r="L26" s="15"/>
      <c r="M26" s="12"/>
      <c r="N26" s="5" t="s">
        <v>2479</v>
      </c>
      <c r="O26" s="12" t="s">
        <v>272</v>
      </c>
      <c r="P26" s="5" t="s">
        <v>2485</v>
      </c>
      <c r="Q26" s="12" t="s">
        <v>460</v>
      </c>
      <c r="R26" s="12" t="s">
        <v>2453</v>
      </c>
      <c r="S26" s="5" t="s">
        <v>2486</v>
      </c>
      <c r="T26" s="5" t="s">
        <v>2482</v>
      </c>
      <c r="U26" s="12" t="n">
        <v>3</v>
      </c>
      <c r="V26" s="12" t="n">
        <v>1</v>
      </c>
      <c r="W26" s="12" t="n">
        <v>1</v>
      </c>
      <c r="X26" s="12" t="n">
        <v>1</v>
      </c>
      <c r="Y26" s="12" t="n">
        <v>0</v>
      </c>
    </row>
    <row r="27" customFormat="false" ht="95.25" hidden="false" customHeight="true" outlineLevel="0" collapsed="false">
      <c r="A27" s="10" t="s">
        <v>2487</v>
      </c>
      <c r="B27" s="11" t="s">
        <v>2488</v>
      </c>
      <c r="C27" s="12"/>
      <c r="D27" s="12" t="s">
        <v>120</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c r="N27" s="5"/>
      <c r="O27" s="12"/>
      <c r="P27" s="5" t="s">
        <v>2489</v>
      </c>
      <c r="Q27" s="12" t="s">
        <v>460</v>
      </c>
      <c r="R27" s="12" t="s">
        <v>2453</v>
      </c>
      <c r="S27" s="5" t="s">
        <v>2488</v>
      </c>
      <c r="T27" s="5" t="s">
        <v>2490</v>
      </c>
      <c r="U27" s="12" t="n">
        <v>3</v>
      </c>
      <c r="V27" s="12" t="n">
        <v>1</v>
      </c>
      <c r="W27" s="12" t="n">
        <v>1</v>
      </c>
      <c r="X27" s="12" t="n">
        <v>0</v>
      </c>
      <c r="Y27" s="12" t="n">
        <v>1</v>
      </c>
    </row>
    <row r="28" customFormat="false" ht="95.25" hidden="false" customHeight="true" outlineLevel="0" collapsed="false">
      <c r="A28" s="12" t="s">
        <v>2487</v>
      </c>
      <c r="B28" s="5" t="s">
        <v>2488</v>
      </c>
      <c r="C28" s="12" t="s">
        <v>2487</v>
      </c>
      <c r="D28" s="12" t="s">
        <v>120</v>
      </c>
      <c r="E28" s="5" t="s">
        <v>2491</v>
      </c>
      <c r="F28" s="14"/>
      <c r="G28" s="14"/>
      <c r="H28" s="14" t="s">
        <v>87</v>
      </c>
      <c r="I28" s="14"/>
      <c r="J28" s="14"/>
      <c r="K28" s="14"/>
      <c r="L28" s="15"/>
      <c r="M28" s="12"/>
      <c r="N28" s="5"/>
      <c r="O28" s="12"/>
      <c r="P28" s="5" t="s">
        <v>2489</v>
      </c>
      <c r="Q28" s="12" t="s">
        <v>460</v>
      </c>
      <c r="R28" s="12" t="s">
        <v>2453</v>
      </c>
      <c r="S28" s="5" t="s">
        <v>2488</v>
      </c>
      <c r="T28" s="5" t="s">
        <v>2490</v>
      </c>
      <c r="U28" s="12" t="n">
        <v>3</v>
      </c>
      <c r="V28" s="12" t="n">
        <v>1</v>
      </c>
      <c r="W28" s="12" t="n">
        <v>1</v>
      </c>
      <c r="X28" s="12" t="n">
        <v>0</v>
      </c>
      <c r="Y28" s="12" t="n">
        <v>1</v>
      </c>
    </row>
    <row r="29" customFormat="false" ht="54.75" hidden="false" customHeight="true" outlineLevel="0" collapsed="false">
      <c r="A29" s="10" t="s">
        <v>2492</v>
      </c>
      <c r="B29" s="11" t="s">
        <v>2493</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t="s">
        <v>2494</v>
      </c>
      <c r="O29" s="12" t="s">
        <v>2351</v>
      </c>
      <c r="P29" s="5" t="s">
        <v>2495</v>
      </c>
      <c r="Q29" s="12" t="s">
        <v>460</v>
      </c>
      <c r="R29" s="12" t="s">
        <v>2453</v>
      </c>
      <c r="S29" s="5" t="s">
        <v>2496</v>
      </c>
      <c r="T29" s="5" t="s">
        <v>2497</v>
      </c>
      <c r="U29" s="12" t="n">
        <v>2</v>
      </c>
      <c r="V29" s="12" t="n">
        <v>1</v>
      </c>
      <c r="W29" s="12" t="n">
        <v>1</v>
      </c>
      <c r="X29" s="12" t="n">
        <v>1</v>
      </c>
      <c r="Y29" s="12" t="n">
        <v>1</v>
      </c>
    </row>
    <row r="30" customFormat="false" ht="54.75" hidden="false" customHeight="true" outlineLevel="0" collapsed="false">
      <c r="A30" s="12" t="s">
        <v>2492</v>
      </c>
      <c r="B30" s="5" t="s">
        <v>2493</v>
      </c>
      <c r="C30" s="12" t="s">
        <v>2492</v>
      </c>
      <c r="D30" s="12" t="s">
        <v>120</v>
      </c>
      <c r="E30" s="5" t="s">
        <v>2498</v>
      </c>
      <c r="F30" s="14"/>
      <c r="G30" s="14"/>
      <c r="H30" s="14" t="s">
        <v>87</v>
      </c>
      <c r="I30" s="14"/>
      <c r="J30" s="14"/>
      <c r="K30" s="14"/>
      <c r="L30" s="15"/>
      <c r="M30" s="12"/>
      <c r="N30" s="5" t="s">
        <v>2494</v>
      </c>
      <c r="O30" s="12" t="s">
        <v>2351</v>
      </c>
      <c r="P30" s="5" t="s">
        <v>2495</v>
      </c>
      <c r="Q30" s="12" t="s">
        <v>460</v>
      </c>
      <c r="R30" s="12" t="s">
        <v>2453</v>
      </c>
      <c r="S30" s="5" t="s">
        <v>2496</v>
      </c>
      <c r="T30" s="5" t="s">
        <v>2497</v>
      </c>
      <c r="U30" s="12" t="n">
        <v>2</v>
      </c>
      <c r="V30" s="12" t="n">
        <v>1</v>
      </c>
      <c r="W30" s="12" t="n">
        <v>1</v>
      </c>
      <c r="X30" s="12" t="n">
        <v>1</v>
      </c>
      <c r="Y30" s="12" t="n">
        <v>1</v>
      </c>
    </row>
    <row r="31" customFormat="false" ht="54.75" hidden="false" customHeight="true" outlineLevel="0" collapsed="false">
      <c r="A31" s="10" t="s">
        <v>2499</v>
      </c>
      <c r="B31" s="11" t="s">
        <v>2500</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t="s">
        <v>72</v>
      </c>
      <c r="N31" s="5"/>
      <c r="O31" s="12"/>
      <c r="P31" s="5" t="s">
        <v>2501</v>
      </c>
      <c r="Q31" s="12" t="s">
        <v>460</v>
      </c>
      <c r="R31" s="12" t="s">
        <v>2453</v>
      </c>
      <c r="S31" s="5" t="s">
        <v>2502</v>
      </c>
      <c r="T31" s="5" t="s">
        <v>2503</v>
      </c>
      <c r="U31" s="12" t="n">
        <v>3</v>
      </c>
      <c r="V31" s="12" t="n">
        <v>2</v>
      </c>
      <c r="W31" s="12" t="n">
        <v>1</v>
      </c>
      <c r="X31" s="12" t="n">
        <v>1</v>
      </c>
      <c r="Y31" s="12" t="n">
        <v>0</v>
      </c>
    </row>
    <row r="32" customFormat="false" ht="54.75" hidden="false" customHeight="true" outlineLevel="0" collapsed="false">
      <c r="A32" s="12" t="s">
        <v>2499</v>
      </c>
      <c r="B32" s="5" t="s">
        <v>2500</v>
      </c>
      <c r="C32" s="12" t="s">
        <v>2499</v>
      </c>
      <c r="D32" s="12" t="s">
        <v>120</v>
      </c>
      <c r="E32" s="5" t="s">
        <v>2504</v>
      </c>
      <c r="F32" s="14"/>
      <c r="G32" s="14"/>
      <c r="H32" s="14" t="s">
        <v>87</v>
      </c>
      <c r="I32" s="14"/>
      <c r="J32" s="14"/>
      <c r="K32" s="14"/>
      <c r="L32" s="15"/>
      <c r="M32" s="12" t="s">
        <v>72</v>
      </c>
      <c r="N32" s="5"/>
      <c r="O32" s="12"/>
      <c r="P32" s="5" t="s">
        <v>2501</v>
      </c>
      <c r="Q32" s="12" t="s">
        <v>460</v>
      </c>
      <c r="R32" s="12" t="s">
        <v>2453</v>
      </c>
      <c r="S32" s="5" t="s">
        <v>2502</v>
      </c>
      <c r="T32" s="5" t="s">
        <v>2503</v>
      </c>
      <c r="U32" s="12" t="n">
        <v>3</v>
      </c>
      <c r="V32" s="12" t="n">
        <v>2</v>
      </c>
      <c r="W32" s="12" t="n">
        <v>1</v>
      </c>
      <c r="X32" s="12" t="n">
        <v>1</v>
      </c>
      <c r="Y32" s="12" t="n">
        <v>0</v>
      </c>
    </row>
    <row r="33" customFormat="false" ht="41.25" hidden="false" customHeight="true" outlineLevel="0" collapsed="false">
      <c r="A33" s="10" t="s">
        <v>2505</v>
      </c>
      <c r="B33" s="11" t="s">
        <v>2506</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72</v>
      </c>
      <c r="N33" s="5" t="s">
        <v>2507</v>
      </c>
      <c r="O33" s="12" t="s">
        <v>661</v>
      </c>
      <c r="P33" s="5" t="s">
        <v>2508</v>
      </c>
      <c r="Q33" s="12" t="s">
        <v>460</v>
      </c>
      <c r="R33" s="12" t="s">
        <v>2453</v>
      </c>
      <c r="S33" s="5" t="s">
        <v>2509</v>
      </c>
      <c r="T33" s="5" t="s">
        <v>2503</v>
      </c>
      <c r="U33" s="12" t="n">
        <v>1</v>
      </c>
      <c r="V33" s="12" t="n">
        <v>2</v>
      </c>
      <c r="W33" s="12" t="n">
        <v>1</v>
      </c>
      <c r="X33" s="12" t="n">
        <v>1</v>
      </c>
      <c r="Y33" s="12" t="n">
        <v>0</v>
      </c>
    </row>
    <row r="34" customFormat="false" ht="41.25" hidden="false" customHeight="true" outlineLevel="0" collapsed="false">
      <c r="A34" s="12" t="s">
        <v>2505</v>
      </c>
      <c r="B34" s="5" t="s">
        <v>2506</v>
      </c>
      <c r="C34" s="12" t="s">
        <v>2505</v>
      </c>
      <c r="D34" s="12" t="s">
        <v>120</v>
      </c>
      <c r="E34" s="5" t="s">
        <v>2510</v>
      </c>
      <c r="F34" s="14"/>
      <c r="G34" s="14"/>
      <c r="H34" s="14" t="s">
        <v>87</v>
      </c>
      <c r="I34" s="14"/>
      <c r="J34" s="14"/>
      <c r="K34" s="14"/>
      <c r="L34" s="15"/>
      <c r="M34" s="12" t="s">
        <v>72</v>
      </c>
      <c r="N34" s="5" t="s">
        <v>2507</v>
      </c>
      <c r="O34" s="12" t="s">
        <v>661</v>
      </c>
      <c r="P34" s="5" t="s">
        <v>2508</v>
      </c>
      <c r="Q34" s="12" t="s">
        <v>460</v>
      </c>
      <c r="R34" s="12" t="s">
        <v>2453</v>
      </c>
      <c r="S34" s="5" t="s">
        <v>2509</v>
      </c>
      <c r="T34" s="5" t="s">
        <v>2503</v>
      </c>
      <c r="U34" s="12" t="n">
        <v>1</v>
      </c>
      <c r="V34" s="12" t="n">
        <v>2</v>
      </c>
      <c r="W34" s="12" t="n">
        <v>1</v>
      </c>
      <c r="X34" s="12" t="n">
        <v>1</v>
      </c>
      <c r="Y34" s="12" t="n">
        <v>0</v>
      </c>
    </row>
    <row r="35" customFormat="false" ht="27.75" hidden="false" customHeight="true" outlineLevel="0" collapsed="false">
      <c r="A35" s="10" t="s">
        <v>2511</v>
      </c>
      <c r="B35" s="11" t="s">
        <v>2512</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2513</v>
      </c>
      <c r="Q35" s="12" t="s">
        <v>460</v>
      </c>
      <c r="R35" s="12" t="s">
        <v>2453</v>
      </c>
      <c r="S35" s="5" t="s">
        <v>2514</v>
      </c>
      <c r="T35" s="5" t="s">
        <v>2515</v>
      </c>
      <c r="U35" s="12" t="n">
        <v>2</v>
      </c>
      <c r="V35" s="12" t="n">
        <v>1</v>
      </c>
      <c r="W35" s="12" t="n">
        <v>1</v>
      </c>
      <c r="X35" s="12" t="n">
        <v>1</v>
      </c>
      <c r="Y35" s="12" t="n">
        <v>0</v>
      </c>
    </row>
    <row r="36" customFormat="false" ht="27.75" hidden="false" customHeight="true" outlineLevel="0" collapsed="false">
      <c r="A36" s="12" t="s">
        <v>2511</v>
      </c>
      <c r="B36" s="5" t="s">
        <v>2512</v>
      </c>
      <c r="C36" s="12" t="s">
        <v>2511</v>
      </c>
      <c r="D36" s="12" t="s">
        <v>120</v>
      </c>
      <c r="E36" s="5" t="s">
        <v>2516</v>
      </c>
      <c r="F36" s="14"/>
      <c r="G36" s="14"/>
      <c r="H36" s="14" t="s">
        <v>87</v>
      </c>
      <c r="I36" s="14"/>
      <c r="J36" s="14"/>
      <c r="K36" s="14"/>
      <c r="L36" s="15"/>
      <c r="M36" s="12"/>
      <c r="N36" s="5"/>
      <c r="O36" s="12"/>
      <c r="P36" s="5" t="s">
        <v>2513</v>
      </c>
      <c r="Q36" s="12" t="s">
        <v>460</v>
      </c>
      <c r="R36" s="12" t="s">
        <v>2453</v>
      </c>
      <c r="S36" s="5" t="s">
        <v>2514</v>
      </c>
      <c r="T36" s="5" t="s">
        <v>2515</v>
      </c>
      <c r="U36" s="12" t="n">
        <v>2</v>
      </c>
      <c r="V36" s="12" t="n">
        <v>1</v>
      </c>
      <c r="W36" s="12" t="n">
        <v>1</v>
      </c>
      <c r="X36" s="12" t="n">
        <v>1</v>
      </c>
      <c r="Y36" s="12" t="n">
        <v>0</v>
      </c>
    </row>
    <row r="37" customFormat="false" ht="309.75" hidden="false" customHeight="true" outlineLevel="0" collapsed="false">
      <c r="A37" s="10" t="s">
        <v>2517</v>
      </c>
      <c r="B37" s="11" t="s">
        <v>2518</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73</v>
      </c>
      <c r="N37" s="5" t="s">
        <v>2519</v>
      </c>
      <c r="O37" s="12" t="s">
        <v>272</v>
      </c>
      <c r="P37" s="5" t="s">
        <v>2520</v>
      </c>
      <c r="Q37" s="12" t="s">
        <v>460</v>
      </c>
      <c r="R37" s="12" t="s">
        <v>688</v>
      </c>
      <c r="S37" s="5" t="s">
        <v>2521</v>
      </c>
      <c r="T37" s="5" t="s">
        <v>2522</v>
      </c>
      <c r="U37" s="12" t="n">
        <v>2</v>
      </c>
      <c r="V37" s="12" t="n">
        <v>1</v>
      </c>
      <c r="W37" s="12" t="n">
        <v>2</v>
      </c>
      <c r="X37" s="12" t="n">
        <v>1</v>
      </c>
      <c r="Y37" s="12" t="n">
        <v>1</v>
      </c>
    </row>
    <row r="38" customFormat="false" ht="309.75" hidden="false" customHeight="true" outlineLevel="0" collapsed="false">
      <c r="A38" s="12" t="s">
        <v>2517</v>
      </c>
      <c r="B38" s="5" t="s">
        <v>2518</v>
      </c>
      <c r="C38" s="12" t="s">
        <v>2517</v>
      </c>
      <c r="D38" s="12" t="s">
        <v>120</v>
      </c>
      <c r="E38" s="5" t="s">
        <v>2523</v>
      </c>
      <c r="F38" s="14"/>
      <c r="G38" s="14"/>
      <c r="H38" s="14" t="s">
        <v>87</v>
      </c>
      <c r="I38" s="14"/>
      <c r="J38" s="14"/>
      <c r="K38" s="14"/>
      <c r="L38" s="15"/>
      <c r="M38" s="12" t="s">
        <v>73</v>
      </c>
      <c r="N38" s="5" t="s">
        <v>2519</v>
      </c>
      <c r="O38" s="12" t="s">
        <v>272</v>
      </c>
      <c r="P38" s="5" t="s">
        <v>2520</v>
      </c>
      <c r="Q38" s="12" t="s">
        <v>460</v>
      </c>
      <c r="R38" s="12" t="s">
        <v>688</v>
      </c>
      <c r="S38" s="5" t="s">
        <v>2521</v>
      </c>
      <c r="T38" s="5" t="s">
        <v>2522</v>
      </c>
      <c r="U38" s="12" t="n">
        <v>2</v>
      </c>
      <c r="V38" s="12" t="n">
        <v>1</v>
      </c>
      <c r="W38" s="12" t="n">
        <v>2</v>
      </c>
      <c r="X38" s="12" t="n">
        <v>1</v>
      </c>
      <c r="Y38" s="12" t="n">
        <v>1</v>
      </c>
    </row>
    <row r="39" customFormat="false" ht="41.25" hidden="false" customHeight="true" outlineLevel="0" collapsed="false">
      <c r="A39" s="10" t="s">
        <v>2524</v>
      </c>
      <c r="B39" s="11" t="s">
        <v>2525</v>
      </c>
      <c r="C39" s="12"/>
      <c r="D39" s="12" t="s">
        <v>120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t="s">
        <v>2526</v>
      </c>
      <c r="O39" s="12" t="s">
        <v>2527</v>
      </c>
      <c r="P39" s="5" t="s">
        <v>2528</v>
      </c>
      <c r="Q39" s="12" t="s">
        <v>460</v>
      </c>
      <c r="R39" s="12" t="s">
        <v>2439</v>
      </c>
      <c r="S39" s="5" t="s">
        <v>2529</v>
      </c>
      <c r="T39" s="5" t="s">
        <v>2530</v>
      </c>
      <c r="U39" s="12" t="n">
        <v>3</v>
      </c>
      <c r="V39" s="12" t="n">
        <v>1</v>
      </c>
      <c r="W39" s="12" t="n">
        <v>1</v>
      </c>
      <c r="X39" s="12" t="n">
        <v>1</v>
      </c>
      <c r="Y39" s="12" t="n">
        <v>0</v>
      </c>
    </row>
    <row r="40" customFormat="false" ht="41.25" hidden="false" customHeight="true" outlineLevel="0" collapsed="false">
      <c r="A40" s="12" t="s">
        <v>2524</v>
      </c>
      <c r="B40" s="5" t="s">
        <v>2525</v>
      </c>
      <c r="C40" s="12" t="s">
        <v>2524</v>
      </c>
      <c r="D40" s="12" t="s">
        <v>120</v>
      </c>
      <c r="E40" s="5" t="s">
        <v>2531</v>
      </c>
      <c r="F40" s="14"/>
      <c r="G40" s="14"/>
      <c r="H40" s="14" t="s">
        <v>87</v>
      </c>
      <c r="I40" s="14"/>
      <c r="J40" s="14"/>
      <c r="K40" s="14"/>
      <c r="L40" s="15"/>
      <c r="M40" s="12"/>
      <c r="N40" s="5" t="s">
        <v>2526</v>
      </c>
      <c r="O40" s="12" t="s">
        <v>2527</v>
      </c>
      <c r="P40" s="5" t="s">
        <v>2528</v>
      </c>
      <c r="Q40" s="12" t="s">
        <v>460</v>
      </c>
      <c r="R40" s="12" t="s">
        <v>2439</v>
      </c>
      <c r="S40" s="5" t="s">
        <v>2529</v>
      </c>
      <c r="T40" s="5" t="s">
        <v>2530</v>
      </c>
      <c r="U40" s="12" t="n">
        <v>3</v>
      </c>
      <c r="V40" s="12" t="n">
        <v>1</v>
      </c>
      <c r="W40" s="12" t="n">
        <v>1</v>
      </c>
      <c r="X40" s="12" t="n">
        <v>1</v>
      </c>
      <c r="Y40" s="12" t="n">
        <v>0</v>
      </c>
    </row>
    <row r="41" customFormat="false" ht="309.75" hidden="false" customHeight="true" outlineLevel="0" collapsed="false">
      <c r="A41" s="10" t="s">
        <v>2532</v>
      </c>
      <c r="B41" s="11" t="s">
        <v>2533</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73</v>
      </c>
      <c r="N41" s="5" t="s">
        <v>2534</v>
      </c>
      <c r="O41" s="12" t="s">
        <v>2535</v>
      </c>
      <c r="P41" s="5" t="s">
        <v>2536</v>
      </c>
      <c r="Q41" s="12" t="s">
        <v>460</v>
      </c>
      <c r="R41" s="12" t="s">
        <v>2453</v>
      </c>
      <c r="S41" s="5" t="s">
        <v>2537</v>
      </c>
      <c r="T41" s="5" t="s">
        <v>2461</v>
      </c>
      <c r="U41" s="12" t="n">
        <v>4</v>
      </c>
      <c r="V41" s="12" t="n">
        <v>0</v>
      </c>
      <c r="W41" s="12" t="n">
        <v>2</v>
      </c>
      <c r="X41" s="12" t="n">
        <v>0</v>
      </c>
      <c r="Y41" s="12" t="n">
        <v>1</v>
      </c>
    </row>
    <row r="42" customFormat="false" ht="309.75" hidden="false" customHeight="true" outlineLevel="0" collapsed="false">
      <c r="A42" s="12" t="s">
        <v>2532</v>
      </c>
      <c r="B42" s="5" t="s">
        <v>2533</v>
      </c>
      <c r="C42" s="12" t="s">
        <v>2532</v>
      </c>
      <c r="D42" s="12" t="s">
        <v>120</v>
      </c>
      <c r="E42" s="5" t="s">
        <v>2538</v>
      </c>
      <c r="F42" s="14"/>
      <c r="G42" s="14"/>
      <c r="H42" s="14" t="s">
        <v>87</v>
      </c>
      <c r="I42" s="14"/>
      <c r="J42" s="14"/>
      <c r="K42" s="14"/>
      <c r="L42" s="15"/>
      <c r="M42" s="12" t="s">
        <v>73</v>
      </c>
      <c r="N42" s="5" t="s">
        <v>2534</v>
      </c>
      <c r="O42" s="12" t="s">
        <v>2535</v>
      </c>
      <c r="P42" s="5" t="s">
        <v>2536</v>
      </c>
      <c r="Q42" s="12" t="s">
        <v>460</v>
      </c>
      <c r="R42" s="12" t="s">
        <v>2453</v>
      </c>
      <c r="S42" s="5" t="s">
        <v>2537</v>
      </c>
      <c r="T42" s="5" t="s">
        <v>2461</v>
      </c>
      <c r="U42" s="12" t="n">
        <v>4</v>
      </c>
      <c r="V42" s="12" t="n">
        <v>0</v>
      </c>
      <c r="W42" s="12" t="n">
        <v>2</v>
      </c>
      <c r="X42" s="12" t="n">
        <v>0</v>
      </c>
      <c r="Y42" s="12" t="n">
        <v>1</v>
      </c>
    </row>
    <row r="43" customFormat="false" ht="68.25" hidden="false" customHeight="true" outlineLevel="0" collapsed="false">
      <c r="A43" s="10" t="s">
        <v>2539</v>
      </c>
      <c r="B43" s="11" t="s">
        <v>2540</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c r="N43" s="5"/>
      <c r="O43" s="12"/>
      <c r="P43" s="5" t="s">
        <v>2541</v>
      </c>
      <c r="Q43" s="12" t="s">
        <v>460</v>
      </c>
      <c r="R43" s="12" t="s">
        <v>2453</v>
      </c>
      <c r="S43" s="5" t="s">
        <v>2542</v>
      </c>
      <c r="T43" s="5" t="s">
        <v>2482</v>
      </c>
      <c r="U43" s="12" t="n">
        <v>2</v>
      </c>
      <c r="V43" s="12" t="n">
        <v>1</v>
      </c>
      <c r="W43" s="12" t="n">
        <v>1</v>
      </c>
      <c r="X43" s="12" t="n">
        <v>1</v>
      </c>
      <c r="Y43" s="12" t="n">
        <v>0</v>
      </c>
    </row>
    <row r="44" customFormat="false" ht="68.25" hidden="false" customHeight="true" outlineLevel="0" collapsed="false">
      <c r="A44" s="12" t="s">
        <v>2539</v>
      </c>
      <c r="B44" s="5" t="s">
        <v>2540</v>
      </c>
      <c r="C44" s="12" t="s">
        <v>2539</v>
      </c>
      <c r="D44" s="12" t="s">
        <v>120</v>
      </c>
      <c r="E44" s="5" t="s">
        <v>2543</v>
      </c>
      <c r="F44" s="14"/>
      <c r="G44" s="14"/>
      <c r="H44" s="14" t="s">
        <v>87</v>
      </c>
      <c r="I44" s="14"/>
      <c r="J44" s="14"/>
      <c r="K44" s="14"/>
      <c r="L44" s="15"/>
      <c r="M44" s="12"/>
      <c r="N44" s="5"/>
      <c r="O44" s="12"/>
      <c r="P44" s="5" t="s">
        <v>2541</v>
      </c>
      <c r="Q44" s="12" t="s">
        <v>460</v>
      </c>
      <c r="R44" s="12" t="s">
        <v>2453</v>
      </c>
      <c r="S44" s="5" t="s">
        <v>2542</v>
      </c>
      <c r="T44" s="5" t="s">
        <v>2482</v>
      </c>
      <c r="U44" s="12" t="n">
        <v>2</v>
      </c>
      <c r="V44" s="12" t="n">
        <v>1</v>
      </c>
      <c r="W44" s="12" t="n">
        <v>1</v>
      </c>
      <c r="X44" s="12" t="n">
        <v>1</v>
      </c>
      <c r="Y44" s="12" t="n">
        <v>0</v>
      </c>
    </row>
    <row r="45" customFormat="false" ht="81.75" hidden="false" customHeight="true" outlineLevel="0" collapsed="false">
      <c r="A45" s="10" t="s">
        <v>2544</v>
      </c>
      <c r="B45" s="11" t="s">
        <v>2545</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2546</v>
      </c>
      <c r="Q45" s="12" t="s">
        <v>460</v>
      </c>
      <c r="R45" s="12" t="s">
        <v>2453</v>
      </c>
      <c r="S45" s="5" t="s">
        <v>2547</v>
      </c>
      <c r="T45" s="5" t="s">
        <v>2482</v>
      </c>
      <c r="U45" s="12" t="n">
        <v>3</v>
      </c>
      <c r="V45" s="12" t="n">
        <v>1</v>
      </c>
      <c r="W45" s="12" t="n">
        <v>1</v>
      </c>
      <c r="X45" s="12" t="n">
        <v>1</v>
      </c>
      <c r="Y45" s="12" t="n">
        <v>0</v>
      </c>
    </row>
    <row r="46" customFormat="false" ht="81.75" hidden="false" customHeight="true" outlineLevel="0" collapsed="false">
      <c r="A46" s="12" t="s">
        <v>2544</v>
      </c>
      <c r="B46" s="5" t="s">
        <v>2545</v>
      </c>
      <c r="C46" s="12" t="s">
        <v>2544</v>
      </c>
      <c r="D46" s="12" t="s">
        <v>120</v>
      </c>
      <c r="E46" s="5" t="s">
        <v>2548</v>
      </c>
      <c r="F46" s="14"/>
      <c r="G46" s="14"/>
      <c r="H46" s="14" t="s">
        <v>87</v>
      </c>
      <c r="I46" s="14"/>
      <c r="J46" s="14"/>
      <c r="K46" s="14"/>
      <c r="L46" s="15"/>
      <c r="M46" s="12"/>
      <c r="N46" s="5"/>
      <c r="O46" s="12"/>
      <c r="P46" s="5" t="s">
        <v>2546</v>
      </c>
      <c r="Q46" s="12" t="s">
        <v>460</v>
      </c>
      <c r="R46" s="12" t="s">
        <v>2453</v>
      </c>
      <c r="S46" s="5" t="s">
        <v>2547</v>
      </c>
      <c r="T46" s="5" t="s">
        <v>2482</v>
      </c>
      <c r="U46" s="12" t="n">
        <v>3</v>
      </c>
      <c r="V46" s="12" t="n">
        <v>1</v>
      </c>
      <c r="W46" s="12" t="n">
        <v>1</v>
      </c>
      <c r="X46" s="12" t="n">
        <v>1</v>
      </c>
      <c r="Y46" s="12" t="n">
        <v>0</v>
      </c>
    </row>
    <row r="47" customFormat="false" ht="95.25" hidden="false" customHeight="true" outlineLevel="0" collapsed="false">
      <c r="A47" s="10" t="s">
        <v>2549</v>
      </c>
      <c r="B47" s="11" t="s">
        <v>2550</v>
      </c>
      <c r="C47" s="12"/>
      <c r="D47" s="12" t="s">
        <v>160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t="s">
        <v>73</v>
      </c>
      <c r="N47" s="5"/>
      <c r="O47" s="12"/>
      <c r="P47" s="5" t="s">
        <v>2551</v>
      </c>
      <c r="Q47" s="12" t="s">
        <v>460</v>
      </c>
      <c r="R47" s="12" t="s">
        <v>2439</v>
      </c>
      <c r="S47" s="5" t="s">
        <v>2552</v>
      </c>
      <c r="T47" s="5" t="s">
        <v>2553</v>
      </c>
      <c r="U47" s="12" t="n">
        <v>5</v>
      </c>
      <c r="V47" s="12" t="n">
        <v>1</v>
      </c>
      <c r="W47" s="12" t="n">
        <v>2</v>
      </c>
      <c r="X47" s="12" t="n">
        <v>1</v>
      </c>
      <c r="Y47" s="12" t="n">
        <v>0</v>
      </c>
    </row>
    <row r="48" customFormat="false" ht="95.25" hidden="false" customHeight="true" outlineLevel="0" collapsed="false">
      <c r="A48" s="12" t="s">
        <v>2549</v>
      </c>
      <c r="B48" s="5" t="s">
        <v>2550</v>
      </c>
      <c r="C48" s="12" t="s">
        <v>2549</v>
      </c>
      <c r="D48" s="12" t="s">
        <v>160</v>
      </c>
      <c r="E48" s="5" t="s">
        <v>2554</v>
      </c>
      <c r="F48" s="14"/>
      <c r="G48" s="14"/>
      <c r="H48" s="14" t="s">
        <v>87</v>
      </c>
      <c r="I48" s="14"/>
      <c r="J48" s="14"/>
      <c r="K48" s="14"/>
      <c r="L48" s="15"/>
      <c r="M48" s="12" t="s">
        <v>73</v>
      </c>
      <c r="N48" s="5"/>
      <c r="O48" s="12"/>
      <c r="P48" s="5" t="s">
        <v>2551</v>
      </c>
      <c r="Q48" s="12" t="s">
        <v>460</v>
      </c>
      <c r="R48" s="12" t="s">
        <v>2439</v>
      </c>
      <c r="S48" s="5" t="s">
        <v>2552</v>
      </c>
      <c r="T48" s="5" t="s">
        <v>2553</v>
      </c>
      <c r="U48" s="12" t="n">
        <v>5</v>
      </c>
      <c r="V48" s="12" t="n">
        <v>1</v>
      </c>
      <c r="W48" s="12" t="n">
        <v>2</v>
      </c>
      <c r="X48" s="12" t="n">
        <v>1</v>
      </c>
      <c r="Y48" s="12" t="n">
        <v>0</v>
      </c>
    </row>
    <row r="49" customFormat="false" ht="68.25" hidden="false" customHeight="true" outlineLevel="0" collapsed="false">
      <c r="A49" s="10" t="s">
        <v>2555</v>
      </c>
      <c r="B49" s="11" t="s">
        <v>2556</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c r="N49" s="5"/>
      <c r="O49" s="12"/>
      <c r="P49" s="5" t="s">
        <v>2557</v>
      </c>
      <c r="Q49" s="12" t="s">
        <v>460</v>
      </c>
      <c r="R49" s="12" t="s">
        <v>2439</v>
      </c>
      <c r="S49" s="5" t="s">
        <v>2556</v>
      </c>
      <c r="T49" s="5" t="s">
        <v>745</v>
      </c>
      <c r="U49" s="12" t="n">
        <v>2</v>
      </c>
      <c r="V49" s="12" t="n">
        <v>1</v>
      </c>
      <c r="W49" s="12" t="n">
        <v>1</v>
      </c>
      <c r="X49" s="12" t="n">
        <v>1</v>
      </c>
      <c r="Y49" s="12" t="n">
        <v>1</v>
      </c>
    </row>
    <row r="50" customFormat="false" ht="68.25" hidden="false" customHeight="true" outlineLevel="0" collapsed="false">
      <c r="A50" s="12" t="s">
        <v>2555</v>
      </c>
      <c r="B50" s="5" t="s">
        <v>2556</v>
      </c>
      <c r="C50" s="12" t="s">
        <v>2555</v>
      </c>
      <c r="D50" s="12" t="s">
        <v>120</v>
      </c>
      <c r="E50" s="5" t="s">
        <v>2558</v>
      </c>
      <c r="F50" s="14"/>
      <c r="G50" s="14"/>
      <c r="H50" s="14" t="s">
        <v>87</v>
      </c>
      <c r="I50" s="14"/>
      <c r="J50" s="14"/>
      <c r="K50" s="14"/>
      <c r="L50" s="15"/>
      <c r="M50" s="12"/>
      <c r="N50" s="5"/>
      <c r="O50" s="12"/>
      <c r="P50" s="5" t="s">
        <v>2557</v>
      </c>
      <c r="Q50" s="12" t="s">
        <v>460</v>
      </c>
      <c r="R50" s="12" t="s">
        <v>2439</v>
      </c>
      <c r="S50" s="5" t="s">
        <v>2556</v>
      </c>
      <c r="T50" s="5" t="s">
        <v>745</v>
      </c>
      <c r="U50" s="12" t="n">
        <v>2</v>
      </c>
      <c r="V50" s="12" t="n">
        <v>1</v>
      </c>
      <c r="W50" s="12" t="n">
        <v>1</v>
      </c>
      <c r="X50" s="12" t="n">
        <v>1</v>
      </c>
      <c r="Y50" s="12" t="n">
        <v>1</v>
      </c>
    </row>
    <row r="51" customFormat="false" ht="68.25" hidden="false" customHeight="true" outlineLevel="0" collapsed="false">
      <c r="A51" s="10" t="s">
        <v>2559</v>
      </c>
      <c r="B51" s="11" t="s">
        <v>2560</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c r="N51" s="5" t="s">
        <v>2561</v>
      </c>
      <c r="O51" s="12" t="s">
        <v>255</v>
      </c>
      <c r="P51" s="5" t="s">
        <v>2562</v>
      </c>
      <c r="Q51" s="12" t="s">
        <v>460</v>
      </c>
      <c r="R51" s="12" t="s">
        <v>2563</v>
      </c>
      <c r="S51" s="5" t="s">
        <v>2560</v>
      </c>
      <c r="T51" s="5" t="s">
        <v>745</v>
      </c>
      <c r="U51" s="12" t="n">
        <v>1</v>
      </c>
      <c r="V51" s="12" t="n">
        <v>1</v>
      </c>
      <c r="W51" s="12" t="n">
        <v>1</v>
      </c>
      <c r="X51" s="12" t="n">
        <v>1</v>
      </c>
      <c r="Y51" s="12" t="n">
        <v>1</v>
      </c>
    </row>
    <row r="52" customFormat="false" ht="68.25" hidden="false" customHeight="true" outlineLevel="0" collapsed="false">
      <c r="A52" s="12" t="s">
        <v>2559</v>
      </c>
      <c r="B52" s="5" t="s">
        <v>2560</v>
      </c>
      <c r="C52" s="12" t="s">
        <v>2559</v>
      </c>
      <c r="D52" s="12" t="s">
        <v>120</v>
      </c>
      <c r="E52" s="5" t="s">
        <v>2564</v>
      </c>
      <c r="F52" s="14"/>
      <c r="G52" s="14"/>
      <c r="H52" s="14" t="s">
        <v>87</v>
      </c>
      <c r="I52" s="14"/>
      <c r="J52" s="14"/>
      <c r="K52" s="14"/>
      <c r="L52" s="15"/>
      <c r="M52" s="12"/>
      <c r="N52" s="5" t="s">
        <v>2561</v>
      </c>
      <c r="O52" s="12" t="s">
        <v>255</v>
      </c>
      <c r="P52" s="5" t="s">
        <v>2562</v>
      </c>
      <c r="Q52" s="12" t="s">
        <v>460</v>
      </c>
      <c r="R52" s="12" t="s">
        <v>2563</v>
      </c>
      <c r="S52" s="5" t="s">
        <v>2560</v>
      </c>
      <c r="T52" s="5" t="s">
        <v>745</v>
      </c>
      <c r="U52" s="12" t="n">
        <v>1</v>
      </c>
      <c r="V52" s="12" t="n">
        <v>1</v>
      </c>
      <c r="W52" s="12" t="n">
        <v>1</v>
      </c>
      <c r="X52" s="12" t="n">
        <v>1</v>
      </c>
      <c r="Y52" s="12" t="n">
        <v>1</v>
      </c>
    </row>
    <row r="53" customFormat="false" ht="363.75" hidden="false" customHeight="true" outlineLevel="0" collapsed="false">
      <c r="A53" s="10" t="s">
        <v>2565</v>
      </c>
      <c r="B53" s="11" t="s">
        <v>2566</v>
      </c>
      <c r="C53" s="12"/>
      <c r="D53" s="12" t="s">
        <v>120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t="s">
        <v>2465</v>
      </c>
      <c r="N53" s="5" t="s">
        <v>2567</v>
      </c>
      <c r="O53" s="12" t="s">
        <v>272</v>
      </c>
      <c r="P53" s="5" t="s">
        <v>2568</v>
      </c>
      <c r="Q53" s="12" t="s">
        <v>460</v>
      </c>
      <c r="R53" s="12" t="s">
        <v>2563</v>
      </c>
      <c r="S53" s="5" t="s">
        <v>2569</v>
      </c>
      <c r="T53" s="5" t="s">
        <v>2570</v>
      </c>
      <c r="U53" s="12" t="n">
        <v>1</v>
      </c>
      <c r="V53" s="12" t="n">
        <v>2</v>
      </c>
      <c r="W53" s="12" t="n">
        <v>2</v>
      </c>
      <c r="X53" s="12" t="n">
        <v>0</v>
      </c>
      <c r="Y53" s="12" t="n">
        <v>2</v>
      </c>
    </row>
    <row r="54" customFormat="false" ht="363.75" hidden="false" customHeight="true" outlineLevel="0" collapsed="false">
      <c r="A54" s="12" t="s">
        <v>2565</v>
      </c>
      <c r="B54" s="5" t="s">
        <v>2566</v>
      </c>
      <c r="C54" s="12" t="s">
        <v>2565</v>
      </c>
      <c r="D54" s="12" t="s">
        <v>120</v>
      </c>
      <c r="E54" s="5" t="s">
        <v>2571</v>
      </c>
      <c r="F54" s="14"/>
      <c r="G54" s="14"/>
      <c r="H54" s="14" t="s">
        <v>87</v>
      </c>
      <c r="I54" s="14"/>
      <c r="J54" s="14"/>
      <c r="K54" s="14"/>
      <c r="L54" s="15"/>
      <c r="M54" s="12" t="s">
        <v>2465</v>
      </c>
      <c r="N54" s="5" t="s">
        <v>2567</v>
      </c>
      <c r="O54" s="12" t="s">
        <v>272</v>
      </c>
      <c r="P54" s="5" t="s">
        <v>2568</v>
      </c>
      <c r="Q54" s="12" t="s">
        <v>460</v>
      </c>
      <c r="R54" s="12" t="s">
        <v>2563</v>
      </c>
      <c r="S54" s="5" t="s">
        <v>2569</v>
      </c>
      <c r="T54" s="5" t="s">
        <v>2570</v>
      </c>
      <c r="U54" s="12" t="n">
        <v>1</v>
      </c>
      <c r="V54" s="12" t="n">
        <v>2</v>
      </c>
      <c r="W54" s="12" t="n">
        <v>2</v>
      </c>
      <c r="X54" s="12" t="n">
        <v>0</v>
      </c>
      <c r="Y54" s="12" t="n">
        <v>2</v>
      </c>
    </row>
    <row r="55" customFormat="false" ht="350.25" hidden="false" customHeight="true" outlineLevel="0" collapsed="false">
      <c r="A55" s="10" t="s">
        <v>2572</v>
      </c>
      <c r="B55" s="11" t="s">
        <v>2573</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c r="N55" s="5"/>
      <c r="O55" s="12"/>
      <c r="P55" s="5" t="s">
        <v>2574</v>
      </c>
      <c r="Q55" s="12" t="s">
        <v>460</v>
      </c>
      <c r="R55" s="12" t="s">
        <v>2453</v>
      </c>
      <c r="S55" s="5" t="s">
        <v>2569</v>
      </c>
      <c r="T55" s="5" t="s">
        <v>2575</v>
      </c>
      <c r="U55" s="12" t="n">
        <v>4</v>
      </c>
      <c r="V55" s="12" t="n">
        <v>1</v>
      </c>
      <c r="W55" s="12" t="n">
        <v>1</v>
      </c>
      <c r="X55" s="12" t="n">
        <v>1</v>
      </c>
      <c r="Y55" s="12" t="n">
        <v>0</v>
      </c>
    </row>
    <row r="56" customFormat="false" ht="350.25" hidden="false" customHeight="true" outlineLevel="0" collapsed="false">
      <c r="A56" s="12" t="s">
        <v>2572</v>
      </c>
      <c r="B56" s="5" t="s">
        <v>2573</v>
      </c>
      <c r="C56" s="12" t="s">
        <v>2572</v>
      </c>
      <c r="D56" s="12" t="s">
        <v>120</v>
      </c>
      <c r="E56" s="5" t="s">
        <v>2576</v>
      </c>
      <c r="F56" s="14"/>
      <c r="G56" s="14"/>
      <c r="H56" s="14" t="s">
        <v>87</v>
      </c>
      <c r="I56" s="14"/>
      <c r="J56" s="14"/>
      <c r="K56" s="14"/>
      <c r="L56" s="15"/>
      <c r="M56" s="12"/>
      <c r="N56" s="5"/>
      <c r="O56" s="12"/>
      <c r="P56" s="5" t="s">
        <v>2574</v>
      </c>
      <c r="Q56" s="12" t="s">
        <v>460</v>
      </c>
      <c r="R56" s="12" t="s">
        <v>2453</v>
      </c>
      <c r="S56" s="5" t="s">
        <v>2569</v>
      </c>
      <c r="T56" s="5" t="s">
        <v>2575</v>
      </c>
      <c r="U56" s="12" t="n">
        <v>4</v>
      </c>
      <c r="V56" s="12" t="n">
        <v>1</v>
      </c>
      <c r="W56" s="12" t="n">
        <v>1</v>
      </c>
      <c r="X56" s="12" t="n">
        <v>1</v>
      </c>
      <c r="Y56" s="12" t="n">
        <v>0</v>
      </c>
    </row>
    <row r="57" customFormat="false" ht="81.75" hidden="false" customHeight="true" outlineLevel="0" collapsed="false">
      <c r="A57" s="10" t="s">
        <v>2577</v>
      </c>
      <c r="B57" s="11" t="s">
        <v>2578</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c r="N57" s="5"/>
      <c r="O57" s="12"/>
      <c r="P57" s="5" t="s">
        <v>2579</v>
      </c>
      <c r="Q57" s="12" t="s">
        <v>460</v>
      </c>
      <c r="R57" s="12" t="s">
        <v>2439</v>
      </c>
      <c r="S57" s="5" t="s">
        <v>2580</v>
      </c>
      <c r="T57" s="5" t="s">
        <v>2575</v>
      </c>
      <c r="U57" s="12" t="n">
        <v>2</v>
      </c>
      <c r="V57" s="12" t="n">
        <v>1</v>
      </c>
      <c r="W57" s="12" t="n">
        <v>1</v>
      </c>
      <c r="X57" s="12" t="n">
        <v>1</v>
      </c>
      <c r="Y57" s="12" t="n">
        <v>1</v>
      </c>
    </row>
    <row r="58" customFormat="false" ht="81.75" hidden="false" customHeight="true" outlineLevel="0" collapsed="false">
      <c r="A58" s="12" t="s">
        <v>2577</v>
      </c>
      <c r="B58" s="5" t="s">
        <v>2578</v>
      </c>
      <c r="C58" s="12" t="s">
        <v>2577</v>
      </c>
      <c r="D58" s="12" t="s">
        <v>120</v>
      </c>
      <c r="E58" s="5" t="s">
        <v>2581</v>
      </c>
      <c r="F58" s="14"/>
      <c r="G58" s="14"/>
      <c r="H58" s="14" t="s">
        <v>87</v>
      </c>
      <c r="I58" s="14"/>
      <c r="J58" s="14"/>
      <c r="K58" s="14"/>
      <c r="L58" s="15"/>
      <c r="M58" s="12"/>
      <c r="N58" s="5"/>
      <c r="O58" s="12"/>
      <c r="P58" s="5" t="s">
        <v>2579</v>
      </c>
      <c r="Q58" s="12" t="s">
        <v>460</v>
      </c>
      <c r="R58" s="12" t="s">
        <v>2439</v>
      </c>
      <c r="S58" s="5" t="s">
        <v>2580</v>
      </c>
      <c r="T58" s="5" t="s">
        <v>2575</v>
      </c>
      <c r="U58" s="12" t="n">
        <v>2</v>
      </c>
      <c r="V58" s="12" t="n">
        <v>1</v>
      </c>
      <c r="W58" s="12" t="n">
        <v>1</v>
      </c>
      <c r="X58" s="12" t="n">
        <v>1</v>
      </c>
      <c r="Y58" s="12" t="n">
        <v>1</v>
      </c>
    </row>
    <row r="59" customFormat="false" ht="41.25" hidden="false" customHeight="true" outlineLevel="0" collapsed="false">
      <c r="A59" s="10" t="s">
        <v>2582</v>
      </c>
      <c r="B59" s="11" t="s">
        <v>2583</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c r="N59" s="5"/>
      <c r="O59" s="12"/>
      <c r="P59" s="5" t="s">
        <v>2584</v>
      </c>
      <c r="Q59" s="12" t="s">
        <v>460</v>
      </c>
      <c r="R59" s="12" t="s">
        <v>2439</v>
      </c>
      <c r="S59" s="5" t="s">
        <v>2585</v>
      </c>
      <c r="T59" s="5" t="s">
        <v>109</v>
      </c>
      <c r="U59" s="12" t="n">
        <v>2</v>
      </c>
      <c r="V59" s="12" t="n">
        <v>1</v>
      </c>
      <c r="W59" s="12" t="n">
        <v>1</v>
      </c>
      <c r="X59" s="12" t="n">
        <v>1</v>
      </c>
      <c r="Y59" s="12" t="n">
        <v>0</v>
      </c>
    </row>
    <row r="60" customFormat="false" ht="41.25" hidden="false" customHeight="true" outlineLevel="0" collapsed="false">
      <c r="A60" s="12" t="s">
        <v>2582</v>
      </c>
      <c r="B60" s="5" t="s">
        <v>2583</v>
      </c>
      <c r="C60" s="12" t="s">
        <v>2582</v>
      </c>
      <c r="D60" s="12" t="s">
        <v>120</v>
      </c>
      <c r="E60" s="5" t="s">
        <v>2586</v>
      </c>
      <c r="F60" s="14"/>
      <c r="G60" s="14"/>
      <c r="H60" s="14" t="s">
        <v>87</v>
      </c>
      <c r="I60" s="14"/>
      <c r="J60" s="14"/>
      <c r="K60" s="14"/>
      <c r="L60" s="15"/>
      <c r="M60" s="12"/>
      <c r="N60" s="5"/>
      <c r="O60" s="12"/>
      <c r="P60" s="5" t="s">
        <v>2584</v>
      </c>
      <c r="Q60" s="12" t="s">
        <v>460</v>
      </c>
      <c r="R60" s="12" t="s">
        <v>2439</v>
      </c>
      <c r="S60" s="5" t="s">
        <v>2585</v>
      </c>
      <c r="T60" s="5" t="s">
        <v>109</v>
      </c>
      <c r="U60" s="12" t="n">
        <v>2</v>
      </c>
      <c r="V60" s="12" t="n">
        <v>1</v>
      </c>
      <c r="W60" s="12" t="n">
        <v>1</v>
      </c>
      <c r="X60" s="12" t="n">
        <v>1</v>
      </c>
      <c r="Y60" s="12" t="n">
        <v>0</v>
      </c>
    </row>
    <row r="61" customFormat="false" ht="68.25" hidden="false" customHeight="true" outlineLevel="0" collapsed="false">
      <c r="A61" s="10" t="s">
        <v>2587</v>
      </c>
      <c r="B61" s="11" t="s">
        <v>2588</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1226</v>
      </c>
      <c r="N61" s="5" t="s">
        <v>2589</v>
      </c>
      <c r="O61" s="12" t="s">
        <v>661</v>
      </c>
      <c r="P61" s="5" t="s">
        <v>2590</v>
      </c>
      <c r="Q61" s="12" t="s">
        <v>460</v>
      </c>
      <c r="R61" s="12" t="s">
        <v>2439</v>
      </c>
      <c r="S61" s="5" t="s">
        <v>2591</v>
      </c>
      <c r="T61" s="5" t="s">
        <v>2592</v>
      </c>
      <c r="U61" s="12" t="n">
        <v>2</v>
      </c>
      <c r="V61" s="12" t="n">
        <v>1</v>
      </c>
      <c r="W61" s="12" t="n">
        <v>2</v>
      </c>
      <c r="X61" s="12" t="n">
        <v>1</v>
      </c>
      <c r="Y61" s="12" t="n">
        <v>2</v>
      </c>
    </row>
    <row r="62" customFormat="false" ht="68.25" hidden="false" customHeight="true" outlineLevel="0" collapsed="false">
      <c r="A62" s="12" t="s">
        <v>2587</v>
      </c>
      <c r="B62" s="5" t="s">
        <v>2588</v>
      </c>
      <c r="C62" s="12" t="s">
        <v>2587</v>
      </c>
      <c r="D62" s="12" t="s">
        <v>120</v>
      </c>
      <c r="E62" s="5" t="s">
        <v>2593</v>
      </c>
      <c r="F62" s="14"/>
      <c r="G62" s="14"/>
      <c r="H62" s="14" t="s">
        <v>87</v>
      </c>
      <c r="I62" s="14"/>
      <c r="J62" s="14"/>
      <c r="K62" s="14"/>
      <c r="L62" s="15"/>
      <c r="M62" s="12" t="s">
        <v>1226</v>
      </c>
      <c r="N62" s="5" t="s">
        <v>2589</v>
      </c>
      <c r="O62" s="12" t="s">
        <v>661</v>
      </c>
      <c r="P62" s="5" t="s">
        <v>2590</v>
      </c>
      <c r="Q62" s="12" t="s">
        <v>460</v>
      </c>
      <c r="R62" s="12" t="s">
        <v>2439</v>
      </c>
      <c r="S62" s="5" t="s">
        <v>2591</v>
      </c>
      <c r="T62" s="5" t="s">
        <v>2592</v>
      </c>
      <c r="U62" s="12" t="n">
        <v>2</v>
      </c>
      <c r="V62" s="12" t="n">
        <v>1</v>
      </c>
      <c r="W62" s="12" t="n">
        <v>2</v>
      </c>
      <c r="X62" s="12" t="n">
        <v>1</v>
      </c>
      <c r="Y62" s="12" t="n">
        <v>2</v>
      </c>
    </row>
    <row r="63" customFormat="false" ht="175.5" hidden="false" customHeight="true" outlineLevel="0" collapsed="false">
      <c r="A63" s="10" t="s">
        <v>2594</v>
      </c>
      <c r="B63" s="11" t="s">
        <v>2595</v>
      </c>
      <c r="C63" s="12"/>
      <c r="D63" s="12" t="s">
        <v>120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t="s">
        <v>74</v>
      </c>
      <c r="N63" s="5"/>
      <c r="O63" s="12"/>
      <c r="P63" s="5" t="s">
        <v>2596</v>
      </c>
      <c r="Q63" s="12"/>
      <c r="R63" s="12" t="s">
        <v>2439</v>
      </c>
      <c r="S63" s="5" t="s">
        <v>2597</v>
      </c>
      <c r="T63" s="5" t="s">
        <v>2598</v>
      </c>
      <c r="U63" s="12" t="n">
        <v>3</v>
      </c>
      <c r="V63" s="12" t="n">
        <v>1</v>
      </c>
      <c r="W63" s="12" t="n">
        <v>1</v>
      </c>
      <c r="X63" s="12" t="n">
        <v>2</v>
      </c>
      <c r="Y63" s="12" t="n">
        <v>0</v>
      </c>
    </row>
    <row r="64" customFormat="false" ht="175.5" hidden="false" customHeight="true" outlineLevel="0" collapsed="false">
      <c r="A64" s="12" t="s">
        <v>2594</v>
      </c>
      <c r="B64" s="5" t="s">
        <v>2595</v>
      </c>
      <c r="C64" s="12" t="s">
        <v>2594</v>
      </c>
      <c r="D64" s="12" t="s">
        <v>120</v>
      </c>
      <c r="E64" s="5" t="s">
        <v>2599</v>
      </c>
      <c r="F64" s="14"/>
      <c r="G64" s="14"/>
      <c r="H64" s="14" t="s">
        <v>87</v>
      </c>
      <c r="I64" s="14"/>
      <c r="J64" s="14"/>
      <c r="K64" s="14"/>
      <c r="L64" s="15"/>
      <c r="M64" s="12" t="s">
        <v>74</v>
      </c>
      <c r="N64" s="5"/>
      <c r="O64" s="12"/>
      <c r="P64" s="5" t="s">
        <v>2596</v>
      </c>
      <c r="Q64" s="12"/>
      <c r="R64" s="12" t="s">
        <v>2439</v>
      </c>
      <c r="S64" s="5" t="s">
        <v>2597</v>
      </c>
      <c r="T64" s="5" t="s">
        <v>2598</v>
      </c>
      <c r="U64" s="12" t="n">
        <v>3</v>
      </c>
      <c r="V64" s="12" t="n">
        <v>1</v>
      </c>
      <c r="W64" s="12" t="n">
        <v>1</v>
      </c>
      <c r="X64" s="12" t="n">
        <v>2</v>
      </c>
      <c r="Y64" s="12" t="n">
        <v>0</v>
      </c>
    </row>
    <row r="65" customFormat="false" ht="122.25" hidden="false" customHeight="true" outlineLevel="0" collapsed="false">
      <c r="A65" s="10" t="s">
        <v>2600</v>
      </c>
      <c r="B65" s="11" t="s">
        <v>2601</v>
      </c>
      <c r="C65" s="12"/>
      <c r="D65" s="12" t="s">
        <v>120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t="s">
        <v>74</v>
      </c>
      <c r="N65" s="5"/>
      <c r="O65" s="12"/>
      <c r="P65" s="5" t="s">
        <v>2602</v>
      </c>
      <c r="Q65" s="12"/>
      <c r="R65" s="12" t="s">
        <v>2439</v>
      </c>
      <c r="S65" s="5" t="s">
        <v>2603</v>
      </c>
      <c r="T65" s="5" t="s">
        <v>2598</v>
      </c>
      <c r="U65" s="12" t="n">
        <v>3</v>
      </c>
      <c r="V65" s="12" t="n">
        <v>1</v>
      </c>
      <c r="W65" s="12" t="n">
        <v>1</v>
      </c>
      <c r="X65" s="12" t="n">
        <v>2</v>
      </c>
      <c r="Y65" s="12" t="n">
        <v>0</v>
      </c>
    </row>
    <row r="66" customFormat="false" ht="122.25" hidden="false" customHeight="true" outlineLevel="0" collapsed="false">
      <c r="A66" s="12" t="s">
        <v>2600</v>
      </c>
      <c r="B66" s="5" t="s">
        <v>2601</v>
      </c>
      <c r="C66" s="12" t="s">
        <v>2600</v>
      </c>
      <c r="D66" s="12" t="s">
        <v>120</v>
      </c>
      <c r="E66" s="5" t="s">
        <v>2604</v>
      </c>
      <c r="F66" s="14"/>
      <c r="G66" s="14"/>
      <c r="H66" s="14" t="s">
        <v>87</v>
      </c>
      <c r="I66" s="14"/>
      <c r="J66" s="14"/>
      <c r="K66" s="14"/>
      <c r="L66" s="15"/>
      <c r="M66" s="12" t="s">
        <v>74</v>
      </c>
      <c r="N66" s="5"/>
      <c r="O66" s="12"/>
      <c r="P66" s="5" t="s">
        <v>2602</v>
      </c>
      <c r="Q66" s="12"/>
      <c r="R66" s="12" t="s">
        <v>2439</v>
      </c>
      <c r="S66" s="5" t="s">
        <v>2603</v>
      </c>
      <c r="T66" s="5" t="s">
        <v>2598</v>
      </c>
      <c r="U66" s="12" t="n">
        <v>3</v>
      </c>
      <c r="V66" s="12" t="n">
        <v>1</v>
      </c>
      <c r="W66" s="12" t="n">
        <v>1</v>
      </c>
      <c r="X66" s="12" t="n">
        <v>2</v>
      </c>
      <c r="Y66" s="12" t="n">
        <v>0</v>
      </c>
    </row>
    <row r="67" customFormat="false" ht="323.25" hidden="false" customHeight="true" outlineLevel="0" collapsed="false">
      <c r="A67" s="10" t="s">
        <v>2605</v>
      </c>
      <c r="B67" s="11" t="s">
        <v>2606</v>
      </c>
      <c r="C67" s="12"/>
      <c r="D67" s="12" t="s">
        <v>120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t="s">
        <v>88</v>
      </c>
      <c r="N67" s="5"/>
      <c r="O67" s="12"/>
      <c r="P67" s="5" t="s">
        <v>2607</v>
      </c>
      <c r="Q67" s="12" t="s">
        <v>460</v>
      </c>
      <c r="R67" s="12" t="s">
        <v>1270</v>
      </c>
      <c r="S67" s="5" t="s">
        <v>2608</v>
      </c>
      <c r="T67" s="5" t="s">
        <v>2609</v>
      </c>
      <c r="U67" s="12" t="n">
        <v>2</v>
      </c>
      <c r="V67" s="12" t="n">
        <v>2</v>
      </c>
      <c r="W67" s="12" t="n">
        <v>2</v>
      </c>
      <c r="X67" s="12" t="n">
        <v>1</v>
      </c>
      <c r="Y67" s="12" t="n">
        <v>1</v>
      </c>
    </row>
    <row r="68" customFormat="false" ht="323.25" hidden="false" customHeight="true" outlineLevel="0" collapsed="false">
      <c r="A68" s="12" t="s">
        <v>2605</v>
      </c>
      <c r="B68" s="5" t="s">
        <v>2606</v>
      </c>
      <c r="C68" s="12" t="s">
        <v>2605</v>
      </c>
      <c r="D68" s="12" t="s">
        <v>120</v>
      </c>
      <c r="E68" s="5" t="s">
        <v>2610</v>
      </c>
      <c r="F68" s="14"/>
      <c r="G68" s="14"/>
      <c r="H68" s="14" t="s">
        <v>87</v>
      </c>
      <c r="I68" s="14"/>
      <c r="J68" s="14"/>
      <c r="K68" s="14"/>
      <c r="L68" s="15"/>
      <c r="M68" s="12" t="s">
        <v>88</v>
      </c>
      <c r="N68" s="5"/>
      <c r="O68" s="12"/>
      <c r="P68" s="5" t="s">
        <v>2607</v>
      </c>
      <c r="Q68" s="12" t="s">
        <v>460</v>
      </c>
      <c r="R68" s="12" t="s">
        <v>1270</v>
      </c>
      <c r="S68" s="5" t="s">
        <v>2608</v>
      </c>
      <c r="T68" s="5" t="s">
        <v>2609</v>
      </c>
      <c r="U68" s="12" t="n">
        <v>2</v>
      </c>
      <c r="V68" s="12" t="n">
        <v>2</v>
      </c>
      <c r="W68" s="12" t="n">
        <v>2</v>
      </c>
      <c r="X68" s="12" t="n">
        <v>1</v>
      </c>
      <c r="Y68" s="12" t="n">
        <v>1</v>
      </c>
    </row>
  </sheetData>
  <autoFilter ref="A6:Y6"/>
  <conditionalFormatting sqref="H7:H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 H22 H24:H26 H28 H30 H32 H34 H36 H38 H40 H42 H44 H46 H48 H50 H52 H54 H56 H58 H60 H62 H64 H66 H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590</v>
      </c>
      <c r="B3" s="7" t="s">
        <v>591</v>
      </c>
    </row>
    <row r="4" customFormat="false" ht="15" hidden="false" customHeight="true" outlineLevel="0" collapsed="false">
      <c r="A4" s="4" t="s">
        <v>50</v>
      </c>
      <c r="B4" s="8" t="str">
        <f aca="false">IF(Praktiken!D11="","",Praktiken!D11)</f>
        <v/>
      </c>
    </row>
    <row r="5" customFormat="false" ht="15" hidden="false" customHeight="true" outlineLevel="0" collapsed="false">
      <c r="A5" s="4" t="s">
        <v>51</v>
      </c>
      <c r="B5" s="8" t="str">
        <f aca="false">IF(Praktiken!S11="","",Praktiken!S11)</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68.25" hidden="false" customHeight="true" outlineLevel="0" collapsed="false">
      <c r="A7" s="10" t="s">
        <v>2611</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c r="O7" s="12"/>
      <c r="P7" s="5" t="s">
        <v>2612</v>
      </c>
      <c r="Q7" s="12" t="s">
        <v>1563</v>
      </c>
      <c r="R7" s="12" t="s">
        <v>1378</v>
      </c>
      <c r="S7" s="5" t="s">
        <v>2613</v>
      </c>
      <c r="T7" s="5" t="s">
        <v>306</v>
      </c>
      <c r="U7" s="12" t="n">
        <v>0</v>
      </c>
      <c r="V7" s="12" t="n">
        <v>1</v>
      </c>
      <c r="W7" s="12" t="n">
        <v>1</v>
      </c>
      <c r="X7" s="12" t="n">
        <v>1</v>
      </c>
      <c r="Y7" s="12" t="n">
        <v>0</v>
      </c>
    </row>
    <row r="8" customFormat="false" ht="216" hidden="false" customHeight="true" outlineLevel="0" collapsed="false">
      <c r="A8" s="12" t="s">
        <v>2611</v>
      </c>
      <c r="B8" s="5" t="s">
        <v>77</v>
      </c>
      <c r="C8" s="12" t="s">
        <v>2614</v>
      </c>
      <c r="D8" s="12" t="s">
        <v>78</v>
      </c>
      <c r="E8" s="5" t="s">
        <v>2615</v>
      </c>
      <c r="F8" s="14"/>
      <c r="G8" s="14"/>
      <c r="H8" s="14" t="s">
        <v>87</v>
      </c>
      <c r="I8" s="14"/>
      <c r="J8" s="14"/>
      <c r="K8" s="14"/>
      <c r="L8" s="15"/>
      <c r="M8" s="12" t="s">
        <v>88</v>
      </c>
      <c r="N8" s="5"/>
      <c r="O8" s="12"/>
      <c r="P8" s="5" t="s">
        <v>624</v>
      </c>
      <c r="Q8" s="12" t="s">
        <v>1563</v>
      </c>
      <c r="R8" s="12" t="s">
        <v>92</v>
      </c>
      <c r="S8" s="5" t="s">
        <v>93</v>
      </c>
      <c r="T8" s="5" t="s">
        <v>625</v>
      </c>
      <c r="U8" s="12" t="n">
        <v>0</v>
      </c>
      <c r="V8" s="12" t="n">
        <v>2</v>
      </c>
      <c r="W8" s="12" t="n">
        <v>2</v>
      </c>
      <c r="X8" s="12" t="n">
        <v>1</v>
      </c>
      <c r="Y8" s="12" t="n">
        <v>1</v>
      </c>
    </row>
    <row r="9" customFormat="false" ht="336.75" hidden="false" customHeight="true" outlineLevel="0" collapsed="false">
      <c r="A9" s="12" t="s">
        <v>2611</v>
      </c>
      <c r="B9" s="5" t="s">
        <v>77</v>
      </c>
      <c r="C9" s="12" t="s">
        <v>2616</v>
      </c>
      <c r="D9" s="12" t="s">
        <v>78</v>
      </c>
      <c r="E9" s="5" t="s">
        <v>2617</v>
      </c>
      <c r="F9" s="14"/>
      <c r="G9" s="14"/>
      <c r="H9" s="14" t="s">
        <v>87</v>
      </c>
      <c r="I9" s="14"/>
      <c r="J9" s="14"/>
      <c r="K9" s="14"/>
      <c r="L9" s="15"/>
      <c r="M9" s="12"/>
      <c r="N9" s="5"/>
      <c r="O9" s="12"/>
      <c r="P9" s="5" t="s">
        <v>628</v>
      </c>
      <c r="Q9" s="12" t="s">
        <v>1563</v>
      </c>
      <c r="R9" s="12" t="s">
        <v>100</v>
      </c>
      <c r="S9" s="5" t="s">
        <v>101</v>
      </c>
      <c r="T9" s="5" t="s">
        <v>102</v>
      </c>
      <c r="U9" s="12" t="n">
        <v>0</v>
      </c>
      <c r="V9" s="12" t="n">
        <v>1</v>
      </c>
      <c r="W9" s="12" t="n">
        <v>1</v>
      </c>
      <c r="X9" s="12" t="n">
        <v>1</v>
      </c>
      <c r="Y9" s="12" t="n">
        <v>0</v>
      </c>
    </row>
    <row r="10" customFormat="false" ht="175.5" hidden="false" customHeight="true" outlineLevel="0" collapsed="false">
      <c r="A10" s="12" t="s">
        <v>2611</v>
      </c>
      <c r="B10" s="5" t="s">
        <v>77</v>
      </c>
      <c r="C10" s="12" t="s">
        <v>2618</v>
      </c>
      <c r="D10" s="12" t="s">
        <v>78</v>
      </c>
      <c r="E10" s="5" t="s">
        <v>2619</v>
      </c>
      <c r="F10" s="14"/>
      <c r="G10" s="14"/>
      <c r="H10" s="14" t="s">
        <v>87</v>
      </c>
      <c r="I10" s="14"/>
      <c r="J10" s="14"/>
      <c r="K10" s="14"/>
      <c r="L10" s="15"/>
      <c r="M10" s="12"/>
      <c r="N10" s="5"/>
      <c r="O10" s="12"/>
      <c r="P10" s="5" t="s">
        <v>631</v>
      </c>
      <c r="Q10" s="12" t="s">
        <v>1563</v>
      </c>
      <c r="R10" s="12" t="s">
        <v>92</v>
      </c>
      <c r="S10" s="5" t="s">
        <v>108</v>
      </c>
      <c r="T10" s="5" t="s">
        <v>102</v>
      </c>
      <c r="U10" s="12" t="n">
        <v>0</v>
      </c>
      <c r="V10" s="12" t="n">
        <v>1</v>
      </c>
      <c r="W10" s="12" t="n">
        <v>1</v>
      </c>
      <c r="X10" s="12" t="n">
        <v>1</v>
      </c>
      <c r="Y10" s="12" t="n">
        <v>0</v>
      </c>
    </row>
    <row r="11" customFormat="false" ht="189" hidden="false" customHeight="true" outlineLevel="0" collapsed="false">
      <c r="A11" s="10" t="s">
        <v>2620</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t="s">
        <v>1563</v>
      </c>
      <c r="R11" s="12" t="s">
        <v>115</v>
      </c>
      <c r="S11" s="5" t="s">
        <v>93</v>
      </c>
      <c r="T11" s="5" t="s">
        <v>306</v>
      </c>
      <c r="U11" s="12" t="n">
        <v>0</v>
      </c>
      <c r="V11" s="12" t="n">
        <v>1</v>
      </c>
      <c r="W11" s="12" t="n">
        <v>1</v>
      </c>
      <c r="X11" s="12" t="n">
        <v>1</v>
      </c>
      <c r="Y11" s="12" t="n">
        <v>0</v>
      </c>
    </row>
    <row r="12" customFormat="false" ht="189" hidden="false" customHeight="true" outlineLevel="0" collapsed="false">
      <c r="A12" s="12" t="s">
        <v>2620</v>
      </c>
      <c r="B12" s="5" t="s">
        <v>111</v>
      </c>
      <c r="C12" s="12" t="s">
        <v>2620</v>
      </c>
      <c r="D12" s="12" t="s">
        <v>78</v>
      </c>
      <c r="E12" s="5" t="s">
        <v>2621</v>
      </c>
      <c r="F12" s="14"/>
      <c r="G12" s="14"/>
      <c r="H12" s="14" t="s">
        <v>87</v>
      </c>
      <c r="I12" s="14"/>
      <c r="J12" s="14"/>
      <c r="K12" s="14"/>
      <c r="L12" s="15"/>
      <c r="M12" s="12"/>
      <c r="N12" s="5"/>
      <c r="O12" s="12"/>
      <c r="P12" s="5" t="s">
        <v>114</v>
      </c>
      <c r="Q12" s="12" t="s">
        <v>1563</v>
      </c>
      <c r="R12" s="12" t="s">
        <v>115</v>
      </c>
      <c r="S12" s="5" t="s">
        <v>93</v>
      </c>
      <c r="T12" s="5" t="s">
        <v>306</v>
      </c>
      <c r="U12" s="12" t="n">
        <v>0</v>
      </c>
      <c r="V12" s="12" t="n">
        <v>1</v>
      </c>
      <c r="W12" s="12" t="n">
        <v>1</v>
      </c>
      <c r="X12" s="12" t="n">
        <v>1</v>
      </c>
      <c r="Y12" s="12" t="n">
        <v>0</v>
      </c>
    </row>
    <row r="13" customFormat="false" ht="54.75" hidden="false" customHeight="true" outlineLevel="0" collapsed="false">
      <c r="A13" s="10" t="s">
        <v>2622</v>
      </c>
      <c r="B13" s="11" t="s">
        <v>2623</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72</v>
      </c>
      <c r="N13" s="5"/>
      <c r="O13" s="12"/>
      <c r="P13" s="5" t="s">
        <v>2624</v>
      </c>
      <c r="Q13" s="12" t="s">
        <v>1563</v>
      </c>
      <c r="R13" s="12" t="s">
        <v>282</v>
      </c>
      <c r="S13" s="5" t="s">
        <v>2623</v>
      </c>
      <c r="T13" s="5" t="s">
        <v>2625</v>
      </c>
      <c r="U13" s="12" t="n">
        <v>3</v>
      </c>
      <c r="V13" s="12" t="n">
        <v>2</v>
      </c>
      <c r="W13" s="12" t="n">
        <v>1</v>
      </c>
      <c r="X13" s="12" t="n">
        <v>1</v>
      </c>
      <c r="Y13" s="12" t="n">
        <v>0</v>
      </c>
    </row>
    <row r="14" customFormat="false" ht="54.75" hidden="false" customHeight="true" outlineLevel="0" collapsed="false">
      <c r="A14" s="12" t="s">
        <v>2622</v>
      </c>
      <c r="B14" s="5" t="s">
        <v>2623</v>
      </c>
      <c r="C14" s="12" t="s">
        <v>2622</v>
      </c>
      <c r="D14" s="12" t="s">
        <v>120</v>
      </c>
      <c r="E14" s="5" t="s">
        <v>2626</v>
      </c>
      <c r="F14" s="14"/>
      <c r="G14" s="14"/>
      <c r="H14" s="14" t="s">
        <v>87</v>
      </c>
      <c r="I14" s="14"/>
      <c r="J14" s="14"/>
      <c r="K14" s="14"/>
      <c r="L14" s="15"/>
      <c r="M14" s="12" t="s">
        <v>72</v>
      </c>
      <c r="N14" s="5"/>
      <c r="O14" s="12"/>
      <c r="P14" s="5" t="s">
        <v>2624</v>
      </c>
      <c r="Q14" s="12" t="s">
        <v>1563</v>
      </c>
      <c r="R14" s="12" t="s">
        <v>282</v>
      </c>
      <c r="S14" s="5" t="s">
        <v>2623</v>
      </c>
      <c r="T14" s="5" t="s">
        <v>2625</v>
      </c>
      <c r="U14" s="12" t="n">
        <v>3</v>
      </c>
      <c r="V14" s="12" t="n">
        <v>2</v>
      </c>
      <c r="W14" s="12" t="n">
        <v>1</v>
      </c>
      <c r="X14" s="12" t="n">
        <v>1</v>
      </c>
      <c r="Y14" s="12" t="n">
        <v>0</v>
      </c>
    </row>
    <row r="15" customFormat="false" ht="229.5" hidden="false" customHeight="true" outlineLevel="0" collapsed="false">
      <c r="A15" s="10" t="s">
        <v>2627</v>
      </c>
      <c r="B15" s="11" t="s">
        <v>2628</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t="s">
        <v>72</v>
      </c>
      <c r="N15" s="5"/>
      <c r="O15" s="12"/>
      <c r="P15" s="5" t="s">
        <v>2629</v>
      </c>
      <c r="Q15" s="12" t="s">
        <v>644</v>
      </c>
      <c r="R15" s="12" t="s">
        <v>282</v>
      </c>
      <c r="S15" s="5" t="s">
        <v>2630</v>
      </c>
      <c r="T15" s="5" t="s">
        <v>2625</v>
      </c>
      <c r="U15" s="12" t="n">
        <v>2</v>
      </c>
      <c r="V15" s="12" t="n">
        <v>2</v>
      </c>
      <c r="W15" s="12" t="n">
        <v>1</v>
      </c>
      <c r="X15" s="12" t="n">
        <v>1</v>
      </c>
      <c r="Y15" s="12" t="n">
        <v>0</v>
      </c>
    </row>
    <row r="16" customFormat="false" ht="229.5" hidden="false" customHeight="true" outlineLevel="0" collapsed="false">
      <c r="A16" s="12" t="s">
        <v>2627</v>
      </c>
      <c r="B16" s="5" t="s">
        <v>2628</v>
      </c>
      <c r="C16" s="12" t="s">
        <v>2627</v>
      </c>
      <c r="D16" s="12" t="s">
        <v>120</v>
      </c>
      <c r="E16" s="5" t="s">
        <v>2631</v>
      </c>
      <c r="F16" s="14"/>
      <c r="G16" s="14"/>
      <c r="H16" s="14" t="s">
        <v>87</v>
      </c>
      <c r="I16" s="14"/>
      <c r="J16" s="14"/>
      <c r="K16" s="14"/>
      <c r="L16" s="15"/>
      <c r="M16" s="12" t="s">
        <v>72</v>
      </c>
      <c r="N16" s="5"/>
      <c r="O16" s="12"/>
      <c r="P16" s="5" t="s">
        <v>2629</v>
      </c>
      <c r="Q16" s="12" t="s">
        <v>644</v>
      </c>
      <c r="R16" s="12" t="s">
        <v>282</v>
      </c>
      <c r="S16" s="5" t="s">
        <v>2630</v>
      </c>
      <c r="T16" s="5" t="s">
        <v>2625</v>
      </c>
      <c r="U16" s="12" t="n">
        <v>2</v>
      </c>
      <c r="V16" s="12" t="n">
        <v>2</v>
      </c>
      <c r="W16" s="12" t="n">
        <v>1</v>
      </c>
      <c r="X16" s="12" t="n">
        <v>1</v>
      </c>
      <c r="Y16" s="12" t="n">
        <v>0</v>
      </c>
    </row>
    <row r="17" customFormat="false" ht="54.75" hidden="false" customHeight="true" outlineLevel="0" collapsed="false">
      <c r="A17" s="10" t="s">
        <v>2632</v>
      </c>
      <c r="B17" s="11" t="s">
        <v>2633</v>
      </c>
      <c r="C17" s="12"/>
      <c r="D17" s="12" t="s">
        <v>160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72</v>
      </c>
      <c r="N17" s="5"/>
      <c r="O17" s="12"/>
      <c r="P17" s="5" t="s">
        <v>2634</v>
      </c>
      <c r="Q17" s="12" t="s">
        <v>644</v>
      </c>
      <c r="R17" s="12" t="s">
        <v>282</v>
      </c>
      <c r="S17" s="5" t="s">
        <v>2635</v>
      </c>
      <c r="T17" s="5" t="s">
        <v>2625</v>
      </c>
      <c r="U17" s="12" t="n">
        <v>5</v>
      </c>
      <c r="V17" s="12" t="n">
        <v>2</v>
      </c>
      <c r="W17" s="12" t="n">
        <v>1</v>
      </c>
      <c r="X17" s="12" t="n">
        <v>1</v>
      </c>
      <c r="Y17" s="12" t="n">
        <v>0</v>
      </c>
    </row>
    <row r="18" customFormat="false" ht="54.75" hidden="false" customHeight="true" outlineLevel="0" collapsed="false">
      <c r="A18" s="12" t="s">
        <v>2632</v>
      </c>
      <c r="B18" s="5" t="s">
        <v>2633</v>
      </c>
      <c r="C18" s="12" t="s">
        <v>2632</v>
      </c>
      <c r="D18" s="12" t="s">
        <v>160</v>
      </c>
      <c r="E18" s="5" t="s">
        <v>2636</v>
      </c>
      <c r="F18" s="14"/>
      <c r="G18" s="14"/>
      <c r="H18" s="14" t="s">
        <v>87</v>
      </c>
      <c r="I18" s="14"/>
      <c r="J18" s="14"/>
      <c r="K18" s="14"/>
      <c r="L18" s="15"/>
      <c r="M18" s="12" t="s">
        <v>72</v>
      </c>
      <c r="N18" s="5"/>
      <c r="O18" s="12"/>
      <c r="P18" s="5" t="s">
        <v>2634</v>
      </c>
      <c r="Q18" s="12" t="s">
        <v>644</v>
      </c>
      <c r="R18" s="12" t="s">
        <v>282</v>
      </c>
      <c r="S18" s="5" t="s">
        <v>2635</v>
      </c>
      <c r="T18" s="5" t="s">
        <v>2625</v>
      </c>
      <c r="U18" s="12" t="n">
        <v>5</v>
      </c>
      <c r="V18" s="12" t="n">
        <v>2</v>
      </c>
      <c r="W18" s="12" t="n">
        <v>1</v>
      </c>
      <c r="X18" s="12" t="n">
        <v>1</v>
      </c>
      <c r="Y18" s="12" t="n">
        <v>0</v>
      </c>
    </row>
    <row r="19" customFormat="false" ht="68.25" hidden="false" customHeight="true" outlineLevel="0" collapsed="false">
      <c r="A19" s="10" t="s">
        <v>2637</v>
      </c>
      <c r="B19" s="11" t="s">
        <v>2638</v>
      </c>
      <c r="C19" s="12"/>
      <c r="D19" s="12" t="s">
        <v>120</v>
      </c>
      <c r="E19" s="5" t="s">
        <v>79</v>
      </c>
      <c r="F19" s="12"/>
      <c r="G19" s="12"/>
      <c r="H19" s="13" t="str">
        <f aca="false">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2"/>
      <c r="J19" s="12"/>
      <c r="K19" s="12"/>
      <c r="L19" s="12"/>
      <c r="M19" s="12" t="s">
        <v>74</v>
      </c>
      <c r="N19" s="5"/>
      <c r="O19" s="12"/>
      <c r="P19" s="5" t="s">
        <v>2639</v>
      </c>
      <c r="Q19" s="12" t="s">
        <v>1563</v>
      </c>
      <c r="R19" s="12" t="s">
        <v>1393</v>
      </c>
      <c r="S19" s="5" t="s">
        <v>2640</v>
      </c>
      <c r="T19" s="5" t="s">
        <v>2641</v>
      </c>
      <c r="U19" s="12" t="n">
        <v>3</v>
      </c>
      <c r="V19" s="12" t="n">
        <v>1</v>
      </c>
      <c r="W19" s="12" t="n">
        <v>1</v>
      </c>
      <c r="X19" s="12" t="n">
        <v>2</v>
      </c>
      <c r="Y19" s="12" t="n">
        <v>1</v>
      </c>
    </row>
    <row r="20" customFormat="false" ht="68.25" hidden="false" customHeight="true" outlineLevel="0" collapsed="false">
      <c r="A20" s="12" t="s">
        <v>2637</v>
      </c>
      <c r="B20" s="5" t="s">
        <v>2638</v>
      </c>
      <c r="C20" s="12" t="s">
        <v>2637</v>
      </c>
      <c r="D20" s="12" t="s">
        <v>120</v>
      </c>
      <c r="E20" s="5" t="s">
        <v>2642</v>
      </c>
      <c r="F20" s="14"/>
      <c r="G20" s="14"/>
      <c r="H20" s="14" t="s">
        <v>87</v>
      </c>
      <c r="I20" s="14"/>
      <c r="J20" s="14"/>
      <c r="K20" s="14"/>
      <c r="L20" s="15"/>
      <c r="M20" s="12" t="s">
        <v>74</v>
      </c>
      <c r="N20" s="5"/>
      <c r="O20" s="12"/>
      <c r="P20" s="5" t="s">
        <v>2639</v>
      </c>
      <c r="Q20" s="12" t="s">
        <v>1563</v>
      </c>
      <c r="R20" s="12" t="s">
        <v>1393</v>
      </c>
      <c r="S20" s="5" t="s">
        <v>2640</v>
      </c>
      <c r="T20" s="5" t="s">
        <v>2641</v>
      </c>
      <c r="U20" s="12" t="n">
        <v>3</v>
      </c>
      <c r="V20" s="12" t="n">
        <v>1</v>
      </c>
      <c r="W20" s="12" t="n">
        <v>1</v>
      </c>
      <c r="X20" s="12" t="n">
        <v>2</v>
      </c>
      <c r="Y20" s="12" t="n">
        <v>1</v>
      </c>
    </row>
    <row r="21" customFormat="false" ht="229.5" hidden="false" customHeight="true" outlineLevel="0" collapsed="false">
      <c r="A21" s="12" t="s">
        <v>2637</v>
      </c>
      <c r="B21" s="5" t="s">
        <v>2638</v>
      </c>
      <c r="C21" s="12" t="s">
        <v>2643</v>
      </c>
      <c r="D21" s="12" t="s">
        <v>120</v>
      </c>
      <c r="E21" s="5" t="s">
        <v>2644</v>
      </c>
      <c r="F21" s="14"/>
      <c r="G21" s="14"/>
      <c r="H21" s="14" t="s">
        <v>87</v>
      </c>
      <c r="I21" s="14"/>
      <c r="J21" s="14"/>
      <c r="K21" s="14"/>
      <c r="L21" s="15"/>
      <c r="M21" s="12" t="s">
        <v>74</v>
      </c>
      <c r="N21" s="5"/>
      <c r="O21" s="12"/>
      <c r="P21" s="5" t="s">
        <v>2645</v>
      </c>
      <c r="Q21" s="12" t="s">
        <v>1403</v>
      </c>
      <c r="R21" s="12" t="s">
        <v>1827</v>
      </c>
      <c r="S21" s="5" t="s">
        <v>2646</v>
      </c>
      <c r="T21" s="5" t="s">
        <v>2647</v>
      </c>
      <c r="U21" s="12" t="n">
        <v>4</v>
      </c>
      <c r="V21" s="12" t="n">
        <v>1</v>
      </c>
      <c r="W21" s="12" t="n">
        <v>1</v>
      </c>
      <c r="X21" s="12" t="n">
        <v>2</v>
      </c>
      <c r="Y21" s="12" t="n">
        <v>1</v>
      </c>
    </row>
    <row r="22" customFormat="false" ht="457.5" hidden="false" customHeight="true" outlineLevel="0" collapsed="false">
      <c r="A22" s="10" t="s">
        <v>2648</v>
      </c>
      <c r="B22" s="11" t="s">
        <v>2649</v>
      </c>
      <c r="C22" s="12"/>
      <c r="D22" s="12" t="s">
        <v>160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t="s">
        <v>2650</v>
      </c>
      <c r="O22" s="12" t="s">
        <v>272</v>
      </c>
      <c r="P22" s="5" t="s">
        <v>2651</v>
      </c>
      <c r="Q22" s="12" t="s">
        <v>1403</v>
      </c>
      <c r="R22" s="12" t="s">
        <v>115</v>
      </c>
      <c r="S22" s="5" t="s">
        <v>2652</v>
      </c>
      <c r="T22" s="5" t="s">
        <v>2653</v>
      </c>
      <c r="U22" s="12" t="n">
        <v>4</v>
      </c>
      <c r="V22" s="12" t="n">
        <v>1</v>
      </c>
      <c r="W22" s="12" t="n">
        <v>1</v>
      </c>
      <c r="X22" s="12" t="n">
        <v>1</v>
      </c>
      <c r="Y22" s="12" t="n">
        <v>1</v>
      </c>
    </row>
    <row r="23" customFormat="false" ht="457.5" hidden="false" customHeight="true" outlineLevel="0" collapsed="false">
      <c r="A23" s="12" t="s">
        <v>2648</v>
      </c>
      <c r="B23" s="5" t="s">
        <v>2649</v>
      </c>
      <c r="C23" s="12" t="s">
        <v>2648</v>
      </c>
      <c r="D23" s="12" t="s">
        <v>160</v>
      </c>
      <c r="E23" s="5" t="s">
        <v>2654</v>
      </c>
      <c r="F23" s="14"/>
      <c r="G23" s="14"/>
      <c r="H23" s="14" t="s">
        <v>87</v>
      </c>
      <c r="I23" s="14"/>
      <c r="J23" s="14"/>
      <c r="K23" s="14"/>
      <c r="L23" s="15"/>
      <c r="M23" s="12"/>
      <c r="N23" s="5" t="s">
        <v>2650</v>
      </c>
      <c r="O23" s="12" t="s">
        <v>272</v>
      </c>
      <c r="P23" s="5" t="s">
        <v>2651</v>
      </c>
      <c r="Q23" s="12" t="s">
        <v>1403</v>
      </c>
      <c r="R23" s="12" t="s">
        <v>115</v>
      </c>
      <c r="S23" s="5" t="s">
        <v>2652</v>
      </c>
      <c r="T23" s="5" t="s">
        <v>2653</v>
      </c>
      <c r="U23" s="12" t="n">
        <v>4</v>
      </c>
      <c r="V23" s="12" t="n">
        <v>1</v>
      </c>
      <c r="W23" s="12" t="n">
        <v>1</v>
      </c>
      <c r="X23" s="12" t="n">
        <v>1</v>
      </c>
      <c r="Y23" s="12" t="n">
        <v>1</v>
      </c>
    </row>
    <row r="24" customFormat="false" ht="135.75" hidden="false" customHeight="true" outlineLevel="0" collapsed="false">
      <c r="A24" s="10" t="s">
        <v>2655</v>
      </c>
      <c r="B24" s="11" t="s">
        <v>2656</v>
      </c>
      <c r="C24" s="12"/>
      <c r="D24" s="12" t="s">
        <v>160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c r="N24" s="5"/>
      <c r="O24" s="12"/>
      <c r="P24" s="5" t="s">
        <v>2657</v>
      </c>
      <c r="Q24" s="12" t="s">
        <v>1403</v>
      </c>
      <c r="R24" s="12" t="s">
        <v>115</v>
      </c>
      <c r="S24" s="5" t="s">
        <v>2658</v>
      </c>
      <c r="T24" s="5" t="s">
        <v>2653</v>
      </c>
      <c r="U24" s="12" t="n">
        <v>4</v>
      </c>
      <c r="V24" s="12" t="n">
        <v>1</v>
      </c>
      <c r="W24" s="12" t="n">
        <v>1</v>
      </c>
      <c r="X24" s="12" t="n">
        <v>1</v>
      </c>
      <c r="Y24" s="12" t="n">
        <v>1</v>
      </c>
    </row>
    <row r="25" customFormat="false" ht="135.75" hidden="false" customHeight="true" outlineLevel="0" collapsed="false">
      <c r="A25" s="12" t="s">
        <v>2655</v>
      </c>
      <c r="B25" s="5" t="s">
        <v>2656</v>
      </c>
      <c r="C25" s="12" t="s">
        <v>2655</v>
      </c>
      <c r="D25" s="12" t="s">
        <v>160</v>
      </c>
      <c r="E25" s="5" t="s">
        <v>2659</v>
      </c>
      <c r="F25" s="14"/>
      <c r="G25" s="14"/>
      <c r="H25" s="14" t="s">
        <v>87</v>
      </c>
      <c r="I25" s="14"/>
      <c r="J25" s="14"/>
      <c r="K25" s="14"/>
      <c r="L25" s="15"/>
      <c r="M25" s="12"/>
      <c r="N25" s="5"/>
      <c r="O25" s="12"/>
      <c r="P25" s="5" t="s">
        <v>2657</v>
      </c>
      <c r="Q25" s="12" t="s">
        <v>1403</v>
      </c>
      <c r="R25" s="12" t="s">
        <v>115</v>
      </c>
      <c r="S25" s="5" t="s">
        <v>2658</v>
      </c>
      <c r="T25" s="5" t="s">
        <v>2653</v>
      </c>
      <c r="U25" s="12" t="n">
        <v>4</v>
      </c>
      <c r="V25" s="12" t="n">
        <v>1</v>
      </c>
      <c r="W25" s="12" t="n">
        <v>1</v>
      </c>
      <c r="X25" s="12" t="n">
        <v>1</v>
      </c>
      <c r="Y25" s="12" t="n">
        <v>1</v>
      </c>
    </row>
    <row r="26" customFormat="false" ht="54.75" hidden="false" customHeight="true" outlineLevel="0" collapsed="false">
      <c r="A26" s="10" t="s">
        <v>2660</v>
      </c>
      <c r="B26" s="11" t="s">
        <v>2661</v>
      </c>
      <c r="C26" s="12"/>
      <c r="D26" s="12" t="s">
        <v>120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c r="N26" s="5"/>
      <c r="O26" s="12"/>
      <c r="P26" s="5" t="s">
        <v>2662</v>
      </c>
      <c r="Q26" s="12" t="s">
        <v>1403</v>
      </c>
      <c r="R26" s="12" t="s">
        <v>805</v>
      </c>
      <c r="S26" s="5" t="s">
        <v>2663</v>
      </c>
      <c r="T26" s="5" t="s">
        <v>2653</v>
      </c>
      <c r="U26" s="12" t="n">
        <v>4</v>
      </c>
      <c r="V26" s="12" t="n">
        <v>1</v>
      </c>
      <c r="W26" s="12" t="n">
        <v>1</v>
      </c>
      <c r="X26" s="12" t="n">
        <v>1</v>
      </c>
      <c r="Y26" s="12" t="n">
        <v>1</v>
      </c>
    </row>
    <row r="27" customFormat="false" ht="54.75" hidden="false" customHeight="true" outlineLevel="0" collapsed="false">
      <c r="A27" s="12" t="s">
        <v>2660</v>
      </c>
      <c r="B27" s="5" t="s">
        <v>2661</v>
      </c>
      <c r="C27" s="12" t="s">
        <v>2660</v>
      </c>
      <c r="D27" s="12" t="s">
        <v>120</v>
      </c>
      <c r="E27" s="5" t="s">
        <v>2664</v>
      </c>
      <c r="F27" s="14"/>
      <c r="G27" s="14"/>
      <c r="H27" s="14" t="s">
        <v>87</v>
      </c>
      <c r="I27" s="14"/>
      <c r="J27" s="14"/>
      <c r="K27" s="14"/>
      <c r="L27" s="15"/>
      <c r="M27" s="12"/>
      <c r="N27" s="5"/>
      <c r="O27" s="12"/>
      <c r="P27" s="5" t="s">
        <v>2662</v>
      </c>
      <c r="Q27" s="12" t="s">
        <v>1403</v>
      </c>
      <c r="R27" s="12" t="s">
        <v>805</v>
      </c>
      <c r="S27" s="5" t="s">
        <v>2663</v>
      </c>
      <c r="T27" s="5" t="s">
        <v>2653</v>
      </c>
      <c r="U27" s="12" t="n">
        <v>4</v>
      </c>
      <c r="V27" s="12" t="n">
        <v>1</v>
      </c>
      <c r="W27" s="12" t="n">
        <v>1</v>
      </c>
      <c r="X27" s="12" t="n">
        <v>1</v>
      </c>
      <c r="Y27" s="12" t="n">
        <v>1</v>
      </c>
    </row>
    <row r="28" customFormat="false" ht="216" hidden="false" customHeight="true" outlineLevel="0" collapsed="false">
      <c r="A28" s="10" t="s">
        <v>2665</v>
      </c>
      <c r="B28" s="11" t="s">
        <v>2666</v>
      </c>
      <c r="C28" s="12"/>
      <c r="D28" s="12" t="s">
        <v>120</v>
      </c>
      <c r="E28" s="5" t="s">
        <v>79</v>
      </c>
      <c r="F28" s="12"/>
      <c r="G28" s="12"/>
      <c r="H28" s="13" t="str">
        <f aca="false">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Bitte Teilanforderungen ausfüllen</v>
      </c>
      <c r="I28" s="12"/>
      <c r="J28" s="12"/>
      <c r="K28" s="12"/>
      <c r="L28" s="12"/>
      <c r="M28" s="12" t="s">
        <v>72</v>
      </c>
      <c r="N28" s="5"/>
      <c r="O28" s="12"/>
      <c r="P28" s="5" t="s">
        <v>2667</v>
      </c>
      <c r="Q28" s="12" t="s">
        <v>1563</v>
      </c>
      <c r="R28" s="12" t="s">
        <v>1378</v>
      </c>
      <c r="S28" s="5" t="s">
        <v>2668</v>
      </c>
      <c r="T28" s="5" t="s">
        <v>2669</v>
      </c>
      <c r="U28" s="12" t="n">
        <v>3</v>
      </c>
      <c r="V28" s="12" t="n">
        <v>2</v>
      </c>
      <c r="W28" s="12" t="n">
        <v>1</v>
      </c>
      <c r="X28" s="12" t="n">
        <v>1</v>
      </c>
      <c r="Y28" s="12" t="n">
        <v>1</v>
      </c>
    </row>
    <row r="29" customFormat="false" ht="216" hidden="false" customHeight="true" outlineLevel="0" collapsed="false">
      <c r="A29" s="12" t="s">
        <v>2665</v>
      </c>
      <c r="B29" s="5" t="s">
        <v>2666</v>
      </c>
      <c r="C29" s="12" t="s">
        <v>2665</v>
      </c>
      <c r="D29" s="12" t="s">
        <v>120</v>
      </c>
      <c r="E29" s="5" t="s">
        <v>2670</v>
      </c>
      <c r="F29" s="14"/>
      <c r="G29" s="14"/>
      <c r="H29" s="14" t="s">
        <v>87</v>
      </c>
      <c r="I29" s="14"/>
      <c r="J29" s="14"/>
      <c r="K29" s="14"/>
      <c r="L29" s="15"/>
      <c r="M29" s="12" t="s">
        <v>72</v>
      </c>
      <c r="N29" s="5"/>
      <c r="O29" s="12"/>
      <c r="P29" s="5" t="s">
        <v>2667</v>
      </c>
      <c r="Q29" s="12" t="s">
        <v>1563</v>
      </c>
      <c r="R29" s="12" t="s">
        <v>1378</v>
      </c>
      <c r="S29" s="5" t="s">
        <v>2668</v>
      </c>
      <c r="T29" s="5" t="s">
        <v>2669</v>
      </c>
      <c r="U29" s="12" t="n">
        <v>3</v>
      </c>
      <c r="V29" s="12" t="n">
        <v>2</v>
      </c>
      <c r="W29" s="12" t="n">
        <v>1</v>
      </c>
      <c r="X29" s="12" t="n">
        <v>1</v>
      </c>
      <c r="Y29" s="12" t="n">
        <v>1</v>
      </c>
    </row>
    <row r="30" customFormat="false" ht="68.25" hidden="false" customHeight="true" outlineLevel="0" collapsed="false">
      <c r="A30" s="10" t="s">
        <v>2671</v>
      </c>
      <c r="B30" s="11" t="s">
        <v>2672</v>
      </c>
      <c r="C30" s="12"/>
      <c r="D30" s="12" t="s">
        <v>160</v>
      </c>
      <c r="E30" s="5" t="s">
        <v>79</v>
      </c>
      <c r="F30" s="12"/>
      <c r="G30" s="12"/>
      <c r="H30" s="13" t="str">
        <f aca="false">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Bitte Teilanforderungen ausfüllen</v>
      </c>
      <c r="I30" s="12"/>
      <c r="J30" s="12"/>
      <c r="K30" s="12"/>
      <c r="L30" s="12"/>
      <c r="M30" s="12"/>
      <c r="N30" s="5"/>
      <c r="O30" s="12"/>
      <c r="P30" s="5" t="s">
        <v>2673</v>
      </c>
      <c r="Q30" s="12" t="s">
        <v>1403</v>
      </c>
      <c r="R30" s="12" t="s">
        <v>115</v>
      </c>
      <c r="S30" s="5" t="s">
        <v>2674</v>
      </c>
      <c r="T30" s="5" t="s">
        <v>2653</v>
      </c>
      <c r="U30" s="12" t="n">
        <v>5</v>
      </c>
      <c r="V30" s="12" t="n">
        <v>1</v>
      </c>
      <c r="W30" s="12" t="n">
        <v>1</v>
      </c>
      <c r="X30" s="12" t="n">
        <v>1</v>
      </c>
      <c r="Y30" s="12" t="n">
        <v>1</v>
      </c>
    </row>
    <row r="31" customFormat="false" ht="68.25" hidden="false" customHeight="true" outlineLevel="0" collapsed="false">
      <c r="A31" s="12" t="s">
        <v>2671</v>
      </c>
      <c r="B31" s="5" t="s">
        <v>2672</v>
      </c>
      <c r="C31" s="12" t="s">
        <v>2671</v>
      </c>
      <c r="D31" s="12" t="s">
        <v>160</v>
      </c>
      <c r="E31" s="5" t="s">
        <v>2675</v>
      </c>
      <c r="F31" s="14"/>
      <c r="G31" s="14"/>
      <c r="H31" s="14" t="s">
        <v>87</v>
      </c>
      <c r="I31" s="14"/>
      <c r="J31" s="14"/>
      <c r="K31" s="14"/>
      <c r="L31" s="15"/>
      <c r="M31" s="12"/>
      <c r="N31" s="5"/>
      <c r="O31" s="12"/>
      <c r="P31" s="5" t="s">
        <v>2673</v>
      </c>
      <c r="Q31" s="12" t="s">
        <v>1403</v>
      </c>
      <c r="R31" s="12" t="s">
        <v>115</v>
      </c>
      <c r="S31" s="5" t="s">
        <v>2674</v>
      </c>
      <c r="T31" s="5" t="s">
        <v>2653</v>
      </c>
      <c r="U31" s="12" t="n">
        <v>5</v>
      </c>
      <c r="V31" s="12" t="n">
        <v>1</v>
      </c>
      <c r="W31" s="12" t="n">
        <v>1</v>
      </c>
      <c r="X31" s="12" t="n">
        <v>1</v>
      </c>
      <c r="Y31" s="12" t="n">
        <v>1</v>
      </c>
    </row>
    <row r="32" customFormat="false" ht="350.25" hidden="false" customHeight="true" outlineLevel="0" collapsed="false">
      <c r="A32" s="10" t="s">
        <v>2676</v>
      </c>
      <c r="B32" s="11" t="s">
        <v>2677</v>
      </c>
      <c r="C32" s="12"/>
      <c r="D32" s="12" t="s">
        <v>120</v>
      </c>
      <c r="E32" s="5" t="s">
        <v>79</v>
      </c>
      <c r="F32" s="12"/>
      <c r="G32" s="12"/>
      <c r="H32" s="13" t="str">
        <f aca="false">IF(OR(COUNTBLANK($H$33:$H$35)&gt;0,COUNTIF($H$33:$H$35,"unbearbeitet")=COUNTA($H$33:$H$35)),"Bitte Teilanforderungen ausfüllen",IF(COUNTIF($H$33:$H$35,"zu klären")&gt;0,"zu klären",IF(COUNTIF($H$33:$H$35,"entbehrlich")=COUNTA($H$33:$H$35),"entbehrlich",IF(COUNTIF($H$33:$H$35,"verwiesen")=COUNTA($H$33:$H$35),"verwiesen",IF(COUNTIF($H$33:$H$35,"nein")+COUNTIF($H$33:$H$35,"entbehrlich")=COUNTA($H$33:$H$35),"nein",IF(COUNTIF($H$33:$H$35,"ja")+COUNTIF($H$33:$H$35,"entbehrlich")+COUNTIF($H$33:$H$35,"verwiesen")=COUNTA($H$33:$H$35),"ja","teilweise"))))))</f>
        <v>Bitte Teilanforderungen ausfüllen</v>
      </c>
      <c r="I32" s="12"/>
      <c r="J32" s="12"/>
      <c r="K32" s="12"/>
      <c r="L32" s="12"/>
      <c r="M32" s="12"/>
      <c r="N32" s="5"/>
      <c r="O32" s="12"/>
      <c r="P32" s="5" t="s">
        <v>2678</v>
      </c>
      <c r="Q32" s="12" t="s">
        <v>1563</v>
      </c>
      <c r="R32" s="12" t="s">
        <v>805</v>
      </c>
      <c r="S32" s="5" t="s">
        <v>2679</v>
      </c>
      <c r="T32" s="5" t="s">
        <v>306</v>
      </c>
      <c r="U32" s="12" t="n">
        <v>2</v>
      </c>
      <c r="V32" s="12" t="n">
        <v>1</v>
      </c>
      <c r="W32" s="12" t="n">
        <v>1</v>
      </c>
      <c r="X32" s="12" t="n">
        <v>1</v>
      </c>
      <c r="Y32" s="12" t="n">
        <v>0</v>
      </c>
    </row>
    <row r="33" customFormat="false" ht="350.25" hidden="false" customHeight="true" outlineLevel="0" collapsed="false">
      <c r="A33" s="12" t="s">
        <v>2676</v>
      </c>
      <c r="B33" s="5" t="s">
        <v>2677</v>
      </c>
      <c r="C33" s="12" t="s">
        <v>2676</v>
      </c>
      <c r="D33" s="12" t="s">
        <v>120</v>
      </c>
      <c r="E33" s="5" t="s">
        <v>2680</v>
      </c>
      <c r="F33" s="14"/>
      <c r="G33" s="14"/>
      <c r="H33" s="14" t="s">
        <v>87</v>
      </c>
      <c r="I33" s="14"/>
      <c r="J33" s="14"/>
      <c r="K33" s="14"/>
      <c r="L33" s="15"/>
      <c r="M33" s="12"/>
      <c r="N33" s="5"/>
      <c r="O33" s="12"/>
      <c r="P33" s="5" t="s">
        <v>2678</v>
      </c>
      <c r="Q33" s="12" t="s">
        <v>1563</v>
      </c>
      <c r="R33" s="12" t="s">
        <v>805</v>
      </c>
      <c r="S33" s="5" t="s">
        <v>2679</v>
      </c>
      <c r="T33" s="5" t="s">
        <v>306</v>
      </c>
      <c r="U33" s="12" t="n">
        <v>2</v>
      </c>
      <c r="V33" s="12" t="n">
        <v>1</v>
      </c>
      <c r="W33" s="12" t="n">
        <v>1</v>
      </c>
      <c r="X33" s="12" t="n">
        <v>1</v>
      </c>
      <c r="Y33" s="12" t="n">
        <v>0</v>
      </c>
    </row>
    <row r="34" customFormat="false" ht="323.25" hidden="false" customHeight="true" outlineLevel="0" collapsed="false">
      <c r="A34" s="12" t="s">
        <v>2676</v>
      </c>
      <c r="B34" s="5" t="s">
        <v>2677</v>
      </c>
      <c r="C34" s="12" t="s">
        <v>2681</v>
      </c>
      <c r="D34" s="12" t="s">
        <v>120</v>
      </c>
      <c r="E34" s="5" t="s">
        <v>2682</v>
      </c>
      <c r="F34" s="14"/>
      <c r="G34" s="14"/>
      <c r="H34" s="14" t="s">
        <v>87</v>
      </c>
      <c r="I34" s="14"/>
      <c r="J34" s="14"/>
      <c r="K34" s="14"/>
      <c r="L34" s="15"/>
      <c r="M34" s="12"/>
      <c r="N34" s="5"/>
      <c r="O34" s="12"/>
      <c r="P34" s="5" t="s">
        <v>2683</v>
      </c>
      <c r="Q34" s="12" t="s">
        <v>1403</v>
      </c>
      <c r="R34" s="12" t="s">
        <v>1027</v>
      </c>
      <c r="S34" s="5" t="s">
        <v>2684</v>
      </c>
      <c r="T34" s="5" t="s">
        <v>306</v>
      </c>
      <c r="U34" s="12" t="n">
        <v>3</v>
      </c>
      <c r="V34" s="12" t="n">
        <v>1</v>
      </c>
      <c r="W34" s="12" t="n">
        <v>1</v>
      </c>
      <c r="X34" s="12" t="n">
        <v>1</v>
      </c>
      <c r="Y34" s="12" t="n">
        <v>0</v>
      </c>
    </row>
    <row r="35" customFormat="false" ht="68.25" hidden="false" customHeight="true" outlineLevel="0" collapsed="false">
      <c r="A35" s="12" t="s">
        <v>2676</v>
      </c>
      <c r="B35" s="5" t="s">
        <v>2677</v>
      </c>
      <c r="C35" s="12" t="s">
        <v>2685</v>
      </c>
      <c r="D35" s="12" t="s">
        <v>120</v>
      </c>
      <c r="E35" s="5" t="s">
        <v>2686</v>
      </c>
      <c r="F35" s="14"/>
      <c r="G35" s="14"/>
      <c r="H35" s="14" t="s">
        <v>87</v>
      </c>
      <c r="I35" s="14"/>
      <c r="J35" s="14"/>
      <c r="K35" s="14"/>
      <c r="L35" s="15"/>
      <c r="M35" s="12"/>
      <c r="N35" s="5"/>
      <c r="O35" s="12"/>
      <c r="P35" s="5" t="s">
        <v>2687</v>
      </c>
      <c r="Q35" s="12" t="s">
        <v>1563</v>
      </c>
      <c r="R35" s="12" t="s">
        <v>805</v>
      </c>
      <c r="S35" s="5" t="s">
        <v>2688</v>
      </c>
      <c r="T35" s="5" t="s">
        <v>109</v>
      </c>
      <c r="U35" s="12" t="n">
        <v>3</v>
      </c>
      <c r="V35" s="12" t="n">
        <v>1</v>
      </c>
      <c r="W35" s="12" t="n">
        <v>1</v>
      </c>
      <c r="X35" s="12" t="n">
        <v>1</v>
      </c>
      <c r="Y35" s="12" t="n">
        <v>0</v>
      </c>
    </row>
  </sheetData>
  <autoFilter ref="A6:Y6"/>
  <conditionalFormatting sqref="H7:H35">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H21 H23 H25 H27 H29 H31 H33:H35"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592</v>
      </c>
      <c r="B3" s="7" t="s">
        <v>593</v>
      </c>
    </row>
    <row r="4" customFormat="false" ht="15" hidden="false" customHeight="true" outlineLevel="0" collapsed="false">
      <c r="A4" s="4" t="s">
        <v>50</v>
      </c>
      <c r="B4" s="8" t="str">
        <f aca="false">IF(Praktiken!D12="","",Praktiken!D12)</f>
        <v/>
      </c>
    </row>
    <row r="5" customFormat="false" ht="15" hidden="false" customHeight="true" outlineLevel="0" collapsed="false">
      <c r="A5" s="4" t="s">
        <v>51</v>
      </c>
      <c r="B5" s="8" t="str">
        <f aca="false">IF(Praktiken!S12="","",Praktiken!S12)</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89" hidden="false" customHeight="true" outlineLevel="0" collapsed="false">
      <c r="A7" s="10" t="s">
        <v>2689</v>
      </c>
      <c r="B7" s="11" t="s">
        <v>2690</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2691</v>
      </c>
      <c r="Q7" s="12"/>
      <c r="R7" s="12" t="s">
        <v>2692</v>
      </c>
      <c r="S7" s="5" t="s">
        <v>2693</v>
      </c>
      <c r="T7" s="5"/>
      <c r="U7" s="12" t="n">
        <v>0</v>
      </c>
      <c r="V7" s="12"/>
      <c r="W7" s="12"/>
      <c r="X7" s="12"/>
      <c r="Y7" s="12"/>
    </row>
    <row r="8" customFormat="false" ht="189" hidden="false" customHeight="true" outlineLevel="0" collapsed="false">
      <c r="A8" s="12" t="s">
        <v>2689</v>
      </c>
      <c r="B8" s="5" t="s">
        <v>2690</v>
      </c>
      <c r="C8" s="12" t="s">
        <v>2689</v>
      </c>
      <c r="D8" s="12" t="s">
        <v>78</v>
      </c>
      <c r="E8" s="5" t="s">
        <v>2694</v>
      </c>
      <c r="F8" s="14"/>
      <c r="G8" s="14"/>
      <c r="H8" s="14" t="s">
        <v>87</v>
      </c>
      <c r="I8" s="14"/>
      <c r="J8" s="14"/>
      <c r="K8" s="14"/>
      <c r="L8" s="15"/>
      <c r="M8" s="12"/>
      <c r="N8" s="5"/>
      <c r="O8" s="12"/>
      <c r="P8" s="5" t="s">
        <v>2691</v>
      </c>
      <c r="Q8" s="12"/>
      <c r="R8" s="12" t="s">
        <v>2692</v>
      </c>
      <c r="S8" s="5" t="s">
        <v>2693</v>
      </c>
      <c r="T8" s="5"/>
      <c r="U8" s="12" t="n">
        <v>0</v>
      </c>
      <c r="V8" s="12"/>
      <c r="W8" s="12"/>
      <c r="X8" s="12"/>
      <c r="Y8" s="12"/>
    </row>
    <row r="9" customFormat="false" ht="68.25" hidden="false" customHeight="true" outlineLevel="0" collapsed="false">
      <c r="A9" s="10" t="s">
        <v>2695</v>
      </c>
      <c r="B9" s="11" t="s">
        <v>2696</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2697</v>
      </c>
      <c r="Q9" s="12"/>
      <c r="R9" s="12" t="s">
        <v>2698</v>
      </c>
      <c r="S9" s="5" t="s">
        <v>2699</v>
      </c>
      <c r="T9" s="5"/>
      <c r="U9" s="12" t="n">
        <v>0</v>
      </c>
      <c r="V9" s="12"/>
      <c r="W9" s="12"/>
      <c r="X9" s="12"/>
      <c r="Y9" s="12"/>
    </row>
    <row r="10" customFormat="false" ht="68.25" hidden="false" customHeight="true" outlineLevel="0" collapsed="false">
      <c r="A10" s="12" t="s">
        <v>2695</v>
      </c>
      <c r="B10" s="5" t="s">
        <v>2696</v>
      </c>
      <c r="C10" s="12" t="s">
        <v>2695</v>
      </c>
      <c r="D10" s="12" t="s">
        <v>78</v>
      </c>
      <c r="E10" s="5" t="s">
        <v>2700</v>
      </c>
      <c r="F10" s="14"/>
      <c r="G10" s="14"/>
      <c r="H10" s="14" t="s">
        <v>87</v>
      </c>
      <c r="I10" s="14"/>
      <c r="J10" s="14"/>
      <c r="K10" s="14"/>
      <c r="L10" s="15"/>
      <c r="M10" s="12"/>
      <c r="N10" s="5"/>
      <c r="O10" s="12"/>
      <c r="P10" s="5" t="s">
        <v>2697</v>
      </c>
      <c r="Q10" s="12"/>
      <c r="R10" s="12" t="s">
        <v>2698</v>
      </c>
      <c r="S10" s="5" t="s">
        <v>2699</v>
      </c>
      <c r="T10" s="5"/>
      <c r="U10" s="12" t="n">
        <v>0</v>
      </c>
      <c r="V10" s="12"/>
      <c r="W10" s="12"/>
      <c r="X10" s="12"/>
      <c r="Y10" s="12"/>
    </row>
    <row r="11" customFormat="false" ht="135.75" hidden="false" customHeight="true" outlineLevel="0" collapsed="false">
      <c r="A11" s="10" t="s">
        <v>2701</v>
      </c>
      <c r="B11" s="11" t="s">
        <v>2702</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2703</v>
      </c>
      <c r="Q11" s="12"/>
      <c r="R11" s="12"/>
      <c r="S11" s="5" t="s">
        <v>2704</v>
      </c>
      <c r="T11" s="5"/>
      <c r="U11" s="12" t="n">
        <v>0</v>
      </c>
      <c r="V11" s="12"/>
      <c r="W11" s="12"/>
      <c r="X11" s="12"/>
      <c r="Y11" s="12"/>
    </row>
    <row r="12" customFormat="false" ht="135.75" hidden="false" customHeight="true" outlineLevel="0" collapsed="false">
      <c r="A12" s="12" t="s">
        <v>2701</v>
      </c>
      <c r="B12" s="5" t="s">
        <v>2702</v>
      </c>
      <c r="C12" s="12" t="s">
        <v>2701</v>
      </c>
      <c r="D12" s="12" t="s">
        <v>78</v>
      </c>
      <c r="E12" s="5" t="s">
        <v>2705</v>
      </c>
      <c r="F12" s="14"/>
      <c r="G12" s="14"/>
      <c r="H12" s="14" t="s">
        <v>87</v>
      </c>
      <c r="I12" s="14"/>
      <c r="J12" s="14"/>
      <c r="K12" s="14"/>
      <c r="L12" s="15"/>
      <c r="M12" s="12"/>
      <c r="N12" s="5"/>
      <c r="O12" s="12"/>
      <c r="P12" s="5" t="s">
        <v>2703</v>
      </c>
      <c r="Q12" s="12"/>
      <c r="R12" s="12"/>
      <c r="S12" s="5" t="s">
        <v>2704</v>
      </c>
      <c r="T12" s="5"/>
      <c r="U12" s="12" t="n">
        <v>0</v>
      </c>
      <c r="V12" s="12"/>
      <c r="W12" s="12"/>
      <c r="X12" s="12"/>
      <c r="Y12" s="12"/>
    </row>
    <row r="13" customFormat="false" ht="108.75" hidden="false" customHeight="true" outlineLevel="0" collapsed="false">
      <c r="A13" s="10" t="s">
        <v>2706</v>
      </c>
      <c r="B13" s="11" t="s">
        <v>2707</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2708</v>
      </c>
      <c r="Q13" s="12"/>
      <c r="R13" s="12"/>
      <c r="S13" s="5" t="s">
        <v>2709</v>
      </c>
      <c r="T13" s="5"/>
      <c r="U13" s="12" t="n">
        <v>0</v>
      </c>
      <c r="V13" s="12"/>
      <c r="W13" s="12"/>
      <c r="X13" s="12"/>
      <c r="Y13" s="12"/>
    </row>
    <row r="14" customFormat="false" ht="108.75" hidden="false" customHeight="true" outlineLevel="0" collapsed="false">
      <c r="A14" s="12" t="s">
        <v>2706</v>
      </c>
      <c r="B14" s="5" t="s">
        <v>2707</v>
      </c>
      <c r="C14" s="12" t="s">
        <v>2706</v>
      </c>
      <c r="D14" s="12" t="s">
        <v>78</v>
      </c>
      <c r="E14" s="5" t="s">
        <v>2710</v>
      </c>
      <c r="F14" s="14"/>
      <c r="G14" s="14"/>
      <c r="H14" s="14" t="s">
        <v>87</v>
      </c>
      <c r="I14" s="14"/>
      <c r="J14" s="14"/>
      <c r="K14" s="14"/>
      <c r="L14" s="15"/>
      <c r="M14" s="12"/>
      <c r="N14" s="5"/>
      <c r="O14" s="12"/>
      <c r="P14" s="5" t="s">
        <v>2708</v>
      </c>
      <c r="Q14" s="12"/>
      <c r="R14" s="12"/>
      <c r="S14" s="5" t="s">
        <v>2709</v>
      </c>
      <c r="T14" s="5"/>
      <c r="U14" s="12" t="n">
        <v>0</v>
      </c>
      <c r="V14" s="12"/>
      <c r="W14" s="12"/>
      <c r="X14" s="12"/>
      <c r="Y14" s="12"/>
    </row>
    <row r="15" customFormat="false" ht="175.5" hidden="false" customHeight="true" outlineLevel="0" collapsed="false">
      <c r="A15" s="10" t="s">
        <v>2711</v>
      </c>
      <c r="B15" s="11" t="s">
        <v>77</v>
      </c>
      <c r="C15" s="12"/>
      <c r="D15" s="12" t="s">
        <v>78</v>
      </c>
      <c r="E15" s="5" t="s">
        <v>79</v>
      </c>
      <c r="F15" s="12"/>
      <c r="G15" s="12"/>
      <c r="H15" s="13" t="str">
        <f aca="false">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Bitte Teilanforderungen ausfüllen</v>
      </c>
      <c r="I15" s="12"/>
      <c r="J15" s="12"/>
      <c r="K15" s="12"/>
      <c r="L15" s="12"/>
      <c r="M15" s="12"/>
      <c r="N15" s="5"/>
      <c r="O15" s="12"/>
      <c r="P15" s="5" t="s">
        <v>2712</v>
      </c>
      <c r="Q15" s="12"/>
      <c r="R15" s="12" t="s">
        <v>1619</v>
      </c>
      <c r="S15" s="5" t="s">
        <v>2713</v>
      </c>
      <c r="T15" s="5"/>
      <c r="U15" s="12" t="n">
        <v>0</v>
      </c>
      <c r="V15" s="12"/>
      <c r="W15" s="12"/>
      <c r="X15" s="12"/>
      <c r="Y15" s="12"/>
    </row>
    <row r="16" customFormat="false" ht="135.75" hidden="false" customHeight="true" outlineLevel="0" collapsed="false">
      <c r="A16" s="12" t="s">
        <v>2711</v>
      </c>
      <c r="B16" s="5" t="s">
        <v>77</v>
      </c>
      <c r="C16" s="12" t="s">
        <v>2714</v>
      </c>
      <c r="D16" s="12" t="s">
        <v>78</v>
      </c>
      <c r="E16" s="5" t="s">
        <v>2715</v>
      </c>
      <c r="F16" s="14"/>
      <c r="G16" s="14"/>
      <c r="H16" s="14" t="s">
        <v>87</v>
      </c>
      <c r="I16" s="14"/>
      <c r="J16" s="14"/>
      <c r="K16" s="14"/>
      <c r="L16" s="15"/>
      <c r="M16" s="12"/>
      <c r="N16" s="5"/>
      <c r="O16" s="12"/>
      <c r="P16" s="5" t="s">
        <v>2716</v>
      </c>
      <c r="Q16" s="12"/>
      <c r="R16" s="12" t="s">
        <v>1619</v>
      </c>
      <c r="S16" s="5" t="s">
        <v>2717</v>
      </c>
      <c r="T16" s="5"/>
      <c r="U16" s="12" t="n">
        <v>0</v>
      </c>
      <c r="V16" s="12"/>
      <c r="W16" s="12"/>
      <c r="X16" s="12"/>
      <c r="Y16" s="12"/>
    </row>
    <row r="17" customFormat="false" ht="81.75" hidden="false" customHeight="true" outlineLevel="0" collapsed="false">
      <c r="A17" s="12" t="s">
        <v>2711</v>
      </c>
      <c r="B17" s="5" t="s">
        <v>77</v>
      </c>
      <c r="C17" s="12" t="s">
        <v>2718</v>
      </c>
      <c r="D17" s="12" t="s">
        <v>120</v>
      </c>
      <c r="E17" s="5" t="s">
        <v>2719</v>
      </c>
      <c r="F17" s="14"/>
      <c r="G17" s="14"/>
      <c r="H17" s="14" t="s">
        <v>87</v>
      </c>
      <c r="I17" s="14"/>
      <c r="J17" s="14"/>
      <c r="K17" s="14"/>
      <c r="L17" s="15"/>
      <c r="M17" s="12"/>
      <c r="N17" s="5"/>
      <c r="O17" s="12"/>
      <c r="P17" s="5" t="s">
        <v>2720</v>
      </c>
      <c r="Q17" s="12"/>
      <c r="R17" s="12" t="s">
        <v>1619</v>
      </c>
      <c r="S17" s="5" t="s">
        <v>2721</v>
      </c>
      <c r="T17" s="5"/>
      <c r="U17" s="12" t="n">
        <v>3</v>
      </c>
      <c r="V17" s="12"/>
      <c r="W17" s="12"/>
      <c r="X17" s="12"/>
      <c r="Y17" s="12"/>
    </row>
    <row r="18" customFormat="false" ht="68.25" hidden="false" customHeight="true" outlineLevel="0" collapsed="false">
      <c r="A18" s="12" t="s">
        <v>2711</v>
      </c>
      <c r="B18" s="5" t="s">
        <v>77</v>
      </c>
      <c r="C18" s="12" t="s">
        <v>2722</v>
      </c>
      <c r="D18" s="12" t="s">
        <v>120</v>
      </c>
      <c r="E18" s="5" t="s">
        <v>2723</v>
      </c>
      <c r="F18" s="14"/>
      <c r="G18" s="14"/>
      <c r="H18" s="14" t="s">
        <v>87</v>
      </c>
      <c r="I18" s="14"/>
      <c r="J18" s="14"/>
      <c r="K18" s="14"/>
      <c r="L18" s="15"/>
      <c r="M18" s="12"/>
      <c r="N18" s="5"/>
      <c r="O18" s="12"/>
      <c r="P18" s="5" t="s">
        <v>2724</v>
      </c>
      <c r="Q18" s="12"/>
      <c r="R18" s="12" t="s">
        <v>1619</v>
      </c>
      <c r="S18" s="5" t="s">
        <v>2725</v>
      </c>
      <c r="T18" s="5"/>
      <c r="U18" s="12" t="n">
        <v>3</v>
      </c>
      <c r="V18" s="12"/>
      <c r="W18" s="12"/>
      <c r="X18" s="12"/>
      <c r="Y18" s="12"/>
    </row>
    <row r="19" customFormat="false" ht="54.75" hidden="false" customHeight="true" outlineLevel="0" collapsed="false">
      <c r="A19" s="12" t="s">
        <v>2711</v>
      </c>
      <c r="B19" s="5" t="s">
        <v>77</v>
      </c>
      <c r="C19" s="12" t="s">
        <v>2726</v>
      </c>
      <c r="D19" s="12" t="s">
        <v>120</v>
      </c>
      <c r="E19" s="5" t="s">
        <v>2727</v>
      </c>
      <c r="F19" s="14"/>
      <c r="G19" s="14"/>
      <c r="H19" s="14" t="s">
        <v>87</v>
      </c>
      <c r="I19" s="14"/>
      <c r="J19" s="14"/>
      <c r="K19" s="14"/>
      <c r="L19" s="15"/>
      <c r="M19" s="12"/>
      <c r="N19" s="5"/>
      <c r="O19" s="12"/>
      <c r="P19" s="5" t="s">
        <v>2728</v>
      </c>
      <c r="Q19" s="12"/>
      <c r="R19" s="12" t="s">
        <v>688</v>
      </c>
      <c r="S19" s="5" t="s">
        <v>2729</v>
      </c>
      <c r="T19" s="5"/>
      <c r="U19" s="12" t="n">
        <v>3</v>
      </c>
      <c r="V19" s="12"/>
      <c r="W19" s="12"/>
      <c r="X19" s="12"/>
      <c r="Y19" s="12"/>
    </row>
    <row r="20" customFormat="false" ht="81.75" hidden="false" customHeight="true" outlineLevel="0" collapsed="false">
      <c r="A20" s="10" t="s">
        <v>2730</v>
      </c>
      <c r="B20" s="11" t="s">
        <v>2731</v>
      </c>
      <c r="C20" s="12"/>
      <c r="D20" s="12" t="s">
        <v>78</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c r="N20" s="5"/>
      <c r="O20" s="12"/>
      <c r="P20" s="5" t="s">
        <v>2732</v>
      </c>
      <c r="Q20" s="12"/>
      <c r="R20" s="12"/>
      <c r="S20" s="5" t="s">
        <v>2733</v>
      </c>
      <c r="T20" s="5"/>
      <c r="U20" s="12" t="n">
        <v>0</v>
      </c>
      <c r="V20" s="12"/>
      <c r="W20" s="12"/>
      <c r="X20" s="12"/>
      <c r="Y20" s="12"/>
    </row>
    <row r="21" customFormat="false" ht="81.75" hidden="false" customHeight="true" outlineLevel="0" collapsed="false">
      <c r="A21" s="12" t="s">
        <v>2730</v>
      </c>
      <c r="B21" s="5" t="s">
        <v>2731</v>
      </c>
      <c r="C21" s="12" t="s">
        <v>2730</v>
      </c>
      <c r="D21" s="12" t="s">
        <v>78</v>
      </c>
      <c r="E21" s="5" t="s">
        <v>2734</v>
      </c>
      <c r="F21" s="14"/>
      <c r="G21" s="14"/>
      <c r="H21" s="14" t="s">
        <v>87</v>
      </c>
      <c r="I21" s="14"/>
      <c r="J21" s="14"/>
      <c r="K21" s="14"/>
      <c r="L21" s="15"/>
      <c r="M21" s="12"/>
      <c r="N21" s="5"/>
      <c r="O21" s="12"/>
      <c r="P21" s="5" t="s">
        <v>2732</v>
      </c>
      <c r="Q21" s="12"/>
      <c r="R21" s="12"/>
      <c r="S21" s="5" t="s">
        <v>2733</v>
      </c>
      <c r="T21" s="5"/>
      <c r="U21" s="12" t="n">
        <v>0</v>
      </c>
      <c r="V21" s="12"/>
      <c r="W21" s="12"/>
      <c r="X21" s="12"/>
      <c r="Y21" s="12"/>
    </row>
    <row r="22" customFormat="false" ht="54.75" hidden="false" customHeight="true" outlineLevel="0" collapsed="false">
      <c r="A22" s="10" t="s">
        <v>2735</v>
      </c>
      <c r="B22" s="11" t="s">
        <v>2736</v>
      </c>
      <c r="C22" s="12"/>
      <c r="D22" s="12" t="s">
        <v>78</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c r="O22" s="12"/>
      <c r="P22" s="5" t="s">
        <v>2737</v>
      </c>
      <c r="Q22" s="12"/>
      <c r="R22" s="12"/>
      <c r="S22" s="5" t="s">
        <v>2738</v>
      </c>
      <c r="T22" s="5"/>
      <c r="U22" s="12" t="n">
        <v>0</v>
      </c>
      <c r="V22" s="12"/>
      <c r="W22" s="12"/>
      <c r="X22" s="12"/>
      <c r="Y22" s="12"/>
    </row>
    <row r="23" customFormat="false" ht="54.75" hidden="false" customHeight="true" outlineLevel="0" collapsed="false">
      <c r="A23" s="12" t="s">
        <v>2735</v>
      </c>
      <c r="B23" s="5" t="s">
        <v>2736</v>
      </c>
      <c r="C23" s="12" t="s">
        <v>2735</v>
      </c>
      <c r="D23" s="12" t="s">
        <v>78</v>
      </c>
      <c r="E23" s="5" t="s">
        <v>2739</v>
      </c>
      <c r="F23" s="14"/>
      <c r="G23" s="14"/>
      <c r="H23" s="14" t="s">
        <v>87</v>
      </c>
      <c r="I23" s="14"/>
      <c r="J23" s="14"/>
      <c r="K23" s="14"/>
      <c r="L23" s="15"/>
      <c r="M23" s="12"/>
      <c r="N23" s="5"/>
      <c r="O23" s="12"/>
      <c r="P23" s="5" t="s">
        <v>2737</v>
      </c>
      <c r="Q23" s="12"/>
      <c r="R23" s="12"/>
      <c r="S23" s="5" t="s">
        <v>2738</v>
      </c>
      <c r="T23" s="5"/>
      <c r="U23" s="12" t="n">
        <v>0</v>
      </c>
      <c r="V23" s="12"/>
      <c r="W23" s="12"/>
      <c r="X23" s="12"/>
      <c r="Y23" s="12"/>
    </row>
    <row r="24" customFormat="false" ht="81.75" hidden="false" customHeight="true" outlineLevel="0" collapsed="false">
      <c r="A24" s="10" t="s">
        <v>2740</v>
      </c>
      <c r="B24" s="11" t="s">
        <v>2741</v>
      </c>
      <c r="C24" s="12"/>
      <c r="D24" s="12" t="s">
        <v>78</v>
      </c>
      <c r="E24" s="5" t="s">
        <v>79</v>
      </c>
      <c r="F24" s="12"/>
      <c r="G24" s="12"/>
      <c r="H24" s="13" t="str">
        <f aca="false">IF(OR(COUNTBLANK($H$25:$H$28)&gt;0,COUNTIF($H$25:$H$28,"unbearbeitet")=COUNTA($H$25:$H$28)),"Bitte Teilanforderungen ausfüllen",IF(COUNTIF($H$25:$H$28,"zu klären")&gt;0,"zu klären",IF(COUNTIF($H$25:$H$28,"entbehrlich")=COUNTA($H$25:$H$28),"entbehrlich",IF(COUNTIF($H$25:$H$28,"verwiesen")=COUNTA($H$25:$H$28),"verwiesen",IF(COUNTIF($H$25:$H$28,"nein")+COUNTIF($H$25:$H$28,"entbehrlich")=COUNTA($H$25:$H$28),"nein",IF(COUNTIF($H$25:$H$28,"ja")+COUNTIF($H$25:$H$28,"entbehrlich")+COUNTIF($H$25:$H$28,"verwiesen")=COUNTA($H$25:$H$28),"ja","teilweise"))))))</f>
        <v>Bitte Teilanforderungen ausfüllen</v>
      </c>
      <c r="I24" s="12"/>
      <c r="J24" s="12"/>
      <c r="K24" s="12"/>
      <c r="L24" s="12"/>
      <c r="M24" s="12"/>
      <c r="N24" s="5"/>
      <c r="O24" s="12"/>
      <c r="P24" s="5" t="s">
        <v>2742</v>
      </c>
      <c r="Q24" s="12"/>
      <c r="R24" s="12" t="s">
        <v>2743</v>
      </c>
      <c r="S24" s="5" t="s">
        <v>2744</v>
      </c>
      <c r="T24" s="5"/>
      <c r="U24" s="12" t="n">
        <v>0</v>
      </c>
      <c r="V24" s="12"/>
      <c r="W24" s="12"/>
      <c r="X24" s="12"/>
      <c r="Y24" s="12"/>
    </row>
    <row r="25" customFormat="false" ht="41.25" hidden="false" customHeight="true" outlineLevel="0" collapsed="false">
      <c r="A25" s="12" t="s">
        <v>2740</v>
      </c>
      <c r="B25" s="5" t="s">
        <v>2741</v>
      </c>
      <c r="C25" s="12" t="s">
        <v>2745</v>
      </c>
      <c r="D25" s="12" t="s">
        <v>78</v>
      </c>
      <c r="E25" s="5" t="s">
        <v>2746</v>
      </c>
      <c r="F25" s="14"/>
      <c r="G25" s="14"/>
      <c r="H25" s="14" t="s">
        <v>87</v>
      </c>
      <c r="I25" s="14"/>
      <c r="J25" s="14"/>
      <c r="K25" s="14"/>
      <c r="L25" s="15"/>
      <c r="M25" s="12"/>
      <c r="N25" s="5"/>
      <c r="O25" s="12"/>
      <c r="P25" s="5" t="s">
        <v>2747</v>
      </c>
      <c r="Q25" s="12"/>
      <c r="R25" s="12" t="s">
        <v>2743</v>
      </c>
      <c r="S25" s="5" t="s">
        <v>2748</v>
      </c>
      <c r="T25" s="5"/>
      <c r="U25" s="12" t="n">
        <v>3</v>
      </c>
      <c r="V25" s="12"/>
      <c r="W25" s="12"/>
      <c r="X25" s="12"/>
      <c r="Y25" s="12"/>
    </row>
    <row r="26" customFormat="false" ht="122.25" hidden="false" customHeight="true" outlineLevel="0" collapsed="false">
      <c r="A26" s="12" t="s">
        <v>2740</v>
      </c>
      <c r="B26" s="5" t="s">
        <v>2741</v>
      </c>
      <c r="C26" s="12" t="s">
        <v>2749</v>
      </c>
      <c r="D26" s="12" t="s">
        <v>78</v>
      </c>
      <c r="E26" s="5" t="s">
        <v>2750</v>
      </c>
      <c r="F26" s="14"/>
      <c r="G26" s="14"/>
      <c r="H26" s="14" t="s">
        <v>87</v>
      </c>
      <c r="I26" s="14"/>
      <c r="J26" s="14"/>
      <c r="K26" s="14"/>
      <c r="L26" s="15"/>
      <c r="M26" s="12"/>
      <c r="N26" s="5"/>
      <c r="O26" s="12"/>
      <c r="P26" s="5" t="s">
        <v>2751</v>
      </c>
      <c r="Q26" s="12"/>
      <c r="R26" s="12" t="s">
        <v>2752</v>
      </c>
      <c r="S26" s="5" t="s">
        <v>2753</v>
      </c>
      <c r="T26" s="5"/>
      <c r="U26" s="12" t="n">
        <v>0</v>
      </c>
      <c r="V26" s="12"/>
      <c r="W26" s="12"/>
      <c r="X26" s="12"/>
      <c r="Y26" s="12"/>
    </row>
    <row r="27" customFormat="false" ht="108.75" hidden="false" customHeight="true" outlineLevel="0" collapsed="false">
      <c r="A27" s="12" t="s">
        <v>2740</v>
      </c>
      <c r="B27" s="5" t="s">
        <v>2741</v>
      </c>
      <c r="C27" s="12" t="s">
        <v>2754</v>
      </c>
      <c r="D27" s="12" t="s">
        <v>78</v>
      </c>
      <c r="E27" s="5" t="s">
        <v>2755</v>
      </c>
      <c r="F27" s="14"/>
      <c r="G27" s="14"/>
      <c r="H27" s="14" t="s">
        <v>87</v>
      </c>
      <c r="I27" s="14"/>
      <c r="J27" s="14"/>
      <c r="K27" s="14"/>
      <c r="L27" s="15"/>
      <c r="M27" s="12"/>
      <c r="N27" s="5"/>
      <c r="O27" s="12"/>
      <c r="P27" s="5" t="s">
        <v>2756</v>
      </c>
      <c r="Q27" s="12"/>
      <c r="R27" s="12" t="s">
        <v>2757</v>
      </c>
      <c r="S27" s="5" t="s">
        <v>2758</v>
      </c>
      <c r="T27" s="5"/>
      <c r="U27" s="12" t="n">
        <v>0</v>
      </c>
      <c r="V27" s="12"/>
      <c r="W27" s="12"/>
      <c r="X27" s="12"/>
      <c r="Y27" s="12"/>
    </row>
    <row r="28" customFormat="false" ht="27.75" hidden="false" customHeight="true" outlineLevel="0" collapsed="false">
      <c r="A28" s="12" t="s">
        <v>2740</v>
      </c>
      <c r="B28" s="5" t="s">
        <v>2741</v>
      </c>
      <c r="C28" s="12" t="s">
        <v>2759</v>
      </c>
      <c r="D28" s="12" t="s">
        <v>78</v>
      </c>
      <c r="E28" s="5" t="s">
        <v>2760</v>
      </c>
      <c r="F28" s="14"/>
      <c r="G28" s="14"/>
      <c r="H28" s="14" t="s">
        <v>87</v>
      </c>
      <c r="I28" s="14"/>
      <c r="J28" s="14"/>
      <c r="K28" s="14"/>
      <c r="L28" s="15"/>
      <c r="M28" s="12"/>
      <c r="N28" s="5"/>
      <c r="O28" s="12"/>
      <c r="P28" s="5" t="s">
        <v>2761</v>
      </c>
      <c r="Q28" s="12"/>
      <c r="R28" s="12" t="s">
        <v>2757</v>
      </c>
      <c r="S28" s="5" t="s">
        <v>2762</v>
      </c>
      <c r="T28" s="5"/>
      <c r="U28" s="12" t="n">
        <v>0</v>
      </c>
      <c r="V28" s="12"/>
      <c r="W28" s="12"/>
      <c r="X28" s="12"/>
      <c r="Y28" s="12"/>
    </row>
    <row r="29" customFormat="false" ht="95.25" hidden="false" customHeight="true" outlineLevel="0" collapsed="false">
      <c r="A29" s="10" t="s">
        <v>2763</v>
      </c>
      <c r="B29" s="11" t="s">
        <v>2764</v>
      </c>
      <c r="C29" s="12"/>
      <c r="D29" s="12" t="s">
        <v>78</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c r="O29" s="12"/>
      <c r="P29" s="5" t="s">
        <v>2765</v>
      </c>
      <c r="Q29" s="12"/>
      <c r="R29" s="12"/>
      <c r="S29" s="5" t="s">
        <v>2766</v>
      </c>
      <c r="T29" s="5"/>
      <c r="U29" s="12" t="n">
        <v>0</v>
      </c>
      <c r="V29" s="12"/>
      <c r="W29" s="12"/>
      <c r="X29" s="12"/>
      <c r="Y29" s="12"/>
    </row>
    <row r="30" customFormat="false" ht="95.25" hidden="false" customHeight="true" outlineLevel="0" collapsed="false">
      <c r="A30" s="12" t="s">
        <v>2763</v>
      </c>
      <c r="B30" s="5" t="s">
        <v>2764</v>
      </c>
      <c r="C30" s="12" t="s">
        <v>2763</v>
      </c>
      <c r="D30" s="12" t="s">
        <v>78</v>
      </c>
      <c r="E30" s="5" t="s">
        <v>2767</v>
      </c>
      <c r="F30" s="14"/>
      <c r="G30" s="14"/>
      <c r="H30" s="14" t="s">
        <v>87</v>
      </c>
      <c r="I30" s="14"/>
      <c r="J30" s="14"/>
      <c r="K30" s="14"/>
      <c r="L30" s="15"/>
      <c r="M30" s="12"/>
      <c r="N30" s="5"/>
      <c r="O30" s="12"/>
      <c r="P30" s="5" t="s">
        <v>2765</v>
      </c>
      <c r="Q30" s="12"/>
      <c r="R30" s="12"/>
      <c r="S30" s="5" t="s">
        <v>2766</v>
      </c>
      <c r="T30" s="5"/>
      <c r="U30" s="12" t="n">
        <v>0</v>
      </c>
      <c r="V30" s="12"/>
      <c r="W30" s="12"/>
      <c r="X30" s="12"/>
      <c r="Y30" s="12"/>
    </row>
    <row r="31" customFormat="false" ht="81.75" hidden="false" customHeight="true" outlineLevel="0" collapsed="false">
      <c r="A31" s="10" t="s">
        <v>2768</v>
      </c>
      <c r="B31" s="11" t="s">
        <v>2769</v>
      </c>
      <c r="C31" s="12"/>
      <c r="D31" s="12" t="s">
        <v>78</v>
      </c>
      <c r="E31" s="5" t="s">
        <v>79</v>
      </c>
      <c r="F31" s="12"/>
      <c r="G31" s="12"/>
      <c r="H31" s="13" t="str">
        <f aca="false">IF(OR(COUNTBLANK($H$32:$H$33)&gt;0,COUNTIF($H$32:$H$33,"unbearbeitet")=COUNTA($H$32:$H$33)),"Bitte Teilanforderungen ausfüllen",IF(COUNTIF($H$32:$H$33,"zu klären")&gt;0,"zu klären",IF(COUNTIF($H$32:$H$33,"entbehrlich")=COUNTA($H$32:$H$33),"entbehrlich",IF(COUNTIF($H$32:$H$33,"verwiesen")=COUNTA($H$32:$H$33),"verwiesen",IF(COUNTIF($H$32:$H$33,"nein")+COUNTIF($H$32:$H$33,"entbehrlich")=COUNTA($H$32:$H$33),"nein",IF(COUNTIF($H$32:$H$33,"ja")+COUNTIF($H$32:$H$33,"entbehrlich")+COUNTIF($H$32:$H$33,"verwiesen")=COUNTA($H$32:$H$33),"ja","teilweise"))))))</f>
        <v>Bitte Teilanforderungen ausfüllen</v>
      </c>
      <c r="I31" s="12"/>
      <c r="J31" s="12"/>
      <c r="K31" s="12"/>
      <c r="L31" s="12"/>
      <c r="M31" s="12"/>
      <c r="N31" s="5"/>
      <c r="O31" s="12"/>
      <c r="P31" s="5" t="s">
        <v>2770</v>
      </c>
      <c r="Q31" s="12"/>
      <c r="R31" s="12"/>
      <c r="S31" s="5" t="s">
        <v>2771</v>
      </c>
      <c r="T31" s="5"/>
      <c r="U31" s="12" t="n">
        <v>0</v>
      </c>
      <c r="V31" s="12"/>
      <c r="W31" s="12"/>
      <c r="X31" s="12"/>
      <c r="Y31" s="12"/>
    </row>
    <row r="32" customFormat="false" ht="68.25" hidden="false" customHeight="true" outlineLevel="0" collapsed="false">
      <c r="A32" s="12" t="s">
        <v>2768</v>
      </c>
      <c r="B32" s="5" t="s">
        <v>2769</v>
      </c>
      <c r="C32" s="12" t="s">
        <v>2772</v>
      </c>
      <c r="D32" s="12" t="s">
        <v>78</v>
      </c>
      <c r="E32" s="5" t="s">
        <v>2773</v>
      </c>
      <c r="F32" s="14"/>
      <c r="G32" s="14"/>
      <c r="H32" s="14" t="s">
        <v>87</v>
      </c>
      <c r="I32" s="14"/>
      <c r="J32" s="14"/>
      <c r="K32" s="14"/>
      <c r="L32" s="15"/>
      <c r="M32" s="12"/>
      <c r="N32" s="5"/>
      <c r="O32" s="12"/>
      <c r="P32" s="5" t="s">
        <v>2774</v>
      </c>
      <c r="Q32" s="12"/>
      <c r="R32" s="12" t="s">
        <v>1442</v>
      </c>
      <c r="S32" s="5" t="s">
        <v>2775</v>
      </c>
      <c r="T32" s="5"/>
      <c r="U32" s="12" t="n">
        <v>0</v>
      </c>
      <c r="V32" s="12"/>
      <c r="W32" s="12"/>
      <c r="X32" s="12"/>
      <c r="Y32" s="12"/>
    </row>
    <row r="33" customFormat="false" ht="243" hidden="false" customHeight="true" outlineLevel="0" collapsed="false">
      <c r="A33" s="12" t="s">
        <v>2768</v>
      </c>
      <c r="B33" s="5" t="s">
        <v>2769</v>
      </c>
      <c r="C33" s="12" t="s">
        <v>2776</v>
      </c>
      <c r="D33" s="12" t="s">
        <v>78</v>
      </c>
      <c r="E33" s="5" t="s">
        <v>2777</v>
      </c>
      <c r="F33" s="14"/>
      <c r="G33" s="14"/>
      <c r="H33" s="14" t="s">
        <v>87</v>
      </c>
      <c r="I33" s="14"/>
      <c r="J33" s="14"/>
      <c r="K33" s="14"/>
      <c r="L33" s="15"/>
      <c r="M33" s="12"/>
      <c r="N33" s="5"/>
      <c r="O33" s="12"/>
      <c r="P33" s="5" t="s">
        <v>2778</v>
      </c>
      <c r="Q33" s="12"/>
      <c r="R33" s="12" t="s">
        <v>2779</v>
      </c>
      <c r="S33" s="5" t="s">
        <v>2780</v>
      </c>
      <c r="T33" s="5"/>
      <c r="U33" s="12" t="n">
        <v>0</v>
      </c>
      <c r="V33" s="12"/>
      <c r="W33" s="12"/>
      <c r="X33" s="12"/>
      <c r="Y33" s="12"/>
    </row>
    <row r="34" customFormat="false" ht="54.75" hidden="false" customHeight="true" outlineLevel="0" collapsed="false">
      <c r="A34" s="10" t="s">
        <v>2781</v>
      </c>
      <c r="B34" s="11" t="s">
        <v>2782</v>
      </c>
      <c r="C34" s="12"/>
      <c r="D34" s="12" t="s">
        <v>78</v>
      </c>
      <c r="E34" s="5" t="s">
        <v>79</v>
      </c>
      <c r="F34" s="12"/>
      <c r="G34" s="12"/>
      <c r="H34" s="13" t="str">
        <f aca="false">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Bitte Teilanforderungen ausfüllen</v>
      </c>
      <c r="I34" s="12"/>
      <c r="J34" s="12"/>
      <c r="K34" s="12"/>
      <c r="L34" s="12"/>
      <c r="M34" s="12"/>
      <c r="N34" s="5"/>
      <c r="O34" s="12"/>
      <c r="P34" s="5" t="s">
        <v>2783</v>
      </c>
      <c r="Q34" s="12"/>
      <c r="R34" s="12" t="s">
        <v>2784</v>
      </c>
      <c r="S34" s="5" t="s">
        <v>2785</v>
      </c>
      <c r="T34" s="5"/>
      <c r="U34" s="12" t="n">
        <v>0</v>
      </c>
      <c r="V34" s="12"/>
      <c r="W34" s="12"/>
      <c r="X34" s="12"/>
      <c r="Y34" s="12"/>
    </row>
    <row r="35" customFormat="false" ht="54.75" hidden="false" customHeight="true" outlineLevel="0" collapsed="false">
      <c r="A35" s="12" t="s">
        <v>2781</v>
      </c>
      <c r="B35" s="5" t="s">
        <v>2782</v>
      </c>
      <c r="C35" s="12" t="s">
        <v>2781</v>
      </c>
      <c r="D35" s="12" t="s">
        <v>78</v>
      </c>
      <c r="E35" s="5" t="s">
        <v>2786</v>
      </c>
      <c r="F35" s="14"/>
      <c r="G35" s="14"/>
      <c r="H35" s="14" t="s">
        <v>87</v>
      </c>
      <c r="I35" s="14"/>
      <c r="J35" s="14"/>
      <c r="K35" s="14"/>
      <c r="L35" s="15"/>
      <c r="M35" s="12"/>
      <c r="N35" s="5"/>
      <c r="O35" s="12"/>
      <c r="P35" s="5" t="s">
        <v>2783</v>
      </c>
      <c r="Q35" s="12"/>
      <c r="R35" s="12" t="s">
        <v>2784</v>
      </c>
      <c r="S35" s="5" t="s">
        <v>2785</v>
      </c>
      <c r="T35" s="5"/>
      <c r="U35" s="12" t="n">
        <v>0</v>
      </c>
      <c r="V35" s="12"/>
      <c r="W35" s="12"/>
      <c r="X35" s="12"/>
      <c r="Y35" s="12"/>
    </row>
    <row r="36" customFormat="false" ht="41.25" hidden="false" customHeight="true" outlineLevel="0" collapsed="false">
      <c r="A36" s="10" t="s">
        <v>2787</v>
      </c>
      <c r="B36" s="11" t="s">
        <v>2788</v>
      </c>
      <c r="C36" s="12"/>
      <c r="D36" s="12" t="s">
        <v>78</v>
      </c>
      <c r="E36" s="5" t="s">
        <v>79</v>
      </c>
      <c r="F36" s="12"/>
      <c r="G36" s="12"/>
      <c r="H36" s="13" t="str">
        <f aca="false">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2"/>
      <c r="J36" s="12"/>
      <c r="K36" s="12"/>
      <c r="L36" s="12"/>
      <c r="M36" s="12"/>
      <c r="N36" s="5"/>
      <c r="O36" s="12"/>
      <c r="P36" s="5" t="s">
        <v>2789</v>
      </c>
      <c r="Q36" s="12"/>
      <c r="R36" s="12"/>
      <c r="S36" s="5" t="s">
        <v>2790</v>
      </c>
      <c r="T36" s="5"/>
      <c r="U36" s="12" t="n">
        <v>0</v>
      </c>
      <c r="V36" s="12"/>
      <c r="W36" s="12"/>
      <c r="X36" s="12"/>
      <c r="Y36" s="12"/>
    </row>
    <row r="37" customFormat="false" ht="41.25" hidden="false" customHeight="true" outlineLevel="0" collapsed="false">
      <c r="A37" s="12" t="s">
        <v>2787</v>
      </c>
      <c r="B37" s="5" t="s">
        <v>2788</v>
      </c>
      <c r="C37" s="12" t="s">
        <v>2787</v>
      </c>
      <c r="D37" s="12" t="s">
        <v>78</v>
      </c>
      <c r="E37" s="5" t="s">
        <v>2791</v>
      </c>
      <c r="F37" s="14"/>
      <c r="G37" s="14"/>
      <c r="H37" s="14" t="s">
        <v>87</v>
      </c>
      <c r="I37" s="14"/>
      <c r="J37" s="14"/>
      <c r="K37" s="14"/>
      <c r="L37" s="15"/>
      <c r="M37" s="12"/>
      <c r="N37" s="5"/>
      <c r="O37" s="12"/>
      <c r="P37" s="5" t="s">
        <v>2789</v>
      </c>
      <c r="Q37" s="12"/>
      <c r="R37" s="12"/>
      <c r="S37" s="5" t="s">
        <v>2790</v>
      </c>
      <c r="T37" s="5"/>
      <c r="U37" s="12" t="n">
        <v>0</v>
      </c>
      <c r="V37" s="12"/>
      <c r="W37" s="12"/>
      <c r="X37" s="12"/>
      <c r="Y37" s="12"/>
    </row>
    <row r="38" customFormat="false" ht="81.75" hidden="false" customHeight="true" outlineLevel="0" collapsed="false">
      <c r="A38" s="10" t="s">
        <v>2792</v>
      </c>
      <c r="B38" s="11" t="s">
        <v>2793</v>
      </c>
      <c r="C38" s="12"/>
      <c r="D38" s="12" t="s">
        <v>78</v>
      </c>
      <c r="E38" s="5" t="s">
        <v>79</v>
      </c>
      <c r="F38" s="12"/>
      <c r="G38" s="12"/>
      <c r="H38" s="13" t="str">
        <f aca="false">IF(OR(COUNTBLANK($H$39:$H$43)&gt;0,COUNTIF($H$39:$H$43,"unbearbeitet")=COUNTA($H$39:$H$43)),"Bitte Teilanforderungen ausfüllen",IF(COUNTIF($H$39:$H$43,"zu klären")&gt;0,"zu klären",IF(COUNTIF($H$39:$H$43,"entbehrlich")=COUNTA($H$39:$H$43),"entbehrlich",IF(COUNTIF($H$39:$H$43,"verwiesen")=COUNTA($H$39:$H$43),"verwiesen",IF(COUNTIF($H$39:$H$43,"nein")+COUNTIF($H$39:$H$43,"entbehrlich")=COUNTA($H$39:$H$43),"nein",IF(COUNTIF($H$39:$H$43,"ja")+COUNTIF($H$39:$H$43,"entbehrlich")+COUNTIF($H$39:$H$43,"verwiesen")=COUNTA($H$39:$H$43),"ja","teilweise"))))))</f>
        <v>Bitte Teilanforderungen ausfüllen</v>
      </c>
      <c r="I38" s="12"/>
      <c r="J38" s="12"/>
      <c r="K38" s="12"/>
      <c r="L38" s="12"/>
      <c r="M38" s="12"/>
      <c r="N38" s="5"/>
      <c r="O38" s="12"/>
      <c r="P38" s="5" t="s">
        <v>2794</v>
      </c>
      <c r="Q38" s="12"/>
      <c r="R38" s="12" t="s">
        <v>2795</v>
      </c>
      <c r="S38" s="5" t="s">
        <v>2796</v>
      </c>
      <c r="T38" s="5"/>
      <c r="U38" s="12" t="n">
        <v>0</v>
      </c>
      <c r="V38" s="12"/>
      <c r="W38" s="12"/>
      <c r="X38" s="12"/>
      <c r="Y38" s="12"/>
    </row>
    <row r="39" customFormat="false" ht="149.25" hidden="false" customHeight="true" outlineLevel="0" collapsed="false">
      <c r="A39" s="12" t="s">
        <v>2792</v>
      </c>
      <c r="B39" s="5" t="s">
        <v>2793</v>
      </c>
      <c r="C39" s="12" t="s">
        <v>2797</v>
      </c>
      <c r="D39" s="12" t="s">
        <v>78</v>
      </c>
      <c r="E39" s="5" t="s">
        <v>2798</v>
      </c>
      <c r="F39" s="14"/>
      <c r="G39" s="14"/>
      <c r="H39" s="14" t="s">
        <v>87</v>
      </c>
      <c r="I39" s="14"/>
      <c r="J39" s="14"/>
      <c r="K39" s="14"/>
      <c r="L39" s="15"/>
      <c r="M39" s="12"/>
      <c r="N39" s="5"/>
      <c r="O39" s="12"/>
      <c r="P39" s="5" t="s">
        <v>2799</v>
      </c>
      <c r="Q39" s="12"/>
      <c r="R39" s="12"/>
      <c r="S39" s="5" t="s">
        <v>2800</v>
      </c>
      <c r="T39" s="5"/>
      <c r="U39" s="12" t="n">
        <v>0</v>
      </c>
      <c r="V39" s="12"/>
      <c r="W39" s="12"/>
      <c r="X39" s="12"/>
      <c r="Y39" s="12"/>
    </row>
    <row r="40" customFormat="false" ht="81.75" hidden="false" customHeight="true" outlineLevel="0" collapsed="false">
      <c r="A40" s="12" t="s">
        <v>2792</v>
      </c>
      <c r="B40" s="5" t="s">
        <v>2793</v>
      </c>
      <c r="C40" s="12" t="s">
        <v>2801</v>
      </c>
      <c r="D40" s="12" t="s">
        <v>78</v>
      </c>
      <c r="E40" s="5" t="s">
        <v>2802</v>
      </c>
      <c r="F40" s="14"/>
      <c r="G40" s="14"/>
      <c r="H40" s="14" t="s">
        <v>87</v>
      </c>
      <c r="I40" s="14"/>
      <c r="J40" s="14"/>
      <c r="K40" s="14"/>
      <c r="L40" s="15"/>
      <c r="M40" s="12"/>
      <c r="N40" s="5"/>
      <c r="O40" s="12"/>
      <c r="P40" s="5" t="s">
        <v>2803</v>
      </c>
      <c r="Q40" s="12"/>
      <c r="R40" s="12" t="s">
        <v>2804</v>
      </c>
      <c r="S40" s="5" t="s">
        <v>2805</v>
      </c>
      <c r="T40" s="5"/>
      <c r="U40" s="12" t="n">
        <v>0</v>
      </c>
      <c r="V40" s="12"/>
      <c r="W40" s="12"/>
      <c r="X40" s="12"/>
      <c r="Y40" s="12"/>
    </row>
    <row r="41" customFormat="false" ht="41.25" hidden="false" customHeight="true" outlineLevel="0" collapsed="false">
      <c r="A41" s="12" t="s">
        <v>2792</v>
      </c>
      <c r="B41" s="5" t="s">
        <v>2793</v>
      </c>
      <c r="C41" s="12" t="s">
        <v>2806</v>
      </c>
      <c r="D41" s="12" t="s">
        <v>78</v>
      </c>
      <c r="E41" s="5" t="s">
        <v>2807</v>
      </c>
      <c r="F41" s="14"/>
      <c r="G41" s="14"/>
      <c r="H41" s="14" t="s">
        <v>87</v>
      </c>
      <c r="I41" s="14"/>
      <c r="J41" s="14"/>
      <c r="K41" s="14"/>
      <c r="L41" s="15"/>
      <c r="M41" s="12"/>
      <c r="N41" s="5"/>
      <c r="O41" s="12"/>
      <c r="P41" s="5" t="s">
        <v>2808</v>
      </c>
      <c r="Q41" s="12"/>
      <c r="R41" s="12" t="s">
        <v>100</v>
      </c>
      <c r="S41" s="5" t="s">
        <v>2809</v>
      </c>
      <c r="T41" s="5"/>
      <c r="U41" s="12" t="n">
        <v>0</v>
      </c>
      <c r="V41" s="12"/>
      <c r="W41" s="12"/>
      <c r="X41" s="12"/>
      <c r="Y41" s="12"/>
    </row>
    <row r="42" customFormat="false" ht="81.75" hidden="false" customHeight="true" outlineLevel="0" collapsed="false">
      <c r="A42" s="12" t="s">
        <v>2792</v>
      </c>
      <c r="B42" s="5" t="s">
        <v>2793</v>
      </c>
      <c r="C42" s="12" t="s">
        <v>2810</v>
      </c>
      <c r="D42" s="12" t="s">
        <v>78</v>
      </c>
      <c r="E42" s="5" t="s">
        <v>2811</v>
      </c>
      <c r="F42" s="14"/>
      <c r="G42" s="14"/>
      <c r="H42" s="14" t="s">
        <v>87</v>
      </c>
      <c r="I42" s="14"/>
      <c r="J42" s="14"/>
      <c r="K42" s="14"/>
      <c r="L42" s="15"/>
      <c r="M42" s="12"/>
      <c r="N42" s="5"/>
      <c r="O42" s="12"/>
      <c r="P42" s="5" t="s">
        <v>2812</v>
      </c>
      <c r="Q42" s="12"/>
      <c r="R42" s="12"/>
      <c r="S42" s="5" t="s">
        <v>2813</v>
      </c>
      <c r="T42" s="5"/>
      <c r="U42" s="12" t="n">
        <v>0</v>
      </c>
      <c r="V42" s="12"/>
      <c r="W42" s="12"/>
      <c r="X42" s="12"/>
      <c r="Y42" s="12"/>
    </row>
    <row r="43" customFormat="false" ht="54.75" hidden="false" customHeight="true" outlineLevel="0" collapsed="false">
      <c r="A43" s="12" t="s">
        <v>2792</v>
      </c>
      <c r="B43" s="5" t="s">
        <v>2793</v>
      </c>
      <c r="C43" s="12" t="s">
        <v>2814</v>
      </c>
      <c r="D43" s="12" t="s">
        <v>78</v>
      </c>
      <c r="E43" s="5" t="s">
        <v>2815</v>
      </c>
      <c r="F43" s="14"/>
      <c r="G43" s="14"/>
      <c r="H43" s="14" t="s">
        <v>87</v>
      </c>
      <c r="I43" s="14"/>
      <c r="J43" s="14"/>
      <c r="K43" s="14"/>
      <c r="L43" s="15"/>
      <c r="M43" s="12"/>
      <c r="N43" s="5"/>
      <c r="O43" s="12"/>
      <c r="P43" s="5" t="s">
        <v>2816</v>
      </c>
      <c r="Q43" s="12"/>
      <c r="R43" s="12" t="s">
        <v>2804</v>
      </c>
      <c r="S43" s="5" t="s">
        <v>2817</v>
      </c>
      <c r="T43" s="5"/>
      <c r="U43" s="12" t="n">
        <v>0</v>
      </c>
      <c r="V43" s="12"/>
      <c r="W43" s="12"/>
      <c r="X43" s="12"/>
      <c r="Y43" s="12"/>
    </row>
    <row r="44" customFormat="false" ht="54.75" hidden="false" customHeight="true" outlineLevel="0" collapsed="false">
      <c r="A44" s="10" t="s">
        <v>2818</v>
      </c>
      <c r="B44" s="11" t="s">
        <v>2819</v>
      </c>
      <c r="C44" s="12"/>
      <c r="D44" s="12" t="s">
        <v>78</v>
      </c>
      <c r="E44" s="5" t="s">
        <v>79</v>
      </c>
      <c r="F44" s="12"/>
      <c r="G44" s="12"/>
      <c r="H44" s="13" t="str">
        <f aca="false">IF(OR(COUNTBLANK($H$45:$H$46)&gt;0,COUNTIF($H$45:$H$46,"unbearbeitet")=COUNTA($H$45:$H$46)),"Bitte Teilanforderungen ausfüllen",IF(COUNTIF($H$45:$H$46,"zu klären")&gt;0,"zu klären",IF(COUNTIF($H$45:$H$46,"entbehrlich")=COUNTA($H$45:$H$46),"entbehrlich",IF(COUNTIF($H$45:$H$46,"verwiesen")=COUNTA($H$45:$H$46),"verwiesen",IF(COUNTIF($H$45:$H$46,"nein")+COUNTIF($H$45:$H$46,"entbehrlich")=COUNTA($H$45:$H$46),"nein",IF(COUNTIF($H$45:$H$46,"ja")+COUNTIF($H$45:$H$46,"entbehrlich")+COUNTIF($H$45:$H$46,"verwiesen")=COUNTA($H$45:$H$46),"ja","teilweise"))))))</f>
        <v>Bitte Teilanforderungen ausfüllen</v>
      </c>
      <c r="I44" s="12"/>
      <c r="J44" s="12"/>
      <c r="K44" s="12"/>
      <c r="L44" s="12"/>
      <c r="M44" s="12"/>
      <c r="N44" s="5"/>
      <c r="O44" s="12"/>
      <c r="P44" s="5" t="s">
        <v>2820</v>
      </c>
      <c r="Q44" s="12"/>
      <c r="R44" s="12" t="s">
        <v>2821</v>
      </c>
      <c r="S44" s="5" t="s">
        <v>2822</v>
      </c>
      <c r="T44" s="5"/>
      <c r="U44" s="12" t="n">
        <v>0</v>
      </c>
      <c r="V44" s="12"/>
      <c r="W44" s="12"/>
      <c r="X44" s="12"/>
      <c r="Y44" s="12"/>
    </row>
    <row r="45" customFormat="false" ht="41.25" hidden="false" customHeight="true" outlineLevel="0" collapsed="false">
      <c r="A45" s="12" t="s">
        <v>2818</v>
      </c>
      <c r="B45" s="5" t="s">
        <v>2819</v>
      </c>
      <c r="C45" s="12" t="s">
        <v>2823</v>
      </c>
      <c r="D45" s="12" t="s">
        <v>120</v>
      </c>
      <c r="E45" s="5" t="s">
        <v>2824</v>
      </c>
      <c r="F45" s="14"/>
      <c r="G45" s="14"/>
      <c r="H45" s="14" t="s">
        <v>87</v>
      </c>
      <c r="I45" s="14"/>
      <c r="J45" s="14"/>
      <c r="K45" s="14"/>
      <c r="L45" s="15"/>
      <c r="M45" s="12"/>
      <c r="N45" s="5"/>
      <c r="O45" s="12"/>
      <c r="P45" s="5" t="s">
        <v>2825</v>
      </c>
      <c r="Q45" s="12"/>
      <c r="R45" s="12"/>
      <c r="S45" s="5" t="s">
        <v>2826</v>
      </c>
      <c r="T45" s="5"/>
      <c r="U45" s="12" t="n">
        <v>4</v>
      </c>
      <c r="V45" s="12"/>
      <c r="W45" s="12"/>
      <c r="X45" s="12"/>
      <c r="Y45" s="12"/>
    </row>
    <row r="46" customFormat="false" ht="81.75" hidden="false" customHeight="true" outlineLevel="0" collapsed="false">
      <c r="A46" s="12" t="s">
        <v>2818</v>
      </c>
      <c r="B46" s="5" t="s">
        <v>2819</v>
      </c>
      <c r="C46" s="12" t="s">
        <v>2827</v>
      </c>
      <c r="D46" s="12" t="s">
        <v>78</v>
      </c>
      <c r="E46" s="5" t="s">
        <v>2828</v>
      </c>
      <c r="F46" s="14"/>
      <c r="G46" s="14"/>
      <c r="H46" s="14" t="s">
        <v>87</v>
      </c>
      <c r="I46" s="14"/>
      <c r="J46" s="14"/>
      <c r="K46" s="14"/>
      <c r="L46" s="15"/>
      <c r="M46" s="12"/>
      <c r="N46" s="5"/>
      <c r="O46" s="12"/>
      <c r="P46" s="5" t="s">
        <v>2829</v>
      </c>
      <c r="Q46" s="12"/>
      <c r="R46" s="12"/>
      <c r="S46" s="5" t="s">
        <v>2830</v>
      </c>
      <c r="T46" s="5"/>
      <c r="U46" s="12" t="n">
        <v>0</v>
      </c>
      <c r="V46" s="12"/>
      <c r="W46" s="12"/>
      <c r="X46" s="12"/>
      <c r="Y46" s="12"/>
    </row>
    <row r="47" customFormat="false" ht="135.75" hidden="false" customHeight="true" outlineLevel="0" collapsed="false">
      <c r="A47" s="10" t="s">
        <v>2831</v>
      </c>
      <c r="B47" s="11" t="s">
        <v>2832</v>
      </c>
      <c r="C47" s="12"/>
      <c r="D47" s="12" t="s">
        <v>78</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2833</v>
      </c>
      <c r="Q47" s="12"/>
      <c r="R47" s="12" t="s">
        <v>2834</v>
      </c>
      <c r="S47" s="5" t="s">
        <v>2835</v>
      </c>
      <c r="T47" s="5"/>
      <c r="U47" s="12" t="n">
        <v>0</v>
      </c>
      <c r="V47" s="12"/>
      <c r="W47" s="12"/>
      <c r="X47" s="12"/>
      <c r="Y47" s="12"/>
    </row>
    <row r="48" customFormat="false" ht="135.75" hidden="false" customHeight="true" outlineLevel="0" collapsed="false">
      <c r="A48" s="12" t="s">
        <v>2831</v>
      </c>
      <c r="B48" s="5" t="s">
        <v>2832</v>
      </c>
      <c r="C48" s="12" t="s">
        <v>2831</v>
      </c>
      <c r="D48" s="12" t="s">
        <v>78</v>
      </c>
      <c r="E48" s="5" t="s">
        <v>2836</v>
      </c>
      <c r="F48" s="14"/>
      <c r="G48" s="14"/>
      <c r="H48" s="14" t="s">
        <v>87</v>
      </c>
      <c r="I48" s="14"/>
      <c r="J48" s="14"/>
      <c r="K48" s="14"/>
      <c r="L48" s="15"/>
      <c r="M48" s="12"/>
      <c r="N48" s="5"/>
      <c r="O48" s="12"/>
      <c r="P48" s="5" t="s">
        <v>2833</v>
      </c>
      <c r="Q48" s="12"/>
      <c r="R48" s="12" t="s">
        <v>2834</v>
      </c>
      <c r="S48" s="5" t="s">
        <v>2835</v>
      </c>
      <c r="T48" s="5"/>
      <c r="U48" s="12" t="n">
        <v>0</v>
      </c>
      <c r="V48" s="12"/>
      <c r="W48" s="12"/>
      <c r="X48" s="12"/>
      <c r="Y48" s="12"/>
    </row>
    <row r="49" customFormat="false" ht="81.75" hidden="false" customHeight="true" outlineLevel="0" collapsed="false">
      <c r="A49" s="10" t="s">
        <v>2837</v>
      </c>
      <c r="B49" s="11" t="s">
        <v>2838</v>
      </c>
      <c r="C49" s="12"/>
      <c r="D49" s="12" t="s">
        <v>78</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c r="N49" s="5"/>
      <c r="O49" s="12"/>
      <c r="P49" s="5" t="s">
        <v>2839</v>
      </c>
      <c r="Q49" s="12"/>
      <c r="R49" s="12" t="s">
        <v>2840</v>
      </c>
      <c r="S49" s="5" t="s">
        <v>2841</v>
      </c>
      <c r="T49" s="5"/>
      <c r="U49" s="12" t="n">
        <v>0</v>
      </c>
      <c r="V49" s="12"/>
      <c r="W49" s="12"/>
      <c r="X49" s="12"/>
      <c r="Y49" s="12"/>
    </row>
    <row r="50" customFormat="false" ht="81.75" hidden="false" customHeight="true" outlineLevel="0" collapsed="false">
      <c r="A50" s="12" t="s">
        <v>2837</v>
      </c>
      <c r="B50" s="5" t="s">
        <v>2838</v>
      </c>
      <c r="C50" s="12" t="s">
        <v>2837</v>
      </c>
      <c r="D50" s="12" t="s">
        <v>78</v>
      </c>
      <c r="E50" s="5" t="s">
        <v>2842</v>
      </c>
      <c r="F50" s="14"/>
      <c r="G50" s="14"/>
      <c r="H50" s="14" t="s">
        <v>87</v>
      </c>
      <c r="I50" s="14"/>
      <c r="J50" s="14"/>
      <c r="K50" s="14"/>
      <c r="L50" s="15"/>
      <c r="M50" s="12"/>
      <c r="N50" s="5"/>
      <c r="O50" s="12"/>
      <c r="P50" s="5" t="s">
        <v>2839</v>
      </c>
      <c r="Q50" s="12"/>
      <c r="R50" s="12" t="s">
        <v>2840</v>
      </c>
      <c r="S50" s="5" t="s">
        <v>2841</v>
      </c>
      <c r="T50" s="5"/>
      <c r="U50" s="12" t="n">
        <v>0</v>
      </c>
      <c r="V50" s="12"/>
      <c r="W50" s="12"/>
      <c r="X50" s="12"/>
      <c r="Y50" s="12"/>
    </row>
  </sheetData>
  <autoFilter ref="A6:Y6"/>
  <conditionalFormatting sqref="H7:H50">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H19 H21 H23 H25:H28 H30 H32:H33 H35 H37 H39:H43 H45:H46 H48 H50"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594</v>
      </c>
      <c r="B3" s="7" t="s">
        <v>595</v>
      </c>
    </row>
    <row r="4" customFormat="false" ht="15" hidden="false" customHeight="true" outlineLevel="0" collapsed="false">
      <c r="A4" s="4" t="s">
        <v>50</v>
      </c>
      <c r="B4" s="8" t="str">
        <f aca="false">IF(Praktiken!D13="","",Praktiken!D13)</f>
        <v/>
      </c>
    </row>
    <row r="5" customFormat="false" ht="15" hidden="false" customHeight="true" outlineLevel="0" collapsed="false">
      <c r="A5" s="4" t="s">
        <v>51</v>
      </c>
      <c r="B5" s="8" t="str">
        <f aca="false">IF(Praktiken!S13="","",Praktiken!S13)</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81.75" hidden="false" customHeight="true" outlineLevel="0" collapsed="false">
      <c r="A7" s="10" t="s">
        <v>2843</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t="s">
        <v>74</v>
      </c>
      <c r="N7" s="5" t="s">
        <v>2844</v>
      </c>
      <c r="O7" s="12" t="s">
        <v>524</v>
      </c>
      <c r="P7" s="5" t="s">
        <v>2845</v>
      </c>
      <c r="Q7" s="12" t="s">
        <v>910</v>
      </c>
      <c r="R7" s="12" t="s">
        <v>2846</v>
      </c>
      <c r="S7" s="5" t="s">
        <v>2847</v>
      </c>
      <c r="T7" s="5" t="s">
        <v>306</v>
      </c>
      <c r="U7" s="12" t="n">
        <v>0</v>
      </c>
      <c r="V7" s="12" t="n">
        <v>1</v>
      </c>
      <c r="W7" s="12" t="n">
        <v>1</v>
      </c>
      <c r="X7" s="12" t="n">
        <v>2</v>
      </c>
      <c r="Y7" s="12" t="n">
        <v>0</v>
      </c>
    </row>
    <row r="8" customFormat="false" ht="216" hidden="false" customHeight="true" outlineLevel="0" collapsed="false">
      <c r="A8" s="12" t="s">
        <v>2843</v>
      </c>
      <c r="B8" s="5" t="s">
        <v>77</v>
      </c>
      <c r="C8" s="12" t="s">
        <v>2848</v>
      </c>
      <c r="D8" s="12" t="s">
        <v>78</v>
      </c>
      <c r="E8" s="5" t="s">
        <v>2849</v>
      </c>
      <c r="F8" s="14"/>
      <c r="G8" s="14"/>
      <c r="H8" s="14" t="s">
        <v>87</v>
      </c>
      <c r="I8" s="14"/>
      <c r="J8" s="14"/>
      <c r="K8" s="14"/>
      <c r="L8" s="15"/>
      <c r="M8" s="12" t="s">
        <v>73</v>
      </c>
      <c r="N8" s="5"/>
      <c r="O8" s="12"/>
      <c r="P8" s="5" t="s">
        <v>624</v>
      </c>
      <c r="Q8" s="12" t="s">
        <v>910</v>
      </c>
      <c r="R8" s="12" t="s">
        <v>92</v>
      </c>
      <c r="S8" s="5" t="s">
        <v>93</v>
      </c>
      <c r="T8" s="5" t="s">
        <v>625</v>
      </c>
      <c r="U8" s="12" t="n">
        <v>0</v>
      </c>
      <c r="V8" s="12" t="n">
        <v>1</v>
      </c>
      <c r="W8" s="12" t="n">
        <v>2</v>
      </c>
      <c r="X8" s="12" t="n">
        <v>1</v>
      </c>
      <c r="Y8" s="12" t="n">
        <v>1</v>
      </c>
    </row>
    <row r="9" customFormat="false" ht="336.75" hidden="false" customHeight="true" outlineLevel="0" collapsed="false">
      <c r="A9" s="12" t="s">
        <v>2843</v>
      </c>
      <c r="B9" s="5" t="s">
        <v>77</v>
      </c>
      <c r="C9" s="12" t="s">
        <v>2850</v>
      </c>
      <c r="D9" s="12" t="s">
        <v>78</v>
      </c>
      <c r="E9" s="5" t="s">
        <v>2851</v>
      </c>
      <c r="F9" s="14"/>
      <c r="G9" s="14"/>
      <c r="H9" s="14" t="s">
        <v>87</v>
      </c>
      <c r="I9" s="14"/>
      <c r="J9" s="14"/>
      <c r="K9" s="14"/>
      <c r="L9" s="15"/>
      <c r="M9" s="12"/>
      <c r="N9" s="5"/>
      <c r="O9" s="12"/>
      <c r="P9" s="5" t="s">
        <v>99</v>
      </c>
      <c r="Q9" s="12" t="s">
        <v>910</v>
      </c>
      <c r="R9" s="12" t="s">
        <v>100</v>
      </c>
      <c r="S9" s="5" t="s">
        <v>101</v>
      </c>
      <c r="T9" s="5" t="s">
        <v>102</v>
      </c>
      <c r="U9" s="12" t="n">
        <v>0</v>
      </c>
      <c r="V9" s="12" t="n">
        <v>1</v>
      </c>
      <c r="W9" s="12" t="n">
        <v>1</v>
      </c>
      <c r="X9" s="12" t="n">
        <v>1</v>
      </c>
      <c r="Y9" s="12" t="n">
        <v>0</v>
      </c>
    </row>
    <row r="10" customFormat="false" ht="175.5" hidden="false" customHeight="true" outlineLevel="0" collapsed="false">
      <c r="A10" s="12" t="s">
        <v>2843</v>
      </c>
      <c r="B10" s="5" t="s">
        <v>77</v>
      </c>
      <c r="C10" s="12" t="s">
        <v>2852</v>
      </c>
      <c r="D10" s="12" t="s">
        <v>78</v>
      </c>
      <c r="E10" s="5" t="s">
        <v>2853</v>
      </c>
      <c r="F10" s="14"/>
      <c r="G10" s="14"/>
      <c r="H10" s="14" t="s">
        <v>87</v>
      </c>
      <c r="I10" s="14"/>
      <c r="J10" s="14"/>
      <c r="K10" s="14"/>
      <c r="L10" s="15"/>
      <c r="M10" s="12" t="s">
        <v>73</v>
      </c>
      <c r="N10" s="5"/>
      <c r="O10" s="12"/>
      <c r="P10" s="5" t="s">
        <v>631</v>
      </c>
      <c r="Q10" s="12" t="s">
        <v>910</v>
      </c>
      <c r="R10" s="12" t="s">
        <v>92</v>
      </c>
      <c r="S10" s="5" t="s">
        <v>108</v>
      </c>
      <c r="T10" s="5" t="s">
        <v>102</v>
      </c>
      <c r="U10" s="12" t="n">
        <v>0</v>
      </c>
      <c r="V10" s="12" t="n">
        <v>1</v>
      </c>
      <c r="W10" s="12" t="n">
        <v>2</v>
      </c>
      <c r="X10" s="12" t="n">
        <v>1</v>
      </c>
      <c r="Y10" s="12" t="n">
        <v>0</v>
      </c>
    </row>
    <row r="11" customFormat="false" ht="189" hidden="false" customHeight="true" outlineLevel="0" collapsed="false">
      <c r="A11" s="10" t="s">
        <v>2854</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2855</v>
      </c>
      <c r="Q11" s="12" t="s">
        <v>910</v>
      </c>
      <c r="R11" s="12" t="s">
        <v>115</v>
      </c>
      <c r="S11" s="5" t="s">
        <v>93</v>
      </c>
      <c r="T11" s="5" t="s">
        <v>306</v>
      </c>
      <c r="U11" s="12" t="n">
        <v>0</v>
      </c>
      <c r="V11" s="12" t="n">
        <v>1</v>
      </c>
      <c r="W11" s="12" t="n">
        <v>1</v>
      </c>
      <c r="X11" s="12" t="n">
        <v>1</v>
      </c>
      <c r="Y11" s="12" t="n">
        <v>0</v>
      </c>
    </row>
    <row r="12" customFormat="false" ht="189" hidden="false" customHeight="true" outlineLevel="0" collapsed="false">
      <c r="A12" s="12" t="s">
        <v>2854</v>
      </c>
      <c r="B12" s="5" t="s">
        <v>111</v>
      </c>
      <c r="C12" s="12" t="s">
        <v>2854</v>
      </c>
      <c r="D12" s="12" t="s">
        <v>78</v>
      </c>
      <c r="E12" s="5" t="s">
        <v>2856</v>
      </c>
      <c r="F12" s="14"/>
      <c r="G12" s="14"/>
      <c r="H12" s="14" t="s">
        <v>87</v>
      </c>
      <c r="I12" s="14"/>
      <c r="J12" s="14"/>
      <c r="K12" s="14"/>
      <c r="L12" s="15"/>
      <c r="M12" s="12"/>
      <c r="N12" s="5"/>
      <c r="O12" s="12"/>
      <c r="P12" s="5" t="s">
        <v>2855</v>
      </c>
      <c r="Q12" s="12" t="s">
        <v>910</v>
      </c>
      <c r="R12" s="12" t="s">
        <v>115</v>
      </c>
      <c r="S12" s="5" t="s">
        <v>93</v>
      </c>
      <c r="T12" s="5" t="s">
        <v>306</v>
      </c>
      <c r="U12" s="12" t="n">
        <v>0</v>
      </c>
      <c r="V12" s="12" t="n">
        <v>1</v>
      </c>
      <c r="W12" s="12" t="n">
        <v>1</v>
      </c>
      <c r="X12" s="12" t="n">
        <v>1</v>
      </c>
      <c r="Y12" s="12" t="n">
        <v>0</v>
      </c>
    </row>
    <row r="13" customFormat="false" ht="404.25" hidden="false" customHeight="true" outlineLevel="0" collapsed="false">
      <c r="A13" s="10" t="s">
        <v>2857</v>
      </c>
      <c r="B13" s="11" t="s">
        <v>2858</v>
      </c>
      <c r="C13" s="12"/>
      <c r="D13" s="12" t="s">
        <v>120</v>
      </c>
      <c r="E13" s="5" t="s">
        <v>79</v>
      </c>
      <c r="F13" s="12"/>
      <c r="G13" s="12"/>
      <c r="H13" s="13" t="str">
        <f aca="false">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2"/>
      <c r="J13" s="12"/>
      <c r="K13" s="12"/>
      <c r="L13" s="12"/>
      <c r="M13" s="12" t="s">
        <v>74</v>
      </c>
      <c r="N13" s="5"/>
      <c r="O13" s="12"/>
      <c r="P13" s="5" t="s">
        <v>2859</v>
      </c>
      <c r="Q13" s="12" t="s">
        <v>910</v>
      </c>
      <c r="R13" s="12" t="s">
        <v>2846</v>
      </c>
      <c r="S13" s="5" t="s">
        <v>2860</v>
      </c>
      <c r="T13" s="5" t="s">
        <v>109</v>
      </c>
      <c r="U13" s="12" t="n">
        <v>2</v>
      </c>
      <c r="V13" s="12" t="n">
        <v>1</v>
      </c>
      <c r="W13" s="12" t="n">
        <v>1</v>
      </c>
      <c r="X13" s="12" t="n">
        <v>2</v>
      </c>
      <c r="Y13" s="12" t="n">
        <v>0</v>
      </c>
    </row>
    <row r="14" customFormat="false" ht="404.25" hidden="false" customHeight="true" outlineLevel="0" collapsed="false">
      <c r="A14" s="12" t="s">
        <v>2857</v>
      </c>
      <c r="B14" s="5" t="s">
        <v>2858</v>
      </c>
      <c r="C14" s="12" t="s">
        <v>2857</v>
      </c>
      <c r="D14" s="12" t="s">
        <v>120</v>
      </c>
      <c r="E14" s="5" t="s">
        <v>2861</v>
      </c>
      <c r="F14" s="14"/>
      <c r="G14" s="14"/>
      <c r="H14" s="14" t="s">
        <v>87</v>
      </c>
      <c r="I14" s="14"/>
      <c r="J14" s="14"/>
      <c r="K14" s="14"/>
      <c r="L14" s="15"/>
      <c r="M14" s="12" t="s">
        <v>74</v>
      </c>
      <c r="N14" s="5"/>
      <c r="O14" s="12"/>
      <c r="P14" s="5" t="s">
        <v>2859</v>
      </c>
      <c r="Q14" s="12" t="s">
        <v>910</v>
      </c>
      <c r="R14" s="12" t="s">
        <v>2846</v>
      </c>
      <c r="S14" s="5" t="s">
        <v>2860</v>
      </c>
      <c r="T14" s="5" t="s">
        <v>109</v>
      </c>
      <c r="U14" s="12" t="n">
        <v>2</v>
      </c>
      <c r="V14" s="12" t="n">
        <v>1</v>
      </c>
      <c r="W14" s="12" t="n">
        <v>1</v>
      </c>
      <c r="X14" s="12" t="n">
        <v>2</v>
      </c>
      <c r="Y14" s="12" t="n">
        <v>0</v>
      </c>
    </row>
    <row r="15" customFormat="false" ht="149.25" hidden="false" customHeight="true" outlineLevel="0" collapsed="false">
      <c r="A15" s="12" t="s">
        <v>2857</v>
      </c>
      <c r="B15" s="5" t="s">
        <v>2858</v>
      </c>
      <c r="C15" s="12" t="s">
        <v>2862</v>
      </c>
      <c r="D15" s="12" t="s">
        <v>120</v>
      </c>
      <c r="E15" s="5" t="s">
        <v>2863</v>
      </c>
      <c r="F15" s="14"/>
      <c r="G15" s="14"/>
      <c r="H15" s="14" t="s">
        <v>87</v>
      </c>
      <c r="I15" s="14"/>
      <c r="J15" s="14"/>
      <c r="K15" s="14"/>
      <c r="L15" s="15"/>
      <c r="M15" s="12"/>
      <c r="N15" s="5"/>
      <c r="O15" s="12"/>
      <c r="P15" s="5" t="s">
        <v>2864</v>
      </c>
      <c r="Q15" s="12" t="s">
        <v>910</v>
      </c>
      <c r="R15" s="12" t="s">
        <v>2846</v>
      </c>
      <c r="S15" s="5" t="s">
        <v>910</v>
      </c>
      <c r="T15" s="5" t="s">
        <v>1791</v>
      </c>
      <c r="U15" s="12" t="n">
        <v>3</v>
      </c>
      <c r="V15" s="12" t="n">
        <v>1</v>
      </c>
      <c r="W15" s="12" t="n">
        <v>1</v>
      </c>
      <c r="X15" s="12" t="n">
        <v>1</v>
      </c>
      <c r="Y15" s="12" t="n">
        <v>0</v>
      </c>
    </row>
    <row r="16" customFormat="false" ht="135.75" hidden="false" customHeight="true" outlineLevel="0" collapsed="false">
      <c r="A16" s="10" t="s">
        <v>2865</v>
      </c>
      <c r="B16" s="11" t="s">
        <v>2866</v>
      </c>
      <c r="C16" s="12"/>
      <c r="D16" s="12" t="s">
        <v>120</v>
      </c>
      <c r="E16" s="5" t="s">
        <v>79</v>
      </c>
      <c r="F16" s="12"/>
      <c r="G16" s="12"/>
      <c r="H16" s="13" t="str">
        <f aca="false">IF(OR(COUNTBLANK($H$17:$H$17)&gt;0,COUNTIF($H$17:$H$17,"unbearbeitet")=COUNTA($H$17:$H$17)),"Bitte Teilanforderungen ausfüllen",IF(COUNTIF($H$17:$H$17,"zu klären")&gt;0,"zu klären",IF(COUNTIF($H$17:$H$17,"entbehrlich")=COUNTA($H$17:$H$17),"entbehrlich",IF(COUNTIF($H$17:$H$17,"verwiesen")=COUNTA($H$17:$H$17),"verwiesen",IF(COUNTIF($H$17:$H$17,"nein")+COUNTIF($H$17:$H$17,"entbehrlich")=COUNTA($H$17:$H$17),"nein",IF(COUNTIF($H$17:$H$17,"ja")+COUNTIF($H$17:$H$17,"entbehrlich")+COUNTIF($H$17:$H$17,"verwiesen")=COUNTA($H$17:$H$17),"ja","teilweise"))))))</f>
        <v>Bitte Teilanforderungen ausfüllen</v>
      </c>
      <c r="I16" s="12"/>
      <c r="J16" s="12"/>
      <c r="K16" s="12"/>
      <c r="L16" s="12"/>
      <c r="M16" s="12"/>
      <c r="N16" s="5"/>
      <c r="O16" s="12"/>
      <c r="P16" s="5" t="s">
        <v>2867</v>
      </c>
      <c r="Q16" s="12" t="s">
        <v>910</v>
      </c>
      <c r="R16" s="12" t="s">
        <v>2868</v>
      </c>
      <c r="S16" s="5" t="s">
        <v>2869</v>
      </c>
      <c r="T16" s="5" t="s">
        <v>306</v>
      </c>
      <c r="U16" s="12" t="n">
        <v>3</v>
      </c>
      <c r="V16" s="12" t="n">
        <v>1</v>
      </c>
      <c r="W16" s="12" t="n">
        <v>1</v>
      </c>
      <c r="X16" s="12" t="n">
        <v>1</v>
      </c>
      <c r="Y16" s="12" t="n">
        <v>0</v>
      </c>
    </row>
    <row r="17" customFormat="false" ht="135.75" hidden="false" customHeight="true" outlineLevel="0" collapsed="false">
      <c r="A17" s="12" t="s">
        <v>2865</v>
      </c>
      <c r="B17" s="5" t="s">
        <v>2866</v>
      </c>
      <c r="C17" s="12" t="s">
        <v>2865</v>
      </c>
      <c r="D17" s="12" t="s">
        <v>120</v>
      </c>
      <c r="E17" s="5" t="s">
        <v>2870</v>
      </c>
      <c r="F17" s="14"/>
      <c r="G17" s="14"/>
      <c r="H17" s="14" t="s">
        <v>87</v>
      </c>
      <c r="I17" s="14"/>
      <c r="J17" s="14"/>
      <c r="K17" s="14"/>
      <c r="L17" s="15"/>
      <c r="M17" s="12"/>
      <c r="N17" s="5"/>
      <c r="O17" s="12"/>
      <c r="P17" s="5" t="s">
        <v>2867</v>
      </c>
      <c r="Q17" s="12" t="s">
        <v>910</v>
      </c>
      <c r="R17" s="12" t="s">
        <v>2868</v>
      </c>
      <c r="S17" s="5" t="s">
        <v>2869</v>
      </c>
      <c r="T17" s="5" t="s">
        <v>306</v>
      </c>
      <c r="U17" s="12" t="n">
        <v>3</v>
      </c>
      <c r="V17" s="12" t="n">
        <v>1</v>
      </c>
      <c r="W17" s="12" t="n">
        <v>1</v>
      </c>
      <c r="X17" s="12" t="n">
        <v>1</v>
      </c>
      <c r="Y17" s="12" t="n">
        <v>0</v>
      </c>
    </row>
    <row r="18" customFormat="false" ht="95.25" hidden="false" customHeight="true" outlineLevel="0" collapsed="false">
      <c r="A18" s="10" t="s">
        <v>2871</v>
      </c>
      <c r="B18" s="11" t="s">
        <v>2872</v>
      </c>
      <c r="C18" s="12"/>
      <c r="D18" s="12" t="s">
        <v>120</v>
      </c>
      <c r="E18" s="5" t="s">
        <v>79</v>
      </c>
      <c r="F18" s="12"/>
      <c r="G18" s="12"/>
      <c r="H18" s="13" t="str">
        <f aca="false">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Bitte Teilanforderungen ausfüllen</v>
      </c>
      <c r="I18" s="12"/>
      <c r="J18" s="12"/>
      <c r="K18" s="12"/>
      <c r="L18" s="12"/>
      <c r="M18" s="12"/>
      <c r="N18" s="5"/>
      <c r="O18" s="12"/>
      <c r="P18" s="5" t="s">
        <v>2873</v>
      </c>
      <c r="Q18" s="12" t="s">
        <v>910</v>
      </c>
      <c r="R18" s="12" t="s">
        <v>2868</v>
      </c>
      <c r="S18" s="5" t="s">
        <v>2872</v>
      </c>
      <c r="T18" s="5" t="s">
        <v>306</v>
      </c>
      <c r="U18" s="12" t="n">
        <v>3</v>
      </c>
      <c r="V18" s="12" t="n">
        <v>1</v>
      </c>
      <c r="W18" s="12" t="n">
        <v>1</v>
      </c>
      <c r="X18" s="12" t="n">
        <v>1</v>
      </c>
      <c r="Y18" s="12" t="n">
        <v>0</v>
      </c>
    </row>
    <row r="19" customFormat="false" ht="95.25" hidden="false" customHeight="true" outlineLevel="0" collapsed="false">
      <c r="A19" s="12" t="s">
        <v>2871</v>
      </c>
      <c r="B19" s="5" t="s">
        <v>2872</v>
      </c>
      <c r="C19" s="12" t="s">
        <v>2871</v>
      </c>
      <c r="D19" s="12" t="s">
        <v>120</v>
      </c>
      <c r="E19" s="5" t="s">
        <v>2874</v>
      </c>
      <c r="F19" s="14"/>
      <c r="G19" s="14"/>
      <c r="H19" s="14" t="s">
        <v>87</v>
      </c>
      <c r="I19" s="14"/>
      <c r="J19" s="14"/>
      <c r="K19" s="14"/>
      <c r="L19" s="15"/>
      <c r="M19" s="12"/>
      <c r="N19" s="5"/>
      <c r="O19" s="12"/>
      <c r="P19" s="5" t="s">
        <v>2873</v>
      </c>
      <c r="Q19" s="12" t="s">
        <v>910</v>
      </c>
      <c r="R19" s="12" t="s">
        <v>2868</v>
      </c>
      <c r="S19" s="5" t="s">
        <v>2872</v>
      </c>
      <c r="T19" s="5" t="s">
        <v>306</v>
      </c>
      <c r="U19" s="12" t="n">
        <v>3</v>
      </c>
      <c r="V19" s="12" t="n">
        <v>1</v>
      </c>
      <c r="W19" s="12" t="n">
        <v>1</v>
      </c>
      <c r="X19" s="12" t="n">
        <v>1</v>
      </c>
      <c r="Y19" s="12" t="n">
        <v>0</v>
      </c>
    </row>
    <row r="20" customFormat="false" ht="363.75" hidden="false" customHeight="true" outlineLevel="0" collapsed="false">
      <c r="A20" s="10" t="s">
        <v>2875</v>
      </c>
      <c r="B20" s="11" t="s">
        <v>2876</v>
      </c>
      <c r="C20" s="12"/>
      <c r="D20" s="12" t="s">
        <v>120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t="s">
        <v>73</v>
      </c>
      <c r="N20" s="5"/>
      <c r="O20" s="12"/>
      <c r="P20" s="5" t="s">
        <v>2877</v>
      </c>
      <c r="Q20" s="12" t="s">
        <v>910</v>
      </c>
      <c r="R20" s="12" t="s">
        <v>2868</v>
      </c>
      <c r="S20" s="5" t="s">
        <v>2878</v>
      </c>
      <c r="T20" s="5" t="s">
        <v>2879</v>
      </c>
      <c r="U20" s="12" t="n">
        <v>2</v>
      </c>
      <c r="V20" s="12" t="n">
        <v>1</v>
      </c>
      <c r="W20" s="12" t="n">
        <v>2</v>
      </c>
      <c r="X20" s="12" t="n">
        <v>1</v>
      </c>
      <c r="Y20" s="12" t="n">
        <v>0</v>
      </c>
    </row>
    <row r="21" customFormat="false" ht="363.75" hidden="false" customHeight="true" outlineLevel="0" collapsed="false">
      <c r="A21" s="12" t="s">
        <v>2875</v>
      </c>
      <c r="B21" s="5" t="s">
        <v>2876</v>
      </c>
      <c r="C21" s="12" t="s">
        <v>2875</v>
      </c>
      <c r="D21" s="12" t="s">
        <v>120</v>
      </c>
      <c r="E21" s="5" t="s">
        <v>2880</v>
      </c>
      <c r="F21" s="14"/>
      <c r="G21" s="14"/>
      <c r="H21" s="14" t="s">
        <v>87</v>
      </c>
      <c r="I21" s="14"/>
      <c r="J21" s="14"/>
      <c r="K21" s="14"/>
      <c r="L21" s="15"/>
      <c r="M21" s="12" t="s">
        <v>73</v>
      </c>
      <c r="N21" s="5"/>
      <c r="O21" s="12"/>
      <c r="P21" s="5" t="s">
        <v>2877</v>
      </c>
      <c r="Q21" s="12" t="s">
        <v>910</v>
      </c>
      <c r="R21" s="12" t="s">
        <v>2868</v>
      </c>
      <c r="S21" s="5" t="s">
        <v>2878</v>
      </c>
      <c r="T21" s="5" t="s">
        <v>2879</v>
      </c>
      <c r="U21" s="12" t="n">
        <v>2</v>
      </c>
      <c r="V21" s="12" t="n">
        <v>1</v>
      </c>
      <c r="W21" s="12" t="n">
        <v>2</v>
      </c>
      <c r="X21" s="12" t="n">
        <v>1</v>
      </c>
      <c r="Y21" s="12" t="n">
        <v>0</v>
      </c>
    </row>
    <row r="22" customFormat="false" ht="122.25" hidden="false" customHeight="true" outlineLevel="0" collapsed="false">
      <c r="A22" s="10" t="s">
        <v>2881</v>
      </c>
      <c r="B22" s="11" t="s">
        <v>2882</v>
      </c>
      <c r="C22" s="12"/>
      <c r="D22" s="12" t="s">
        <v>120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t="s">
        <v>73</v>
      </c>
      <c r="N22" s="5"/>
      <c r="O22" s="12"/>
      <c r="P22" s="5" t="s">
        <v>2883</v>
      </c>
      <c r="Q22" s="12" t="s">
        <v>2884</v>
      </c>
      <c r="R22" s="12" t="s">
        <v>2868</v>
      </c>
      <c r="S22" s="5" t="s">
        <v>2885</v>
      </c>
      <c r="T22" s="5" t="s">
        <v>2879</v>
      </c>
      <c r="U22" s="12" t="n">
        <v>4</v>
      </c>
      <c r="V22" s="12" t="n">
        <v>1</v>
      </c>
      <c r="W22" s="12" t="n">
        <v>2</v>
      </c>
      <c r="X22" s="12" t="n">
        <v>1</v>
      </c>
      <c r="Y22" s="12" t="n">
        <v>0</v>
      </c>
    </row>
    <row r="23" customFormat="false" ht="122.25" hidden="false" customHeight="true" outlineLevel="0" collapsed="false">
      <c r="A23" s="12" t="s">
        <v>2881</v>
      </c>
      <c r="B23" s="5" t="s">
        <v>2882</v>
      </c>
      <c r="C23" s="12" t="s">
        <v>2881</v>
      </c>
      <c r="D23" s="12" t="s">
        <v>120</v>
      </c>
      <c r="E23" s="5" t="s">
        <v>2886</v>
      </c>
      <c r="F23" s="14"/>
      <c r="G23" s="14"/>
      <c r="H23" s="14" t="s">
        <v>87</v>
      </c>
      <c r="I23" s="14"/>
      <c r="J23" s="14"/>
      <c r="K23" s="14"/>
      <c r="L23" s="15"/>
      <c r="M23" s="12" t="s">
        <v>73</v>
      </c>
      <c r="N23" s="5"/>
      <c r="O23" s="12"/>
      <c r="P23" s="5" t="s">
        <v>2883</v>
      </c>
      <c r="Q23" s="12" t="s">
        <v>2884</v>
      </c>
      <c r="R23" s="12" t="s">
        <v>2868</v>
      </c>
      <c r="S23" s="5" t="s">
        <v>2885</v>
      </c>
      <c r="T23" s="5" t="s">
        <v>2879</v>
      </c>
      <c r="U23" s="12" t="n">
        <v>4</v>
      </c>
      <c r="V23" s="12" t="n">
        <v>1</v>
      </c>
      <c r="W23" s="12" t="n">
        <v>2</v>
      </c>
      <c r="X23" s="12" t="n">
        <v>1</v>
      </c>
      <c r="Y23" s="12" t="n">
        <v>0</v>
      </c>
    </row>
    <row r="24" customFormat="false" ht="243" hidden="false" customHeight="true" outlineLevel="0" collapsed="false">
      <c r="A24" s="10" t="s">
        <v>2887</v>
      </c>
      <c r="B24" s="11" t="s">
        <v>2888</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72</v>
      </c>
      <c r="N24" s="5"/>
      <c r="O24" s="12"/>
      <c r="P24" s="5" t="s">
        <v>2889</v>
      </c>
      <c r="Q24" s="12" t="s">
        <v>910</v>
      </c>
      <c r="R24" s="12" t="s">
        <v>1768</v>
      </c>
      <c r="S24" s="5" t="s">
        <v>2890</v>
      </c>
      <c r="T24" s="5" t="s">
        <v>2891</v>
      </c>
      <c r="U24" s="12" t="n">
        <v>4</v>
      </c>
      <c r="V24" s="12" t="n">
        <v>2</v>
      </c>
      <c r="W24" s="12" t="n">
        <v>1</v>
      </c>
      <c r="X24" s="12" t="n">
        <v>1</v>
      </c>
      <c r="Y24" s="12" t="n">
        <v>0</v>
      </c>
    </row>
    <row r="25" customFormat="false" ht="243" hidden="false" customHeight="true" outlineLevel="0" collapsed="false">
      <c r="A25" s="12" t="s">
        <v>2887</v>
      </c>
      <c r="B25" s="5" t="s">
        <v>2888</v>
      </c>
      <c r="C25" s="12" t="s">
        <v>2887</v>
      </c>
      <c r="D25" s="12" t="s">
        <v>120</v>
      </c>
      <c r="E25" s="5" t="s">
        <v>2892</v>
      </c>
      <c r="F25" s="14"/>
      <c r="G25" s="14"/>
      <c r="H25" s="14" t="s">
        <v>87</v>
      </c>
      <c r="I25" s="14"/>
      <c r="J25" s="14"/>
      <c r="K25" s="14"/>
      <c r="L25" s="15"/>
      <c r="M25" s="12" t="s">
        <v>72</v>
      </c>
      <c r="N25" s="5"/>
      <c r="O25" s="12"/>
      <c r="P25" s="5" t="s">
        <v>2889</v>
      </c>
      <c r="Q25" s="12" t="s">
        <v>910</v>
      </c>
      <c r="R25" s="12" t="s">
        <v>1768</v>
      </c>
      <c r="S25" s="5" t="s">
        <v>2890</v>
      </c>
      <c r="T25" s="5" t="s">
        <v>2891</v>
      </c>
      <c r="U25" s="12" t="n">
        <v>4</v>
      </c>
      <c r="V25" s="12" t="n">
        <v>2</v>
      </c>
      <c r="W25" s="12" t="n">
        <v>1</v>
      </c>
      <c r="X25" s="12" t="n">
        <v>1</v>
      </c>
      <c r="Y25" s="12" t="n">
        <v>0</v>
      </c>
    </row>
    <row r="26" customFormat="false" ht="270" hidden="false" customHeight="true" outlineLevel="0" collapsed="false">
      <c r="A26" s="10" t="s">
        <v>2893</v>
      </c>
      <c r="B26" s="11" t="s">
        <v>2894</v>
      </c>
      <c r="C26" s="12"/>
      <c r="D26" s="12" t="s">
        <v>160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t="s">
        <v>72</v>
      </c>
      <c r="N26" s="5"/>
      <c r="O26" s="12"/>
      <c r="P26" s="5" t="s">
        <v>2895</v>
      </c>
      <c r="Q26" s="12" t="s">
        <v>910</v>
      </c>
      <c r="R26" s="12" t="s">
        <v>1768</v>
      </c>
      <c r="S26" s="5" t="s">
        <v>2896</v>
      </c>
      <c r="T26" s="5" t="s">
        <v>2897</v>
      </c>
      <c r="U26" s="12" t="n">
        <v>5</v>
      </c>
      <c r="V26" s="12" t="n">
        <v>2</v>
      </c>
      <c r="W26" s="12" t="n">
        <v>1</v>
      </c>
      <c r="X26" s="12" t="n">
        <v>1</v>
      </c>
      <c r="Y26" s="12" t="n">
        <v>0</v>
      </c>
    </row>
    <row r="27" customFormat="false" ht="270" hidden="false" customHeight="true" outlineLevel="0" collapsed="false">
      <c r="A27" s="12" t="s">
        <v>2893</v>
      </c>
      <c r="B27" s="5" t="s">
        <v>2894</v>
      </c>
      <c r="C27" s="12" t="s">
        <v>2893</v>
      </c>
      <c r="D27" s="12" t="s">
        <v>160</v>
      </c>
      <c r="E27" s="5" t="s">
        <v>2898</v>
      </c>
      <c r="F27" s="14"/>
      <c r="G27" s="14"/>
      <c r="H27" s="14" t="s">
        <v>87</v>
      </c>
      <c r="I27" s="14"/>
      <c r="J27" s="14"/>
      <c r="K27" s="14"/>
      <c r="L27" s="15"/>
      <c r="M27" s="12" t="s">
        <v>72</v>
      </c>
      <c r="N27" s="5"/>
      <c r="O27" s="12"/>
      <c r="P27" s="5" t="s">
        <v>2895</v>
      </c>
      <c r="Q27" s="12" t="s">
        <v>910</v>
      </c>
      <c r="R27" s="12" t="s">
        <v>1768</v>
      </c>
      <c r="S27" s="5" t="s">
        <v>2896</v>
      </c>
      <c r="T27" s="5" t="s">
        <v>2897</v>
      </c>
      <c r="U27" s="12" t="n">
        <v>5</v>
      </c>
      <c r="V27" s="12" t="n">
        <v>2</v>
      </c>
      <c r="W27" s="12" t="n">
        <v>1</v>
      </c>
      <c r="X27" s="12" t="n">
        <v>1</v>
      </c>
      <c r="Y27" s="12" t="n">
        <v>0</v>
      </c>
    </row>
    <row r="28" customFormat="false" ht="122.25" hidden="false" customHeight="true" outlineLevel="0" collapsed="false">
      <c r="A28" s="10" t="s">
        <v>2899</v>
      </c>
      <c r="B28" s="11" t="s">
        <v>2900</v>
      </c>
      <c r="C28" s="12"/>
      <c r="D28" s="12" t="s">
        <v>120</v>
      </c>
      <c r="E28" s="5" t="s">
        <v>79</v>
      </c>
      <c r="F28" s="12"/>
      <c r="G28" s="12"/>
      <c r="H28" s="13" t="str">
        <f aca="false">IF(OR(COUNTBLANK($H$29:$H$31)&gt;0,COUNTIF($H$29:$H$31,"unbearbeitet")=COUNTA($H$29:$H$31)),"Bitte Teilanforderungen ausfüllen",IF(COUNTIF($H$29:$H$31,"zu klären")&gt;0,"zu klären",IF(COUNTIF($H$29:$H$31,"entbehrlich")=COUNTA($H$29:$H$31),"entbehrlich",IF(COUNTIF($H$29:$H$31,"verwiesen")=COUNTA($H$29:$H$31),"verwiesen",IF(COUNTIF($H$29:$H$31,"nein")+COUNTIF($H$29:$H$31,"entbehrlich")=COUNTA($H$29:$H$31),"nein",IF(COUNTIF($H$29:$H$31,"ja")+COUNTIF($H$29:$H$31,"entbehrlich")+COUNTIF($H$29:$H$31,"verwiesen")=COUNTA($H$29:$H$31),"ja","teilweise"))))))</f>
        <v>Bitte Teilanforderungen ausfüllen</v>
      </c>
      <c r="I28" s="12"/>
      <c r="J28" s="12"/>
      <c r="K28" s="12"/>
      <c r="L28" s="12"/>
      <c r="M28" s="12"/>
      <c r="N28" s="5"/>
      <c r="O28" s="12"/>
      <c r="P28" s="5" t="s">
        <v>2901</v>
      </c>
      <c r="Q28" s="12" t="s">
        <v>910</v>
      </c>
      <c r="R28" s="12" t="s">
        <v>2846</v>
      </c>
      <c r="S28" s="5" t="s">
        <v>2902</v>
      </c>
      <c r="T28" s="5" t="s">
        <v>2891</v>
      </c>
      <c r="U28" s="12" t="n">
        <v>3</v>
      </c>
      <c r="V28" s="12" t="n">
        <v>1</v>
      </c>
      <c r="W28" s="12" t="n">
        <v>1</v>
      </c>
      <c r="X28" s="12" t="n">
        <v>1</v>
      </c>
      <c r="Y28" s="12" t="n">
        <v>0</v>
      </c>
    </row>
    <row r="29" customFormat="false" ht="122.25" hidden="false" customHeight="true" outlineLevel="0" collapsed="false">
      <c r="A29" s="12" t="s">
        <v>2899</v>
      </c>
      <c r="B29" s="5" t="s">
        <v>2900</v>
      </c>
      <c r="C29" s="12" t="s">
        <v>2899</v>
      </c>
      <c r="D29" s="12" t="s">
        <v>120</v>
      </c>
      <c r="E29" s="5" t="s">
        <v>2903</v>
      </c>
      <c r="F29" s="14"/>
      <c r="G29" s="14"/>
      <c r="H29" s="14" t="s">
        <v>87</v>
      </c>
      <c r="I29" s="14"/>
      <c r="J29" s="14"/>
      <c r="K29" s="14"/>
      <c r="L29" s="15"/>
      <c r="M29" s="12"/>
      <c r="N29" s="5"/>
      <c r="O29" s="12"/>
      <c r="P29" s="5" t="s">
        <v>2901</v>
      </c>
      <c r="Q29" s="12" t="s">
        <v>910</v>
      </c>
      <c r="R29" s="12" t="s">
        <v>2846</v>
      </c>
      <c r="S29" s="5" t="s">
        <v>2902</v>
      </c>
      <c r="T29" s="5" t="s">
        <v>2891</v>
      </c>
      <c r="U29" s="12" t="n">
        <v>3</v>
      </c>
      <c r="V29" s="12" t="n">
        <v>1</v>
      </c>
      <c r="W29" s="12" t="n">
        <v>1</v>
      </c>
      <c r="X29" s="12" t="n">
        <v>1</v>
      </c>
      <c r="Y29" s="12" t="n">
        <v>0</v>
      </c>
    </row>
    <row r="30" customFormat="false" ht="95.25" hidden="false" customHeight="true" outlineLevel="0" collapsed="false">
      <c r="A30" s="12" t="s">
        <v>2899</v>
      </c>
      <c r="B30" s="5" t="s">
        <v>2900</v>
      </c>
      <c r="C30" s="12" t="s">
        <v>2904</v>
      </c>
      <c r="D30" s="12" t="s">
        <v>160</v>
      </c>
      <c r="E30" s="5" t="s">
        <v>2905</v>
      </c>
      <c r="F30" s="14"/>
      <c r="G30" s="14"/>
      <c r="H30" s="14" t="s">
        <v>87</v>
      </c>
      <c r="I30" s="14"/>
      <c r="J30" s="14"/>
      <c r="K30" s="14"/>
      <c r="L30" s="15"/>
      <c r="M30" s="12"/>
      <c r="N30" s="5"/>
      <c r="O30" s="12"/>
      <c r="P30" s="5" t="s">
        <v>2906</v>
      </c>
      <c r="Q30" s="12" t="s">
        <v>910</v>
      </c>
      <c r="R30" s="12" t="s">
        <v>2846</v>
      </c>
      <c r="S30" s="5" t="s">
        <v>2907</v>
      </c>
      <c r="T30" s="5" t="s">
        <v>2908</v>
      </c>
      <c r="U30" s="12" t="n">
        <v>4</v>
      </c>
      <c r="V30" s="12" t="n">
        <v>1</v>
      </c>
      <c r="W30" s="12" t="n">
        <v>1</v>
      </c>
      <c r="X30" s="12" t="n">
        <v>1</v>
      </c>
      <c r="Y30" s="12" t="n">
        <v>0</v>
      </c>
    </row>
    <row r="31" customFormat="false" ht="404.25" hidden="false" customHeight="true" outlineLevel="0" collapsed="false">
      <c r="A31" s="12" t="s">
        <v>2899</v>
      </c>
      <c r="B31" s="5" t="s">
        <v>2900</v>
      </c>
      <c r="C31" s="12" t="s">
        <v>2909</v>
      </c>
      <c r="D31" s="12" t="s">
        <v>160</v>
      </c>
      <c r="E31" s="5" t="s">
        <v>2910</v>
      </c>
      <c r="F31" s="14"/>
      <c r="G31" s="14"/>
      <c r="H31" s="14" t="s">
        <v>87</v>
      </c>
      <c r="I31" s="14"/>
      <c r="J31" s="14"/>
      <c r="K31" s="14"/>
      <c r="L31" s="15"/>
      <c r="M31" s="12"/>
      <c r="N31" s="5"/>
      <c r="O31" s="12"/>
      <c r="P31" s="5" t="s">
        <v>2911</v>
      </c>
      <c r="Q31" s="12" t="s">
        <v>910</v>
      </c>
      <c r="R31" s="12" t="s">
        <v>2846</v>
      </c>
      <c r="S31" s="5" t="s">
        <v>2912</v>
      </c>
      <c r="T31" s="5" t="s">
        <v>2891</v>
      </c>
      <c r="U31" s="12" t="n">
        <v>5</v>
      </c>
      <c r="V31" s="12" t="n">
        <v>1</v>
      </c>
      <c r="W31" s="12" t="n">
        <v>1</v>
      </c>
      <c r="X31" s="12" t="n">
        <v>1</v>
      </c>
      <c r="Y31" s="12" t="n">
        <v>0</v>
      </c>
    </row>
    <row r="32" customFormat="false" ht="336.75" hidden="false" customHeight="true" outlineLevel="0" collapsed="false">
      <c r="A32" s="10" t="s">
        <v>2913</v>
      </c>
      <c r="B32" s="11" t="s">
        <v>2914</v>
      </c>
      <c r="C32" s="12"/>
      <c r="D32" s="12" t="s">
        <v>120</v>
      </c>
      <c r="E32" s="5" t="s">
        <v>79</v>
      </c>
      <c r="F32" s="12"/>
      <c r="G32" s="12"/>
      <c r="H32" s="13" t="str">
        <f aca="false">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Bitte Teilanforderungen ausfüllen</v>
      </c>
      <c r="I32" s="12"/>
      <c r="J32" s="12"/>
      <c r="K32" s="12"/>
      <c r="L32" s="12"/>
      <c r="M32" s="12"/>
      <c r="N32" s="5"/>
      <c r="O32" s="12"/>
      <c r="P32" s="5" t="s">
        <v>2915</v>
      </c>
      <c r="Q32" s="12" t="s">
        <v>910</v>
      </c>
      <c r="R32" s="12" t="s">
        <v>2868</v>
      </c>
      <c r="S32" s="5" t="s">
        <v>2914</v>
      </c>
      <c r="T32" s="5" t="s">
        <v>2908</v>
      </c>
      <c r="U32" s="12" t="n">
        <v>4</v>
      </c>
      <c r="V32" s="12" t="n">
        <v>1</v>
      </c>
      <c r="W32" s="12" t="n">
        <v>1</v>
      </c>
      <c r="X32" s="12" t="n">
        <v>1</v>
      </c>
      <c r="Y32" s="12" t="n">
        <v>0</v>
      </c>
    </row>
    <row r="33" customFormat="false" ht="336.75" hidden="false" customHeight="true" outlineLevel="0" collapsed="false">
      <c r="A33" s="12" t="s">
        <v>2913</v>
      </c>
      <c r="B33" s="5" t="s">
        <v>2914</v>
      </c>
      <c r="C33" s="12" t="s">
        <v>2913</v>
      </c>
      <c r="D33" s="12" t="s">
        <v>120</v>
      </c>
      <c r="E33" s="5" t="s">
        <v>2916</v>
      </c>
      <c r="F33" s="14"/>
      <c r="G33" s="14"/>
      <c r="H33" s="14" t="s">
        <v>87</v>
      </c>
      <c r="I33" s="14"/>
      <c r="J33" s="14"/>
      <c r="K33" s="14"/>
      <c r="L33" s="15"/>
      <c r="M33" s="12"/>
      <c r="N33" s="5"/>
      <c r="O33" s="12"/>
      <c r="P33" s="5" t="s">
        <v>2915</v>
      </c>
      <c r="Q33" s="12" t="s">
        <v>910</v>
      </c>
      <c r="R33" s="12" t="s">
        <v>2868</v>
      </c>
      <c r="S33" s="5" t="s">
        <v>2914</v>
      </c>
      <c r="T33" s="5" t="s">
        <v>2908</v>
      </c>
      <c r="U33" s="12" t="n">
        <v>4</v>
      </c>
      <c r="V33" s="12" t="n">
        <v>1</v>
      </c>
      <c r="W33" s="12" t="n">
        <v>1</v>
      </c>
      <c r="X33" s="12" t="n">
        <v>1</v>
      </c>
      <c r="Y33" s="12" t="n">
        <v>0</v>
      </c>
    </row>
    <row r="34" customFormat="false" ht="336.75" hidden="false" customHeight="true" outlineLevel="0" collapsed="false">
      <c r="A34" s="10" t="s">
        <v>2917</v>
      </c>
      <c r="B34" s="11" t="s">
        <v>2918</v>
      </c>
      <c r="C34" s="12"/>
      <c r="D34" s="12" t="s">
        <v>120</v>
      </c>
      <c r="E34" s="5" t="s">
        <v>79</v>
      </c>
      <c r="F34" s="12"/>
      <c r="G34" s="12"/>
      <c r="H34" s="13" t="str">
        <f aca="false">IF(OR(COUNTBLANK($H$35:$H$38)&gt;0,COUNTIF($H$35:$H$38,"unbearbeitet")=COUNTA($H$35:$H$38)),"Bitte Teilanforderungen ausfüllen",IF(COUNTIF($H$35:$H$38,"zu klären")&gt;0,"zu klären",IF(COUNTIF($H$35:$H$38,"entbehrlich")=COUNTA($H$35:$H$38),"entbehrlich",IF(COUNTIF($H$35:$H$38,"verwiesen")=COUNTA($H$35:$H$38),"verwiesen",IF(COUNTIF($H$35:$H$38,"nein")+COUNTIF($H$35:$H$38,"entbehrlich")=COUNTA($H$35:$H$38),"nein",IF(COUNTIF($H$35:$H$38,"ja")+COUNTIF($H$35:$H$38,"entbehrlich")+COUNTIF($H$35:$H$38,"verwiesen")=COUNTA($H$35:$H$38),"ja","teilweise"))))))</f>
        <v>Bitte Teilanforderungen ausfüllen</v>
      </c>
      <c r="I34" s="12"/>
      <c r="J34" s="12"/>
      <c r="K34" s="12"/>
      <c r="L34" s="12"/>
      <c r="M34" s="12" t="s">
        <v>73</v>
      </c>
      <c r="N34" s="5"/>
      <c r="O34" s="12"/>
      <c r="P34" s="5" t="s">
        <v>2919</v>
      </c>
      <c r="Q34" s="12" t="s">
        <v>910</v>
      </c>
      <c r="R34" s="12" t="s">
        <v>2846</v>
      </c>
      <c r="S34" s="5" t="s">
        <v>2907</v>
      </c>
      <c r="T34" s="5" t="s">
        <v>2891</v>
      </c>
      <c r="U34" s="12" t="n">
        <v>3</v>
      </c>
      <c r="V34" s="12" t="n">
        <v>1</v>
      </c>
      <c r="W34" s="12" t="n">
        <v>2</v>
      </c>
      <c r="X34" s="12" t="n">
        <v>1</v>
      </c>
      <c r="Y34" s="12" t="n">
        <v>0</v>
      </c>
    </row>
    <row r="35" customFormat="false" ht="336.75" hidden="false" customHeight="true" outlineLevel="0" collapsed="false">
      <c r="A35" s="12" t="s">
        <v>2917</v>
      </c>
      <c r="B35" s="5" t="s">
        <v>2918</v>
      </c>
      <c r="C35" s="12" t="s">
        <v>2917</v>
      </c>
      <c r="D35" s="12" t="s">
        <v>120</v>
      </c>
      <c r="E35" s="5" t="s">
        <v>2920</v>
      </c>
      <c r="F35" s="14"/>
      <c r="G35" s="14"/>
      <c r="H35" s="14" t="s">
        <v>87</v>
      </c>
      <c r="I35" s="14"/>
      <c r="J35" s="14"/>
      <c r="K35" s="14"/>
      <c r="L35" s="15"/>
      <c r="M35" s="12" t="s">
        <v>73</v>
      </c>
      <c r="N35" s="5"/>
      <c r="O35" s="12"/>
      <c r="P35" s="5" t="s">
        <v>2919</v>
      </c>
      <c r="Q35" s="12" t="s">
        <v>910</v>
      </c>
      <c r="R35" s="12" t="s">
        <v>2846</v>
      </c>
      <c r="S35" s="5" t="s">
        <v>2907</v>
      </c>
      <c r="T35" s="5" t="s">
        <v>2891</v>
      </c>
      <c r="U35" s="12" t="n">
        <v>3</v>
      </c>
      <c r="V35" s="12" t="n">
        <v>1</v>
      </c>
      <c r="W35" s="12" t="n">
        <v>2</v>
      </c>
      <c r="X35" s="12" t="n">
        <v>1</v>
      </c>
      <c r="Y35" s="12" t="n">
        <v>0</v>
      </c>
    </row>
    <row r="36" customFormat="false" ht="350.25" hidden="false" customHeight="true" outlineLevel="0" collapsed="false">
      <c r="A36" s="12" t="s">
        <v>2917</v>
      </c>
      <c r="B36" s="5" t="s">
        <v>2918</v>
      </c>
      <c r="C36" s="12" t="s">
        <v>2921</v>
      </c>
      <c r="D36" s="12" t="s">
        <v>160</v>
      </c>
      <c r="E36" s="5" t="s">
        <v>2922</v>
      </c>
      <c r="F36" s="14"/>
      <c r="G36" s="14"/>
      <c r="H36" s="14" t="s">
        <v>87</v>
      </c>
      <c r="I36" s="14"/>
      <c r="J36" s="14"/>
      <c r="K36" s="14"/>
      <c r="L36" s="15"/>
      <c r="M36" s="12" t="s">
        <v>73</v>
      </c>
      <c r="N36" s="5"/>
      <c r="O36" s="12"/>
      <c r="P36" s="5" t="s">
        <v>2923</v>
      </c>
      <c r="Q36" s="12" t="s">
        <v>910</v>
      </c>
      <c r="R36" s="12" t="s">
        <v>2846</v>
      </c>
      <c r="S36" s="5" t="s">
        <v>2924</v>
      </c>
      <c r="T36" s="5" t="s">
        <v>2891</v>
      </c>
      <c r="U36" s="12" t="n">
        <v>5</v>
      </c>
      <c r="V36" s="12" t="n">
        <v>1</v>
      </c>
      <c r="W36" s="12" t="n">
        <v>2</v>
      </c>
      <c r="X36" s="12" t="n">
        <v>1</v>
      </c>
      <c r="Y36" s="12" t="n">
        <v>0</v>
      </c>
    </row>
    <row r="37" customFormat="false" ht="309.75" hidden="false" customHeight="true" outlineLevel="0" collapsed="false">
      <c r="A37" s="12" t="s">
        <v>2917</v>
      </c>
      <c r="B37" s="5" t="s">
        <v>2918</v>
      </c>
      <c r="C37" s="12" t="s">
        <v>2925</v>
      </c>
      <c r="D37" s="12" t="s">
        <v>160</v>
      </c>
      <c r="E37" s="5" t="s">
        <v>2926</v>
      </c>
      <c r="F37" s="14"/>
      <c r="G37" s="14"/>
      <c r="H37" s="14" t="s">
        <v>87</v>
      </c>
      <c r="I37" s="14"/>
      <c r="J37" s="14"/>
      <c r="K37" s="14"/>
      <c r="L37" s="15"/>
      <c r="M37" s="12"/>
      <c r="N37" s="5"/>
      <c r="O37" s="12"/>
      <c r="P37" s="5" t="s">
        <v>2927</v>
      </c>
      <c r="Q37" s="12" t="s">
        <v>910</v>
      </c>
      <c r="R37" s="12" t="s">
        <v>793</v>
      </c>
      <c r="S37" s="5" t="s">
        <v>2928</v>
      </c>
      <c r="T37" s="5" t="s">
        <v>2879</v>
      </c>
      <c r="U37" s="12" t="n">
        <v>5</v>
      </c>
      <c r="V37" s="12" t="n">
        <v>1</v>
      </c>
      <c r="W37" s="12" t="n">
        <v>1</v>
      </c>
      <c r="X37" s="12" t="n">
        <v>1</v>
      </c>
      <c r="Y37" s="12" t="n">
        <v>0</v>
      </c>
    </row>
    <row r="38" customFormat="false" ht="336.75" hidden="false" customHeight="true" outlineLevel="0" collapsed="false">
      <c r="A38" s="12" t="s">
        <v>2917</v>
      </c>
      <c r="B38" s="5" t="s">
        <v>2918</v>
      </c>
      <c r="C38" s="12" t="s">
        <v>2929</v>
      </c>
      <c r="D38" s="12" t="s">
        <v>120</v>
      </c>
      <c r="E38" s="5" t="s">
        <v>2930</v>
      </c>
      <c r="F38" s="14"/>
      <c r="G38" s="14"/>
      <c r="H38" s="14" t="s">
        <v>87</v>
      </c>
      <c r="I38" s="14"/>
      <c r="J38" s="14"/>
      <c r="K38" s="14"/>
      <c r="L38" s="15"/>
      <c r="M38" s="12" t="s">
        <v>73</v>
      </c>
      <c r="N38" s="5"/>
      <c r="O38" s="12"/>
      <c r="P38" s="5" t="s">
        <v>2931</v>
      </c>
      <c r="Q38" s="12" t="s">
        <v>910</v>
      </c>
      <c r="R38" s="12" t="s">
        <v>2846</v>
      </c>
      <c r="S38" s="5" t="s">
        <v>2932</v>
      </c>
      <c r="T38" s="5" t="s">
        <v>2891</v>
      </c>
      <c r="U38" s="12" t="n">
        <v>3</v>
      </c>
      <c r="V38" s="12" t="n">
        <v>1</v>
      </c>
      <c r="W38" s="12" t="n">
        <v>2</v>
      </c>
      <c r="X38" s="12" t="n">
        <v>1</v>
      </c>
      <c r="Y38" s="12" t="n">
        <v>0</v>
      </c>
    </row>
    <row r="39" customFormat="false" ht="309.75" hidden="false" customHeight="true" outlineLevel="0" collapsed="false">
      <c r="A39" s="10" t="s">
        <v>2933</v>
      </c>
      <c r="B39" s="11" t="s">
        <v>2934</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2935</v>
      </c>
      <c r="Q39" s="12" t="s">
        <v>2936</v>
      </c>
      <c r="R39" s="12" t="s">
        <v>688</v>
      </c>
      <c r="S39" s="5" t="s">
        <v>2937</v>
      </c>
      <c r="T39" s="5" t="s">
        <v>2908</v>
      </c>
      <c r="U39" s="12" t="n">
        <v>5</v>
      </c>
      <c r="V39" s="12" t="n">
        <v>1</v>
      </c>
      <c r="W39" s="12" t="n">
        <v>1</v>
      </c>
      <c r="X39" s="12" t="n">
        <v>1</v>
      </c>
      <c r="Y39" s="12" t="n">
        <v>0</v>
      </c>
    </row>
    <row r="40" customFormat="false" ht="309.75" hidden="false" customHeight="true" outlineLevel="0" collapsed="false">
      <c r="A40" s="12" t="s">
        <v>2933</v>
      </c>
      <c r="B40" s="5" t="s">
        <v>2934</v>
      </c>
      <c r="C40" s="12" t="s">
        <v>2933</v>
      </c>
      <c r="D40" s="12" t="s">
        <v>160</v>
      </c>
      <c r="E40" s="5" t="s">
        <v>2938</v>
      </c>
      <c r="F40" s="14"/>
      <c r="G40" s="14"/>
      <c r="H40" s="14" t="s">
        <v>87</v>
      </c>
      <c r="I40" s="14"/>
      <c r="J40" s="14"/>
      <c r="K40" s="14"/>
      <c r="L40" s="15"/>
      <c r="M40" s="12"/>
      <c r="N40" s="5"/>
      <c r="O40" s="12"/>
      <c r="P40" s="5" t="s">
        <v>2935</v>
      </c>
      <c r="Q40" s="12" t="s">
        <v>2936</v>
      </c>
      <c r="R40" s="12" t="s">
        <v>688</v>
      </c>
      <c r="S40" s="5" t="s">
        <v>2937</v>
      </c>
      <c r="T40" s="5" t="s">
        <v>2908</v>
      </c>
      <c r="U40" s="12" t="n">
        <v>5</v>
      </c>
      <c r="V40" s="12" t="n">
        <v>1</v>
      </c>
      <c r="W40" s="12" t="n">
        <v>1</v>
      </c>
      <c r="X40" s="12" t="n">
        <v>1</v>
      </c>
      <c r="Y40" s="12" t="n">
        <v>0</v>
      </c>
    </row>
    <row r="41" customFormat="false" ht="175.5" hidden="false" customHeight="true" outlineLevel="0" collapsed="false">
      <c r="A41" s="10" t="s">
        <v>2939</v>
      </c>
      <c r="B41" s="11" t="s">
        <v>2940</v>
      </c>
      <c r="C41" s="12"/>
      <c r="D41" s="12" t="s">
        <v>160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74</v>
      </c>
      <c r="N41" s="5" t="s">
        <v>2941</v>
      </c>
      <c r="O41" s="12" t="s">
        <v>524</v>
      </c>
      <c r="P41" s="5" t="s">
        <v>2942</v>
      </c>
      <c r="Q41" s="12" t="s">
        <v>910</v>
      </c>
      <c r="R41" s="12" t="s">
        <v>2868</v>
      </c>
      <c r="S41" s="5" t="s">
        <v>2943</v>
      </c>
      <c r="T41" s="5" t="s">
        <v>2891</v>
      </c>
      <c r="U41" s="12" t="n">
        <v>5</v>
      </c>
      <c r="V41" s="12" t="n">
        <v>1</v>
      </c>
      <c r="W41" s="12" t="n">
        <v>1</v>
      </c>
      <c r="X41" s="12" t="n">
        <v>2</v>
      </c>
      <c r="Y41" s="12" t="n">
        <v>0</v>
      </c>
    </row>
    <row r="42" customFormat="false" ht="175.5" hidden="false" customHeight="true" outlineLevel="0" collapsed="false">
      <c r="A42" s="12" t="s">
        <v>2939</v>
      </c>
      <c r="B42" s="5" t="s">
        <v>2940</v>
      </c>
      <c r="C42" s="12" t="s">
        <v>2939</v>
      </c>
      <c r="D42" s="12" t="s">
        <v>160</v>
      </c>
      <c r="E42" s="5" t="s">
        <v>2944</v>
      </c>
      <c r="F42" s="14"/>
      <c r="G42" s="14"/>
      <c r="H42" s="14" t="s">
        <v>87</v>
      </c>
      <c r="I42" s="14"/>
      <c r="J42" s="14"/>
      <c r="K42" s="14"/>
      <c r="L42" s="15"/>
      <c r="M42" s="12" t="s">
        <v>74</v>
      </c>
      <c r="N42" s="5" t="s">
        <v>2941</v>
      </c>
      <c r="O42" s="12" t="s">
        <v>524</v>
      </c>
      <c r="P42" s="5" t="s">
        <v>2942</v>
      </c>
      <c r="Q42" s="12" t="s">
        <v>910</v>
      </c>
      <c r="R42" s="12" t="s">
        <v>2868</v>
      </c>
      <c r="S42" s="5" t="s">
        <v>2943</v>
      </c>
      <c r="T42" s="5" t="s">
        <v>2891</v>
      </c>
      <c r="U42" s="12" t="n">
        <v>5</v>
      </c>
      <c r="V42" s="12" t="n">
        <v>1</v>
      </c>
      <c r="W42" s="12" t="n">
        <v>1</v>
      </c>
      <c r="X42" s="12" t="n">
        <v>2</v>
      </c>
      <c r="Y42" s="12" t="n">
        <v>0</v>
      </c>
    </row>
    <row r="43" customFormat="false" ht="81.75" hidden="false" customHeight="true" outlineLevel="0" collapsed="false">
      <c r="A43" s="10" t="s">
        <v>2945</v>
      </c>
      <c r="B43" s="11" t="s">
        <v>2946</v>
      </c>
      <c r="C43" s="12"/>
      <c r="D43" s="12" t="s">
        <v>160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74</v>
      </c>
      <c r="N43" s="5"/>
      <c r="O43" s="12"/>
      <c r="P43" s="5" t="s">
        <v>2947</v>
      </c>
      <c r="Q43" s="12" t="s">
        <v>910</v>
      </c>
      <c r="R43" s="12" t="s">
        <v>2846</v>
      </c>
      <c r="S43" s="5" t="s">
        <v>2948</v>
      </c>
      <c r="T43" s="5" t="s">
        <v>2891</v>
      </c>
      <c r="U43" s="12" t="n">
        <v>5</v>
      </c>
      <c r="V43" s="12" t="n">
        <v>1</v>
      </c>
      <c r="W43" s="12" t="n">
        <v>1</v>
      </c>
      <c r="X43" s="12" t="n">
        <v>2</v>
      </c>
      <c r="Y43" s="12" t="n">
        <v>0</v>
      </c>
    </row>
    <row r="44" customFormat="false" ht="81.75" hidden="false" customHeight="true" outlineLevel="0" collapsed="false">
      <c r="A44" s="12" t="s">
        <v>2945</v>
      </c>
      <c r="B44" s="5" t="s">
        <v>2946</v>
      </c>
      <c r="C44" s="12" t="s">
        <v>2945</v>
      </c>
      <c r="D44" s="12" t="s">
        <v>160</v>
      </c>
      <c r="E44" s="5" t="s">
        <v>2949</v>
      </c>
      <c r="F44" s="14"/>
      <c r="G44" s="14"/>
      <c r="H44" s="14" t="s">
        <v>87</v>
      </c>
      <c r="I44" s="14"/>
      <c r="J44" s="14"/>
      <c r="K44" s="14"/>
      <c r="L44" s="15"/>
      <c r="M44" s="12" t="s">
        <v>74</v>
      </c>
      <c r="N44" s="5"/>
      <c r="O44" s="12"/>
      <c r="P44" s="5" t="s">
        <v>2947</v>
      </c>
      <c r="Q44" s="12" t="s">
        <v>910</v>
      </c>
      <c r="R44" s="12" t="s">
        <v>2846</v>
      </c>
      <c r="S44" s="5" t="s">
        <v>2948</v>
      </c>
      <c r="T44" s="5" t="s">
        <v>2891</v>
      </c>
      <c r="U44" s="12" t="n">
        <v>5</v>
      </c>
      <c r="V44" s="12" t="n">
        <v>1</v>
      </c>
      <c r="W44" s="12" t="n">
        <v>1</v>
      </c>
      <c r="X44" s="12" t="n">
        <v>2</v>
      </c>
      <c r="Y44" s="12" t="n">
        <v>0</v>
      </c>
    </row>
    <row r="45" customFormat="false" ht="81.75" hidden="false" customHeight="true" outlineLevel="0" collapsed="false">
      <c r="A45" s="10" t="s">
        <v>2950</v>
      </c>
      <c r="B45" s="11" t="s">
        <v>2951</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2952</v>
      </c>
      <c r="Q45" s="12" t="s">
        <v>910</v>
      </c>
      <c r="R45" s="12" t="s">
        <v>115</v>
      </c>
      <c r="S45" s="5" t="s">
        <v>2953</v>
      </c>
      <c r="T45" s="5" t="s">
        <v>2908</v>
      </c>
      <c r="U45" s="12" t="n">
        <v>4</v>
      </c>
      <c r="V45" s="12" t="n">
        <v>1</v>
      </c>
      <c r="W45" s="12" t="n">
        <v>1</v>
      </c>
      <c r="X45" s="12" t="n">
        <v>1</v>
      </c>
      <c r="Y45" s="12" t="n">
        <v>0</v>
      </c>
    </row>
    <row r="46" customFormat="false" ht="81.75" hidden="false" customHeight="true" outlineLevel="0" collapsed="false">
      <c r="A46" s="12" t="s">
        <v>2950</v>
      </c>
      <c r="B46" s="5" t="s">
        <v>2951</v>
      </c>
      <c r="C46" s="12" t="s">
        <v>2950</v>
      </c>
      <c r="D46" s="12" t="s">
        <v>120</v>
      </c>
      <c r="E46" s="5" t="s">
        <v>2954</v>
      </c>
      <c r="F46" s="14"/>
      <c r="G46" s="14"/>
      <c r="H46" s="14" t="s">
        <v>87</v>
      </c>
      <c r="I46" s="14"/>
      <c r="J46" s="14"/>
      <c r="K46" s="14"/>
      <c r="L46" s="15"/>
      <c r="M46" s="12"/>
      <c r="N46" s="5"/>
      <c r="O46" s="12"/>
      <c r="P46" s="5" t="s">
        <v>2952</v>
      </c>
      <c r="Q46" s="12" t="s">
        <v>910</v>
      </c>
      <c r="R46" s="12" t="s">
        <v>115</v>
      </c>
      <c r="S46" s="5" t="s">
        <v>2953</v>
      </c>
      <c r="T46" s="5" t="s">
        <v>2908</v>
      </c>
      <c r="U46" s="12" t="n">
        <v>4</v>
      </c>
      <c r="V46" s="12" t="n">
        <v>1</v>
      </c>
      <c r="W46" s="12" t="n">
        <v>1</v>
      </c>
      <c r="X46" s="12" t="n">
        <v>1</v>
      </c>
      <c r="Y46" s="12" t="n">
        <v>0</v>
      </c>
    </row>
    <row r="47" customFormat="false" ht="175.5" hidden="false" customHeight="true" outlineLevel="0" collapsed="false">
      <c r="A47" s="10" t="s">
        <v>2955</v>
      </c>
      <c r="B47" s="11" t="s">
        <v>2956</v>
      </c>
      <c r="C47" s="12"/>
      <c r="D47" s="12" t="s">
        <v>160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2957</v>
      </c>
      <c r="Q47" s="12" t="s">
        <v>910</v>
      </c>
      <c r="R47" s="12" t="s">
        <v>2868</v>
      </c>
      <c r="S47" s="5" t="s">
        <v>2958</v>
      </c>
      <c r="T47" s="5" t="s">
        <v>2891</v>
      </c>
      <c r="U47" s="12" t="n">
        <v>5</v>
      </c>
      <c r="V47" s="12" t="n">
        <v>1</v>
      </c>
      <c r="W47" s="12" t="n">
        <v>1</v>
      </c>
      <c r="X47" s="12" t="n">
        <v>1</v>
      </c>
      <c r="Y47" s="12" t="n">
        <v>0</v>
      </c>
    </row>
    <row r="48" customFormat="false" ht="175.5" hidden="false" customHeight="true" outlineLevel="0" collapsed="false">
      <c r="A48" s="12" t="s">
        <v>2955</v>
      </c>
      <c r="B48" s="5" t="s">
        <v>2956</v>
      </c>
      <c r="C48" s="12" t="s">
        <v>2955</v>
      </c>
      <c r="D48" s="12" t="s">
        <v>160</v>
      </c>
      <c r="E48" s="5" t="s">
        <v>2959</v>
      </c>
      <c r="F48" s="14"/>
      <c r="G48" s="14"/>
      <c r="H48" s="14" t="s">
        <v>87</v>
      </c>
      <c r="I48" s="14"/>
      <c r="J48" s="14"/>
      <c r="K48" s="14"/>
      <c r="L48" s="15"/>
      <c r="M48" s="12"/>
      <c r="N48" s="5"/>
      <c r="O48" s="12"/>
      <c r="P48" s="5" t="s">
        <v>2957</v>
      </c>
      <c r="Q48" s="12" t="s">
        <v>910</v>
      </c>
      <c r="R48" s="12" t="s">
        <v>2868</v>
      </c>
      <c r="S48" s="5" t="s">
        <v>2958</v>
      </c>
      <c r="T48" s="5" t="s">
        <v>2891</v>
      </c>
      <c r="U48" s="12" t="n">
        <v>5</v>
      </c>
      <c r="V48" s="12" t="n">
        <v>1</v>
      </c>
      <c r="W48" s="12" t="n">
        <v>1</v>
      </c>
      <c r="X48" s="12" t="n">
        <v>1</v>
      </c>
      <c r="Y48" s="12" t="n">
        <v>0</v>
      </c>
    </row>
    <row r="49" customFormat="false" ht="350.25" hidden="false" customHeight="true" outlineLevel="0" collapsed="false">
      <c r="A49" s="10" t="s">
        <v>2960</v>
      </c>
      <c r="B49" s="11" t="s">
        <v>2961</v>
      </c>
      <c r="C49" s="12"/>
      <c r="D49" s="12" t="s">
        <v>160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72</v>
      </c>
      <c r="N49" s="5"/>
      <c r="O49" s="12"/>
      <c r="P49" s="5" t="s">
        <v>2962</v>
      </c>
      <c r="Q49" s="12" t="s">
        <v>910</v>
      </c>
      <c r="R49" s="12" t="s">
        <v>930</v>
      </c>
      <c r="S49" s="5" t="s">
        <v>2963</v>
      </c>
      <c r="T49" s="5" t="s">
        <v>2964</v>
      </c>
      <c r="U49" s="12" t="n">
        <v>5</v>
      </c>
      <c r="V49" s="12" t="n">
        <v>2</v>
      </c>
      <c r="W49" s="12" t="n">
        <v>1</v>
      </c>
      <c r="X49" s="12" t="n">
        <v>1</v>
      </c>
      <c r="Y49" s="12" t="n">
        <v>0</v>
      </c>
    </row>
    <row r="50" customFormat="false" ht="350.25" hidden="false" customHeight="true" outlineLevel="0" collapsed="false">
      <c r="A50" s="12" t="s">
        <v>2960</v>
      </c>
      <c r="B50" s="5" t="s">
        <v>2961</v>
      </c>
      <c r="C50" s="12" t="s">
        <v>2960</v>
      </c>
      <c r="D50" s="12" t="s">
        <v>160</v>
      </c>
      <c r="E50" s="5" t="s">
        <v>2965</v>
      </c>
      <c r="F50" s="14"/>
      <c r="G50" s="14"/>
      <c r="H50" s="14" t="s">
        <v>87</v>
      </c>
      <c r="I50" s="14"/>
      <c r="J50" s="14"/>
      <c r="K50" s="14"/>
      <c r="L50" s="15"/>
      <c r="M50" s="12" t="s">
        <v>72</v>
      </c>
      <c r="N50" s="5"/>
      <c r="O50" s="12"/>
      <c r="P50" s="5" t="s">
        <v>2962</v>
      </c>
      <c r="Q50" s="12" t="s">
        <v>910</v>
      </c>
      <c r="R50" s="12" t="s">
        <v>930</v>
      </c>
      <c r="S50" s="5" t="s">
        <v>2963</v>
      </c>
      <c r="T50" s="5" t="s">
        <v>2964</v>
      </c>
      <c r="U50" s="12" t="n">
        <v>5</v>
      </c>
      <c r="V50" s="12" t="n">
        <v>2</v>
      </c>
      <c r="W50" s="12" t="n">
        <v>1</v>
      </c>
      <c r="X50" s="12" t="n">
        <v>1</v>
      </c>
      <c r="Y50" s="12" t="n">
        <v>0</v>
      </c>
    </row>
    <row r="51" customFormat="false" ht="350.25" hidden="false" customHeight="true" outlineLevel="0" collapsed="false">
      <c r="A51" s="10" t="s">
        <v>2966</v>
      </c>
      <c r="B51" s="11" t="s">
        <v>2967</v>
      </c>
      <c r="C51" s="12"/>
      <c r="D51" s="12" t="s">
        <v>160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c r="N51" s="5"/>
      <c r="O51" s="12"/>
      <c r="P51" s="5" t="s">
        <v>2968</v>
      </c>
      <c r="Q51" s="12" t="s">
        <v>910</v>
      </c>
      <c r="R51" s="12" t="s">
        <v>2868</v>
      </c>
      <c r="S51" s="5" t="s">
        <v>2969</v>
      </c>
      <c r="T51" s="5" t="s">
        <v>2908</v>
      </c>
      <c r="U51" s="12" t="n">
        <v>5</v>
      </c>
      <c r="V51" s="12" t="n">
        <v>1</v>
      </c>
      <c r="W51" s="12" t="n">
        <v>1</v>
      </c>
      <c r="X51" s="12" t="n">
        <v>1</v>
      </c>
      <c r="Y51" s="12" t="n">
        <v>0</v>
      </c>
    </row>
    <row r="52" customFormat="false" ht="350.25" hidden="false" customHeight="true" outlineLevel="0" collapsed="false">
      <c r="A52" s="12" t="s">
        <v>2966</v>
      </c>
      <c r="B52" s="5" t="s">
        <v>2967</v>
      </c>
      <c r="C52" s="12" t="s">
        <v>2966</v>
      </c>
      <c r="D52" s="12" t="s">
        <v>160</v>
      </c>
      <c r="E52" s="5" t="s">
        <v>2970</v>
      </c>
      <c r="F52" s="14"/>
      <c r="G52" s="14"/>
      <c r="H52" s="14" t="s">
        <v>87</v>
      </c>
      <c r="I52" s="14"/>
      <c r="J52" s="14"/>
      <c r="K52" s="14"/>
      <c r="L52" s="15"/>
      <c r="M52" s="12"/>
      <c r="N52" s="5"/>
      <c r="O52" s="12"/>
      <c r="P52" s="5" t="s">
        <v>2968</v>
      </c>
      <c r="Q52" s="12" t="s">
        <v>910</v>
      </c>
      <c r="R52" s="12" t="s">
        <v>2868</v>
      </c>
      <c r="S52" s="5" t="s">
        <v>2969</v>
      </c>
      <c r="T52" s="5" t="s">
        <v>2908</v>
      </c>
      <c r="U52" s="12" t="n">
        <v>5</v>
      </c>
      <c r="V52" s="12" t="n">
        <v>1</v>
      </c>
      <c r="W52" s="12" t="n">
        <v>1</v>
      </c>
      <c r="X52" s="12" t="n">
        <v>1</v>
      </c>
      <c r="Y52" s="12" t="n">
        <v>0</v>
      </c>
    </row>
    <row r="53" customFormat="false" ht="336.75" hidden="false" customHeight="true" outlineLevel="0" collapsed="false">
      <c r="A53" s="10" t="s">
        <v>2971</v>
      </c>
      <c r="B53" s="11" t="s">
        <v>2972</v>
      </c>
      <c r="C53" s="12"/>
      <c r="D53" s="12" t="s">
        <v>160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c r="N53" s="5"/>
      <c r="O53" s="12"/>
      <c r="P53" s="5" t="s">
        <v>2973</v>
      </c>
      <c r="Q53" s="12" t="s">
        <v>910</v>
      </c>
      <c r="R53" s="12" t="s">
        <v>2868</v>
      </c>
      <c r="S53" s="5" t="s">
        <v>2974</v>
      </c>
      <c r="T53" s="5" t="s">
        <v>2891</v>
      </c>
      <c r="U53" s="12" t="n">
        <v>5</v>
      </c>
      <c r="V53" s="12" t="n">
        <v>1</v>
      </c>
      <c r="W53" s="12" t="n">
        <v>1</v>
      </c>
      <c r="X53" s="12" t="n">
        <v>1</v>
      </c>
      <c r="Y53" s="12" t="n">
        <v>0</v>
      </c>
    </row>
    <row r="54" customFormat="false" ht="336.75" hidden="false" customHeight="true" outlineLevel="0" collapsed="false">
      <c r="A54" s="12" t="s">
        <v>2971</v>
      </c>
      <c r="B54" s="5" t="s">
        <v>2972</v>
      </c>
      <c r="C54" s="12" t="s">
        <v>2971</v>
      </c>
      <c r="D54" s="12" t="s">
        <v>160</v>
      </c>
      <c r="E54" s="5" t="s">
        <v>2975</v>
      </c>
      <c r="F54" s="14"/>
      <c r="G54" s="14"/>
      <c r="H54" s="14" t="s">
        <v>87</v>
      </c>
      <c r="I54" s="14"/>
      <c r="J54" s="14"/>
      <c r="K54" s="14"/>
      <c r="L54" s="15"/>
      <c r="M54" s="12"/>
      <c r="N54" s="5"/>
      <c r="O54" s="12"/>
      <c r="P54" s="5" t="s">
        <v>2973</v>
      </c>
      <c r="Q54" s="12" t="s">
        <v>910</v>
      </c>
      <c r="R54" s="12" t="s">
        <v>2868</v>
      </c>
      <c r="S54" s="5" t="s">
        <v>2974</v>
      </c>
      <c r="T54" s="5" t="s">
        <v>2891</v>
      </c>
      <c r="U54" s="12" t="n">
        <v>5</v>
      </c>
      <c r="V54" s="12" t="n">
        <v>1</v>
      </c>
      <c r="W54" s="12" t="n">
        <v>1</v>
      </c>
      <c r="X54" s="12" t="n">
        <v>1</v>
      </c>
      <c r="Y54" s="12" t="n">
        <v>0</v>
      </c>
    </row>
    <row r="55" customFormat="false" ht="297" hidden="false" customHeight="true" outlineLevel="0" collapsed="false">
      <c r="A55" s="10" t="s">
        <v>2976</v>
      </c>
      <c r="B55" s="11" t="s">
        <v>2977</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t="s">
        <v>72</v>
      </c>
      <c r="N55" s="5" t="s">
        <v>2978</v>
      </c>
      <c r="O55" s="12" t="s">
        <v>524</v>
      </c>
      <c r="P55" s="5" t="s">
        <v>2979</v>
      </c>
      <c r="Q55" s="12" t="s">
        <v>910</v>
      </c>
      <c r="R55" s="12" t="s">
        <v>2868</v>
      </c>
      <c r="S55" s="5" t="s">
        <v>2980</v>
      </c>
      <c r="T55" s="5" t="s">
        <v>2981</v>
      </c>
      <c r="U55" s="12" t="n">
        <v>4</v>
      </c>
      <c r="V55" s="12" t="n">
        <v>2</v>
      </c>
      <c r="W55" s="12" t="n">
        <v>1</v>
      </c>
      <c r="X55" s="12" t="n">
        <v>1</v>
      </c>
      <c r="Y55" s="12" t="n">
        <v>1</v>
      </c>
    </row>
    <row r="56" customFormat="false" ht="297" hidden="false" customHeight="true" outlineLevel="0" collapsed="false">
      <c r="A56" s="12" t="s">
        <v>2976</v>
      </c>
      <c r="B56" s="5" t="s">
        <v>2977</v>
      </c>
      <c r="C56" s="12" t="s">
        <v>2976</v>
      </c>
      <c r="D56" s="12" t="s">
        <v>120</v>
      </c>
      <c r="E56" s="5" t="s">
        <v>2982</v>
      </c>
      <c r="F56" s="14"/>
      <c r="G56" s="14"/>
      <c r="H56" s="14" t="s">
        <v>87</v>
      </c>
      <c r="I56" s="14"/>
      <c r="J56" s="14"/>
      <c r="K56" s="14"/>
      <c r="L56" s="15"/>
      <c r="M56" s="12" t="s">
        <v>72</v>
      </c>
      <c r="N56" s="5" t="s">
        <v>2978</v>
      </c>
      <c r="O56" s="12" t="s">
        <v>524</v>
      </c>
      <c r="P56" s="5" t="s">
        <v>2979</v>
      </c>
      <c r="Q56" s="12" t="s">
        <v>910</v>
      </c>
      <c r="R56" s="12" t="s">
        <v>2868</v>
      </c>
      <c r="S56" s="5" t="s">
        <v>2980</v>
      </c>
      <c r="T56" s="5" t="s">
        <v>2981</v>
      </c>
      <c r="U56" s="12" t="n">
        <v>4</v>
      </c>
      <c r="V56" s="12" t="n">
        <v>2</v>
      </c>
      <c r="W56" s="12" t="n">
        <v>1</v>
      </c>
      <c r="X56" s="12" t="n">
        <v>1</v>
      </c>
      <c r="Y56" s="12" t="n">
        <v>1</v>
      </c>
    </row>
    <row r="57" customFormat="false" ht="350.25" hidden="false" customHeight="true" outlineLevel="0" collapsed="false">
      <c r="A57" s="10" t="s">
        <v>2983</v>
      </c>
      <c r="B57" s="11" t="s">
        <v>2984</v>
      </c>
      <c r="C57" s="12"/>
      <c r="D57" s="12" t="s">
        <v>160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t="s">
        <v>73</v>
      </c>
      <c r="N57" s="5"/>
      <c r="O57" s="12"/>
      <c r="P57" s="5" t="s">
        <v>2985</v>
      </c>
      <c r="Q57" s="12" t="s">
        <v>226</v>
      </c>
      <c r="R57" s="12" t="s">
        <v>805</v>
      </c>
      <c r="S57" s="5" t="s">
        <v>2986</v>
      </c>
      <c r="T57" s="5" t="s">
        <v>2981</v>
      </c>
      <c r="U57" s="12" t="n">
        <v>5</v>
      </c>
      <c r="V57" s="12" t="n">
        <v>1</v>
      </c>
      <c r="W57" s="12" t="n">
        <v>2</v>
      </c>
      <c r="X57" s="12" t="n">
        <v>1</v>
      </c>
      <c r="Y57" s="12" t="n">
        <v>1</v>
      </c>
    </row>
    <row r="58" customFormat="false" ht="350.25" hidden="false" customHeight="true" outlineLevel="0" collapsed="false">
      <c r="A58" s="12" t="s">
        <v>2983</v>
      </c>
      <c r="B58" s="5" t="s">
        <v>2984</v>
      </c>
      <c r="C58" s="12" t="s">
        <v>2983</v>
      </c>
      <c r="D58" s="12" t="s">
        <v>160</v>
      </c>
      <c r="E58" s="5" t="s">
        <v>2987</v>
      </c>
      <c r="F58" s="14"/>
      <c r="G58" s="14"/>
      <c r="H58" s="14" t="s">
        <v>87</v>
      </c>
      <c r="I58" s="14"/>
      <c r="J58" s="14"/>
      <c r="K58" s="14"/>
      <c r="L58" s="15"/>
      <c r="M58" s="12" t="s">
        <v>73</v>
      </c>
      <c r="N58" s="5"/>
      <c r="O58" s="12"/>
      <c r="P58" s="5" t="s">
        <v>2985</v>
      </c>
      <c r="Q58" s="12" t="s">
        <v>226</v>
      </c>
      <c r="R58" s="12" t="s">
        <v>805</v>
      </c>
      <c r="S58" s="5" t="s">
        <v>2986</v>
      </c>
      <c r="T58" s="5" t="s">
        <v>2981</v>
      </c>
      <c r="U58" s="12" t="n">
        <v>5</v>
      </c>
      <c r="V58" s="12" t="n">
        <v>1</v>
      </c>
      <c r="W58" s="12" t="n">
        <v>2</v>
      </c>
      <c r="X58" s="12" t="n">
        <v>1</v>
      </c>
      <c r="Y58" s="12" t="n">
        <v>1</v>
      </c>
    </row>
    <row r="59" customFormat="false" ht="283.5" hidden="false" customHeight="true" outlineLevel="0" collapsed="false">
      <c r="A59" s="10" t="s">
        <v>2988</v>
      </c>
      <c r="B59" s="11" t="s">
        <v>2989</v>
      </c>
      <c r="C59" s="12"/>
      <c r="D59" s="12" t="s">
        <v>160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73</v>
      </c>
      <c r="N59" s="5"/>
      <c r="O59" s="12"/>
      <c r="P59" s="5" t="s">
        <v>2990</v>
      </c>
      <c r="Q59" s="12" t="s">
        <v>226</v>
      </c>
      <c r="R59" s="12" t="s">
        <v>2868</v>
      </c>
      <c r="S59" s="5" t="s">
        <v>2991</v>
      </c>
      <c r="T59" s="5" t="s">
        <v>2992</v>
      </c>
      <c r="U59" s="12" t="n">
        <v>5</v>
      </c>
      <c r="V59" s="12" t="n">
        <v>1</v>
      </c>
      <c r="W59" s="12" t="n">
        <v>2</v>
      </c>
      <c r="X59" s="12" t="n">
        <v>1</v>
      </c>
      <c r="Y59" s="12" t="n">
        <v>1</v>
      </c>
    </row>
    <row r="60" customFormat="false" ht="283.5" hidden="false" customHeight="true" outlineLevel="0" collapsed="false">
      <c r="A60" s="12" t="s">
        <v>2988</v>
      </c>
      <c r="B60" s="5" t="s">
        <v>2989</v>
      </c>
      <c r="C60" s="12" t="s">
        <v>2988</v>
      </c>
      <c r="D60" s="12" t="s">
        <v>160</v>
      </c>
      <c r="E60" s="5" t="s">
        <v>2993</v>
      </c>
      <c r="F60" s="14"/>
      <c r="G60" s="14"/>
      <c r="H60" s="14" t="s">
        <v>87</v>
      </c>
      <c r="I60" s="14"/>
      <c r="J60" s="14"/>
      <c r="K60" s="14"/>
      <c r="L60" s="15"/>
      <c r="M60" s="12" t="s">
        <v>73</v>
      </c>
      <c r="N60" s="5"/>
      <c r="O60" s="12"/>
      <c r="P60" s="5" t="s">
        <v>2990</v>
      </c>
      <c r="Q60" s="12" t="s">
        <v>226</v>
      </c>
      <c r="R60" s="12" t="s">
        <v>2868</v>
      </c>
      <c r="S60" s="5" t="s">
        <v>2991</v>
      </c>
      <c r="T60" s="5" t="s">
        <v>2992</v>
      </c>
      <c r="U60" s="12" t="n">
        <v>5</v>
      </c>
      <c r="V60" s="12" t="n">
        <v>1</v>
      </c>
      <c r="W60" s="12" t="n">
        <v>2</v>
      </c>
      <c r="X60" s="12" t="n">
        <v>1</v>
      </c>
      <c r="Y60" s="12" t="n">
        <v>1</v>
      </c>
    </row>
    <row r="61" customFormat="false" ht="54.75" hidden="false" customHeight="true" outlineLevel="0" collapsed="false">
      <c r="A61" s="10" t="s">
        <v>2994</v>
      </c>
      <c r="B61" s="11" t="s">
        <v>2995</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73</v>
      </c>
      <c r="N61" s="5"/>
      <c r="O61" s="12"/>
      <c r="P61" s="5" t="s">
        <v>2996</v>
      </c>
      <c r="Q61" s="12" t="s">
        <v>226</v>
      </c>
      <c r="R61" s="12" t="s">
        <v>2868</v>
      </c>
      <c r="S61" s="5" t="s">
        <v>2997</v>
      </c>
      <c r="T61" s="5" t="s">
        <v>306</v>
      </c>
      <c r="U61" s="12" t="n">
        <v>4</v>
      </c>
      <c r="V61" s="12" t="n">
        <v>1</v>
      </c>
      <c r="W61" s="12" t="n">
        <v>2</v>
      </c>
      <c r="X61" s="12" t="n">
        <v>1</v>
      </c>
      <c r="Y61" s="12" t="n">
        <v>0</v>
      </c>
    </row>
    <row r="62" customFormat="false" ht="54.75" hidden="false" customHeight="true" outlineLevel="0" collapsed="false">
      <c r="A62" s="12" t="s">
        <v>2994</v>
      </c>
      <c r="B62" s="5" t="s">
        <v>2995</v>
      </c>
      <c r="C62" s="12" t="s">
        <v>2994</v>
      </c>
      <c r="D62" s="12" t="s">
        <v>120</v>
      </c>
      <c r="E62" s="5" t="s">
        <v>2998</v>
      </c>
      <c r="F62" s="14"/>
      <c r="G62" s="14"/>
      <c r="H62" s="14" t="s">
        <v>87</v>
      </c>
      <c r="I62" s="14"/>
      <c r="J62" s="14"/>
      <c r="K62" s="14"/>
      <c r="L62" s="15"/>
      <c r="M62" s="12" t="s">
        <v>73</v>
      </c>
      <c r="N62" s="5"/>
      <c r="O62" s="12"/>
      <c r="P62" s="5" t="s">
        <v>2996</v>
      </c>
      <c r="Q62" s="12" t="s">
        <v>226</v>
      </c>
      <c r="R62" s="12" t="s">
        <v>2868</v>
      </c>
      <c r="S62" s="5" t="s">
        <v>2997</v>
      </c>
      <c r="T62" s="5" t="s">
        <v>306</v>
      </c>
      <c r="U62" s="12" t="n">
        <v>4</v>
      </c>
      <c r="V62" s="12" t="n">
        <v>1</v>
      </c>
      <c r="W62" s="12" t="n">
        <v>2</v>
      </c>
      <c r="X62" s="12" t="n">
        <v>1</v>
      </c>
      <c r="Y62" s="12" t="n">
        <v>0</v>
      </c>
    </row>
    <row r="63" customFormat="false" ht="202.5" hidden="false" customHeight="true" outlineLevel="0" collapsed="false">
      <c r="A63" s="10" t="s">
        <v>2999</v>
      </c>
      <c r="B63" s="11" t="s">
        <v>3000</v>
      </c>
      <c r="C63" s="12"/>
      <c r="D63" s="12" t="s">
        <v>120</v>
      </c>
      <c r="E63" s="5" t="s">
        <v>79</v>
      </c>
      <c r="F63" s="12"/>
      <c r="G63" s="12"/>
      <c r="H63" s="13" t="str">
        <f aca="false">IF(OR(COUNTBLANK($H$64:$H$65)&gt;0,COUNTIF($H$64:$H$65,"unbearbeitet")=COUNTA($H$64:$H$65)),"Bitte Teilanforderungen ausfüllen",IF(COUNTIF($H$64:$H$65,"zu klären")&gt;0,"zu klären",IF(COUNTIF($H$64:$H$65,"entbehrlich")=COUNTA($H$64:$H$65),"entbehrlich",IF(COUNTIF($H$64:$H$65,"verwiesen")=COUNTA($H$64:$H$65),"verwiesen",IF(COUNTIF($H$64:$H$65,"nein")+COUNTIF($H$64:$H$65,"entbehrlich")=COUNTA($H$64:$H$65),"nein",IF(COUNTIF($H$64:$H$65,"ja")+COUNTIF($H$64:$H$65,"entbehrlich")+COUNTIF($H$64:$H$65,"verwiesen")=COUNTA($H$64:$H$65),"ja","teilweise"))))))</f>
        <v>Bitte Teilanforderungen ausfüllen</v>
      </c>
      <c r="I63" s="12"/>
      <c r="J63" s="12"/>
      <c r="K63" s="12"/>
      <c r="L63" s="12"/>
      <c r="M63" s="12" t="s">
        <v>73</v>
      </c>
      <c r="N63" s="5"/>
      <c r="O63" s="12"/>
      <c r="P63" s="5" t="s">
        <v>3001</v>
      </c>
      <c r="Q63" s="12" t="s">
        <v>226</v>
      </c>
      <c r="R63" s="12" t="s">
        <v>2868</v>
      </c>
      <c r="S63" s="5" t="s">
        <v>3002</v>
      </c>
      <c r="T63" s="5" t="s">
        <v>306</v>
      </c>
      <c r="U63" s="12" t="n">
        <v>3</v>
      </c>
      <c r="V63" s="12" t="n">
        <v>1</v>
      </c>
      <c r="W63" s="12" t="n">
        <v>2</v>
      </c>
      <c r="X63" s="12" t="n">
        <v>1</v>
      </c>
      <c r="Y63" s="12" t="n">
        <v>0</v>
      </c>
    </row>
    <row r="64" customFormat="false" ht="202.5" hidden="false" customHeight="true" outlineLevel="0" collapsed="false">
      <c r="A64" s="12" t="s">
        <v>2999</v>
      </c>
      <c r="B64" s="5" t="s">
        <v>3000</v>
      </c>
      <c r="C64" s="12" t="s">
        <v>2999</v>
      </c>
      <c r="D64" s="12" t="s">
        <v>120</v>
      </c>
      <c r="E64" s="5" t="s">
        <v>3003</v>
      </c>
      <c r="F64" s="14"/>
      <c r="G64" s="14"/>
      <c r="H64" s="14" t="s">
        <v>87</v>
      </c>
      <c r="I64" s="14"/>
      <c r="J64" s="14"/>
      <c r="K64" s="14"/>
      <c r="L64" s="15"/>
      <c r="M64" s="12" t="s">
        <v>73</v>
      </c>
      <c r="N64" s="5"/>
      <c r="O64" s="12"/>
      <c r="P64" s="5" t="s">
        <v>3001</v>
      </c>
      <c r="Q64" s="12" t="s">
        <v>226</v>
      </c>
      <c r="R64" s="12" t="s">
        <v>2868</v>
      </c>
      <c r="S64" s="5" t="s">
        <v>3002</v>
      </c>
      <c r="T64" s="5" t="s">
        <v>306</v>
      </c>
      <c r="U64" s="12" t="n">
        <v>3</v>
      </c>
      <c r="V64" s="12" t="n">
        <v>1</v>
      </c>
      <c r="W64" s="12" t="n">
        <v>2</v>
      </c>
      <c r="X64" s="12" t="n">
        <v>1</v>
      </c>
      <c r="Y64" s="12" t="n">
        <v>0</v>
      </c>
    </row>
    <row r="65" customFormat="false" ht="189" hidden="false" customHeight="true" outlineLevel="0" collapsed="false">
      <c r="A65" s="12" t="s">
        <v>2999</v>
      </c>
      <c r="B65" s="5" t="s">
        <v>3000</v>
      </c>
      <c r="C65" s="12" t="s">
        <v>3004</v>
      </c>
      <c r="D65" s="12" t="s">
        <v>120</v>
      </c>
      <c r="E65" s="5" t="s">
        <v>3005</v>
      </c>
      <c r="F65" s="14"/>
      <c r="G65" s="14"/>
      <c r="H65" s="14" t="s">
        <v>87</v>
      </c>
      <c r="I65" s="14"/>
      <c r="J65" s="14"/>
      <c r="K65" s="14"/>
      <c r="L65" s="15"/>
      <c r="M65" s="12" t="s">
        <v>73</v>
      </c>
      <c r="N65" s="5"/>
      <c r="O65" s="12"/>
      <c r="P65" s="5" t="s">
        <v>3006</v>
      </c>
      <c r="Q65" s="12" t="s">
        <v>469</v>
      </c>
      <c r="R65" s="12" t="s">
        <v>2868</v>
      </c>
      <c r="S65" s="5" t="s">
        <v>3007</v>
      </c>
      <c r="T65" s="5" t="s">
        <v>306</v>
      </c>
      <c r="U65" s="12" t="n">
        <v>3</v>
      </c>
      <c r="V65" s="12" t="n">
        <v>1</v>
      </c>
      <c r="W65" s="12" t="n">
        <v>2</v>
      </c>
      <c r="X65" s="12" t="n">
        <v>1</v>
      </c>
      <c r="Y65" s="12" t="n">
        <v>0</v>
      </c>
    </row>
    <row r="66" customFormat="false" ht="175.5" hidden="false" customHeight="true" outlineLevel="0" collapsed="false">
      <c r="A66" s="10" t="s">
        <v>3008</v>
      </c>
      <c r="B66" s="11" t="s">
        <v>3009</v>
      </c>
      <c r="C66" s="12"/>
      <c r="D66" s="12" t="s">
        <v>120</v>
      </c>
      <c r="E66" s="5" t="s">
        <v>79</v>
      </c>
      <c r="F66" s="12"/>
      <c r="G66" s="12"/>
      <c r="H66" s="13" t="str">
        <f aca="false">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2"/>
      <c r="J66" s="12"/>
      <c r="K66" s="12"/>
      <c r="L66" s="12"/>
      <c r="M66" s="12"/>
      <c r="N66" s="5"/>
      <c r="O66" s="12"/>
      <c r="P66" s="5" t="s">
        <v>3010</v>
      </c>
      <c r="Q66" s="12" t="s">
        <v>124</v>
      </c>
      <c r="R66" s="12" t="s">
        <v>2868</v>
      </c>
      <c r="S66" s="5" t="s">
        <v>3011</v>
      </c>
      <c r="T66" s="5" t="s">
        <v>306</v>
      </c>
      <c r="U66" s="12" t="n">
        <v>3</v>
      </c>
      <c r="V66" s="12" t="n">
        <v>1</v>
      </c>
      <c r="W66" s="12" t="n">
        <v>1</v>
      </c>
      <c r="X66" s="12" t="n">
        <v>1</v>
      </c>
      <c r="Y66" s="12" t="n">
        <v>0</v>
      </c>
    </row>
    <row r="67" customFormat="false" ht="175.5" hidden="false" customHeight="true" outlineLevel="0" collapsed="false">
      <c r="A67" s="12" t="s">
        <v>3008</v>
      </c>
      <c r="B67" s="5" t="s">
        <v>3009</v>
      </c>
      <c r="C67" s="12" t="s">
        <v>3008</v>
      </c>
      <c r="D67" s="12" t="s">
        <v>120</v>
      </c>
      <c r="E67" s="5" t="s">
        <v>3012</v>
      </c>
      <c r="F67" s="14"/>
      <c r="G67" s="14"/>
      <c r="H67" s="14" t="s">
        <v>87</v>
      </c>
      <c r="I67" s="14"/>
      <c r="J67" s="14"/>
      <c r="K67" s="14"/>
      <c r="L67" s="15"/>
      <c r="M67" s="12"/>
      <c r="N67" s="5"/>
      <c r="O67" s="12"/>
      <c r="P67" s="5" t="s">
        <v>3010</v>
      </c>
      <c r="Q67" s="12" t="s">
        <v>124</v>
      </c>
      <c r="R67" s="12" t="s">
        <v>2868</v>
      </c>
      <c r="S67" s="5" t="s">
        <v>3011</v>
      </c>
      <c r="T67" s="5" t="s">
        <v>306</v>
      </c>
      <c r="U67" s="12" t="n">
        <v>3</v>
      </c>
      <c r="V67" s="12" t="n">
        <v>1</v>
      </c>
      <c r="W67" s="12" t="n">
        <v>1</v>
      </c>
      <c r="X67" s="12" t="n">
        <v>1</v>
      </c>
      <c r="Y67" s="12" t="n">
        <v>0</v>
      </c>
    </row>
    <row r="68" customFormat="false" ht="363.75" hidden="false" customHeight="true" outlineLevel="0" collapsed="false">
      <c r="A68" s="10" t="s">
        <v>3013</v>
      </c>
      <c r="B68" s="11" t="s">
        <v>3014</v>
      </c>
      <c r="C68" s="12"/>
      <c r="D68" s="12" t="s">
        <v>160</v>
      </c>
      <c r="E68" s="5" t="s">
        <v>79</v>
      </c>
      <c r="F68" s="12"/>
      <c r="G68" s="12"/>
      <c r="H68" s="13" t="str">
        <f aca="false">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2"/>
      <c r="J68" s="12"/>
      <c r="K68" s="12"/>
      <c r="L68" s="12"/>
      <c r="M68" s="12"/>
      <c r="N68" s="5" t="s">
        <v>3015</v>
      </c>
      <c r="O68" s="12" t="s">
        <v>524</v>
      </c>
      <c r="P68" s="5" t="s">
        <v>3016</v>
      </c>
      <c r="Q68" s="12" t="s">
        <v>3017</v>
      </c>
      <c r="R68" s="12" t="s">
        <v>2868</v>
      </c>
      <c r="S68" s="5" t="s">
        <v>3018</v>
      </c>
      <c r="T68" s="5" t="s">
        <v>3019</v>
      </c>
      <c r="U68" s="12" t="n">
        <v>5</v>
      </c>
      <c r="V68" s="12" t="n">
        <v>0</v>
      </c>
      <c r="W68" s="12" t="n">
        <v>1</v>
      </c>
      <c r="X68" s="12" t="n">
        <v>1</v>
      </c>
      <c r="Y68" s="12" t="n">
        <v>0</v>
      </c>
    </row>
    <row r="69" customFormat="false" ht="363.75" hidden="false" customHeight="true" outlineLevel="0" collapsed="false">
      <c r="A69" s="12" t="s">
        <v>3013</v>
      </c>
      <c r="B69" s="5" t="s">
        <v>3014</v>
      </c>
      <c r="C69" s="12" t="s">
        <v>3013</v>
      </c>
      <c r="D69" s="12" t="s">
        <v>160</v>
      </c>
      <c r="E69" s="5" t="s">
        <v>3020</v>
      </c>
      <c r="F69" s="14"/>
      <c r="G69" s="14"/>
      <c r="H69" s="14" t="s">
        <v>87</v>
      </c>
      <c r="I69" s="14"/>
      <c r="J69" s="14"/>
      <c r="K69" s="14"/>
      <c r="L69" s="15"/>
      <c r="M69" s="12"/>
      <c r="N69" s="5" t="s">
        <v>3015</v>
      </c>
      <c r="O69" s="12" t="s">
        <v>524</v>
      </c>
      <c r="P69" s="5" t="s">
        <v>3016</v>
      </c>
      <c r="Q69" s="12" t="s">
        <v>3017</v>
      </c>
      <c r="R69" s="12" t="s">
        <v>2868</v>
      </c>
      <c r="S69" s="5" t="s">
        <v>3018</v>
      </c>
      <c r="T69" s="5" t="s">
        <v>3019</v>
      </c>
      <c r="U69" s="12" t="n">
        <v>5</v>
      </c>
      <c r="V69" s="12" t="n">
        <v>0</v>
      </c>
      <c r="W69" s="12" t="n">
        <v>1</v>
      </c>
      <c r="X69" s="12" t="n">
        <v>1</v>
      </c>
      <c r="Y69" s="12" t="n">
        <v>0</v>
      </c>
    </row>
    <row r="70" customFormat="false" ht="309.75" hidden="false" customHeight="true" outlineLevel="0" collapsed="false">
      <c r="A70" s="10" t="s">
        <v>3021</v>
      </c>
      <c r="B70" s="11" t="s">
        <v>3022</v>
      </c>
      <c r="C70" s="12"/>
      <c r="D70" s="12" t="s">
        <v>120</v>
      </c>
      <c r="E70" s="5" t="s">
        <v>79</v>
      </c>
      <c r="F70" s="12"/>
      <c r="G70" s="12"/>
      <c r="H70" s="13" t="str">
        <f aca="false">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Bitte Teilanforderungen ausfüllen</v>
      </c>
      <c r="I70" s="12"/>
      <c r="J70" s="12"/>
      <c r="K70" s="12"/>
      <c r="L70" s="12"/>
      <c r="M70" s="12"/>
      <c r="N70" s="5"/>
      <c r="O70" s="12"/>
      <c r="P70" s="5" t="s">
        <v>3023</v>
      </c>
      <c r="Q70" s="12" t="s">
        <v>910</v>
      </c>
      <c r="R70" s="12" t="s">
        <v>100</v>
      </c>
      <c r="S70" s="5" t="s">
        <v>3024</v>
      </c>
      <c r="T70" s="5" t="s">
        <v>306</v>
      </c>
      <c r="U70" s="12" t="n">
        <v>3</v>
      </c>
      <c r="V70" s="12" t="n">
        <v>1</v>
      </c>
      <c r="W70" s="12" t="n">
        <v>1</v>
      </c>
      <c r="X70" s="12" t="n">
        <v>1</v>
      </c>
      <c r="Y70" s="12" t="n">
        <v>0</v>
      </c>
    </row>
    <row r="71" customFormat="false" ht="309.75" hidden="false" customHeight="true" outlineLevel="0" collapsed="false">
      <c r="A71" s="12" t="s">
        <v>3021</v>
      </c>
      <c r="B71" s="5" t="s">
        <v>3022</v>
      </c>
      <c r="C71" s="12" t="s">
        <v>3021</v>
      </c>
      <c r="D71" s="12" t="s">
        <v>120</v>
      </c>
      <c r="E71" s="5" t="s">
        <v>3025</v>
      </c>
      <c r="F71" s="14"/>
      <c r="G71" s="14"/>
      <c r="H71" s="14" t="s">
        <v>87</v>
      </c>
      <c r="I71" s="14"/>
      <c r="J71" s="14"/>
      <c r="K71" s="14"/>
      <c r="L71" s="15"/>
      <c r="M71" s="12"/>
      <c r="N71" s="5"/>
      <c r="O71" s="12"/>
      <c r="P71" s="5" t="s">
        <v>3023</v>
      </c>
      <c r="Q71" s="12" t="s">
        <v>910</v>
      </c>
      <c r="R71" s="12" t="s">
        <v>100</v>
      </c>
      <c r="S71" s="5" t="s">
        <v>3024</v>
      </c>
      <c r="T71" s="5" t="s">
        <v>306</v>
      </c>
      <c r="U71" s="12" t="n">
        <v>3</v>
      </c>
      <c r="V71" s="12" t="n">
        <v>1</v>
      </c>
      <c r="W71" s="12" t="n">
        <v>1</v>
      </c>
      <c r="X71" s="12" t="n">
        <v>1</v>
      </c>
      <c r="Y71" s="12" t="n">
        <v>0</v>
      </c>
    </row>
    <row r="72" customFormat="false" ht="54.75" hidden="false" customHeight="true" outlineLevel="0" collapsed="false">
      <c r="A72" s="10" t="s">
        <v>3026</v>
      </c>
      <c r="B72" s="11" t="s">
        <v>3027</v>
      </c>
      <c r="C72" s="12"/>
      <c r="D72" s="12" t="s">
        <v>120</v>
      </c>
      <c r="E72" s="5" t="s">
        <v>79</v>
      </c>
      <c r="F72" s="12"/>
      <c r="G72" s="12"/>
      <c r="H72" s="13" t="str">
        <f aca="false">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2"/>
      <c r="J72" s="12"/>
      <c r="K72" s="12"/>
      <c r="L72" s="12"/>
      <c r="M72" s="12"/>
      <c r="N72" s="5"/>
      <c r="O72" s="12"/>
      <c r="P72" s="5" t="s">
        <v>3028</v>
      </c>
      <c r="Q72" s="12" t="s">
        <v>2936</v>
      </c>
      <c r="R72" s="12" t="s">
        <v>688</v>
      </c>
      <c r="S72" s="5" t="s">
        <v>3029</v>
      </c>
      <c r="T72" s="5" t="s">
        <v>306</v>
      </c>
      <c r="U72" s="12" t="n">
        <v>2</v>
      </c>
      <c r="V72" s="12" t="n">
        <v>1</v>
      </c>
      <c r="W72" s="12" t="n">
        <v>1</v>
      </c>
      <c r="X72" s="12" t="n">
        <v>1</v>
      </c>
      <c r="Y72" s="12" t="n">
        <v>0</v>
      </c>
    </row>
    <row r="73" customFormat="false" ht="54.75" hidden="false" customHeight="true" outlineLevel="0" collapsed="false">
      <c r="A73" s="12" t="s">
        <v>3026</v>
      </c>
      <c r="B73" s="5" t="s">
        <v>3027</v>
      </c>
      <c r="C73" s="12" t="s">
        <v>3026</v>
      </c>
      <c r="D73" s="12" t="s">
        <v>120</v>
      </c>
      <c r="E73" s="5" t="s">
        <v>3030</v>
      </c>
      <c r="F73" s="14"/>
      <c r="G73" s="14"/>
      <c r="H73" s="14" t="s">
        <v>87</v>
      </c>
      <c r="I73" s="14"/>
      <c r="J73" s="14"/>
      <c r="K73" s="14"/>
      <c r="L73" s="15"/>
      <c r="M73" s="12"/>
      <c r="N73" s="5"/>
      <c r="O73" s="12"/>
      <c r="P73" s="5" t="s">
        <v>3028</v>
      </c>
      <c r="Q73" s="12" t="s">
        <v>2936</v>
      </c>
      <c r="R73" s="12" t="s">
        <v>688</v>
      </c>
      <c r="S73" s="5" t="s">
        <v>3029</v>
      </c>
      <c r="T73" s="5" t="s">
        <v>306</v>
      </c>
      <c r="U73" s="12" t="n">
        <v>2</v>
      </c>
      <c r="V73" s="12" t="n">
        <v>1</v>
      </c>
      <c r="W73" s="12" t="n">
        <v>1</v>
      </c>
      <c r="X73" s="12" t="n">
        <v>1</v>
      </c>
      <c r="Y73" s="12" t="n">
        <v>0</v>
      </c>
    </row>
    <row r="74" customFormat="false" ht="202.5" hidden="false" customHeight="true" outlineLevel="0" collapsed="false">
      <c r="A74" s="10" t="s">
        <v>3031</v>
      </c>
      <c r="B74" s="11" t="s">
        <v>3032</v>
      </c>
      <c r="C74" s="12"/>
      <c r="D74" s="12" t="s">
        <v>120</v>
      </c>
      <c r="E74" s="5" t="s">
        <v>79</v>
      </c>
      <c r="F74" s="12"/>
      <c r="G74" s="12"/>
      <c r="H74" s="13" t="str">
        <f aca="false">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2"/>
      <c r="J74" s="12"/>
      <c r="K74" s="12"/>
      <c r="L74" s="12"/>
      <c r="M74" s="12"/>
      <c r="N74" s="5"/>
      <c r="O74" s="12"/>
      <c r="P74" s="5" t="s">
        <v>3033</v>
      </c>
      <c r="Q74" s="12" t="s">
        <v>910</v>
      </c>
      <c r="R74" s="12" t="s">
        <v>115</v>
      </c>
      <c r="S74" s="5" t="s">
        <v>3034</v>
      </c>
      <c r="T74" s="5" t="s">
        <v>306</v>
      </c>
      <c r="U74" s="12" t="n">
        <v>3</v>
      </c>
      <c r="V74" s="12" t="n">
        <v>1</v>
      </c>
      <c r="W74" s="12" t="n">
        <v>1</v>
      </c>
      <c r="X74" s="12" t="n">
        <v>1</v>
      </c>
      <c r="Y74" s="12" t="n">
        <v>0</v>
      </c>
    </row>
    <row r="75" customFormat="false" ht="202.5" hidden="false" customHeight="true" outlineLevel="0" collapsed="false">
      <c r="A75" s="12" t="s">
        <v>3031</v>
      </c>
      <c r="B75" s="5" t="s">
        <v>3032</v>
      </c>
      <c r="C75" s="12" t="s">
        <v>3031</v>
      </c>
      <c r="D75" s="12" t="s">
        <v>120</v>
      </c>
      <c r="E75" s="5" t="s">
        <v>3035</v>
      </c>
      <c r="F75" s="14"/>
      <c r="G75" s="14"/>
      <c r="H75" s="14" t="s">
        <v>87</v>
      </c>
      <c r="I75" s="14"/>
      <c r="J75" s="14"/>
      <c r="K75" s="14"/>
      <c r="L75" s="15"/>
      <c r="M75" s="12"/>
      <c r="N75" s="5"/>
      <c r="O75" s="12"/>
      <c r="P75" s="5" t="s">
        <v>3033</v>
      </c>
      <c r="Q75" s="12" t="s">
        <v>910</v>
      </c>
      <c r="R75" s="12" t="s">
        <v>115</v>
      </c>
      <c r="S75" s="5" t="s">
        <v>3034</v>
      </c>
      <c r="T75" s="5" t="s">
        <v>306</v>
      </c>
      <c r="U75" s="12" t="n">
        <v>3</v>
      </c>
      <c r="V75" s="12" t="n">
        <v>1</v>
      </c>
      <c r="W75" s="12" t="n">
        <v>1</v>
      </c>
      <c r="X75" s="12" t="n">
        <v>1</v>
      </c>
      <c r="Y75" s="12" t="n">
        <v>0</v>
      </c>
    </row>
    <row r="76" customFormat="false" ht="95.25" hidden="false" customHeight="true" outlineLevel="0" collapsed="false">
      <c r="A76" s="10" t="s">
        <v>3036</v>
      </c>
      <c r="B76" s="11" t="s">
        <v>3037</v>
      </c>
      <c r="C76" s="12"/>
      <c r="D76" s="12" t="s">
        <v>120</v>
      </c>
      <c r="E76" s="5" t="s">
        <v>79</v>
      </c>
      <c r="F76" s="12"/>
      <c r="G76" s="12"/>
      <c r="H76" s="13" t="str">
        <f aca="false">IF(OR(COUNTBLANK($H$77:$H$78)&gt;0,COUNTIF($H$77:$H$78,"unbearbeitet")=COUNTA($H$77:$H$78)),"Bitte Teilanforderungen ausfüllen",IF(COUNTIF($H$77:$H$78,"zu klären")&gt;0,"zu klären",IF(COUNTIF($H$77:$H$78,"entbehrlich")=COUNTA($H$77:$H$78),"entbehrlich",IF(COUNTIF($H$77:$H$78,"verwiesen")=COUNTA($H$77:$H$78),"verwiesen",IF(COUNTIF($H$77:$H$78,"nein")+COUNTIF($H$77:$H$78,"entbehrlich")=COUNTA($H$77:$H$78),"nein",IF(COUNTIF($H$77:$H$78,"ja")+COUNTIF($H$77:$H$78,"entbehrlich")+COUNTIF($H$77:$H$78,"verwiesen")=COUNTA($H$77:$H$78),"ja","teilweise"))))))</f>
        <v>Bitte Teilanforderungen ausfüllen</v>
      </c>
      <c r="I76" s="12"/>
      <c r="J76" s="12"/>
      <c r="K76" s="12"/>
      <c r="L76" s="12"/>
      <c r="M76" s="12" t="s">
        <v>72</v>
      </c>
      <c r="N76" s="5" t="s">
        <v>2941</v>
      </c>
      <c r="O76" s="12" t="s">
        <v>524</v>
      </c>
      <c r="P76" s="5" t="s">
        <v>3038</v>
      </c>
      <c r="Q76" s="12" t="s">
        <v>910</v>
      </c>
      <c r="R76" s="12" t="s">
        <v>2868</v>
      </c>
      <c r="S76" s="5" t="s">
        <v>3039</v>
      </c>
      <c r="T76" s="5" t="s">
        <v>3040</v>
      </c>
      <c r="U76" s="12" t="n">
        <v>2</v>
      </c>
      <c r="V76" s="12" t="n">
        <v>2</v>
      </c>
      <c r="W76" s="12" t="n">
        <v>1</v>
      </c>
      <c r="X76" s="12" t="n">
        <v>1</v>
      </c>
      <c r="Y76" s="12" t="n">
        <v>0</v>
      </c>
    </row>
    <row r="77" customFormat="false" ht="95.25" hidden="false" customHeight="true" outlineLevel="0" collapsed="false">
      <c r="A77" s="12" t="s">
        <v>3036</v>
      </c>
      <c r="B77" s="5" t="s">
        <v>3037</v>
      </c>
      <c r="C77" s="12" t="s">
        <v>3036</v>
      </c>
      <c r="D77" s="12" t="s">
        <v>120</v>
      </c>
      <c r="E77" s="5" t="s">
        <v>3041</v>
      </c>
      <c r="F77" s="14"/>
      <c r="G77" s="14"/>
      <c r="H77" s="14" t="s">
        <v>87</v>
      </c>
      <c r="I77" s="14"/>
      <c r="J77" s="14"/>
      <c r="K77" s="14"/>
      <c r="L77" s="15"/>
      <c r="M77" s="12" t="s">
        <v>72</v>
      </c>
      <c r="N77" s="5" t="s">
        <v>2941</v>
      </c>
      <c r="O77" s="12" t="s">
        <v>524</v>
      </c>
      <c r="P77" s="5" t="s">
        <v>3038</v>
      </c>
      <c r="Q77" s="12" t="s">
        <v>910</v>
      </c>
      <c r="R77" s="12" t="s">
        <v>2868</v>
      </c>
      <c r="S77" s="5" t="s">
        <v>3039</v>
      </c>
      <c r="T77" s="5" t="s">
        <v>3040</v>
      </c>
      <c r="U77" s="12" t="n">
        <v>2</v>
      </c>
      <c r="V77" s="12" t="n">
        <v>2</v>
      </c>
      <c r="W77" s="12" t="n">
        <v>1</v>
      </c>
      <c r="X77" s="12" t="n">
        <v>1</v>
      </c>
      <c r="Y77" s="12" t="n">
        <v>0</v>
      </c>
    </row>
    <row r="78" customFormat="false" ht="41.25" hidden="false" customHeight="true" outlineLevel="0" collapsed="false">
      <c r="A78" s="12" t="s">
        <v>3036</v>
      </c>
      <c r="B78" s="5" t="s">
        <v>3037</v>
      </c>
      <c r="C78" s="12" t="s">
        <v>3042</v>
      </c>
      <c r="D78" s="12" t="s">
        <v>160</v>
      </c>
      <c r="E78" s="5" t="s">
        <v>3043</v>
      </c>
      <c r="F78" s="14"/>
      <c r="G78" s="14"/>
      <c r="H78" s="14" t="s">
        <v>87</v>
      </c>
      <c r="I78" s="14"/>
      <c r="J78" s="14"/>
      <c r="K78" s="14"/>
      <c r="L78" s="15"/>
      <c r="M78" s="12" t="s">
        <v>74</v>
      </c>
      <c r="N78" s="5"/>
      <c r="O78" s="12"/>
      <c r="P78" s="5" t="s">
        <v>3044</v>
      </c>
      <c r="Q78" s="12" t="s">
        <v>910</v>
      </c>
      <c r="R78" s="12" t="s">
        <v>2868</v>
      </c>
      <c r="S78" s="5" t="s">
        <v>3045</v>
      </c>
      <c r="T78" s="5" t="s">
        <v>306</v>
      </c>
      <c r="U78" s="12" t="n">
        <v>4</v>
      </c>
      <c r="V78" s="12" t="n">
        <v>1</v>
      </c>
      <c r="W78" s="12" t="n">
        <v>1</v>
      </c>
      <c r="X78" s="12" t="n">
        <v>2</v>
      </c>
      <c r="Y78" s="12" t="n">
        <v>0</v>
      </c>
    </row>
    <row r="79" customFormat="false" ht="54.75" hidden="false" customHeight="true" outlineLevel="0" collapsed="false">
      <c r="A79" s="10" t="s">
        <v>3046</v>
      </c>
      <c r="B79" s="11" t="s">
        <v>3047</v>
      </c>
      <c r="C79" s="12"/>
      <c r="D79" s="12" t="s">
        <v>160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t="s">
        <v>74</v>
      </c>
      <c r="N79" s="5"/>
      <c r="O79" s="12"/>
      <c r="P79" s="5" t="s">
        <v>3048</v>
      </c>
      <c r="Q79" s="12" t="s">
        <v>3049</v>
      </c>
      <c r="R79" s="12" t="s">
        <v>92</v>
      </c>
      <c r="S79" s="5" t="s">
        <v>3050</v>
      </c>
      <c r="T79" s="5" t="s">
        <v>3051</v>
      </c>
      <c r="U79" s="12" t="n">
        <v>5</v>
      </c>
      <c r="V79" s="12" t="n">
        <v>1</v>
      </c>
      <c r="W79" s="12" t="n">
        <v>1</v>
      </c>
      <c r="X79" s="12" t="n">
        <v>2</v>
      </c>
      <c r="Y79" s="12" t="n">
        <v>0</v>
      </c>
    </row>
    <row r="80" customFormat="false" ht="54.75" hidden="false" customHeight="true" outlineLevel="0" collapsed="false">
      <c r="A80" s="12" t="s">
        <v>3046</v>
      </c>
      <c r="B80" s="5" t="s">
        <v>3047</v>
      </c>
      <c r="C80" s="12" t="s">
        <v>3046</v>
      </c>
      <c r="D80" s="12" t="s">
        <v>160</v>
      </c>
      <c r="E80" s="5" t="s">
        <v>3052</v>
      </c>
      <c r="F80" s="14"/>
      <c r="G80" s="14"/>
      <c r="H80" s="14" t="s">
        <v>87</v>
      </c>
      <c r="I80" s="14"/>
      <c r="J80" s="14"/>
      <c r="K80" s="14"/>
      <c r="L80" s="15"/>
      <c r="M80" s="12" t="s">
        <v>74</v>
      </c>
      <c r="N80" s="5"/>
      <c r="O80" s="12"/>
      <c r="P80" s="5" t="s">
        <v>3048</v>
      </c>
      <c r="Q80" s="12" t="s">
        <v>3049</v>
      </c>
      <c r="R80" s="12" t="s">
        <v>92</v>
      </c>
      <c r="S80" s="5" t="s">
        <v>3050</v>
      </c>
      <c r="T80" s="5" t="s">
        <v>3051</v>
      </c>
      <c r="U80" s="12" t="n">
        <v>5</v>
      </c>
      <c r="V80" s="12" t="n">
        <v>1</v>
      </c>
      <c r="W80" s="12" t="n">
        <v>1</v>
      </c>
      <c r="X80" s="12" t="n">
        <v>2</v>
      </c>
      <c r="Y80" s="12" t="n">
        <v>0</v>
      </c>
    </row>
    <row r="81" customFormat="false" ht="54.75" hidden="false" customHeight="true" outlineLevel="0" collapsed="false">
      <c r="A81" s="10" t="s">
        <v>3053</v>
      </c>
      <c r="B81" s="11" t="s">
        <v>3054</v>
      </c>
      <c r="C81" s="12"/>
      <c r="D81" s="12" t="s">
        <v>160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74</v>
      </c>
      <c r="N81" s="5"/>
      <c r="O81" s="12"/>
      <c r="P81" s="5" t="s">
        <v>3055</v>
      </c>
      <c r="Q81" s="12" t="s">
        <v>910</v>
      </c>
      <c r="R81" s="12" t="s">
        <v>2868</v>
      </c>
      <c r="S81" s="5" t="s">
        <v>3056</v>
      </c>
      <c r="T81" s="5" t="s">
        <v>306</v>
      </c>
      <c r="U81" s="12" t="n">
        <v>5</v>
      </c>
      <c r="V81" s="12" t="n">
        <v>1</v>
      </c>
      <c r="W81" s="12" t="n">
        <v>1</v>
      </c>
      <c r="X81" s="12" t="n">
        <v>2</v>
      </c>
      <c r="Y81" s="12" t="n">
        <v>0</v>
      </c>
    </row>
    <row r="82" customFormat="false" ht="54.75" hidden="false" customHeight="true" outlineLevel="0" collapsed="false">
      <c r="A82" s="12" t="s">
        <v>3053</v>
      </c>
      <c r="B82" s="5" t="s">
        <v>3054</v>
      </c>
      <c r="C82" s="12" t="s">
        <v>3053</v>
      </c>
      <c r="D82" s="12" t="s">
        <v>160</v>
      </c>
      <c r="E82" s="5" t="s">
        <v>3057</v>
      </c>
      <c r="F82" s="14"/>
      <c r="G82" s="14"/>
      <c r="H82" s="14" t="s">
        <v>87</v>
      </c>
      <c r="I82" s="14"/>
      <c r="J82" s="14"/>
      <c r="K82" s="14"/>
      <c r="L82" s="15"/>
      <c r="M82" s="12" t="s">
        <v>74</v>
      </c>
      <c r="N82" s="5"/>
      <c r="O82" s="12"/>
      <c r="P82" s="5" t="s">
        <v>3055</v>
      </c>
      <c r="Q82" s="12" t="s">
        <v>910</v>
      </c>
      <c r="R82" s="12" t="s">
        <v>2868</v>
      </c>
      <c r="S82" s="5" t="s">
        <v>3056</v>
      </c>
      <c r="T82" s="5" t="s">
        <v>306</v>
      </c>
      <c r="U82" s="12" t="n">
        <v>5</v>
      </c>
      <c r="V82" s="12" t="n">
        <v>1</v>
      </c>
      <c r="W82" s="12" t="n">
        <v>1</v>
      </c>
      <c r="X82" s="12" t="n">
        <v>2</v>
      </c>
      <c r="Y82" s="12" t="n">
        <v>0</v>
      </c>
    </row>
    <row r="83" customFormat="false" ht="95.25" hidden="false" customHeight="true" outlineLevel="0" collapsed="false">
      <c r="A83" s="10" t="s">
        <v>3058</v>
      </c>
      <c r="B83" s="11" t="s">
        <v>3059</v>
      </c>
      <c r="C83" s="12"/>
      <c r="D83" s="12" t="s">
        <v>160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74</v>
      </c>
      <c r="N83" s="5"/>
      <c r="O83" s="12"/>
      <c r="P83" s="5" t="s">
        <v>3060</v>
      </c>
      <c r="Q83" s="12" t="s">
        <v>3049</v>
      </c>
      <c r="R83" s="12" t="s">
        <v>92</v>
      </c>
      <c r="S83" s="5" t="s">
        <v>3061</v>
      </c>
      <c r="T83" s="5" t="s">
        <v>3062</v>
      </c>
      <c r="U83" s="12" t="n">
        <v>5</v>
      </c>
      <c r="V83" s="12" t="n">
        <v>0</v>
      </c>
      <c r="W83" s="12" t="n">
        <v>1</v>
      </c>
      <c r="X83" s="12" t="n">
        <v>2</v>
      </c>
      <c r="Y83" s="12" t="n">
        <v>0</v>
      </c>
    </row>
    <row r="84" customFormat="false" ht="95.25" hidden="false" customHeight="true" outlineLevel="0" collapsed="false">
      <c r="A84" s="12" t="s">
        <v>3058</v>
      </c>
      <c r="B84" s="5" t="s">
        <v>3059</v>
      </c>
      <c r="C84" s="12" t="s">
        <v>3058</v>
      </c>
      <c r="D84" s="12" t="s">
        <v>160</v>
      </c>
      <c r="E84" s="5" t="s">
        <v>3063</v>
      </c>
      <c r="F84" s="14"/>
      <c r="G84" s="14"/>
      <c r="H84" s="14" t="s">
        <v>87</v>
      </c>
      <c r="I84" s="14"/>
      <c r="J84" s="14"/>
      <c r="K84" s="14"/>
      <c r="L84" s="15"/>
      <c r="M84" s="12" t="s">
        <v>74</v>
      </c>
      <c r="N84" s="5"/>
      <c r="O84" s="12"/>
      <c r="P84" s="5" t="s">
        <v>3060</v>
      </c>
      <c r="Q84" s="12" t="s">
        <v>3049</v>
      </c>
      <c r="R84" s="12" t="s">
        <v>92</v>
      </c>
      <c r="S84" s="5" t="s">
        <v>3061</v>
      </c>
      <c r="T84" s="5" t="s">
        <v>3062</v>
      </c>
      <c r="U84" s="12" t="n">
        <v>5</v>
      </c>
      <c r="V84" s="12" t="n">
        <v>0</v>
      </c>
      <c r="W84" s="12" t="n">
        <v>1</v>
      </c>
      <c r="X84" s="12" t="n">
        <v>2</v>
      </c>
      <c r="Y84" s="12" t="n">
        <v>0</v>
      </c>
    </row>
    <row r="85" customFormat="false" ht="162" hidden="false" customHeight="true" outlineLevel="0" collapsed="false">
      <c r="A85" s="10" t="s">
        <v>3064</v>
      </c>
      <c r="B85" s="11" t="s">
        <v>3065</v>
      </c>
      <c r="C85" s="12"/>
      <c r="D85" s="12" t="s">
        <v>120</v>
      </c>
      <c r="E85" s="5" t="s">
        <v>79</v>
      </c>
      <c r="F85" s="12"/>
      <c r="G85" s="12"/>
      <c r="H85" s="13" t="str">
        <f aca="false">IF(OR(COUNTBLANK($H$86:$H$90)&gt;0,COUNTIF($H$86:$H$90,"unbearbeitet")=COUNTA($H$86:$H$90)),"Bitte Teilanforderungen ausfüllen",IF(COUNTIF($H$86:$H$90,"zu klären")&gt;0,"zu klären",IF(COUNTIF($H$86:$H$90,"entbehrlich")=COUNTA($H$86:$H$90),"entbehrlich",IF(COUNTIF($H$86:$H$90,"verwiesen")=COUNTA($H$86:$H$90),"verwiesen",IF(COUNTIF($H$86:$H$90,"nein")+COUNTIF($H$86:$H$90,"entbehrlich")=COUNTA($H$86:$H$90),"nein",IF(COUNTIF($H$86:$H$90,"ja")+COUNTIF($H$86:$H$90,"entbehrlich")+COUNTIF($H$86:$H$90,"verwiesen")=COUNTA($H$86:$H$90),"ja","teilweise"))))))</f>
        <v>Bitte Teilanforderungen ausfüllen</v>
      </c>
      <c r="I85" s="12"/>
      <c r="J85" s="12"/>
      <c r="K85" s="12"/>
      <c r="L85" s="12"/>
      <c r="M85" s="12" t="s">
        <v>74</v>
      </c>
      <c r="N85" s="5"/>
      <c r="O85" s="12"/>
      <c r="P85" s="5" t="s">
        <v>3066</v>
      </c>
      <c r="Q85" s="12" t="s">
        <v>910</v>
      </c>
      <c r="R85" s="12" t="s">
        <v>2868</v>
      </c>
      <c r="S85" s="5" t="s">
        <v>3067</v>
      </c>
      <c r="T85" s="5" t="s">
        <v>3068</v>
      </c>
      <c r="U85" s="12" t="n">
        <v>3</v>
      </c>
      <c r="V85" s="12" t="n">
        <v>0</v>
      </c>
      <c r="W85" s="12" t="n">
        <v>1</v>
      </c>
      <c r="X85" s="12" t="n">
        <v>2</v>
      </c>
      <c r="Y85" s="12" t="n">
        <v>0</v>
      </c>
    </row>
    <row r="86" customFormat="false" ht="162" hidden="false" customHeight="true" outlineLevel="0" collapsed="false">
      <c r="A86" s="12" t="s">
        <v>3064</v>
      </c>
      <c r="B86" s="5" t="s">
        <v>3065</v>
      </c>
      <c r="C86" s="12" t="s">
        <v>3064</v>
      </c>
      <c r="D86" s="12" t="s">
        <v>120</v>
      </c>
      <c r="E86" s="5" t="s">
        <v>3069</v>
      </c>
      <c r="F86" s="14"/>
      <c r="G86" s="14"/>
      <c r="H86" s="14" t="s">
        <v>87</v>
      </c>
      <c r="I86" s="14"/>
      <c r="J86" s="14"/>
      <c r="K86" s="14"/>
      <c r="L86" s="15"/>
      <c r="M86" s="12" t="s">
        <v>74</v>
      </c>
      <c r="N86" s="5"/>
      <c r="O86" s="12"/>
      <c r="P86" s="5" t="s">
        <v>3066</v>
      </c>
      <c r="Q86" s="12" t="s">
        <v>910</v>
      </c>
      <c r="R86" s="12" t="s">
        <v>2868</v>
      </c>
      <c r="S86" s="5" t="s">
        <v>3067</v>
      </c>
      <c r="T86" s="5" t="s">
        <v>3068</v>
      </c>
      <c r="U86" s="12" t="n">
        <v>3</v>
      </c>
      <c r="V86" s="12" t="n">
        <v>0</v>
      </c>
      <c r="W86" s="12" t="n">
        <v>1</v>
      </c>
      <c r="X86" s="12" t="n">
        <v>2</v>
      </c>
      <c r="Y86" s="12" t="n">
        <v>0</v>
      </c>
    </row>
    <row r="87" customFormat="false" ht="309.75" hidden="false" customHeight="true" outlineLevel="0" collapsed="false">
      <c r="A87" s="12" t="s">
        <v>3064</v>
      </c>
      <c r="B87" s="5" t="s">
        <v>3065</v>
      </c>
      <c r="C87" s="12" t="s">
        <v>3070</v>
      </c>
      <c r="D87" s="12" t="s">
        <v>160</v>
      </c>
      <c r="E87" s="5" t="s">
        <v>3071</v>
      </c>
      <c r="F87" s="14"/>
      <c r="G87" s="14"/>
      <c r="H87" s="14" t="s">
        <v>87</v>
      </c>
      <c r="I87" s="14"/>
      <c r="J87" s="14"/>
      <c r="K87" s="14"/>
      <c r="L87" s="15"/>
      <c r="M87" s="12" t="s">
        <v>74</v>
      </c>
      <c r="N87" s="5"/>
      <c r="O87" s="12"/>
      <c r="P87" s="5" t="s">
        <v>3072</v>
      </c>
      <c r="Q87" s="12" t="s">
        <v>910</v>
      </c>
      <c r="R87" s="12" t="s">
        <v>115</v>
      </c>
      <c r="S87" s="5" t="s">
        <v>3073</v>
      </c>
      <c r="T87" s="5" t="s">
        <v>2221</v>
      </c>
      <c r="U87" s="12" t="n">
        <v>5</v>
      </c>
      <c r="V87" s="12" t="n">
        <v>0</v>
      </c>
      <c r="W87" s="12" t="n">
        <v>0</v>
      </c>
      <c r="X87" s="12" t="n">
        <v>2</v>
      </c>
      <c r="Y87" s="12" t="n">
        <v>0</v>
      </c>
    </row>
    <row r="88" customFormat="false" ht="41.25" hidden="false" customHeight="true" outlineLevel="0" collapsed="false">
      <c r="A88" s="12" t="s">
        <v>3064</v>
      </c>
      <c r="B88" s="5" t="s">
        <v>3065</v>
      </c>
      <c r="C88" s="12" t="s">
        <v>3074</v>
      </c>
      <c r="D88" s="12" t="s">
        <v>160</v>
      </c>
      <c r="E88" s="5" t="s">
        <v>3075</v>
      </c>
      <c r="F88" s="14"/>
      <c r="G88" s="14"/>
      <c r="H88" s="14" t="s">
        <v>87</v>
      </c>
      <c r="I88" s="14"/>
      <c r="J88" s="14"/>
      <c r="K88" s="14"/>
      <c r="L88" s="15"/>
      <c r="M88" s="12" t="s">
        <v>74</v>
      </c>
      <c r="N88" s="5"/>
      <c r="O88" s="12"/>
      <c r="P88" s="5" t="s">
        <v>3076</v>
      </c>
      <c r="Q88" s="12" t="s">
        <v>910</v>
      </c>
      <c r="R88" s="12" t="s">
        <v>2868</v>
      </c>
      <c r="S88" s="5" t="s">
        <v>3077</v>
      </c>
      <c r="T88" s="5" t="s">
        <v>306</v>
      </c>
      <c r="U88" s="12" t="n">
        <v>5</v>
      </c>
      <c r="V88" s="12" t="n">
        <v>1</v>
      </c>
      <c r="W88" s="12" t="n">
        <v>1</v>
      </c>
      <c r="X88" s="12" t="n">
        <v>2</v>
      </c>
      <c r="Y88" s="12" t="n">
        <v>0</v>
      </c>
    </row>
    <row r="89" customFormat="false" ht="297" hidden="false" customHeight="true" outlineLevel="0" collapsed="false">
      <c r="A89" s="12" t="s">
        <v>3064</v>
      </c>
      <c r="B89" s="5" t="s">
        <v>3065</v>
      </c>
      <c r="C89" s="12" t="s">
        <v>3078</v>
      </c>
      <c r="D89" s="12" t="s">
        <v>160</v>
      </c>
      <c r="E89" s="5" t="s">
        <v>3079</v>
      </c>
      <c r="F89" s="14"/>
      <c r="G89" s="14"/>
      <c r="H89" s="14" t="s">
        <v>87</v>
      </c>
      <c r="I89" s="14"/>
      <c r="J89" s="14"/>
      <c r="K89" s="14"/>
      <c r="L89" s="15"/>
      <c r="M89" s="12" t="s">
        <v>74</v>
      </c>
      <c r="N89" s="5"/>
      <c r="O89" s="12"/>
      <c r="P89" s="5" t="s">
        <v>3080</v>
      </c>
      <c r="Q89" s="12" t="s">
        <v>910</v>
      </c>
      <c r="R89" s="12" t="s">
        <v>92</v>
      </c>
      <c r="S89" s="5" t="s">
        <v>3081</v>
      </c>
      <c r="T89" s="5" t="s">
        <v>3082</v>
      </c>
      <c r="U89" s="12" t="n">
        <v>5</v>
      </c>
      <c r="V89" s="12" t="n">
        <v>0</v>
      </c>
      <c r="W89" s="12" t="n">
        <v>1</v>
      </c>
      <c r="X89" s="12" t="n">
        <v>2</v>
      </c>
      <c r="Y89" s="12" t="n">
        <v>0</v>
      </c>
    </row>
    <row r="90" customFormat="false" ht="431.25" hidden="false" customHeight="true" outlineLevel="0" collapsed="false">
      <c r="A90" s="12" t="s">
        <v>3064</v>
      </c>
      <c r="B90" s="5" t="s">
        <v>3065</v>
      </c>
      <c r="C90" s="12" t="s">
        <v>3083</v>
      </c>
      <c r="D90" s="12" t="s">
        <v>160</v>
      </c>
      <c r="E90" s="5" t="s">
        <v>3084</v>
      </c>
      <c r="F90" s="14"/>
      <c r="G90" s="14"/>
      <c r="H90" s="14" t="s">
        <v>87</v>
      </c>
      <c r="I90" s="14"/>
      <c r="J90" s="14"/>
      <c r="K90" s="14"/>
      <c r="L90" s="15"/>
      <c r="M90" s="12" t="s">
        <v>74</v>
      </c>
      <c r="N90" s="5"/>
      <c r="O90" s="12"/>
      <c r="P90" s="5" t="s">
        <v>3085</v>
      </c>
      <c r="Q90" s="12" t="s">
        <v>910</v>
      </c>
      <c r="R90" s="12" t="s">
        <v>92</v>
      </c>
      <c r="S90" s="5" t="s">
        <v>3081</v>
      </c>
      <c r="T90" s="5" t="s">
        <v>2221</v>
      </c>
      <c r="U90" s="12" t="n">
        <v>5</v>
      </c>
      <c r="V90" s="12" t="n">
        <v>0</v>
      </c>
      <c r="W90" s="12" t="n">
        <v>0</v>
      </c>
      <c r="X90" s="12" t="n">
        <v>2</v>
      </c>
      <c r="Y90" s="12" t="n">
        <v>0</v>
      </c>
    </row>
    <row r="91" customFormat="false" ht="41.25" hidden="false" customHeight="true" outlineLevel="0" collapsed="false">
      <c r="A91" s="10" t="s">
        <v>3086</v>
      </c>
      <c r="B91" s="11" t="s">
        <v>3087</v>
      </c>
      <c r="C91" s="12"/>
      <c r="D91" s="12" t="s">
        <v>160</v>
      </c>
      <c r="E91" s="5" t="s">
        <v>79</v>
      </c>
      <c r="F91" s="12"/>
      <c r="G91" s="12"/>
      <c r="H91" s="13" t="str">
        <f aca="false">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2"/>
      <c r="J91" s="12"/>
      <c r="K91" s="12"/>
      <c r="L91" s="12"/>
      <c r="M91" s="12" t="s">
        <v>74</v>
      </c>
      <c r="N91" s="5"/>
      <c r="O91" s="12"/>
      <c r="P91" s="5" t="s">
        <v>3088</v>
      </c>
      <c r="Q91" s="12" t="s">
        <v>910</v>
      </c>
      <c r="R91" s="12" t="s">
        <v>115</v>
      </c>
      <c r="S91" s="5" t="s">
        <v>3089</v>
      </c>
      <c r="T91" s="5" t="s">
        <v>306</v>
      </c>
      <c r="U91" s="12" t="n">
        <v>5</v>
      </c>
      <c r="V91" s="12" t="n">
        <v>1</v>
      </c>
      <c r="W91" s="12" t="n">
        <v>1</v>
      </c>
      <c r="X91" s="12" t="n">
        <v>2</v>
      </c>
      <c r="Y91" s="12" t="n">
        <v>0</v>
      </c>
    </row>
    <row r="92" customFormat="false" ht="41.25" hidden="false" customHeight="true" outlineLevel="0" collapsed="false">
      <c r="A92" s="12" t="s">
        <v>3086</v>
      </c>
      <c r="B92" s="5" t="s">
        <v>3087</v>
      </c>
      <c r="C92" s="12" t="s">
        <v>3086</v>
      </c>
      <c r="D92" s="12" t="s">
        <v>160</v>
      </c>
      <c r="E92" s="5" t="s">
        <v>3090</v>
      </c>
      <c r="F92" s="14"/>
      <c r="G92" s="14"/>
      <c r="H92" s="14" t="s">
        <v>87</v>
      </c>
      <c r="I92" s="14"/>
      <c r="J92" s="14"/>
      <c r="K92" s="14"/>
      <c r="L92" s="15"/>
      <c r="M92" s="12" t="s">
        <v>74</v>
      </c>
      <c r="N92" s="5"/>
      <c r="O92" s="12"/>
      <c r="P92" s="5" t="s">
        <v>3088</v>
      </c>
      <c r="Q92" s="12" t="s">
        <v>910</v>
      </c>
      <c r="R92" s="12" t="s">
        <v>115</v>
      </c>
      <c r="S92" s="5" t="s">
        <v>3089</v>
      </c>
      <c r="T92" s="5" t="s">
        <v>306</v>
      </c>
      <c r="U92" s="12" t="n">
        <v>5</v>
      </c>
      <c r="V92" s="12" t="n">
        <v>1</v>
      </c>
      <c r="W92" s="12" t="n">
        <v>1</v>
      </c>
      <c r="X92" s="12" t="n">
        <v>2</v>
      </c>
      <c r="Y92" s="12" t="n">
        <v>0</v>
      </c>
    </row>
    <row r="93" customFormat="false" ht="256.5" hidden="false" customHeight="true" outlineLevel="0" collapsed="false">
      <c r="A93" s="10" t="s">
        <v>3091</v>
      </c>
      <c r="B93" s="11" t="s">
        <v>3092</v>
      </c>
      <c r="C93" s="12"/>
      <c r="D93" s="12" t="s">
        <v>160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t="s">
        <v>74</v>
      </c>
      <c r="N93" s="5"/>
      <c r="O93" s="12"/>
      <c r="P93" s="5" t="s">
        <v>3093</v>
      </c>
      <c r="Q93" s="12" t="s">
        <v>910</v>
      </c>
      <c r="R93" s="12" t="s">
        <v>2868</v>
      </c>
      <c r="S93" s="5" t="s">
        <v>3094</v>
      </c>
      <c r="T93" s="5" t="s">
        <v>3095</v>
      </c>
      <c r="U93" s="12" t="n">
        <v>5</v>
      </c>
      <c r="V93" s="12" t="n">
        <v>0</v>
      </c>
      <c r="W93" s="12" t="n">
        <v>1</v>
      </c>
      <c r="X93" s="12" t="n">
        <v>2</v>
      </c>
      <c r="Y93" s="12" t="n">
        <v>0</v>
      </c>
    </row>
    <row r="94" customFormat="false" ht="256.5" hidden="false" customHeight="true" outlineLevel="0" collapsed="false">
      <c r="A94" s="12" t="s">
        <v>3091</v>
      </c>
      <c r="B94" s="5" t="s">
        <v>3092</v>
      </c>
      <c r="C94" s="12" t="s">
        <v>3091</v>
      </c>
      <c r="D94" s="12" t="s">
        <v>160</v>
      </c>
      <c r="E94" s="5" t="s">
        <v>3096</v>
      </c>
      <c r="F94" s="14"/>
      <c r="G94" s="14"/>
      <c r="H94" s="14" t="s">
        <v>87</v>
      </c>
      <c r="I94" s="14"/>
      <c r="J94" s="14"/>
      <c r="K94" s="14"/>
      <c r="L94" s="15"/>
      <c r="M94" s="12" t="s">
        <v>74</v>
      </c>
      <c r="N94" s="5"/>
      <c r="O94" s="12"/>
      <c r="P94" s="5" t="s">
        <v>3093</v>
      </c>
      <c r="Q94" s="12" t="s">
        <v>910</v>
      </c>
      <c r="R94" s="12" t="s">
        <v>2868</v>
      </c>
      <c r="S94" s="5" t="s">
        <v>3094</v>
      </c>
      <c r="T94" s="5" t="s">
        <v>3095</v>
      </c>
      <c r="U94" s="12" t="n">
        <v>5</v>
      </c>
      <c r="V94" s="12" t="n">
        <v>0</v>
      </c>
      <c r="W94" s="12" t="n">
        <v>1</v>
      </c>
      <c r="X94" s="12" t="n">
        <v>2</v>
      </c>
      <c r="Y94" s="12" t="n">
        <v>0</v>
      </c>
    </row>
    <row r="95" customFormat="false" ht="404.25" hidden="false" customHeight="true" outlineLevel="0" collapsed="false">
      <c r="A95" s="10" t="s">
        <v>3097</v>
      </c>
      <c r="B95" s="11" t="s">
        <v>3098</v>
      </c>
      <c r="C95" s="12"/>
      <c r="D95" s="12" t="s">
        <v>160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t="s">
        <v>74</v>
      </c>
      <c r="N95" s="5"/>
      <c r="O95" s="12"/>
      <c r="P95" s="5" t="s">
        <v>3099</v>
      </c>
      <c r="Q95" s="12" t="s">
        <v>910</v>
      </c>
      <c r="R95" s="12" t="s">
        <v>2868</v>
      </c>
      <c r="S95" s="5" t="s">
        <v>3100</v>
      </c>
      <c r="T95" s="5" t="s">
        <v>2221</v>
      </c>
      <c r="U95" s="12" t="n">
        <v>4</v>
      </c>
      <c r="V95" s="12" t="n">
        <v>0</v>
      </c>
      <c r="W95" s="12" t="n">
        <v>0</v>
      </c>
      <c r="X95" s="12" t="n">
        <v>2</v>
      </c>
      <c r="Y95" s="12" t="n">
        <v>0</v>
      </c>
    </row>
    <row r="96" customFormat="false" ht="404.25" hidden="false" customHeight="true" outlineLevel="0" collapsed="false">
      <c r="A96" s="12" t="s">
        <v>3097</v>
      </c>
      <c r="B96" s="5" t="s">
        <v>3098</v>
      </c>
      <c r="C96" s="12" t="s">
        <v>3097</v>
      </c>
      <c r="D96" s="12" t="s">
        <v>160</v>
      </c>
      <c r="E96" s="5" t="s">
        <v>3101</v>
      </c>
      <c r="F96" s="14"/>
      <c r="G96" s="14"/>
      <c r="H96" s="14" t="s">
        <v>87</v>
      </c>
      <c r="I96" s="14"/>
      <c r="J96" s="14"/>
      <c r="K96" s="14"/>
      <c r="L96" s="15"/>
      <c r="M96" s="12" t="s">
        <v>74</v>
      </c>
      <c r="N96" s="5"/>
      <c r="O96" s="12"/>
      <c r="P96" s="5" t="s">
        <v>3099</v>
      </c>
      <c r="Q96" s="12" t="s">
        <v>910</v>
      </c>
      <c r="R96" s="12" t="s">
        <v>2868</v>
      </c>
      <c r="S96" s="5" t="s">
        <v>3100</v>
      </c>
      <c r="T96" s="5" t="s">
        <v>2221</v>
      </c>
      <c r="U96" s="12" t="n">
        <v>4</v>
      </c>
      <c r="V96" s="12" t="n">
        <v>0</v>
      </c>
      <c r="W96" s="12" t="n">
        <v>0</v>
      </c>
      <c r="X96" s="12" t="n">
        <v>2</v>
      </c>
      <c r="Y96" s="12" t="n">
        <v>0</v>
      </c>
    </row>
    <row r="97" customFormat="false" ht="122.25" hidden="false" customHeight="true" outlineLevel="0" collapsed="false">
      <c r="A97" s="10" t="s">
        <v>3102</v>
      </c>
      <c r="B97" s="11" t="s">
        <v>3103</v>
      </c>
      <c r="C97" s="12"/>
      <c r="D97" s="12" t="s">
        <v>120</v>
      </c>
      <c r="E97" s="5" t="s">
        <v>79</v>
      </c>
      <c r="F97" s="12"/>
      <c r="G97" s="12"/>
      <c r="H97" s="13" t="str">
        <f aca="false">IF(OR(COUNTBLANK($H$98:$H$99)&gt;0,COUNTIF($H$98:$H$99,"unbearbeitet")=COUNTA($H$98:$H$99)),"Bitte Teilanforderungen ausfüllen",IF(COUNTIF($H$98:$H$99,"zu klären")&gt;0,"zu klären",IF(COUNTIF($H$98:$H$99,"entbehrlich")=COUNTA($H$98:$H$99),"entbehrlich",IF(COUNTIF($H$98:$H$99,"verwiesen")=COUNTA($H$98:$H$99),"verwiesen",IF(COUNTIF($H$98:$H$99,"nein")+COUNTIF($H$98:$H$99,"entbehrlich")=COUNTA($H$98:$H$99),"nein",IF(COUNTIF($H$98:$H$99,"ja")+COUNTIF($H$98:$H$99,"entbehrlich")+COUNTIF($H$98:$H$99,"verwiesen")=COUNTA($H$98:$H$99),"ja","teilweise"))))))</f>
        <v>Bitte Teilanforderungen ausfüllen</v>
      </c>
      <c r="I97" s="12"/>
      <c r="J97" s="12"/>
      <c r="K97" s="12"/>
      <c r="L97" s="12"/>
      <c r="M97" s="12"/>
      <c r="N97" s="5"/>
      <c r="O97" s="12"/>
      <c r="P97" s="5" t="s">
        <v>3104</v>
      </c>
      <c r="Q97" s="12" t="s">
        <v>910</v>
      </c>
      <c r="R97" s="12" t="s">
        <v>2868</v>
      </c>
      <c r="S97" s="5" t="s">
        <v>3105</v>
      </c>
      <c r="T97" s="5" t="s">
        <v>306</v>
      </c>
      <c r="U97" s="12" t="n">
        <v>3</v>
      </c>
      <c r="V97" s="12" t="n">
        <v>1</v>
      </c>
      <c r="W97" s="12" t="n">
        <v>1</v>
      </c>
      <c r="X97" s="12" t="n">
        <v>1</v>
      </c>
      <c r="Y97" s="12" t="n">
        <v>0</v>
      </c>
    </row>
    <row r="98" customFormat="false" ht="122.25" hidden="false" customHeight="true" outlineLevel="0" collapsed="false">
      <c r="A98" s="12" t="s">
        <v>3102</v>
      </c>
      <c r="B98" s="5" t="s">
        <v>3103</v>
      </c>
      <c r="C98" s="12" t="s">
        <v>3102</v>
      </c>
      <c r="D98" s="12" t="s">
        <v>120</v>
      </c>
      <c r="E98" s="5" t="s">
        <v>3106</v>
      </c>
      <c r="F98" s="14"/>
      <c r="G98" s="14"/>
      <c r="H98" s="14" t="s">
        <v>87</v>
      </c>
      <c r="I98" s="14"/>
      <c r="J98" s="14"/>
      <c r="K98" s="14"/>
      <c r="L98" s="15"/>
      <c r="M98" s="12"/>
      <c r="N98" s="5"/>
      <c r="O98" s="12"/>
      <c r="P98" s="5" t="s">
        <v>3104</v>
      </c>
      <c r="Q98" s="12" t="s">
        <v>910</v>
      </c>
      <c r="R98" s="12" t="s">
        <v>2868</v>
      </c>
      <c r="S98" s="5" t="s">
        <v>3105</v>
      </c>
      <c r="T98" s="5" t="s">
        <v>306</v>
      </c>
      <c r="U98" s="12" t="n">
        <v>3</v>
      </c>
      <c r="V98" s="12" t="n">
        <v>1</v>
      </c>
      <c r="W98" s="12" t="n">
        <v>1</v>
      </c>
      <c r="X98" s="12" t="n">
        <v>1</v>
      </c>
      <c r="Y98" s="12" t="n">
        <v>0</v>
      </c>
    </row>
    <row r="99" customFormat="false" ht="68.25" hidden="false" customHeight="true" outlineLevel="0" collapsed="false">
      <c r="A99" s="12" t="s">
        <v>3102</v>
      </c>
      <c r="B99" s="5" t="s">
        <v>3103</v>
      </c>
      <c r="C99" s="12" t="s">
        <v>3107</v>
      </c>
      <c r="D99" s="12" t="s">
        <v>120</v>
      </c>
      <c r="E99" s="5" t="s">
        <v>3108</v>
      </c>
      <c r="F99" s="14"/>
      <c r="G99" s="14"/>
      <c r="H99" s="14" t="s">
        <v>87</v>
      </c>
      <c r="I99" s="14"/>
      <c r="J99" s="14"/>
      <c r="K99" s="14"/>
      <c r="L99" s="15"/>
      <c r="M99" s="12" t="s">
        <v>74</v>
      </c>
      <c r="N99" s="5"/>
      <c r="O99" s="12"/>
      <c r="P99" s="5" t="s">
        <v>3109</v>
      </c>
      <c r="Q99" s="12" t="s">
        <v>910</v>
      </c>
      <c r="R99" s="12" t="s">
        <v>2868</v>
      </c>
      <c r="S99" s="5" t="s">
        <v>3110</v>
      </c>
      <c r="T99" s="5" t="s">
        <v>306</v>
      </c>
      <c r="U99" s="12" t="n">
        <v>3</v>
      </c>
      <c r="V99" s="12" t="n">
        <v>1</v>
      </c>
      <c r="W99" s="12" t="n">
        <v>1</v>
      </c>
      <c r="X99" s="12" t="n">
        <v>2</v>
      </c>
      <c r="Y99" s="12" t="n">
        <v>0</v>
      </c>
    </row>
    <row r="100" customFormat="false" ht="68.25" hidden="false" customHeight="true" outlineLevel="0" collapsed="false">
      <c r="A100" s="10" t="s">
        <v>3111</v>
      </c>
      <c r="B100" s="11" t="s">
        <v>3112</v>
      </c>
      <c r="C100" s="12"/>
      <c r="D100" s="12" t="s">
        <v>120</v>
      </c>
      <c r="E100" s="5" t="s">
        <v>79</v>
      </c>
      <c r="F100" s="12"/>
      <c r="G100" s="12"/>
      <c r="H100" s="13" t="str">
        <f aca="false">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Bitte Teilanforderungen ausfüllen</v>
      </c>
      <c r="I100" s="12"/>
      <c r="J100" s="12"/>
      <c r="K100" s="12"/>
      <c r="L100" s="12"/>
      <c r="M100" s="12"/>
      <c r="N100" s="5"/>
      <c r="O100" s="12"/>
      <c r="P100" s="5" t="s">
        <v>3113</v>
      </c>
      <c r="Q100" s="12" t="s">
        <v>3114</v>
      </c>
      <c r="R100" s="12" t="s">
        <v>926</v>
      </c>
      <c r="S100" s="5" t="s">
        <v>3115</v>
      </c>
      <c r="T100" s="5" t="s">
        <v>306</v>
      </c>
      <c r="U100" s="12" t="n">
        <v>3</v>
      </c>
      <c r="V100" s="12" t="n">
        <v>1</v>
      </c>
      <c r="W100" s="12" t="n">
        <v>1</v>
      </c>
      <c r="X100" s="12" t="n">
        <v>1</v>
      </c>
      <c r="Y100" s="12" t="n">
        <v>0</v>
      </c>
    </row>
    <row r="101" customFormat="false" ht="68.25" hidden="false" customHeight="true" outlineLevel="0" collapsed="false">
      <c r="A101" s="12" t="s">
        <v>3111</v>
      </c>
      <c r="B101" s="5" t="s">
        <v>3112</v>
      </c>
      <c r="C101" s="12" t="s">
        <v>3111</v>
      </c>
      <c r="D101" s="12" t="s">
        <v>120</v>
      </c>
      <c r="E101" s="5" t="s">
        <v>3116</v>
      </c>
      <c r="F101" s="14"/>
      <c r="G101" s="14"/>
      <c r="H101" s="14" t="s">
        <v>87</v>
      </c>
      <c r="I101" s="14"/>
      <c r="J101" s="14"/>
      <c r="K101" s="14"/>
      <c r="L101" s="15"/>
      <c r="M101" s="12"/>
      <c r="N101" s="5"/>
      <c r="O101" s="12"/>
      <c r="P101" s="5" t="s">
        <v>3113</v>
      </c>
      <c r="Q101" s="12" t="s">
        <v>3114</v>
      </c>
      <c r="R101" s="12" t="s">
        <v>926</v>
      </c>
      <c r="S101" s="5" t="s">
        <v>3115</v>
      </c>
      <c r="T101" s="5" t="s">
        <v>306</v>
      </c>
      <c r="U101" s="12" t="n">
        <v>3</v>
      </c>
      <c r="V101" s="12" t="n">
        <v>1</v>
      </c>
      <c r="W101" s="12" t="n">
        <v>1</v>
      </c>
      <c r="X101" s="12" t="n">
        <v>1</v>
      </c>
      <c r="Y101" s="12" t="n">
        <v>0</v>
      </c>
    </row>
    <row r="102" customFormat="false" ht="54.75" hidden="false" customHeight="true" outlineLevel="0" collapsed="false">
      <c r="A102" s="10" t="s">
        <v>3117</v>
      </c>
      <c r="B102" s="11" t="s">
        <v>3118</v>
      </c>
      <c r="C102" s="12"/>
      <c r="D102" s="12" t="s">
        <v>120</v>
      </c>
      <c r="E102" s="5" t="s">
        <v>79</v>
      </c>
      <c r="F102" s="12"/>
      <c r="G102" s="12"/>
      <c r="H102" s="13" t="str">
        <f aca="false">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Bitte Teilanforderungen ausfüllen</v>
      </c>
      <c r="I102" s="12"/>
      <c r="J102" s="12"/>
      <c r="K102" s="12"/>
      <c r="L102" s="12"/>
      <c r="M102" s="12" t="s">
        <v>73</v>
      </c>
      <c r="N102" s="5"/>
      <c r="O102" s="12"/>
      <c r="P102" s="5" t="s">
        <v>3119</v>
      </c>
      <c r="Q102" s="12" t="s">
        <v>3114</v>
      </c>
      <c r="R102" s="12" t="s">
        <v>688</v>
      </c>
      <c r="S102" s="5" t="s">
        <v>3120</v>
      </c>
      <c r="T102" s="5" t="s">
        <v>306</v>
      </c>
      <c r="U102" s="12" t="n">
        <v>3</v>
      </c>
      <c r="V102" s="12" t="n">
        <v>1</v>
      </c>
      <c r="W102" s="12" t="n">
        <v>2</v>
      </c>
      <c r="X102" s="12" t="n">
        <v>1</v>
      </c>
      <c r="Y102" s="12" t="n">
        <v>0</v>
      </c>
    </row>
    <row r="103" customFormat="false" ht="54.75" hidden="false" customHeight="true" outlineLevel="0" collapsed="false">
      <c r="A103" s="12" t="s">
        <v>3117</v>
      </c>
      <c r="B103" s="5" t="s">
        <v>3118</v>
      </c>
      <c r="C103" s="12" t="s">
        <v>3117</v>
      </c>
      <c r="D103" s="12" t="s">
        <v>120</v>
      </c>
      <c r="E103" s="5" t="s">
        <v>3121</v>
      </c>
      <c r="F103" s="14"/>
      <c r="G103" s="14"/>
      <c r="H103" s="14" t="s">
        <v>87</v>
      </c>
      <c r="I103" s="14"/>
      <c r="J103" s="14"/>
      <c r="K103" s="14"/>
      <c r="L103" s="15"/>
      <c r="M103" s="12" t="s">
        <v>73</v>
      </c>
      <c r="N103" s="5"/>
      <c r="O103" s="12"/>
      <c r="P103" s="5" t="s">
        <v>3119</v>
      </c>
      <c r="Q103" s="12" t="s">
        <v>3114</v>
      </c>
      <c r="R103" s="12" t="s">
        <v>688</v>
      </c>
      <c r="S103" s="5" t="s">
        <v>3120</v>
      </c>
      <c r="T103" s="5" t="s">
        <v>306</v>
      </c>
      <c r="U103" s="12" t="n">
        <v>3</v>
      </c>
      <c r="V103" s="12" t="n">
        <v>1</v>
      </c>
      <c r="W103" s="12" t="n">
        <v>2</v>
      </c>
      <c r="X103" s="12" t="n">
        <v>1</v>
      </c>
      <c r="Y103" s="12" t="n">
        <v>0</v>
      </c>
    </row>
    <row r="104" customFormat="false" ht="404.25" hidden="false" customHeight="true" outlineLevel="0" collapsed="false">
      <c r="A104" s="10" t="s">
        <v>3122</v>
      </c>
      <c r="B104" s="11" t="s">
        <v>3123</v>
      </c>
      <c r="C104" s="12"/>
      <c r="D104" s="12" t="s">
        <v>120</v>
      </c>
      <c r="E104" s="5" t="s">
        <v>79</v>
      </c>
      <c r="F104" s="12"/>
      <c r="G104" s="12"/>
      <c r="H104" s="13" t="str">
        <f aca="false">IF(OR(COUNTBLANK($H$105:$H$108)&gt;0,COUNTIF($H$105:$H$108,"unbearbeitet")=COUNTA($H$105:$H$108)),"Bitte Teilanforderungen ausfüllen",IF(COUNTIF($H$105:$H$108,"zu klären")&gt;0,"zu klären",IF(COUNTIF($H$105:$H$108,"entbehrlich")=COUNTA($H$105:$H$108),"entbehrlich",IF(COUNTIF($H$105:$H$108,"verwiesen")=COUNTA($H$105:$H$108),"verwiesen",IF(COUNTIF($H$105:$H$108,"nein")+COUNTIF($H$105:$H$108,"entbehrlich")=COUNTA($H$105:$H$108),"nein",IF(COUNTIF($H$105:$H$108,"ja")+COUNTIF($H$105:$H$108,"entbehrlich")+COUNTIF($H$105:$H$108,"verwiesen")=COUNTA($H$105:$H$108),"ja","teilweise"))))))</f>
        <v>Bitte Teilanforderungen ausfüllen</v>
      </c>
      <c r="I104" s="12"/>
      <c r="J104" s="12"/>
      <c r="K104" s="12"/>
      <c r="L104" s="12"/>
      <c r="M104" s="12" t="s">
        <v>74</v>
      </c>
      <c r="N104" s="5"/>
      <c r="O104" s="12"/>
      <c r="P104" s="5" t="s">
        <v>3124</v>
      </c>
      <c r="Q104" s="12" t="s">
        <v>910</v>
      </c>
      <c r="R104" s="12" t="s">
        <v>2868</v>
      </c>
      <c r="S104" s="5" t="s">
        <v>3125</v>
      </c>
      <c r="T104" s="5" t="s">
        <v>3062</v>
      </c>
      <c r="U104" s="12" t="n">
        <v>3</v>
      </c>
      <c r="V104" s="12" t="n">
        <v>0</v>
      </c>
      <c r="W104" s="12" t="n">
        <v>1</v>
      </c>
      <c r="X104" s="12" t="n">
        <v>2</v>
      </c>
      <c r="Y104" s="12" t="n">
        <v>0</v>
      </c>
    </row>
    <row r="105" customFormat="false" ht="404.25" hidden="false" customHeight="true" outlineLevel="0" collapsed="false">
      <c r="A105" s="12" t="s">
        <v>3122</v>
      </c>
      <c r="B105" s="5" t="s">
        <v>3123</v>
      </c>
      <c r="C105" s="12" t="s">
        <v>3122</v>
      </c>
      <c r="D105" s="12" t="s">
        <v>120</v>
      </c>
      <c r="E105" s="5" t="s">
        <v>3126</v>
      </c>
      <c r="F105" s="14"/>
      <c r="G105" s="14"/>
      <c r="H105" s="14" t="s">
        <v>87</v>
      </c>
      <c r="I105" s="14"/>
      <c r="J105" s="14"/>
      <c r="K105" s="14"/>
      <c r="L105" s="15"/>
      <c r="M105" s="12" t="s">
        <v>74</v>
      </c>
      <c r="N105" s="5"/>
      <c r="O105" s="12"/>
      <c r="P105" s="5" t="s">
        <v>3124</v>
      </c>
      <c r="Q105" s="12" t="s">
        <v>910</v>
      </c>
      <c r="R105" s="12" t="s">
        <v>2868</v>
      </c>
      <c r="S105" s="5" t="s">
        <v>3125</v>
      </c>
      <c r="T105" s="5" t="s">
        <v>3062</v>
      </c>
      <c r="U105" s="12" t="n">
        <v>3</v>
      </c>
      <c r="V105" s="12" t="n">
        <v>0</v>
      </c>
      <c r="W105" s="12" t="n">
        <v>1</v>
      </c>
      <c r="X105" s="12" t="n">
        <v>2</v>
      </c>
      <c r="Y105" s="12" t="n">
        <v>0</v>
      </c>
    </row>
    <row r="106" customFormat="false" ht="363.75" hidden="false" customHeight="true" outlineLevel="0" collapsed="false">
      <c r="A106" s="12" t="s">
        <v>3122</v>
      </c>
      <c r="B106" s="5" t="s">
        <v>3123</v>
      </c>
      <c r="C106" s="12" t="s">
        <v>3127</v>
      </c>
      <c r="D106" s="12" t="s">
        <v>160</v>
      </c>
      <c r="E106" s="5" t="s">
        <v>3128</v>
      </c>
      <c r="F106" s="14"/>
      <c r="G106" s="14"/>
      <c r="H106" s="14" t="s">
        <v>87</v>
      </c>
      <c r="I106" s="14"/>
      <c r="J106" s="14"/>
      <c r="K106" s="14"/>
      <c r="L106" s="15"/>
      <c r="M106" s="12"/>
      <c r="N106" s="5"/>
      <c r="O106" s="12"/>
      <c r="P106" s="5" t="s">
        <v>3129</v>
      </c>
      <c r="Q106" s="12" t="s">
        <v>3017</v>
      </c>
      <c r="R106" s="12" t="s">
        <v>115</v>
      </c>
      <c r="S106" s="5" t="s">
        <v>3130</v>
      </c>
      <c r="T106" s="5" t="s">
        <v>306</v>
      </c>
      <c r="U106" s="12" t="n">
        <v>4</v>
      </c>
      <c r="V106" s="12" t="n">
        <v>1</v>
      </c>
      <c r="W106" s="12" t="n">
        <v>1</v>
      </c>
      <c r="X106" s="12" t="n">
        <v>1</v>
      </c>
      <c r="Y106" s="12" t="n">
        <v>0</v>
      </c>
    </row>
    <row r="107" customFormat="false" ht="122.25" hidden="false" customHeight="true" outlineLevel="0" collapsed="false">
      <c r="A107" s="12" t="s">
        <v>3122</v>
      </c>
      <c r="B107" s="5" t="s">
        <v>3123</v>
      </c>
      <c r="C107" s="12" t="s">
        <v>3131</v>
      </c>
      <c r="D107" s="12" t="s">
        <v>120</v>
      </c>
      <c r="E107" s="5" t="s">
        <v>3132</v>
      </c>
      <c r="F107" s="14"/>
      <c r="G107" s="14"/>
      <c r="H107" s="14" t="s">
        <v>87</v>
      </c>
      <c r="I107" s="14"/>
      <c r="J107" s="14"/>
      <c r="K107" s="14"/>
      <c r="L107" s="15"/>
      <c r="M107" s="12" t="s">
        <v>74</v>
      </c>
      <c r="N107" s="5"/>
      <c r="O107" s="12"/>
      <c r="P107" s="5" t="s">
        <v>3133</v>
      </c>
      <c r="Q107" s="12" t="s">
        <v>3017</v>
      </c>
      <c r="R107" s="12" t="s">
        <v>92</v>
      </c>
      <c r="S107" s="5" t="s">
        <v>3134</v>
      </c>
      <c r="T107" s="5" t="s">
        <v>3062</v>
      </c>
      <c r="U107" s="12" t="n">
        <v>3</v>
      </c>
      <c r="V107" s="12" t="n">
        <v>0</v>
      </c>
      <c r="W107" s="12" t="n">
        <v>1</v>
      </c>
      <c r="X107" s="12" t="n">
        <v>2</v>
      </c>
      <c r="Y107" s="12" t="n">
        <v>0</v>
      </c>
    </row>
    <row r="108" customFormat="false" ht="54.75" hidden="false" customHeight="true" outlineLevel="0" collapsed="false">
      <c r="A108" s="12" t="s">
        <v>3122</v>
      </c>
      <c r="B108" s="5" t="s">
        <v>3123</v>
      </c>
      <c r="C108" s="12" t="s">
        <v>3135</v>
      </c>
      <c r="D108" s="12" t="s">
        <v>160</v>
      </c>
      <c r="E108" s="5" t="s">
        <v>3136</v>
      </c>
      <c r="F108" s="14"/>
      <c r="G108" s="14"/>
      <c r="H108" s="14" t="s">
        <v>87</v>
      </c>
      <c r="I108" s="14"/>
      <c r="J108" s="14"/>
      <c r="K108" s="14"/>
      <c r="L108" s="15"/>
      <c r="M108" s="12" t="s">
        <v>74</v>
      </c>
      <c r="N108" s="5"/>
      <c r="O108" s="12"/>
      <c r="P108" s="5" t="s">
        <v>3137</v>
      </c>
      <c r="Q108" s="12" t="s">
        <v>910</v>
      </c>
      <c r="R108" s="12" t="s">
        <v>92</v>
      </c>
      <c r="S108" s="5" t="s">
        <v>3138</v>
      </c>
      <c r="T108" s="5" t="s">
        <v>306</v>
      </c>
      <c r="U108" s="12" t="n">
        <v>5</v>
      </c>
      <c r="V108" s="12" t="n">
        <v>1</v>
      </c>
      <c r="W108" s="12" t="n">
        <v>1</v>
      </c>
      <c r="X108" s="12" t="n">
        <v>2</v>
      </c>
      <c r="Y108" s="12" t="n">
        <v>0</v>
      </c>
    </row>
    <row r="109" customFormat="false" ht="81.75" hidden="false" customHeight="true" outlineLevel="0" collapsed="false">
      <c r="A109" s="10" t="s">
        <v>3139</v>
      </c>
      <c r="B109" s="11" t="s">
        <v>3140</v>
      </c>
      <c r="C109" s="12"/>
      <c r="D109" s="12" t="s">
        <v>120</v>
      </c>
      <c r="E109" s="5" t="s">
        <v>79</v>
      </c>
      <c r="F109" s="12"/>
      <c r="G109" s="12"/>
      <c r="H109" s="13" t="str">
        <f aca="false">IF(OR(COUNTBLANK($H$110:$H$117)&gt;0,COUNTIF($H$110:$H$117,"unbearbeitet")=COUNTA($H$110:$H$117)),"Bitte Teilanforderungen ausfüllen",IF(COUNTIF($H$110:$H$117,"zu klären")&gt;0,"zu klären",IF(COUNTIF($H$110:$H$117,"entbehrlich")=COUNTA($H$110:$H$117),"entbehrlich",IF(COUNTIF($H$110:$H$117,"verwiesen")=COUNTA($H$110:$H$117),"verwiesen",IF(COUNTIF($H$110:$H$117,"nein")+COUNTIF($H$110:$H$117,"entbehrlich")=COUNTA($H$110:$H$117),"nein",IF(COUNTIF($H$110:$H$117,"ja")+COUNTIF($H$110:$H$117,"entbehrlich")+COUNTIF($H$110:$H$117,"verwiesen")=COUNTA($H$110:$H$117),"ja","teilweise"))))))</f>
        <v>Bitte Teilanforderungen ausfüllen</v>
      </c>
      <c r="I109" s="12"/>
      <c r="J109" s="12"/>
      <c r="K109" s="12"/>
      <c r="L109" s="12"/>
      <c r="M109" s="12" t="s">
        <v>74</v>
      </c>
      <c r="N109" s="5"/>
      <c r="O109" s="12"/>
      <c r="P109" s="5" t="s">
        <v>3141</v>
      </c>
      <c r="Q109" s="12" t="s">
        <v>910</v>
      </c>
      <c r="R109" s="12" t="s">
        <v>2868</v>
      </c>
      <c r="S109" s="5" t="s">
        <v>3140</v>
      </c>
      <c r="T109" s="5" t="s">
        <v>109</v>
      </c>
      <c r="U109" s="12" t="n">
        <v>2</v>
      </c>
      <c r="V109" s="12" t="n">
        <v>1</v>
      </c>
      <c r="W109" s="12" t="n">
        <v>1</v>
      </c>
      <c r="X109" s="12" t="n">
        <v>2</v>
      </c>
      <c r="Y109" s="12" t="n">
        <v>0</v>
      </c>
    </row>
    <row r="110" customFormat="false" ht="81.75" hidden="false" customHeight="true" outlineLevel="0" collapsed="false">
      <c r="A110" s="12" t="s">
        <v>3139</v>
      </c>
      <c r="B110" s="5" t="s">
        <v>3140</v>
      </c>
      <c r="C110" s="12" t="s">
        <v>3139</v>
      </c>
      <c r="D110" s="12" t="s">
        <v>120</v>
      </c>
      <c r="E110" s="5" t="s">
        <v>3142</v>
      </c>
      <c r="F110" s="14"/>
      <c r="G110" s="14"/>
      <c r="H110" s="14" t="s">
        <v>87</v>
      </c>
      <c r="I110" s="14"/>
      <c r="J110" s="14"/>
      <c r="K110" s="14"/>
      <c r="L110" s="15"/>
      <c r="M110" s="12" t="s">
        <v>74</v>
      </c>
      <c r="N110" s="5"/>
      <c r="O110" s="12"/>
      <c r="P110" s="5" t="s">
        <v>3141</v>
      </c>
      <c r="Q110" s="12" t="s">
        <v>910</v>
      </c>
      <c r="R110" s="12" t="s">
        <v>2868</v>
      </c>
      <c r="S110" s="5" t="s">
        <v>3140</v>
      </c>
      <c r="T110" s="5" t="s">
        <v>109</v>
      </c>
      <c r="U110" s="12" t="n">
        <v>2</v>
      </c>
      <c r="V110" s="12" t="n">
        <v>1</v>
      </c>
      <c r="W110" s="12" t="n">
        <v>1</v>
      </c>
      <c r="X110" s="12" t="n">
        <v>2</v>
      </c>
      <c r="Y110" s="12" t="n">
        <v>0</v>
      </c>
    </row>
    <row r="111" customFormat="false" ht="41.25" hidden="false" customHeight="true" outlineLevel="0" collapsed="false">
      <c r="A111" s="12" t="s">
        <v>3139</v>
      </c>
      <c r="B111" s="5" t="s">
        <v>3140</v>
      </c>
      <c r="C111" s="12" t="s">
        <v>3143</v>
      </c>
      <c r="D111" s="12" t="s">
        <v>120</v>
      </c>
      <c r="E111" s="5" t="s">
        <v>3144</v>
      </c>
      <c r="F111" s="14"/>
      <c r="G111" s="14"/>
      <c r="H111" s="14" t="s">
        <v>87</v>
      </c>
      <c r="I111" s="14"/>
      <c r="J111" s="14"/>
      <c r="K111" s="14"/>
      <c r="L111" s="15"/>
      <c r="M111" s="12"/>
      <c r="N111" s="5"/>
      <c r="O111" s="12"/>
      <c r="P111" s="5" t="s">
        <v>3145</v>
      </c>
      <c r="Q111" s="12" t="s">
        <v>2228</v>
      </c>
      <c r="R111" s="12" t="s">
        <v>2868</v>
      </c>
      <c r="S111" s="5" t="s">
        <v>3146</v>
      </c>
      <c r="T111" s="5" t="s">
        <v>306</v>
      </c>
      <c r="U111" s="12" t="n">
        <v>3</v>
      </c>
      <c r="V111" s="12" t="n">
        <v>1</v>
      </c>
      <c r="W111" s="12" t="n">
        <v>1</v>
      </c>
      <c r="X111" s="12" t="n">
        <v>1</v>
      </c>
      <c r="Y111" s="12" t="n">
        <v>0</v>
      </c>
    </row>
    <row r="112" customFormat="false" ht="149.25" hidden="false" customHeight="true" outlineLevel="0" collapsed="false">
      <c r="A112" s="12" t="s">
        <v>3139</v>
      </c>
      <c r="B112" s="5" t="s">
        <v>3140</v>
      </c>
      <c r="C112" s="12" t="s">
        <v>3147</v>
      </c>
      <c r="D112" s="12" t="s">
        <v>120</v>
      </c>
      <c r="E112" s="5" t="s">
        <v>3148</v>
      </c>
      <c r="F112" s="14"/>
      <c r="G112" s="14"/>
      <c r="H112" s="14" t="s">
        <v>87</v>
      </c>
      <c r="I112" s="14"/>
      <c r="J112" s="14"/>
      <c r="K112" s="14"/>
      <c r="L112" s="15"/>
      <c r="M112" s="12" t="s">
        <v>74</v>
      </c>
      <c r="N112" s="5" t="s">
        <v>3149</v>
      </c>
      <c r="O112" s="12" t="s">
        <v>272</v>
      </c>
      <c r="P112" s="5" t="s">
        <v>3150</v>
      </c>
      <c r="Q112" s="12" t="s">
        <v>2228</v>
      </c>
      <c r="R112" s="12" t="s">
        <v>2868</v>
      </c>
      <c r="S112" s="5" t="s">
        <v>3151</v>
      </c>
      <c r="T112" s="5" t="s">
        <v>306</v>
      </c>
      <c r="U112" s="12" t="n">
        <v>4</v>
      </c>
      <c r="V112" s="12" t="n">
        <v>1</v>
      </c>
      <c r="W112" s="12" t="n">
        <v>1</v>
      </c>
      <c r="X112" s="12" t="n">
        <v>2</v>
      </c>
      <c r="Y112" s="12" t="n">
        <v>0</v>
      </c>
    </row>
    <row r="113" customFormat="false" ht="27.75" hidden="false" customHeight="true" outlineLevel="0" collapsed="false">
      <c r="A113" s="12" t="s">
        <v>3139</v>
      </c>
      <c r="B113" s="5" t="s">
        <v>3140</v>
      </c>
      <c r="C113" s="12" t="s">
        <v>3152</v>
      </c>
      <c r="D113" s="12" t="s">
        <v>160</v>
      </c>
      <c r="E113" s="5" t="s">
        <v>3153</v>
      </c>
      <c r="F113" s="14"/>
      <c r="G113" s="14"/>
      <c r="H113" s="14" t="s">
        <v>87</v>
      </c>
      <c r="I113" s="14"/>
      <c r="J113" s="14"/>
      <c r="K113" s="14"/>
      <c r="L113" s="15"/>
      <c r="M113" s="12" t="s">
        <v>74</v>
      </c>
      <c r="N113" s="5" t="s">
        <v>3149</v>
      </c>
      <c r="O113" s="12" t="s">
        <v>272</v>
      </c>
      <c r="P113" s="5" t="s">
        <v>3154</v>
      </c>
      <c r="Q113" s="12" t="s">
        <v>2228</v>
      </c>
      <c r="R113" s="12" t="s">
        <v>2868</v>
      </c>
      <c r="S113" s="5" t="s">
        <v>3155</v>
      </c>
      <c r="T113" s="5" t="s">
        <v>306</v>
      </c>
      <c r="U113" s="12" t="n">
        <v>5</v>
      </c>
      <c r="V113" s="12" t="n">
        <v>1</v>
      </c>
      <c r="W113" s="12" t="n">
        <v>1</v>
      </c>
      <c r="X113" s="12" t="n">
        <v>2</v>
      </c>
      <c r="Y113" s="12" t="n">
        <v>0</v>
      </c>
    </row>
    <row r="114" customFormat="false" ht="377.25" hidden="false" customHeight="true" outlineLevel="0" collapsed="false">
      <c r="A114" s="12" t="s">
        <v>3139</v>
      </c>
      <c r="B114" s="5" t="s">
        <v>3140</v>
      </c>
      <c r="C114" s="12" t="s">
        <v>3156</v>
      </c>
      <c r="D114" s="12" t="s">
        <v>160</v>
      </c>
      <c r="E114" s="5" t="s">
        <v>3157</v>
      </c>
      <c r="F114" s="14"/>
      <c r="G114" s="14"/>
      <c r="H114" s="14" t="s">
        <v>87</v>
      </c>
      <c r="I114" s="14"/>
      <c r="J114" s="14"/>
      <c r="K114" s="14"/>
      <c r="L114" s="15"/>
      <c r="M114" s="12" t="s">
        <v>74</v>
      </c>
      <c r="N114" s="5"/>
      <c r="O114" s="12"/>
      <c r="P114" s="5" t="s">
        <v>3158</v>
      </c>
      <c r="Q114" s="12" t="s">
        <v>2228</v>
      </c>
      <c r="R114" s="12" t="s">
        <v>2868</v>
      </c>
      <c r="S114" s="5" t="s">
        <v>3159</v>
      </c>
      <c r="T114" s="5" t="s">
        <v>3160</v>
      </c>
      <c r="U114" s="12" t="n">
        <v>5</v>
      </c>
      <c r="V114" s="12" t="n">
        <v>1</v>
      </c>
      <c r="W114" s="12" t="n">
        <v>1</v>
      </c>
      <c r="X114" s="12" t="n">
        <v>2</v>
      </c>
      <c r="Y114" s="12" t="n">
        <v>0</v>
      </c>
    </row>
    <row r="115" customFormat="false" ht="27.75" hidden="false" customHeight="true" outlineLevel="0" collapsed="false">
      <c r="A115" s="12" t="s">
        <v>3139</v>
      </c>
      <c r="B115" s="5" t="s">
        <v>3140</v>
      </c>
      <c r="C115" s="12" t="s">
        <v>3161</v>
      </c>
      <c r="D115" s="12" t="s">
        <v>120</v>
      </c>
      <c r="E115" s="5" t="s">
        <v>3162</v>
      </c>
      <c r="F115" s="14"/>
      <c r="G115" s="14"/>
      <c r="H115" s="14" t="s">
        <v>87</v>
      </c>
      <c r="I115" s="14"/>
      <c r="J115" s="14"/>
      <c r="K115" s="14"/>
      <c r="L115" s="15"/>
      <c r="M115" s="12" t="s">
        <v>74</v>
      </c>
      <c r="N115" s="5"/>
      <c r="O115" s="12"/>
      <c r="P115" s="5" t="s">
        <v>3163</v>
      </c>
      <c r="Q115" s="12" t="s">
        <v>910</v>
      </c>
      <c r="R115" s="12" t="s">
        <v>2868</v>
      </c>
      <c r="S115" s="5" t="s">
        <v>3164</v>
      </c>
      <c r="T115" s="5" t="s">
        <v>306</v>
      </c>
      <c r="U115" s="12" t="n">
        <v>3</v>
      </c>
      <c r="V115" s="12" t="n">
        <v>1</v>
      </c>
      <c r="W115" s="12" t="n">
        <v>1</v>
      </c>
      <c r="X115" s="12" t="n">
        <v>2</v>
      </c>
      <c r="Y115" s="12" t="n">
        <v>0</v>
      </c>
    </row>
    <row r="116" customFormat="false" ht="54.75" hidden="false" customHeight="true" outlineLevel="0" collapsed="false">
      <c r="A116" s="12" t="s">
        <v>3139</v>
      </c>
      <c r="B116" s="5" t="s">
        <v>3140</v>
      </c>
      <c r="C116" s="12" t="s">
        <v>3165</v>
      </c>
      <c r="D116" s="12" t="s">
        <v>160</v>
      </c>
      <c r="E116" s="5" t="s">
        <v>3166</v>
      </c>
      <c r="F116" s="14"/>
      <c r="G116" s="14"/>
      <c r="H116" s="14" t="s">
        <v>87</v>
      </c>
      <c r="I116" s="14"/>
      <c r="J116" s="14"/>
      <c r="K116" s="14"/>
      <c r="L116" s="15"/>
      <c r="M116" s="12" t="s">
        <v>74</v>
      </c>
      <c r="N116" s="5"/>
      <c r="O116" s="12"/>
      <c r="P116" s="5" t="s">
        <v>3167</v>
      </c>
      <c r="Q116" s="12" t="s">
        <v>3017</v>
      </c>
      <c r="R116" s="12" t="s">
        <v>2868</v>
      </c>
      <c r="S116" s="5" t="s">
        <v>3168</v>
      </c>
      <c r="T116" s="5" t="s">
        <v>306</v>
      </c>
      <c r="U116" s="12" t="n">
        <v>5</v>
      </c>
      <c r="V116" s="12" t="n">
        <v>1</v>
      </c>
      <c r="W116" s="12" t="n">
        <v>1</v>
      </c>
      <c r="X116" s="12" t="n">
        <v>2</v>
      </c>
      <c r="Y116" s="12" t="n">
        <v>0</v>
      </c>
    </row>
    <row r="117" customFormat="false" ht="54.75" hidden="false" customHeight="true" outlineLevel="0" collapsed="false">
      <c r="A117" s="12" t="s">
        <v>3139</v>
      </c>
      <c r="B117" s="5" t="s">
        <v>3140</v>
      </c>
      <c r="C117" s="12" t="s">
        <v>3169</v>
      </c>
      <c r="D117" s="12" t="s">
        <v>120</v>
      </c>
      <c r="E117" s="5" t="s">
        <v>3170</v>
      </c>
      <c r="F117" s="14"/>
      <c r="G117" s="14"/>
      <c r="H117" s="14" t="s">
        <v>87</v>
      </c>
      <c r="I117" s="14"/>
      <c r="J117" s="14"/>
      <c r="K117" s="14"/>
      <c r="L117" s="15"/>
      <c r="M117" s="12"/>
      <c r="N117" s="5"/>
      <c r="O117" s="12"/>
      <c r="P117" s="5" t="s">
        <v>3171</v>
      </c>
      <c r="Q117" s="12" t="s">
        <v>910</v>
      </c>
      <c r="R117" s="12" t="s">
        <v>115</v>
      </c>
      <c r="S117" s="5" t="s">
        <v>3172</v>
      </c>
      <c r="T117" s="5" t="s">
        <v>306</v>
      </c>
      <c r="U117" s="12" t="n">
        <v>3</v>
      </c>
      <c r="V117" s="12" t="n">
        <v>1</v>
      </c>
      <c r="W117" s="12" t="n">
        <v>1</v>
      </c>
      <c r="X117" s="12" t="n">
        <v>1</v>
      </c>
      <c r="Y117" s="12" t="n">
        <v>0</v>
      </c>
    </row>
    <row r="118" customFormat="false" ht="95.25" hidden="false" customHeight="true" outlineLevel="0" collapsed="false">
      <c r="A118" s="10" t="s">
        <v>3173</v>
      </c>
      <c r="B118" s="11" t="s">
        <v>3174</v>
      </c>
      <c r="C118" s="12"/>
      <c r="D118" s="12" t="s">
        <v>120</v>
      </c>
      <c r="E118" s="5" t="s">
        <v>79</v>
      </c>
      <c r="F118" s="12"/>
      <c r="G118" s="12"/>
      <c r="H118" s="13" t="str">
        <f aca="false">IF(OR(COUNTBLANK($H$119:$H$121)&gt;0,COUNTIF($H$119:$H$121,"unbearbeitet")=COUNTA($H$119:$H$121)),"Bitte Teilanforderungen ausfüllen",IF(COUNTIF($H$119:$H$121,"zu klären")&gt;0,"zu klären",IF(COUNTIF($H$119:$H$121,"entbehrlich")=COUNTA($H$119:$H$121),"entbehrlich",IF(COUNTIF($H$119:$H$121,"verwiesen")=COUNTA($H$119:$H$121),"verwiesen",IF(COUNTIF($H$119:$H$121,"nein")+COUNTIF($H$119:$H$121,"entbehrlich")=COUNTA($H$119:$H$121),"nein",IF(COUNTIF($H$119:$H$121,"ja")+COUNTIF($H$119:$H$121,"entbehrlich")+COUNTIF($H$119:$H$121,"verwiesen")=COUNTA($H$119:$H$121),"ja","teilweise"))))))</f>
        <v>Bitte Teilanforderungen ausfüllen</v>
      </c>
      <c r="I118" s="12"/>
      <c r="J118" s="12"/>
      <c r="K118" s="12"/>
      <c r="L118" s="12"/>
      <c r="M118" s="12" t="s">
        <v>74</v>
      </c>
      <c r="N118" s="5"/>
      <c r="O118" s="12"/>
      <c r="P118" s="5" t="s">
        <v>3175</v>
      </c>
      <c r="Q118" s="12" t="s">
        <v>910</v>
      </c>
      <c r="R118" s="12" t="s">
        <v>2868</v>
      </c>
      <c r="S118" s="5" t="s">
        <v>3176</v>
      </c>
      <c r="T118" s="5" t="s">
        <v>3177</v>
      </c>
      <c r="U118" s="12" t="n">
        <v>2</v>
      </c>
      <c r="V118" s="12" t="n">
        <v>0</v>
      </c>
      <c r="W118" s="12" t="n">
        <v>1</v>
      </c>
      <c r="X118" s="12" t="n">
        <v>2</v>
      </c>
      <c r="Y118" s="12" t="n">
        <v>0</v>
      </c>
    </row>
    <row r="119" customFormat="false" ht="95.25" hidden="false" customHeight="true" outlineLevel="0" collapsed="false">
      <c r="A119" s="12" t="s">
        <v>3173</v>
      </c>
      <c r="B119" s="5" t="s">
        <v>3174</v>
      </c>
      <c r="C119" s="12" t="s">
        <v>3173</v>
      </c>
      <c r="D119" s="12" t="s">
        <v>120</v>
      </c>
      <c r="E119" s="5" t="s">
        <v>3178</v>
      </c>
      <c r="F119" s="14"/>
      <c r="G119" s="14"/>
      <c r="H119" s="14" t="s">
        <v>87</v>
      </c>
      <c r="I119" s="14"/>
      <c r="J119" s="14"/>
      <c r="K119" s="14"/>
      <c r="L119" s="15"/>
      <c r="M119" s="12" t="s">
        <v>74</v>
      </c>
      <c r="N119" s="5"/>
      <c r="O119" s="12"/>
      <c r="P119" s="5" t="s">
        <v>3175</v>
      </c>
      <c r="Q119" s="12" t="s">
        <v>910</v>
      </c>
      <c r="R119" s="12" t="s">
        <v>2868</v>
      </c>
      <c r="S119" s="5" t="s">
        <v>3176</v>
      </c>
      <c r="T119" s="5" t="s">
        <v>3177</v>
      </c>
      <c r="U119" s="12" t="n">
        <v>2</v>
      </c>
      <c r="V119" s="12" t="n">
        <v>0</v>
      </c>
      <c r="W119" s="12" t="n">
        <v>1</v>
      </c>
      <c r="X119" s="12" t="n">
        <v>2</v>
      </c>
      <c r="Y119" s="12" t="n">
        <v>0</v>
      </c>
    </row>
    <row r="120" customFormat="false" ht="81.75" hidden="false" customHeight="true" outlineLevel="0" collapsed="false">
      <c r="A120" s="12" t="s">
        <v>3173</v>
      </c>
      <c r="B120" s="5" t="s">
        <v>3174</v>
      </c>
      <c r="C120" s="12" t="s">
        <v>3179</v>
      </c>
      <c r="D120" s="12" t="s">
        <v>160</v>
      </c>
      <c r="E120" s="5" t="s">
        <v>3180</v>
      </c>
      <c r="F120" s="14"/>
      <c r="G120" s="14"/>
      <c r="H120" s="14" t="s">
        <v>87</v>
      </c>
      <c r="I120" s="14"/>
      <c r="J120" s="14"/>
      <c r="K120" s="14"/>
      <c r="L120" s="15"/>
      <c r="M120" s="12" t="s">
        <v>74</v>
      </c>
      <c r="N120" s="5"/>
      <c r="O120" s="12"/>
      <c r="P120" s="5" t="s">
        <v>3181</v>
      </c>
      <c r="Q120" s="12" t="s">
        <v>910</v>
      </c>
      <c r="R120" s="12" t="s">
        <v>2868</v>
      </c>
      <c r="S120" s="5" t="s">
        <v>3182</v>
      </c>
      <c r="T120" s="5" t="s">
        <v>3177</v>
      </c>
      <c r="U120" s="12" t="n">
        <v>5</v>
      </c>
      <c r="V120" s="12" t="n">
        <v>0</v>
      </c>
      <c r="W120" s="12" t="n">
        <v>1</v>
      </c>
      <c r="X120" s="12" t="n">
        <v>2</v>
      </c>
      <c r="Y120" s="12" t="n">
        <v>0</v>
      </c>
    </row>
    <row r="121" customFormat="false" ht="27.75" hidden="false" customHeight="true" outlineLevel="0" collapsed="false">
      <c r="A121" s="12" t="s">
        <v>3173</v>
      </c>
      <c r="B121" s="5" t="s">
        <v>3174</v>
      </c>
      <c r="C121" s="12" t="s">
        <v>3183</v>
      </c>
      <c r="D121" s="12" t="s">
        <v>160</v>
      </c>
      <c r="E121" s="5" t="s">
        <v>3184</v>
      </c>
      <c r="F121" s="14"/>
      <c r="G121" s="14"/>
      <c r="H121" s="14" t="s">
        <v>87</v>
      </c>
      <c r="I121" s="14"/>
      <c r="J121" s="14"/>
      <c r="K121" s="14"/>
      <c r="L121" s="15"/>
      <c r="M121" s="12" t="s">
        <v>74</v>
      </c>
      <c r="N121" s="5"/>
      <c r="O121" s="12"/>
      <c r="P121" s="5" t="s">
        <v>3185</v>
      </c>
      <c r="Q121" s="12" t="s">
        <v>910</v>
      </c>
      <c r="R121" s="12" t="s">
        <v>2868</v>
      </c>
      <c r="S121" s="5" t="s">
        <v>3186</v>
      </c>
      <c r="T121" s="5" t="s">
        <v>306</v>
      </c>
      <c r="U121" s="12" t="n">
        <v>5</v>
      </c>
      <c r="V121" s="12" t="n">
        <v>1</v>
      </c>
      <c r="W121" s="12" t="n">
        <v>1</v>
      </c>
      <c r="X121" s="12" t="n">
        <v>2</v>
      </c>
      <c r="Y121" s="12" t="n">
        <v>0</v>
      </c>
    </row>
    <row r="122" customFormat="false" ht="216" hidden="false" customHeight="true" outlineLevel="0" collapsed="false">
      <c r="A122" s="10" t="s">
        <v>3187</v>
      </c>
      <c r="B122" s="11" t="s">
        <v>3188</v>
      </c>
      <c r="C122" s="12"/>
      <c r="D122" s="12" t="s">
        <v>120</v>
      </c>
      <c r="E122" s="5" t="s">
        <v>79</v>
      </c>
      <c r="F122" s="12"/>
      <c r="G122" s="12"/>
      <c r="H122" s="13" t="str">
        <f aca="false">IF(OR(COUNTBLANK($H$123:$H$124)&gt;0,COUNTIF($H$123:$H$124,"unbearbeitet")=COUNTA($H$123:$H$124)),"Bitte Teilanforderungen ausfüllen",IF(COUNTIF($H$123:$H$124,"zu klären")&gt;0,"zu klären",IF(COUNTIF($H$123:$H$124,"entbehrlich")=COUNTA($H$123:$H$124),"entbehrlich",IF(COUNTIF($H$123:$H$124,"verwiesen")=COUNTA($H$123:$H$124),"verwiesen",IF(COUNTIF($H$123:$H$124,"nein")+COUNTIF($H$123:$H$124,"entbehrlich")=COUNTA($H$123:$H$124),"nein",IF(COUNTIF($H$123:$H$124,"ja")+COUNTIF($H$123:$H$124,"entbehrlich")+COUNTIF($H$123:$H$124,"verwiesen")=COUNTA($H$123:$H$124),"ja","teilweise"))))))</f>
        <v>Bitte Teilanforderungen ausfüllen</v>
      </c>
      <c r="I122" s="12"/>
      <c r="J122" s="12"/>
      <c r="K122" s="12"/>
      <c r="L122" s="12"/>
      <c r="M122" s="12" t="s">
        <v>74</v>
      </c>
      <c r="N122" s="5"/>
      <c r="O122" s="12"/>
      <c r="P122" s="5" t="s">
        <v>3189</v>
      </c>
      <c r="Q122" s="12" t="s">
        <v>910</v>
      </c>
      <c r="R122" s="12" t="s">
        <v>2868</v>
      </c>
      <c r="S122" s="5" t="s">
        <v>3188</v>
      </c>
      <c r="T122" s="5" t="s">
        <v>306</v>
      </c>
      <c r="U122" s="12" t="n">
        <v>3</v>
      </c>
      <c r="V122" s="12" t="n">
        <v>1</v>
      </c>
      <c r="W122" s="12" t="n">
        <v>1</v>
      </c>
      <c r="X122" s="12" t="n">
        <v>2</v>
      </c>
      <c r="Y122" s="12" t="n">
        <v>0</v>
      </c>
    </row>
    <row r="123" customFormat="false" ht="216" hidden="false" customHeight="true" outlineLevel="0" collapsed="false">
      <c r="A123" s="12" t="s">
        <v>3187</v>
      </c>
      <c r="B123" s="5" t="s">
        <v>3188</v>
      </c>
      <c r="C123" s="12" t="s">
        <v>3187</v>
      </c>
      <c r="D123" s="12" t="s">
        <v>120</v>
      </c>
      <c r="E123" s="5" t="s">
        <v>3190</v>
      </c>
      <c r="F123" s="14"/>
      <c r="G123" s="14"/>
      <c r="H123" s="14" t="s">
        <v>87</v>
      </c>
      <c r="I123" s="14"/>
      <c r="J123" s="14"/>
      <c r="K123" s="14"/>
      <c r="L123" s="15"/>
      <c r="M123" s="12" t="s">
        <v>74</v>
      </c>
      <c r="N123" s="5"/>
      <c r="O123" s="12"/>
      <c r="P123" s="5" t="s">
        <v>3189</v>
      </c>
      <c r="Q123" s="12" t="s">
        <v>910</v>
      </c>
      <c r="R123" s="12" t="s">
        <v>2868</v>
      </c>
      <c r="S123" s="5" t="s">
        <v>3188</v>
      </c>
      <c r="T123" s="5" t="s">
        <v>306</v>
      </c>
      <c r="U123" s="12" t="n">
        <v>3</v>
      </c>
      <c r="V123" s="12" t="n">
        <v>1</v>
      </c>
      <c r="W123" s="12" t="n">
        <v>1</v>
      </c>
      <c r="X123" s="12" t="n">
        <v>2</v>
      </c>
      <c r="Y123" s="12" t="n">
        <v>0</v>
      </c>
    </row>
    <row r="124" customFormat="false" ht="54.75" hidden="false" customHeight="true" outlineLevel="0" collapsed="false">
      <c r="A124" s="12" t="s">
        <v>3187</v>
      </c>
      <c r="B124" s="5" t="s">
        <v>3188</v>
      </c>
      <c r="C124" s="12" t="s">
        <v>3191</v>
      </c>
      <c r="D124" s="12" t="s">
        <v>160</v>
      </c>
      <c r="E124" s="5" t="s">
        <v>3192</v>
      </c>
      <c r="F124" s="14"/>
      <c r="G124" s="14"/>
      <c r="H124" s="14" t="s">
        <v>87</v>
      </c>
      <c r="I124" s="14"/>
      <c r="J124" s="14"/>
      <c r="K124" s="14"/>
      <c r="L124" s="15"/>
      <c r="M124" s="12" t="s">
        <v>74</v>
      </c>
      <c r="N124" s="5"/>
      <c r="O124" s="12"/>
      <c r="P124" s="5" t="s">
        <v>3193</v>
      </c>
      <c r="Q124" s="12" t="s">
        <v>910</v>
      </c>
      <c r="R124" s="12" t="s">
        <v>115</v>
      </c>
      <c r="S124" s="5" t="s">
        <v>3188</v>
      </c>
      <c r="T124" s="5" t="s">
        <v>306</v>
      </c>
      <c r="U124" s="12" t="n">
        <v>5</v>
      </c>
      <c r="V124" s="12" t="n">
        <v>1</v>
      </c>
      <c r="W124" s="12" t="n">
        <v>1</v>
      </c>
      <c r="X124" s="12" t="n">
        <v>2</v>
      </c>
      <c r="Y124" s="12" t="n">
        <v>0</v>
      </c>
    </row>
    <row r="125" customFormat="false" ht="81.75" hidden="false" customHeight="true" outlineLevel="0" collapsed="false">
      <c r="A125" s="10" t="s">
        <v>3194</v>
      </c>
      <c r="B125" s="11" t="s">
        <v>3195</v>
      </c>
      <c r="C125" s="12"/>
      <c r="D125" s="12" t="s">
        <v>160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74</v>
      </c>
      <c r="N125" s="5"/>
      <c r="O125" s="12"/>
      <c r="P125" s="5" t="s">
        <v>3196</v>
      </c>
      <c r="Q125" s="12" t="s">
        <v>3114</v>
      </c>
      <c r="R125" s="12" t="s">
        <v>2868</v>
      </c>
      <c r="S125" s="5" t="s">
        <v>3197</v>
      </c>
      <c r="T125" s="5" t="s">
        <v>306</v>
      </c>
      <c r="U125" s="12" t="n">
        <v>4</v>
      </c>
      <c r="V125" s="12" t="n">
        <v>1</v>
      </c>
      <c r="W125" s="12" t="n">
        <v>1</v>
      </c>
      <c r="X125" s="12" t="n">
        <v>2</v>
      </c>
      <c r="Y125" s="12" t="n">
        <v>0</v>
      </c>
    </row>
    <row r="126" customFormat="false" ht="81.75" hidden="false" customHeight="true" outlineLevel="0" collapsed="false">
      <c r="A126" s="12" t="s">
        <v>3194</v>
      </c>
      <c r="B126" s="5" t="s">
        <v>3195</v>
      </c>
      <c r="C126" s="12" t="s">
        <v>3194</v>
      </c>
      <c r="D126" s="12" t="s">
        <v>160</v>
      </c>
      <c r="E126" s="5" t="s">
        <v>3198</v>
      </c>
      <c r="F126" s="14"/>
      <c r="G126" s="14"/>
      <c r="H126" s="14" t="s">
        <v>87</v>
      </c>
      <c r="I126" s="14"/>
      <c r="J126" s="14"/>
      <c r="K126" s="14"/>
      <c r="L126" s="15"/>
      <c r="M126" s="12" t="s">
        <v>74</v>
      </c>
      <c r="N126" s="5"/>
      <c r="O126" s="12"/>
      <c r="P126" s="5" t="s">
        <v>3196</v>
      </c>
      <c r="Q126" s="12" t="s">
        <v>3114</v>
      </c>
      <c r="R126" s="12" t="s">
        <v>2868</v>
      </c>
      <c r="S126" s="5" t="s">
        <v>3197</v>
      </c>
      <c r="T126" s="5" t="s">
        <v>306</v>
      </c>
      <c r="U126" s="12" t="n">
        <v>4</v>
      </c>
      <c r="V126" s="12" t="n">
        <v>1</v>
      </c>
      <c r="W126" s="12" t="n">
        <v>1</v>
      </c>
      <c r="X126" s="12" t="n">
        <v>2</v>
      </c>
      <c r="Y126" s="12" t="n">
        <v>0</v>
      </c>
    </row>
  </sheetData>
  <autoFilter ref="A6:Y6"/>
  <conditionalFormatting sqref="H7:H12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5 H17 H19 H21 H23 H25 H27 H29:H31 H33 H35:H38 H40 H42 H44 H46 H48 H50 H52 H54 H56 H58 H60 H62 H64:H65 H67 H69 H71 H73 H75 H77:H78 H80 H82 H84 H86:H90 H92 H94 H96 H98:H99 H101 H103 H105:H108 H110:H117 H119:H121 H123:H124 H12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596</v>
      </c>
      <c r="B3" s="7" t="s">
        <v>597</v>
      </c>
    </row>
    <row r="4" customFormat="false" ht="15" hidden="false" customHeight="true" outlineLevel="0" collapsed="false">
      <c r="A4" s="4" t="s">
        <v>50</v>
      </c>
      <c r="B4" s="8" t="str">
        <f aca="false">IF(Praktiken!D14="","",Praktiken!D14)</f>
        <v/>
      </c>
    </row>
    <row r="5" customFormat="false" ht="15" hidden="false" customHeight="true" outlineLevel="0" collapsed="false">
      <c r="A5" s="4" t="s">
        <v>51</v>
      </c>
      <c r="B5" s="8" t="str">
        <f aca="false">IF(Praktiken!S14="","",Praktiken!S14)</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54.75" hidden="false" customHeight="true" outlineLevel="0" collapsed="false">
      <c r="A7" s="10" t="s">
        <v>3199</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3200</v>
      </c>
      <c r="O7" s="12" t="s">
        <v>524</v>
      </c>
      <c r="P7" s="5" t="s">
        <v>3201</v>
      </c>
      <c r="Q7" s="12"/>
      <c r="R7" s="12" t="s">
        <v>92</v>
      </c>
      <c r="S7" s="5" t="s">
        <v>3202</v>
      </c>
      <c r="T7" s="5" t="s">
        <v>306</v>
      </c>
      <c r="U7" s="12" t="n">
        <v>0</v>
      </c>
      <c r="V7" s="12" t="n">
        <v>1</v>
      </c>
      <c r="W7" s="12" t="n">
        <v>1</v>
      </c>
      <c r="X7" s="12" t="n">
        <v>1</v>
      </c>
      <c r="Y7" s="12" t="n">
        <v>0</v>
      </c>
    </row>
    <row r="8" customFormat="false" ht="216" hidden="false" customHeight="true" outlineLevel="0" collapsed="false">
      <c r="A8" s="12" t="s">
        <v>3199</v>
      </c>
      <c r="B8" s="5" t="s">
        <v>77</v>
      </c>
      <c r="C8" s="12" t="s">
        <v>3203</v>
      </c>
      <c r="D8" s="12" t="s">
        <v>78</v>
      </c>
      <c r="E8" s="5" t="s">
        <v>3204</v>
      </c>
      <c r="F8" s="14"/>
      <c r="G8" s="14"/>
      <c r="H8" s="14" t="s">
        <v>87</v>
      </c>
      <c r="I8" s="14"/>
      <c r="J8" s="14"/>
      <c r="K8" s="14"/>
      <c r="L8" s="15"/>
      <c r="M8" s="12"/>
      <c r="N8" s="5"/>
      <c r="O8" s="12"/>
      <c r="P8" s="5" t="s">
        <v>624</v>
      </c>
      <c r="Q8" s="12"/>
      <c r="R8" s="12" t="s">
        <v>92</v>
      </c>
      <c r="S8" s="5" t="s">
        <v>93</v>
      </c>
      <c r="T8" s="5" t="s">
        <v>306</v>
      </c>
      <c r="U8" s="12" t="n">
        <v>0</v>
      </c>
      <c r="V8" s="12" t="n">
        <v>1</v>
      </c>
      <c r="W8" s="12" t="n">
        <v>1</v>
      </c>
      <c r="X8" s="12" t="n">
        <v>1</v>
      </c>
      <c r="Y8" s="12" t="n">
        <v>0</v>
      </c>
    </row>
    <row r="9" customFormat="false" ht="336.75" hidden="false" customHeight="true" outlineLevel="0" collapsed="false">
      <c r="A9" s="12" t="s">
        <v>3199</v>
      </c>
      <c r="B9" s="5" t="s">
        <v>77</v>
      </c>
      <c r="C9" s="12" t="s">
        <v>3205</v>
      </c>
      <c r="D9" s="12" t="s">
        <v>78</v>
      </c>
      <c r="E9" s="5" t="s">
        <v>3206</v>
      </c>
      <c r="F9" s="14"/>
      <c r="G9" s="14"/>
      <c r="H9" s="14" t="s">
        <v>87</v>
      </c>
      <c r="I9" s="14"/>
      <c r="J9" s="14"/>
      <c r="K9" s="14"/>
      <c r="L9" s="15"/>
      <c r="M9" s="12"/>
      <c r="N9" s="5"/>
      <c r="O9" s="12"/>
      <c r="P9" s="5" t="s">
        <v>628</v>
      </c>
      <c r="Q9" s="12"/>
      <c r="R9" s="12" t="s">
        <v>100</v>
      </c>
      <c r="S9" s="5" t="s">
        <v>101</v>
      </c>
      <c r="T9" s="5" t="s">
        <v>306</v>
      </c>
      <c r="U9" s="12" t="n">
        <v>0</v>
      </c>
      <c r="V9" s="12" t="n">
        <v>1</v>
      </c>
      <c r="W9" s="12" t="n">
        <v>1</v>
      </c>
      <c r="X9" s="12" t="n">
        <v>1</v>
      </c>
      <c r="Y9" s="12" t="n">
        <v>0</v>
      </c>
    </row>
    <row r="10" customFormat="false" ht="175.5" hidden="false" customHeight="true" outlineLevel="0" collapsed="false">
      <c r="A10" s="12" t="s">
        <v>3199</v>
      </c>
      <c r="B10" s="5" t="s">
        <v>77</v>
      </c>
      <c r="C10" s="12" t="s">
        <v>3207</v>
      </c>
      <c r="D10" s="12" t="s">
        <v>78</v>
      </c>
      <c r="E10" s="5" t="s">
        <v>3208</v>
      </c>
      <c r="F10" s="14"/>
      <c r="G10" s="14"/>
      <c r="H10" s="14" t="s">
        <v>87</v>
      </c>
      <c r="I10" s="14"/>
      <c r="J10" s="14"/>
      <c r="K10" s="14"/>
      <c r="L10" s="15"/>
      <c r="M10" s="12" t="s">
        <v>3209</v>
      </c>
      <c r="N10" s="5"/>
      <c r="O10" s="12"/>
      <c r="P10" s="5" t="s">
        <v>631</v>
      </c>
      <c r="Q10" s="12"/>
      <c r="R10" s="12" t="s">
        <v>92</v>
      </c>
      <c r="S10" s="5" t="s">
        <v>108</v>
      </c>
      <c r="T10" s="5" t="s">
        <v>102</v>
      </c>
      <c r="U10" s="12" t="n">
        <v>0</v>
      </c>
      <c r="V10" s="12" t="n">
        <v>2</v>
      </c>
      <c r="W10" s="12" t="n">
        <v>2</v>
      </c>
      <c r="X10" s="12" t="n">
        <v>2</v>
      </c>
      <c r="Y10" s="12" t="n">
        <v>0</v>
      </c>
    </row>
    <row r="11" customFormat="false" ht="189" hidden="false" customHeight="true" outlineLevel="0" collapsed="false">
      <c r="A11" s="10" t="s">
        <v>3210</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t="s">
        <v>3209</v>
      </c>
      <c r="N11" s="5" t="s">
        <v>3211</v>
      </c>
      <c r="O11" s="12" t="s">
        <v>524</v>
      </c>
      <c r="P11" s="5" t="s">
        <v>2855</v>
      </c>
      <c r="Q11" s="12"/>
      <c r="R11" s="12" t="s">
        <v>115</v>
      </c>
      <c r="S11" s="5" t="s">
        <v>93</v>
      </c>
      <c r="T11" s="5" t="s">
        <v>109</v>
      </c>
      <c r="U11" s="12" t="n">
        <v>0</v>
      </c>
      <c r="V11" s="12" t="n">
        <v>2</v>
      </c>
      <c r="W11" s="12" t="n">
        <v>2</v>
      </c>
      <c r="X11" s="12" t="n">
        <v>2</v>
      </c>
      <c r="Y11" s="12" t="n">
        <v>0</v>
      </c>
    </row>
    <row r="12" customFormat="false" ht="189" hidden="false" customHeight="true" outlineLevel="0" collapsed="false">
      <c r="A12" s="12" t="s">
        <v>3210</v>
      </c>
      <c r="B12" s="5" t="s">
        <v>111</v>
      </c>
      <c r="C12" s="12" t="s">
        <v>3210</v>
      </c>
      <c r="D12" s="12" t="s">
        <v>78</v>
      </c>
      <c r="E12" s="5" t="s">
        <v>3212</v>
      </c>
      <c r="F12" s="14"/>
      <c r="G12" s="14"/>
      <c r="H12" s="14" t="s">
        <v>87</v>
      </c>
      <c r="I12" s="14"/>
      <c r="J12" s="14"/>
      <c r="K12" s="14"/>
      <c r="L12" s="15"/>
      <c r="M12" s="12" t="s">
        <v>3209</v>
      </c>
      <c r="N12" s="5" t="s">
        <v>3211</v>
      </c>
      <c r="O12" s="12" t="s">
        <v>524</v>
      </c>
      <c r="P12" s="5" t="s">
        <v>2855</v>
      </c>
      <c r="Q12" s="12"/>
      <c r="R12" s="12" t="s">
        <v>115</v>
      </c>
      <c r="S12" s="5" t="s">
        <v>93</v>
      </c>
      <c r="T12" s="5" t="s">
        <v>109</v>
      </c>
      <c r="U12" s="12" t="n">
        <v>0</v>
      </c>
      <c r="V12" s="12" t="n">
        <v>2</v>
      </c>
      <c r="W12" s="12" t="n">
        <v>2</v>
      </c>
      <c r="X12" s="12" t="n">
        <v>2</v>
      </c>
      <c r="Y12" s="12" t="n">
        <v>0</v>
      </c>
    </row>
    <row r="13" customFormat="false" ht="417.75" hidden="false" customHeight="true" outlineLevel="0" collapsed="false">
      <c r="A13" s="10" t="s">
        <v>3213</v>
      </c>
      <c r="B13" s="11" t="s">
        <v>3214</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3209</v>
      </c>
      <c r="N13" s="5"/>
      <c r="O13" s="12"/>
      <c r="P13" s="5" t="s">
        <v>3215</v>
      </c>
      <c r="Q13" s="12"/>
      <c r="R13" s="12" t="s">
        <v>92</v>
      </c>
      <c r="S13" s="5" t="s">
        <v>3216</v>
      </c>
      <c r="T13" s="5" t="s">
        <v>3217</v>
      </c>
      <c r="U13" s="12" t="n">
        <v>3</v>
      </c>
      <c r="V13" s="12" t="n">
        <v>2</v>
      </c>
      <c r="W13" s="12" t="n">
        <v>2</v>
      </c>
      <c r="X13" s="12" t="n">
        <v>2</v>
      </c>
      <c r="Y13" s="12" t="n">
        <v>1</v>
      </c>
    </row>
    <row r="14" customFormat="false" ht="417.75" hidden="false" customHeight="true" outlineLevel="0" collapsed="false">
      <c r="A14" s="12" t="s">
        <v>3213</v>
      </c>
      <c r="B14" s="5" t="s">
        <v>3214</v>
      </c>
      <c r="C14" s="12" t="s">
        <v>3213</v>
      </c>
      <c r="D14" s="12" t="s">
        <v>120</v>
      </c>
      <c r="E14" s="5" t="s">
        <v>3218</v>
      </c>
      <c r="F14" s="14"/>
      <c r="G14" s="14"/>
      <c r="H14" s="14" t="s">
        <v>87</v>
      </c>
      <c r="I14" s="14"/>
      <c r="J14" s="14"/>
      <c r="K14" s="14"/>
      <c r="L14" s="15"/>
      <c r="M14" s="12" t="s">
        <v>3209</v>
      </c>
      <c r="N14" s="5"/>
      <c r="O14" s="12"/>
      <c r="P14" s="5" t="s">
        <v>3215</v>
      </c>
      <c r="Q14" s="12"/>
      <c r="R14" s="12" t="s">
        <v>92</v>
      </c>
      <c r="S14" s="5" t="s">
        <v>3216</v>
      </c>
      <c r="T14" s="5" t="s">
        <v>3217</v>
      </c>
      <c r="U14" s="12" t="n">
        <v>3</v>
      </c>
      <c r="V14" s="12" t="n">
        <v>2</v>
      </c>
      <c r="W14" s="12" t="n">
        <v>2</v>
      </c>
      <c r="X14" s="12" t="n">
        <v>2</v>
      </c>
      <c r="Y14" s="12" t="n">
        <v>1</v>
      </c>
    </row>
    <row r="15" customFormat="false" ht="270" hidden="false" customHeight="true" outlineLevel="0" collapsed="false">
      <c r="A15" s="10" t="s">
        <v>3219</v>
      </c>
      <c r="B15" s="11" t="s">
        <v>3220</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t="s">
        <v>73</v>
      </c>
      <c r="N15" s="5"/>
      <c r="O15" s="12"/>
      <c r="P15" s="5" t="s">
        <v>3221</v>
      </c>
      <c r="Q15" s="12"/>
      <c r="R15" s="12" t="s">
        <v>282</v>
      </c>
      <c r="S15" s="5" t="s">
        <v>3222</v>
      </c>
      <c r="T15" s="5" t="s">
        <v>3223</v>
      </c>
      <c r="U15" s="12" t="n">
        <v>2</v>
      </c>
      <c r="V15" s="12" t="n">
        <v>1</v>
      </c>
      <c r="W15" s="12" t="n">
        <v>2</v>
      </c>
      <c r="X15" s="12" t="n">
        <v>0</v>
      </c>
      <c r="Y15" s="12" t="n">
        <v>1</v>
      </c>
    </row>
    <row r="16" customFormat="false" ht="270" hidden="false" customHeight="true" outlineLevel="0" collapsed="false">
      <c r="A16" s="12" t="s">
        <v>3219</v>
      </c>
      <c r="B16" s="5" t="s">
        <v>3220</v>
      </c>
      <c r="C16" s="12" t="s">
        <v>3219</v>
      </c>
      <c r="D16" s="12" t="s">
        <v>120</v>
      </c>
      <c r="E16" s="5" t="s">
        <v>3224</v>
      </c>
      <c r="F16" s="14"/>
      <c r="G16" s="14"/>
      <c r="H16" s="14" t="s">
        <v>87</v>
      </c>
      <c r="I16" s="14"/>
      <c r="J16" s="14"/>
      <c r="K16" s="14"/>
      <c r="L16" s="15"/>
      <c r="M16" s="12" t="s">
        <v>73</v>
      </c>
      <c r="N16" s="5"/>
      <c r="O16" s="12"/>
      <c r="P16" s="5" t="s">
        <v>3221</v>
      </c>
      <c r="Q16" s="12"/>
      <c r="R16" s="12" t="s">
        <v>282</v>
      </c>
      <c r="S16" s="5" t="s">
        <v>3222</v>
      </c>
      <c r="T16" s="5" t="s">
        <v>3223</v>
      </c>
      <c r="U16" s="12" t="n">
        <v>2</v>
      </c>
      <c r="V16" s="12" t="n">
        <v>1</v>
      </c>
      <c r="W16" s="12" t="n">
        <v>2</v>
      </c>
      <c r="X16" s="12" t="n">
        <v>0</v>
      </c>
      <c r="Y16" s="12" t="n">
        <v>1</v>
      </c>
    </row>
    <row r="17" customFormat="false" ht="162" hidden="false" customHeight="true" outlineLevel="0" collapsed="false">
      <c r="A17" s="10" t="s">
        <v>3225</v>
      </c>
      <c r="B17" s="11" t="s">
        <v>3226</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3227</v>
      </c>
      <c r="Q17" s="12"/>
      <c r="R17" s="12" t="s">
        <v>92</v>
      </c>
      <c r="S17" s="5" t="s">
        <v>3228</v>
      </c>
      <c r="T17" s="5" t="s">
        <v>704</v>
      </c>
      <c r="U17" s="12" t="n">
        <v>3</v>
      </c>
      <c r="V17" s="12" t="n">
        <v>1</v>
      </c>
      <c r="W17" s="12" t="n">
        <v>0</v>
      </c>
      <c r="X17" s="12" t="n">
        <v>0</v>
      </c>
      <c r="Y17" s="12" t="n">
        <v>0</v>
      </c>
    </row>
    <row r="18" customFormat="false" ht="162" hidden="false" customHeight="true" outlineLevel="0" collapsed="false">
      <c r="A18" s="12" t="s">
        <v>3225</v>
      </c>
      <c r="B18" s="5" t="s">
        <v>3226</v>
      </c>
      <c r="C18" s="12" t="s">
        <v>3225</v>
      </c>
      <c r="D18" s="12" t="s">
        <v>120</v>
      </c>
      <c r="E18" s="5" t="s">
        <v>3229</v>
      </c>
      <c r="F18" s="14"/>
      <c r="G18" s="14"/>
      <c r="H18" s="14" t="s">
        <v>87</v>
      </c>
      <c r="I18" s="14"/>
      <c r="J18" s="14"/>
      <c r="K18" s="14"/>
      <c r="L18" s="15"/>
      <c r="M18" s="12"/>
      <c r="N18" s="5"/>
      <c r="O18" s="12"/>
      <c r="P18" s="5" t="s">
        <v>3227</v>
      </c>
      <c r="Q18" s="12"/>
      <c r="R18" s="12" t="s">
        <v>92</v>
      </c>
      <c r="S18" s="5" t="s">
        <v>3228</v>
      </c>
      <c r="T18" s="5" t="s">
        <v>704</v>
      </c>
      <c r="U18" s="12" t="n">
        <v>3</v>
      </c>
      <c r="V18" s="12" t="n">
        <v>1</v>
      </c>
      <c r="W18" s="12" t="n">
        <v>0</v>
      </c>
      <c r="X18" s="12" t="n">
        <v>0</v>
      </c>
      <c r="Y18" s="12" t="n">
        <v>0</v>
      </c>
    </row>
    <row r="19" customFormat="false" ht="377.25" hidden="false" customHeight="true" outlineLevel="0" collapsed="false">
      <c r="A19" s="10" t="s">
        <v>3230</v>
      </c>
      <c r="B19" s="11" t="s">
        <v>3231</v>
      </c>
      <c r="C19" s="12"/>
      <c r="D19" s="12" t="s">
        <v>120</v>
      </c>
      <c r="E19" s="5" t="s">
        <v>79</v>
      </c>
      <c r="F19" s="12"/>
      <c r="G19" s="12"/>
      <c r="H19" s="13" t="str">
        <f aca="false">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2"/>
      <c r="J19" s="12"/>
      <c r="K19" s="12"/>
      <c r="L19" s="12"/>
      <c r="M19" s="12"/>
      <c r="N19" s="5" t="s">
        <v>3232</v>
      </c>
      <c r="O19" s="12" t="s">
        <v>524</v>
      </c>
      <c r="P19" s="5" t="s">
        <v>3233</v>
      </c>
      <c r="Q19" s="12" t="s">
        <v>226</v>
      </c>
      <c r="R19" s="12" t="s">
        <v>282</v>
      </c>
      <c r="S19" s="5" t="s">
        <v>3234</v>
      </c>
      <c r="T19" s="5" t="s">
        <v>306</v>
      </c>
      <c r="U19" s="12" t="n">
        <v>3</v>
      </c>
      <c r="V19" s="12" t="n">
        <v>1</v>
      </c>
      <c r="W19" s="12" t="n">
        <v>1</v>
      </c>
      <c r="X19" s="12" t="n">
        <v>1</v>
      </c>
      <c r="Y19" s="12" t="n">
        <v>0</v>
      </c>
    </row>
    <row r="20" customFormat="false" ht="377.25" hidden="false" customHeight="true" outlineLevel="0" collapsed="false">
      <c r="A20" s="12" t="s">
        <v>3230</v>
      </c>
      <c r="B20" s="5" t="s">
        <v>3231</v>
      </c>
      <c r="C20" s="12" t="s">
        <v>3230</v>
      </c>
      <c r="D20" s="12" t="s">
        <v>120</v>
      </c>
      <c r="E20" s="5" t="s">
        <v>3235</v>
      </c>
      <c r="F20" s="14"/>
      <c r="G20" s="14"/>
      <c r="H20" s="14" t="s">
        <v>87</v>
      </c>
      <c r="I20" s="14"/>
      <c r="J20" s="14"/>
      <c r="K20" s="14"/>
      <c r="L20" s="15"/>
      <c r="M20" s="12"/>
      <c r="N20" s="5" t="s">
        <v>3232</v>
      </c>
      <c r="O20" s="12" t="s">
        <v>524</v>
      </c>
      <c r="P20" s="5" t="s">
        <v>3233</v>
      </c>
      <c r="Q20" s="12" t="s">
        <v>226</v>
      </c>
      <c r="R20" s="12" t="s">
        <v>282</v>
      </c>
      <c r="S20" s="5" t="s">
        <v>3234</v>
      </c>
      <c r="T20" s="5" t="s">
        <v>306</v>
      </c>
      <c r="U20" s="12" t="n">
        <v>3</v>
      </c>
      <c r="V20" s="12" t="n">
        <v>1</v>
      </c>
      <c r="W20" s="12" t="n">
        <v>1</v>
      </c>
      <c r="X20" s="12" t="n">
        <v>1</v>
      </c>
      <c r="Y20" s="12" t="n">
        <v>0</v>
      </c>
    </row>
    <row r="21" customFormat="false" ht="431.25" hidden="false" customHeight="true" outlineLevel="0" collapsed="false">
      <c r="A21" s="12" t="s">
        <v>3230</v>
      </c>
      <c r="B21" s="5" t="s">
        <v>3231</v>
      </c>
      <c r="C21" s="12" t="s">
        <v>3236</v>
      </c>
      <c r="D21" s="12" t="s">
        <v>120</v>
      </c>
      <c r="E21" s="5" t="s">
        <v>3237</v>
      </c>
      <c r="F21" s="14"/>
      <c r="G21" s="14"/>
      <c r="H21" s="14" t="s">
        <v>87</v>
      </c>
      <c r="I21" s="14"/>
      <c r="J21" s="14"/>
      <c r="K21" s="14"/>
      <c r="L21" s="15"/>
      <c r="M21" s="12" t="s">
        <v>74</v>
      </c>
      <c r="N21" s="5"/>
      <c r="O21" s="12"/>
      <c r="P21" s="5" t="s">
        <v>3238</v>
      </c>
      <c r="Q21" s="12" t="s">
        <v>226</v>
      </c>
      <c r="R21" s="12" t="s">
        <v>282</v>
      </c>
      <c r="S21" s="5" t="s">
        <v>3239</v>
      </c>
      <c r="T21" s="5" t="s">
        <v>3240</v>
      </c>
      <c r="U21" s="12" t="n">
        <v>3</v>
      </c>
      <c r="V21" s="12" t="n">
        <v>1</v>
      </c>
      <c r="W21" s="12" t="n">
        <v>1</v>
      </c>
      <c r="X21" s="12" t="n">
        <v>2</v>
      </c>
      <c r="Y21" s="12" t="n">
        <v>0</v>
      </c>
    </row>
    <row r="22" customFormat="false" ht="122.25" hidden="false" customHeight="true" outlineLevel="0" collapsed="false">
      <c r="A22" s="10" t="s">
        <v>3241</v>
      </c>
      <c r="B22" s="11" t="s">
        <v>3242</v>
      </c>
      <c r="C22" s="12"/>
      <c r="D22" s="12" t="s">
        <v>120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t="s">
        <v>3209</v>
      </c>
      <c r="N22" s="5" t="s">
        <v>1276</v>
      </c>
      <c r="O22" s="12" t="s">
        <v>524</v>
      </c>
      <c r="P22" s="5" t="s">
        <v>3243</v>
      </c>
      <c r="Q22" s="12" t="s">
        <v>226</v>
      </c>
      <c r="R22" s="12" t="s">
        <v>282</v>
      </c>
      <c r="S22" s="5" t="s">
        <v>3244</v>
      </c>
      <c r="T22" s="5" t="s">
        <v>109</v>
      </c>
      <c r="U22" s="12" t="n">
        <v>3</v>
      </c>
      <c r="V22" s="12" t="n">
        <v>2</v>
      </c>
      <c r="W22" s="12" t="n">
        <v>2</v>
      </c>
      <c r="X22" s="12" t="n">
        <v>2</v>
      </c>
      <c r="Y22" s="12" t="n">
        <v>0</v>
      </c>
    </row>
    <row r="23" customFormat="false" ht="122.25" hidden="false" customHeight="true" outlineLevel="0" collapsed="false">
      <c r="A23" s="12" t="s">
        <v>3241</v>
      </c>
      <c r="B23" s="5" t="s">
        <v>3242</v>
      </c>
      <c r="C23" s="12" t="s">
        <v>3241</v>
      </c>
      <c r="D23" s="12" t="s">
        <v>120</v>
      </c>
      <c r="E23" s="5" t="s">
        <v>3245</v>
      </c>
      <c r="F23" s="14"/>
      <c r="G23" s="14"/>
      <c r="H23" s="14" t="s">
        <v>87</v>
      </c>
      <c r="I23" s="14"/>
      <c r="J23" s="14"/>
      <c r="K23" s="14"/>
      <c r="L23" s="15"/>
      <c r="M23" s="12" t="s">
        <v>3209</v>
      </c>
      <c r="N23" s="5" t="s">
        <v>1276</v>
      </c>
      <c r="O23" s="12" t="s">
        <v>524</v>
      </c>
      <c r="P23" s="5" t="s">
        <v>3243</v>
      </c>
      <c r="Q23" s="12" t="s">
        <v>226</v>
      </c>
      <c r="R23" s="12" t="s">
        <v>282</v>
      </c>
      <c r="S23" s="5" t="s">
        <v>3244</v>
      </c>
      <c r="T23" s="5" t="s">
        <v>109</v>
      </c>
      <c r="U23" s="12" t="n">
        <v>3</v>
      </c>
      <c r="V23" s="12" t="n">
        <v>2</v>
      </c>
      <c r="W23" s="12" t="n">
        <v>2</v>
      </c>
      <c r="X23" s="12" t="n">
        <v>2</v>
      </c>
      <c r="Y23" s="12" t="n">
        <v>0</v>
      </c>
    </row>
    <row r="24" customFormat="false" ht="270" hidden="false" customHeight="true" outlineLevel="0" collapsed="false">
      <c r="A24" s="10" t="s">
        <v>3246</v>
      </c>
      <c r="B24" s="11" t="s">
        <v>3247</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88</v>
      </c>
      <c r="N24" s="5" t="s">
        <v>3248</v>
      </c>
      <c r="O24" s="12" t="s">
        <v>524</v>
      </c>
      <c r="P24" s="5" t="s">
        <v>3249</v>
      </c>
      <c r="Q24" s="12" t="s">
        <v>226</v>
      </c>
      <c r="R24" s="12" t="s">
        <v>282</v>
      </c>
      <c r="S24" s="5" t="s">
        <v>3250</v>
      </c>
      <c r="T24" s="5" t="s">
        <v>3251</v>
      </c>
      <c r="U24" s="12" t="n">
        <v>1</v>
      </c>
      <c r="V24" s="12" t="n">
        <v>2</v>
      </c>
      <c r="W24" s="12" t="n">
        <v>2</v>
      </c>
      <c r="X24" s="12" t="n">
        <v>1</v>
      </c>
      <c r="Y24" s="12" t="n">
        <v>1</v>
      </c>
    </row>
    <row r="25" customFormat="false" ht="270" hidden="false" customHeight="true" outlineLevel="0" collapsed="false">
      <c r="A25" s="12" t="s">
        <v>3246</v>
      </c>
      <c r="B25" s="5" t="s">
        <v>3247</v>
      </c>
      <c r="C25" s="12" t="s">
        <v>3246</v>
      </c>
      <c r="D25" s="12" t="s">
        <v>120</v>
      </c>
      <c r="E25" s="5" t="s">
        <v>3252</v>
      </c>
      <c r="F25" s="14"/>
      <c r="G25" s="14"/>
      <c r="H25" s="14" t="s">
        <v>87</v>
      </c>
      <c r="I25" s="14"/>
      <c r="J25" s="14"/>
      <c r="K25" s="14"/>
      <c r="L25" s="15"/>
      <c r="M25" s="12" t="s">
        <v>88</v>
      </c>
      <c r="N25" s="5" t="s">
        <v>3248</v>
      </c>
      <c r="O25" s="12" t="s">
        <v>524</v>
      </c>
      <c r="P25" s="5" t="s">
        <v>3249</v>
      </c>
      <c r="Q25" s="12" t="s">
        <v>226</v>
      </c>
      <c r="R25" s="12" t="s">
        <v>282</v>
      </c>
      <c r="S25" s="5" t="s">
        <v>3250</v>
      </c>
      <c r="T25" s="5" t="s">
        <v>3251</v>
      </c>
      <c r="U25" s="12" t="n">
        <v>1</v>
      </c>
      <c r="V25" s="12" t="n">
        <v>2</v>
      </c>
      <c r="W25" s="12" t="n">
        <v>2</v>
      </c>
      <c r="X25" s="12" t="n">
        <v>1</v>
      </c>
      <c r="Y25" s="12" t="n">
        <v>1</v>
      </c>
    </row>
    <row r="26" customFormat="false" ht="108.75" hidden="false" customHeight="true" outlineLevel="0" collapsed="false">
      <c r="A26" s="10" t="s">
        <v>3253</v>
      </c>
      <c r="B26" s="11" t="s">
        <v>3254</v>
      </c>
      <c r="C26" s="12"/>
      <c r="D26" s="12" t="s">
        <v>120</v>
      </c>
      <c r="E26" s="5" t="s">
        <v>79</v>
      </c>
      <c r="F26" s="12"/>
      <c r="G26" s="12"/>
      <c r="H26" s="13" t="str">
        <f aca="false">IF(OR(COUNTBLANK($H$27:$H$29)&gt;0,COUNTIF($H$27:$H$29,"unbearbeitet")=COUNTA($H$27:$H$29)),"Bitte Teilanforderungen ausfüllen",IF(COUNTIF($H$27:$H$29,"zu klären")&gt;0,"zu klären",IF(COUNTIF($H$27:$H$29,"entbehrlich")=COUNTA($H$27:$H$29),"entbehrlich",IF(COUNTIF($H$27:$H$29,"verwiesen")=COUNTA($H$27:$H$29),"verwiesen",IF(COUNTIF($H$27:$H$29,"nein")+COUNTIF($H$27:$H$29,"entbehrlich")=COUNTA($H$27:$H$29),"nein",IF(COUNTIF($H$27:$H$29,"ja")+COUNTIF($H$27:$H$29,"entbehrlich")+COUNTIF($H$27:$H$29,"verwiesen")=COUNTA($H$27:$H$29),"ja","teilweise"))))))</f>
        <v>Bitte Teilanforderungen ausfüllen</v>
      </c>
      <c r="I26" s="12"/>
      <c r="J26" s="12"/>
      <c r="K26" s="12"/>
      <c r="L26" s="12"/>
      <c r="M26" s="12" t="s">
        <v>88</v>
      </c>
      <c r="N26" s="5" t="s">
        <v>3255</v>
      </c>
      <c r="O26" s="12" t="s">
        <v>661</v>
      </c>
      <c r="P26" s="5" t="s">
        <v>3256</v>
      </c>
      <c r="Q26" s="12" t="s">
        <v>226</v>
      </c>
      <c r="R26" s="12" t="s">
        <v>282</v>
      </c>
      <c r="S26" s="5" t="s">
        <v>3257</v>
      </c>
      <c r="T26" s="5" t="s">
        <v>3258</v>
      </c>
      <c r="U26" s="12" t="n">
        <v>2</v>
      </c>
      <c r="V26" s="12" t="n">
        <v>2</v>
      </c>
      <c r="W26" s="12" t="n">
        <v>2</v>
      </c>
      <c r="X26" s="12" t="n">
        <v>1</v>
      </c>
      <c r="Y26" s="12" t="n">
        <v>0</v>
      </c>
    </row>
    <row r="27" customFormat="false" ht="108.75" hidden="false" customHeight="true" outlineLevel="0" collapsed="false">
      <c r="A27" s="12" t="s">
        <v>3253</v>
      </c>
      <c r="B27" s="5" t="s">
        <v>3254</v>
      </c>
      <c r="C27" s="12" t="s">
        <v>3253</v>
      </c>
      <c r="D27" s="12" t="s">
        <v>120</v>
      </c>
      <c r="E27" s="5" t="s">
        <v>3259</v>
      </c>
      <c r="F27" s="14"/>
      <c r="G27" s="14"/>
      <c r="H27" s="14" t="s">
        <v>87</v>
      </c>
      <c r="I27" s="14"/>
      <c r="J27" s="14"/>
      <c r="K27" s="14"/>
      <c r="L27" s="15"/>
      <c r="M27" s="12" t="s">
        <v>88</v>
      </c>
      <c r="N27" s="5" t="s">
        <v>3255</v>
      </c>
      <c r="O27" s="12" t="s">
        <v>661</v>
      </c>
      <c r="P27" s="5" t="s">
        <v>3256</v>
      </c>
      <c r="Q27" s="12" t="s">
        <v>226</v>
      </c>
      <c r="R27" s="12" t="s">
        <v>282</v>
      </c>
      <c r="S27" s="5" t="s">
        <v>3257</v>
      </c>
      <c r="T27" s="5" t="s">
        <v>3258</v>
      </c>
      <c r="U27" s="12" t="n">
        <v>2</v>
      </c>
      <c r="V27" s="12" t="n">
        <v>2</v>
      </c>
      <c r="W27" s="12" t="n">
        <v>2</v>
      </c>
      <c r="X27" s="12" t="n">
        <v>1</v>
      </c>
      <c r="Y27" s="12" t="n">
        <v>0</v>
      </c>
    </row>
    <row r="28" customFormat="false" ht="54.75" hidden="false" customHeight="true" outlineLevel="0" collapsed="false">
      <c r="A28" s="12" t="s">
        <v>3253</v>
      </c>
      <c r="B28" s="5" t="s">
        <v>3254</v>
      </c>
      <c r="C28" s="12" t="s">
        <v>3260</v>
      </c>
      <c r="D28" s="12" t="s">
        <v>120</v>
      </c>
      <c r="E28" s="5" t="s">
        <v>3261</v>
      </c>
      <c r="F28" s="14"/>
      <c r="G28" s="14"/>
      <c r="H28" s="14" t="s">
        <v>87</v>
      </c>
      <c r="I28" s="14"/>
      <c r="J28" s="14"/>
      <c r="K28" s="14"/>
      <c r="L28" s="15"/>
      <c r="M28" s="12" t="s">
        <v>72</v>
      </c>
      <c r="N28" s="5"/>
      <c r="O28" s="12"/>
      <c r="P28" s="5" t="s">
        <v>3262</v>
      </c>
      <c r="Q28" s="12" t="s">
        <v>226</v>
      </c>
      <c r="R28" s="12" t="s">
        <v>282</v>
      </c>
      <c r="S28" s="5" t="s">
        <v>3263</v>
      </c>
      <c r="T28" s="5" t="s">
        <v>362</v>
      </c>
      <c r="U28" s="12" t="n">
        <v>3</v>
      </c>
      <c r="V28" s="12" t="n">
        <v>2</v>
      </c>
      <c r="W28" s="12" t="n">
        <v>1</v>
      </c>
      <c r="X28" s="12" t="n">
        <v>0</v>
      </c>
      <c r="Y28" s="12" t="n">
        <v>0</v>
      </c>
    </row>
    <row r="29" customFormat="false" ht="202.5" hidden="false" customHeight="true" outlineLevel="0" collapsed="false">
      <c r="A29" s="12" t="s">
        <v>3253</v>
      </c>
      <c r="B29" s="5" t="s">
        <v>3254</v>
      </c>
      <c r="C29" s="12" t="s">
        <v>3264</v>
      </c>
      <c r="D29" s="12" t="s">
        <v>120</v>
      </c>
      <c r="E29" s="5" t="s">
        <v>3265</v>
      </c>
      <c r="F29" s="14"/>
      <c r="G29" s="14"/>
      <c r="H29" s="14" t="s">
        <v>87</v>
      </c>
      <c r="I29" s="14"/>
      <c r="J29" s="14"/>
      <c r="K29" s="14"/>
      <c r="L29" s="15"/>
      <c r="M29" s="12" t="s">
        <v>72</v>
      </c>
      <c r="N29" s="5" t="s">
        <v>3266</v>
      </c>
      <c r="O29" s="12" t="s">
        <v>1169</v>
      </c>
      <c r="P29" s="5" t="s">
        <v>3267</v>
      </c>
      <c r="Q29" s="12" t="s">
        <v>226</v>
      </c>
      <c r="R29" s="12" t="s">
        <v>282</v>
      </c>
      <c r="S29" s="5" t="s">
        <v>3268</v>
      </c>
      <c r="T29" s="5" t="s">
        <v>3269</v>
      </c>
      <c r="U29" s="12" t="n">
        <v>4</v>
      </c>
      <c r="V29" s="12" t="n">
        <v>2</v>
      </c>
      <c r="W29" s="12" t="n">
        <v>1</v>
      </c>
      <c r="X29" s="12" t="n">
        <v>0</v>
      </c>
      <c r="Y29" s="12" t="n">
        <v>0</v>
      </c>
    </row>
    <row r="30" customFormat="false" ht="377.25" hidden="false" customHeight="true" outlineLevel="0" collapsed="false">
      <c r="A30" s="10" t="s">
        <v>3270</v>
      </c>
      <c r="B30" s="11" t="s">
        <v>3271</v>
      </c>
      <c r="C30" s="12"/>
      <c r="D30" s="12" t="s">
        <v>120</v>
      </c>
      <c r="E30" s="5" t="s">
        <v>79</v>
      </c>
      <c r="F30" s="12"/>
      <c r="G30" s="12"/>
      <c r="H30" s="13" t="str">
        <f aca="false">IF(OR(COUNTBLANK($H$31:$H$32)&gt;0,COUNTIF($H$31:$H$32,"unbearbeitet")=COUNTA($H$31:$H$32)),"Bitte Teilanforderungen ausfüllen",IF(COUNTIF($H$31:$H$32,"zu klären")&gt;0,"zu klären",IF(COUNTIF($H$31:$H$32,"entbehrlich")=COUNTA($H$31:$H$32),"entbehrlich",IF(COUNTIF($H$31:$H$32,"verwiesen")=COUNTA($H$31:$H$32),"verwiesen",IF(COUNTIF($H$31:$H$32,"nein")+COUNTIF($H$31:$H$32,"entbehrlich")=COUNTA($H$31:$H$32),"nein",IF(COUNTIF($H$31:$H$32,"ja")+COUNTIF($H$31:$H$32,"entbehrlich")+COUNTIF($H$31:$H$32,"verwiesen")=COUNTA($H$31:$H$32),"ja","teilweise"))))))</f>
        <v>Bitte Teilanforderungen ausfüllen</v>
      </c>
      <c r="I30" s="12"/>
      <c r="J30" s="12"/>
      <c r="K30" s="12"/>
      <c r="L30" s="12"/>
      <c r="M30" s="12" t="s">
        <v>73</v>
      </c>
      <c r="N30" s="5" t="s">
        <v>3272</v>
      </c>
      <c r="O30" s="12" t="s">
        <v>2294</v>
      </c>
      <c r="P30" s="5" t="s">
        <v>3273</v>
      </c>
      <c r="Q30" s="12" t="s">
        <v>226</v>
      </c>
      <c r="R30" s="12" t="s">
        <v>282</v>
      </c>
      <c r="S30" s="5" t="s">
        <v>3274</v>
      </c>
      <c r="T30" s="5" t="s">
        <v>3275</v>
      </c>
      <c r="U30" s="12" t="n">
        <v>4</v>
      </c>
      <c r="V30" s="12" t="n">
        <v>1</v>
      </c>
      <c r="W30" s="12" t="n">
        <v>2</v>
      </c>
      <c r="X30" s="12" t="n">
        <v>1</v>
      </c>
      <c r="Y30" s="12" t="n">
        <v>1</v>
      </c>
    </row>
    <row r="31" customFormat="false" ht="377.25" hidden="false" customHeight="true" outlineLevel="0" collapsed="false">
      <c r="A31" s="12" t="s">
        <v>3270</v>
      </c>
      <c r="B31" s="5" t="s">
        <v>3271</v>
      </c>
      <c r="C31" s="12" t="s">
        <v>3270</v>
      </c>
      <c r="D31" s="12" t="s">
        <v>120</v>
      </c>
      <c r="E31" s="5" t="s">
        <v>3276</v>
      </c>
      <c r="F31" s="14"/>
      <c r="G31" s="14"/>
      <c r="H31" s="14" t="s">
        <v>87</v>
      </c>
      <c r="I31" s="14"/>
      <c r="J31" s="14"/>
      <c r="K31" s="14"/>
      <c r="L31" s="15"/>
      <c r="M31" s="12" t="s">
        <v>73</v>
      </c>
      <c r="N31" s="5" t="s">
        <v>3272</v>
      </c>
      <c r="O31" s="12" t="s">
        <v>2294</v>
      </c>
      <c r="P31" s="5" t="s">
        <v>3273</v>
      </c>
      <c r="Q31" s="12" t="s">
        <v>226</v>
      </c>
      <c r="R31" s="12" t="s">
        <v>282</v>
      </c>
      <c r="S31" s="5" t="s">
        <v>3274</v>
      </c>
      <c r="T31" s="5" t="s">
        <v>3275</v>
      </c>
      <c r="U31" s="12" t="n">
        <v>4</v>
      </c>
      <c r="V31" s="12" t="n">
        <v>1</v>
      </c>
      <c r="W31" s="12" t="n">
        <v>2</v>
      </c>
      <c r="X31" s="12" t="n">
        <v>1</v>
      </c>
      <c r="Y31" s="12" t="n">
        <v>1</v>
      </c>
    </row>
    <row r="32" customFormat="false" ht="149.25" hidden="false" customHeight="true" outlineLevel="0" collapsed="false">
      <c r="A32" s="12" t="s">
        <v>3270</v>
      </c>
      <c r="B32" s="5" t="s">
        <v>3271</v>
      </c>
      <c r="C32" s="12" t="s">
        <v>3277</v>
      </c>
      <c r="D32" s="12" t="s">
        <v>160</v>
      </c>
      <c r="E32" s="5" t="s">
        <v>3278</v>
      </c>
      <c r="F32" s="14"/>
      <c r="G32" s="14"/>
      <c r="H32" s="14" t="s">
        <v>87</v>
      </c>
      <c r="I32" s="14"/>
      <c r="J32" s="14"/>
      <c r="K32" s="14"/>
      <c r="L32" s="15"/>
      <c r="M32" s="12" t="s">
        <v>73</v>
      </c>
      <c r="N32" s="5"/>
      <c r="O32" s="12"/>
      <c r="P32" s="5" t="s">
        <v>3279</v>
      </c>
      <c r="Q32" s="12" t="s">
        <v>226</v>
      </c>
      <c r="R32" s="12" t="s">
        <v>282</v>
      </c>
      <c r="S32" s="5" t="s">
        <v>3280</v>
      </c>
      <c r="T32" s="5" t="s">
        <v>3281</v>
      </c>
      <c r="U32" s="12" t="n">
        <v>5</v>
      </c>
      <c r="V32" s="12" t="n">
        <v>1</v>
      </c>
      <c r="W32" s="12" t="n">
        <v>2</v>
      </c>
      <c r="X32" s="12" t="n">
        <v>1</v>
      </c>
      <c r="Y32" s="12" t="n">
        <v>1</v>
      </c>
    </row>
    <row r="33" customFormat="false" ht="108.75" hidden="false" customHeight="true" outlineLevel="0" collapsed="false">
      <c r="A33" s="10" t="s">
        <v>3282</v>
      </c>
      <c r="B33" s="11" t="s">
        <v>3283</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3209</v>
      </c>
      <c r="N33" s="5"/>
      <c r="O33" s="12"/>
      <c r="P33" s="5" t="s">
        <v>3284</v>
      </c>
      <c r="Q33" s="12" t="s">
        <v>3285</v>
      </c>
      <c r="R33" s="12" t="s">
        <v>282</v>
      </c>
      <c r="S33" s="5" t="s">
        <v>3286</v>
      </c>
      <c r="T33" s="5" t="s">
        <v>3287</v>
      </c>
      <c r="U33" s="12" t="n">
        <v>3</v>
      </c>
      <c r="V33" s="12" t="n">
        <v>2</v>
      </c>
      <c r="W33" s="12" t="n">
        <v>2</v>
      </c>
      <c r="X33" s="12" t="n">
        <v>2</v>
      </c>
      <c r="Y33" s="12" t="n">
        <v>1</v>
      </c>
    </row>
    <row r="34" customFormat="false" ht="108.75" hidden="false" customHeight="true" outlineLevel="0" collapsed="false">
      <c r="A34" s="12" t="s">
        <v>3282</v>
      </c>
      <c r="B34" s="5" t="s">
        <v>3283</v>
      </c>
      <c r="C34" s="12" t="s">
        <v>3282</v>
      </c>
      <c r="D34" s="12" t="s">
        <v>120</v>
      </c>
      <c r="E34" s="5" t="s">
        <v>3288</v>
      </c>
      <c r="F34" s="14"/>
      <c r="G34" s="14"/>
      <c r="H34" s="14" t="s">
        <v>87</v>
      </c>
      <c r="I34" s="14"/>
      <c r="J34" s="14"/>
      <c r="K34" s="14"/>
      <c r="L34" s="15"/>
      <c r="M34" s="12" t="s">
        <v>3209</v>
      </c>
      <c r="N34" s="5"/>
      <c r="O34" s="12"/>
      <c r="P34" s="5" t="s">
        <v>3284</v>
      </c>
      <c r="Q34" s="12" t="s">
        <v>3285</v>
      </c>
      <c r="R34" s="12" t="s">
        <v>282</v>
      </c>
      <c r="S34" s="5" t="s">
        <v>3286</v>
      </c>
      <c r="T34" s="5" t="s">
        <v>3287</v>
      </c>
      <c r="U34" s="12" t="n">
        <v>3</v>
      </c>
      <c r="V34" s="12" t="n">
        <v>2</v>
      </c>
      <c r="W34" s="12" t="n">
        <v>2</v>
      </c>
      <c r="X34" s="12" t="n">
        <v>2</v>
      </c>
      <c r="Y34" s="12" t="n">
        <v>1</v>
      </c>
    </row>
    <row r="35" customFormat="false" ht="309.75" hidden="false" customHeight="true" outlineLevel="0" collapsed="false">
      <c r="A35" s="10" t="s">
        <v>3289</v>
      </c>
      <c r="B35" s="11" t="s">
        <v>3290</v>
      </c>
      <c r="C35" s="12"/>
      <c r="D35" s="12" t="s">
        <v>160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t="s">
        <v>3209</v>
      </c>
      <c r="N35" s="5"/>
      <c r="O35" s="12"/>
      <c r="P35" s="5" t="s">
        <v>3291</v>
      </c>
      <c r="Q35" s="12" t="s">
        <v>226</v>
      </c>
      <c r="R35" s="12" t="s">
        <v>92</v>
      </c>
      <c r="S35" s="5" t="s">
        <v>3290</v>
      </c>
      <c r="T35" s="5" t="s">
        <v>3292</v>
      </c>
      <c r="U35" s="12" t="n">
        <v>5</v>
      </c>
      <c r="V35" s="12" t="n">
        <v>2</v>
      </c>
      <c r="W35" s="12" t="n">
        <v>2</v>
      </c>
      <c r="X35" s="12" t="n">
        <v>2</v>
      </c>
      <c r="Y35" s="12" t="n">
        <v>0</v>
      </c>
    </row>
    <row r="36" customFormat="false" ht="309.75" hidden="false" customHeight="true" outlineLevel="0" collapsed="false">
      <c r="A36" s="12" t="s">
        <v>3289</v>
      </c>
      <c r="B36" s="5" t="s">
        <v>3290</v>
      </c>
      <c r="C36" s="12" t="s">
        <v>3289</v>
      </c>
      <c r="D36" s="12" t="s">
        <v>160</v>
      </c>
      <c r="E36" s="5" t="s">
        <v>3293</v>
      </c>
      <c r="F36" s="14"/>
      <c r="G36" s="14"/>
      <c r="H36" s="14" t="s">
        <v>87</v>
      </c>
      <c r="I36" s="14"/>
      <c r="J36" s="14"/>
      <c r="K36" s="14"/>
      <c r="L36" s="15"/>
      <c r="M36" s="12" t="s">
        <v>3209</v>
      </c>
      <c r="N36" s="5"/>
      <c r="O36" s="12"/>
      <c r="P36" s="5" t="s">
        <v>3291</v>
      </c>
      <c r="Q36" s="12" t="s">
        <v>226</v>
      </c>
      <c r="R36" s="12" t="s">
        <v>92</v>
      </c>
      <c r="S36" s="5" t="s">
        <v>3290</v>
      </c>
      <c r="T36" s="5" t="s">
        <v>3292</v>
      </c>
      <c r="U36" s="12" t="n">
        <v>5</v>
      </c>
      <c r="V36" s="12" t="n">
        <v>2</v>
      </c>
      <c r="W36" s="12" t="n">
        <v>2</v>
      </c>
      <c r="X36" s="12" t="n">
        <v>2</v>
      </c>
      <c r="Y36" s="12" t="n">
        <v>0</v>
      </c>
    </row>
    <row r="37" customFormat="false" ht="135.75" hidden="false" customHeight="true" outlineLevel="0" collapsed="false">
      <c r="A37" s="10" t="s">
        <v>3294</v>
      </c>
      <c r="B37" s="11" t="s">
        <v>3295</v>
      </c>
      <c r="C37" s="12"/>
      <c r="D37" s="12" t="s">
        <v>160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74</v>
      </c>
      <c r="N37" s="5" t="s">
        <v>3296</v>
      </c>
      <c r="O37" s="12" t="s">
        <v>524</v>
      </c>
      <c r="P37" s="5" t="s">
        <v>3297</v>
      </c>
      <c r="Q37" s="12" t="s">
        <v>226</v>
      </c>
      <c r="R37" s="12" t="s">
        <v>92</v>
      </c>
      <c r="S37" s="5" t="s">
        <v>3298</v>
      </c>
      <c r="T37" s="5" t="s">
        <v>471</v>
      </c>
      <c r="U37" s="12" t="n">
        <v>5</v>
      </c>
      <c r="V37" s="12" t="n">
        <v>1</v>
      </c>
      <c r="W37" s="12" t="n">
        <v>1</v>
      </c>
      <c r="X37" s="12" t="n">
        <v>2</v>
      </c>
      <c r="Y37" s="12" t="n">
        <v>0</v>
      </c>
    </row>
    <row r="38" customFormat="false" ht="135.75" hidden="false" customHeight="true" outlineLevel="0" collapsed="false">
      <c r="A38" s="12" t="s">
        <v>3294</v>
      </c>
      <c r="B38" s="5" t="s">
        <v>3295</v>
      </c>
      <c r="C38" s="12" t="s">
        <v>3294</v>
      </c>
      <c r="D38" s="12" t="s">
        <v>160</v>
      </c>
      <c r="E38" s="5" t="s">
        <v>3299</v>
      </c>
      <c r="F38" s="14"/>
      <c r="G38" s="14"/>
      <c r="H38" s="14" t="s">
        <v>87</v>
      </c>
      <c r="I38" s="14"/>
      <c r="J38" s="14"/>
      <c r="K38" s="14"/>
      <c r="L38" s="15"/>
      <c r="M38" s="12" t="s">
        <v>74</v>
      </c>
      <c r="N38" s="5" t="s">
        <v>3296</v>
      </c>
      <c r="O38" s="12" t="s">
        <v>524</v>
      </c>
      <c r="P38" s="5" t="s">
        <v>3297</v>
      </c>
      <c r="Q38" s="12" t="s">
        <v>226</v>
      </c>
      <c r="R38" s="12" t="s">
        <v>92</v>
      </c>
      <c r="S38" s="5" t="s">
        <v>3298</v>
      </c>
      <c r="T38" s="5" t="s">
        <v>471</v>
      </c>
      <c r="U38" s="12" t="n">
        <v>5</v>
      </c>
      <c r="V38" s="12" t="n">
        <v>1</v>
      </c>
      <c r="W38" s="12" t="n">
        <v>1</v>
      </c>
      <c r="X38" s="12" t="n">
        <v>2</v>
      </c>
      <c r="Y38" s="12" t="n">
        <v>0</v>
      </c>
    </row>
    <row r="39" customFormat="false" ht="95.25" hidden="false" customHeight="true" outlineLevel="0" collapsed="false">
      <c r="A39" s="10" t="s">
        <v>3300</v>
      </c>
      <c r="B39" s="11" t="s">
        <v>3301</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t="s">
        <v>3209</v>
      </c>
      <c r="N39" s="5"/>
      <c r="O39" s="12"/>
      <c r="P39" s="5" t="s">
        <v>3302</v>
      </c>
      <c r="Q39" s="12" t="s">
        <v>226</v>
      </c>
      <c r="R39" s="12" t="s">
        <v>282</v>
      </c>
      <c r="S39" s="5" t="s">
        <v>3303</v>
      </c>
      <c r="T39" s="5" t="s">
        <v>3304</v>
      </c>
      <c r="U39" s="12" t="n">
        <v>5</v>
      </c>
      <c r="V39" s="12" t="n">
        <v>2</v>
      </c>
      <c r="W39" s="12" t="n">
        <v>2</v>
      </c>
      <c r="X39" s="12" t="n">
        <v>2</v>
      </c>
      <c r="Y39" s="12" t="n">
        <v>1</v>
      </c>
    </row>
    <row r="40" customFormat="false" ht="95.25" hidden="false" customHeight="true" outlineLevel="0" collapsed="false">
      <c r="A40" s="12" t="s">
        <v>3300</v>
      </c>
      <c r="B40" s="5" t="s">
        <v>3301</v>
      </c>
      <c r="C40" s="12" t="s">
        <v>3300</v>
      </c>
      <c r="D40" s="12" t="s">
        <v>160</v>
      </c>
      <c r="E40" s="5" t="s">
        <v>3305</v>
      </c>
      <c r="F40" s="14"/>
      <c r="G40" s="14"/>
      <c r="H40" s="14" t="s">
        <v>87</v>
      </c>
      <c r="I40" s="14"/>
      <c r="J40" s="14"/>
      <c r="K40" s="14"/>
      <c r="L40" s="15"/>
      <c r="M40" s="12" t="s">
        <v>3209</v>
      </c>
      <c r="N40" s="5"/>
      <c r="O40" s="12"/>
      <c r="P40" s="5" t="s">
        <v>3302</v>
      </c>
      <c r="Q40" s="12" t="s">
        <v>226</v>
      </c>
      <c r="R40" s="12" t="s">
        <v>282</v>
      </c>
      <c r="S40" s="5" t="s">
        <v>3303</v>
      </c>
      <c r="T40" s="5" t="s">
        <v>3304</v>
      </c>
      <c r="U40" s="12" t="n">
        <v>5</v>
      </c>
      <c r="V40" s="12" t="n">
        <v>2</v>
      </c>
      <c r="W40" s="12" t="n">
        <v>2</v>
      </c>
      <c r="X40" s="12" t="n">
        <v>2</v>
      </c>
      <c r="Y40" s="12" t="n">
        <v>1</v>
      </c>
    </row>
    <row r="41" customFormat="false" ht="162" hidden="false" customHeight="true" outlineLevel="0" collapsed="false">
      <c r="A41" s="10" t="s">
        <v>3306</v>
      </c>
      <c r="B41" s="11" t="s">
        <v>3307</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72</v>
      </c>
      <c r="N41" s="5"/>
      <c r="O41" s="12"/>
      <c r="P41" s="5" t="s">
        <v>3308</v>
      </c>
      <c r="Q41" s="12" t="s">
        <v>226</v>
      </c>
      <c r="R41" s="12" t="s">
        <v>282</v>
      </c>
      <c r="S41" s="5" t="s">
        <v>3309</v>
      </c>
      <c r="T41" s="5" t="s">
        <v>3310</v>
      </c>
      <c r="U41" s="12" t="n">
        <v>3</v>
      </c>
      <c r="V41" s="12" t="n">
        <v>2</v>
      </c>
      <c r="W41" s="12" t="n">
        <v>1</v>
      </c>
      <c r="X41" s="12" t="n">
        <v>1</v>
      </c>
      <c r="Y41" s="12" t="n">
        <v>1</v>
      </c>
    </row>
    <row r="42" customFormat="false" ht="162" hidden="false" customHeight="true" outlineLevel="0" collapsed="false">
      <c r="A42" s="12" t="s">
        <v>3306</v>
      </c>
      <c r="B42" s="5" t="s">
        <v>3307</v>
      </c>
      <c r="C42" s="12" t="s">
        <v>3306</v>
      </c>
      <c r="D42" s="12" t="s">
        <v>120</v>
      </c>
      <c r="E42" s="5" t="s">
        <v>3311</v>
      </c>
      <c r="F42" s="14"/>
      <c r="G42" s="14"/>
      <c r="H42" s="14" t="s">
        <v>87</v>
      </c>
      <c r="I42" s="14"/>
      <c r="J42" s="14"/>
      <c r="K42" s="14"/>
      <c r="L42" s="15"/>
      <c r="M42" s="12" t="s">
        <v>72</v>
      </c>
      <c r="N42" s="5"/>
      <c r="O42" s="12"/>
      <c r="P42" s="5" t="s">
        <v>3308</v>
      </c>
      <c r="Q42" s="12" t="s">
        <v>226</v>
      </c>
      <c r="R42" s="12" t="s">
        <v>282</v>
      </c>
      <c r="S42" s="5" t="s">
        <v>3309</v>
      </c>
      <c r="T42" s="5" t="s">
        <v>3310</v>
      </c>
      <c r="U42" s="12" t="n">
        <v>3</v>
      </c>
      <c r="V42" s="12" t="n">
        <v>2</v>
      </c>
      <c r="W42" s="12" t="n">
        <v>1</v>
      </c>
      <c r="X42" s="12" t="n">
        <v>1</v>
      </c>
      <c r="Y42" s="12" t="n">
        <v>1</v>
      </c>
    </row>
    <row r="43" customFormat="false" ht="68.25" hidden="false" customHeight="true" outlineLevel="0" collapsed="false">
      <c r="A43" s="10" t="s">
        <v>3312</v>
      </c>
      <c r="B43" s="11" t="s">
        <v>3313</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72</v>
      </c>
      <c r="N43" s="5" t="s">
        <v>3314</v>
      </c>
      <c r="O43" s="12" t="s">
        <v>524</v>
      </c>
      <c r="P43" s="5" t="s">
        <v>3315</v>
      </c>
      <c r="Q43" s="12" t="s">
        <v>226</v>
      </c>
      <c r="R43" s="12" t="s">
        <v>282</v>
      </c>
      <c r="S43" s="5" t="s">
        <v>3316</v>
      </c>
      <c r="T43" s="5" t="s">
        <v>3317</v>
      </c>
      <c r="U43" s="12" t="n">
        <v>3</v>
      </c>
      <c r="V43" s="12" t="n">
        <v>2</v>
      </c>
      <c r="W43" s="12" t="n">
        <v>0</v>
      </c>
      <c r="X43" s="12" t="n">
        <v>0</v>
      </c>
      <c r="Y43" s="12" t="n">
        <v>0</v>
      </c>
    </row>
    <row r="44" customFormat="false" ht="68.25" hidden="false" customHeight="true" outlineLevel="0" collapsed="false">
      <c r="A44" s="12" t="s">
        <v>3312</v>
      </c>
      <c r="B44" s="5" t="s">
        <v>3313</v>
      </c>
      <c r="C44" s="12" t="s">
        <v>3312</v>
      </c>
      <c r="D44" s="12" t="s">
        <v>120</v>
      </c>
      <c r="E44" s="5" t="s">
        <v>3318</v>
      </c>
      <c r="F44" s="14"/>
      <c r="G44" s="14"/>
      <c r="H44" s="14" t="s">
        <v>87</v>
      </c>
      <c r="I44" s="14"/>
      <c r="J44" s="14"/>
      <c r="K44" s="14"/>
      <c r="L44" s="15"/>
      <c r="M44" s="12" t="s">
        <v>72</v>
      </c>
      <c r="N44" s="5" t="s">
        <v>3314</v>
      </c>
      <c r="O44" s="12" t="s">
        <v>524</v>
      </c>
      <c r="P44" s="5" t="s">
        <v>3315</v>
      </c>
      <c r="Q44" s="12" t="s">
        <v>226</v>
      </c>
      <c r="R44" s="12" t="s">
        <v>282</v>
      </c>
      <c r="S44" s="5" t="s">
        <v>3316</v>
      </c>
      <c r="T44" s="5" t="s">
        <v>3317</v>
      </c>
      <c r="U44" s="12" t="n">
        <v>3</v>
      </c>
      <c r="V44" s="12" t="n">
        <v>2</v>
      </c>
      <c r="W44" s="12" t="n">
        <v>0</v>
      </c>
      <c r="X44" s="12" t="n">
        <v>0</v>
      </c>
      <c r="Y44" s="12" t="n">
        <v>0</v>
      </c>
    </row>
    <row r="45" customFormat="false" ht="175.5" hidden="false" customHeight="true" outlineLevel="0" collapsed="false">
      <c r="A45" s="10" t="s">
        <v>3319</v>
      </c>
      <c r="B45" s="11" t="s">
        <v>3320</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t="s">
        <v>139</v>
      </c>
      <c r="N45" s="5"/>
      <c r="O45" s="12"/>
      <c r="P45" s="5" t="s">
        <v>3321</v>
      </c>
      <c r="Q45" s="12" t="s">
        <v>226</v>
      </c>
      <c r="R45" s="12" t="s">
        <v>282</v>
      </c>
      <c r="S45" s="5" t="s">
        <v>3322</v>
      </c>
      <c r="T45" s="5" t="s">
        <v>3323</v>
      </c>
      <c r="U45" s="12" t="n">
        <v>2</v>
      </c>
      <c r="V45" s="12" t="n">
        <v>2</v>
      </c>
      <c r="W45" s="12" t="n">
        <v>1</v>
      </c>
      <c r="X45" s="12" t="n">
        <v>2</v>
      </c>
      <c r="Y45" s="12" t="n">
        <v>1</v>
      </c>
    </row>
    <row r="46" customFormat="false" ht="175.5" hidden="false" customHeight="true" outlineLevel="0" collapsed="false">
      <c r="A46" s="12" t="s">
        <v>3319</v>
      </c>
      <c r="B46" s="5" t="s">
        <v>3320</v>
      </c>
      <c r="C46" s="12" t="s">
        <v>3319</v>
      </c>
      <c r="D46" s="12" t="s">
        <v>120</v>
      </c>
      <c r="E46" s="5" t="s">
        <v>3324</v>
      </c>
      <c r="F46" s="14"/>
      <c r="G46" s="14"/>
      <c r="H46" s="14" t="s">
        <v>87</v>
      </c>
      <c r="I46" s="14"/>
      <c r="J46" s="14"/>
      <c r="K46" s="14"/>
      <c r="L46" s="15"/>
      <c r="M46" s="12" t="s">
        <v>139</v>
      </c>
      <c r="N46" s="5"/>
      <c r="O46" s="12"/>
      <c r="P46" s="5" t="s">
        <v>3321</v>
      </c>
      <c r="Q46" s="12" t="s">
        <v>226</v>
      </c>
      <c r="R46" s="12" t="s">
        <v>282</v>
      </c>
      <c r="S46" s="5" t="s">
        <v>3322</v>
      </c>
      <c r="T46" s="5" t="s">
        <v>3323</v>
      </c>
      <c r="U46" s="12" t="n">
        <v>2</v>
      </c>
      <c r="V46" s="12" t="n">
        <v>2</v>
      </c>
      <c r="W46" s="12" t="n">
        <v>1</v>
      </c>
      <c r="X46" s="12" t="n">
        <v>2</v>
      </c>
      <c r="Y46" s="12" t="n">
        <v>1</v>
      </c>
    </row>
    <row r="47" customFormat="false" ht="363.75" hidden="false" customHeight="true" outlineLevel="0" collapsed="false">
      <c r="A47" s="10" t="s">
        <v>3325</v>
      </c>
      <c r="B47" s="11" t="s">
        <v>3326</v>
      </c>
      <c r="C47" s="12"/>
      <c r="D47" s="12" t="s">
        <v>160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t="s">
        <v>2941</v>
      </c>
      <c r="O47" s="12" t="s">
        <v>524</v>
      </c>
      <c r="P47" s="5" t="s">
        <v>3327</v>
      </c>
      <c r="Q47" s="12" t="s">
        <v>3285</v>
      </c>
      <c r="R47" s="12" t="s">
        <v>805</v>
      </c>
      <c r="S47" s="5" t="s">
        <v>3328</v>
      </c>
      <c r="T47" s="5" t="s">
        <v>3040</v>
      </c>
      <c r="U47" s="12" t="n">
        <v>5</v>
      </c>
      <c r="V47" s="12" t="n">
        <v>1</v>
      </c>
      <c r="W47" s="12" t="n">
        <v>0</v>
      </c>
      <c r="X47" s="12" t="n">
        <v>1</v>
      </c>
      <c r="Y47" s="12" t="n">
        <v>0</v>
      </c>
    </row>
    <row r="48" customFormat="false" ht="363.75" hidden="false" customHeight="true" outlineLevel="0" collapsed="false">
      <c r="A48" s="12" t="s">
        <v>3325</v>
      </c>
      <c r="B48" s="5" t="s">
        <v>3326</v>
      </c>
      <c r="C48" s="12" t="s">
        <v>3325</v>
      </c>
      <c r="D48" s="12" t="s">
        <v>160</v>
      </c>
      <c r="E48" s="5" t="s">
        <v>3329</v>
      </c>
      <c r="F48" s="14"/>
      <c r="G48" s="14"/>
      <c r="H48" s="14" t="s">
        <v>87</v>
      </c>
      <c r="I48" s="14"/>
      <c r="J48" s="14"/>
      <c r="K48" s="14"/>
      <c r="L48" s="15"/>
      <c r="M48" s="12"/>
      <c r="N48" s="5" t="s">
        <v>2941</v>
      </c>
      <c r="O48" s="12" t="s">
        <v>524</v>
      </c>
      <c r="P48" s="5" t="s">
        <v>3327</v>
      </c>
      <c r="Q48" s="12" t="s">
        <v>3285</v>
      </c>
      <c r="R48" s="12" t="s">
        <v>805</v>
      </c>
      <c r="S48" s="5" t="s">
        <v>3328</v>
      </c>
      <c r="T48" s="5" t="s">
        <v>3040</v>
      </c>
      <c r="U48" s="12" t="n">
        <v>5</v>
      </c>
      <c r="V48" s="12" t="n">
        <v>1</v>
      </c>
      <c r="W48" s="12" t="n">
        <v>0</v>
      </c>
      <c r="X48" s="12" t="n">
        <v>1</v>
      </c>
      <c r="Y48" s="12" t="n">
        <v>0</v>
      </c>
    </row>
    <row r="49" customFormat="false" ht="363.75" hidden="false" customHeight="true" outlineLevel="0" collapsed="false">
      <c r="A49" s="10" t="s">
        <v>3330</v>
      </c>
      <c r="B49" s="11" t="s">
        <v>3331</v>
      </c>
      <c r="C49" s="12"/>
      <c r="D49" s="12" t="s">
        <v>160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139</v>
      </c>
      <c r="N49" s="5"/>
      <c r="O49" s="12"/>
      <c r="P49" s="5" t="s">
        <v>3332</v>
      </c>
      <c r="Q49" s="12" t="s">
        <v>226</v>
      </c>
      <c r="R49" s="12" t="s">
        <v>282</v>
      </c>
      <c r="S49" s="5" t="s">
        <v>3333</v>
      </c>
      <c r="T49" s="5" t="s">
        <v>3334</v>
      </c>
      <c r="U49" s="12" t="n">
        <v>5</v>
      </c>
      <c r="V49" s="12" t="n">
        <v>2</v>
      </c>
      <c r="W49" s="12" t="n">
        <v>0</v>
      </c>
      <c r="X49" s="12" t="n">
        <v>2</v>
      </c>
      <c r="Y49" s="12" t="n">
        <v>0</v>
      </c>
    </row>
    <row r="50" customFormat="false" ht="363.75" hidden="false" customHeight="true" outlineLevel="0" collapsed="false">
      <c r="A50" s="12" t="s">
        <v>3330</v>
      </c>
      <c r="B50" s="5" t="s">
        <v>3331</v>
      </c>
      <c r="C50" s="12" t="s">
        <v>3330</v>
      </c>
      <c r="D50" s="12" t="s">
        <v>160</v>
      </c>
      <c r="E50" s="5" t="s">
        <v>3335</v>
      </c>
      <c r="F50" s="14"/>
      <c r="G50" s="14"/>
      <c r="H50" s="14" t="s">
        <v>87</v>
      </c>
      <c r="I50" s="14"/>
      <c r="J50" s="14"/>
      <c r="K50" s="14"/>
      <c r="L50" s="15"/>
      <c r="M50" s="12" t="s">
        <v>139</v>
      </c>
      <c r="N50" s="5"/>
      <c r="O50" s="12"/>
      <c r="P50" s="5" t="s">
        <v>3332</v>
      </c>
      <c r="Q50" s="12" t="s">
        <v>226</v>
      </c>
      <c r="R50" s="12" t="s">
        <v>282</v>
      </c>
      <c r="S50" s="5" t="s">
        <v>3333</v>
      </c>
      <c r="T50" s="5" t="s">
        <v>3334</v>
      </c>
      <c r="U50" s="12" t="n">
        <v>5</v>
      </c>
      <c r="V50" s="12" t="n">
        <v>2</v>
      </c>
      <c r="W50" s="12" t="n">
        <v>0</v>
      </c>
      <c r="X50" s="12" t="n">
        <v>2</v>
      </c>
      <c r="Y50" s="12" t="n">
        <v>0</v>
      </c>
    </row>
    <row r="51" customFormat="false" ht="149.25" hidden="false" customHeight="true" outlineLevel="0" collapsed="false">
      <c r="A51" s="10" t="s">
        <v>3336</v>
      </c>
      <c r="B51" s="11" t="s">
        <v>3337</v>
      </c>
      <c r="C51" s="12"/>
      <c r="D51" s="12" t="s">
        <v>160</v>
      </c>
      <c r="E51" s="5" t="s">
        <v>79</v>
      </c>
      <c r="F51" s="12"/>
      <c r="G51" s="12"/>
      <c r="H51" s="13" t="str">
        <f aca="false">IF(OR(COUNTBLANK($H$52:$H$53)&gt;0,COUNTIF($H$52:$H$53,"unbearbeitet")=COUNTA($H$52:$H$53)),"Bitte Teilanforderungen ausfüllen",IF(COUNTIF($H$52:$H$53,"zu klären")&gt;0,"zu klären",IF(COUNTIF($H$52:$H$53,"entbehrlich")=COUNTA($H$52:$H$53),"entbehrlich",IF(COUNTIF($H$52:$H$53,"verwiesen")=COUNTA($H$52:$H$53),"verwiesen",IF(COUNTIF($H$52:$H$53,"nein")+COUNTIF($H$52:$H$53,"entbehrlich")=COUNTA($H$52:$H$53),"nein",IF(COUNTIF($H$52:$H$53,"ja")+COUNTIF($H$52:$H$53,"entbehrlich")+COUNTIF($H$52:$H$53,"verwiesen")=COUNTA($H$52:$H$53),"ja","teilweise"))))))</f>
        <v>Bitte Teilanforderungen ausfüllen</v>
      </c>
      <c r="I51" s="12"/>
      <c r="J51" s="12"/>
      <c r="K51" s="12"/>
      <c r="L51" s="12"/>
      <c r="M51" s="12" t="s">
        <v>72</v>
      </c>
      <c r="N51" s="5"/>
      <c r="O51" s="12"/>
      <c r="P51" s="5" t="s">
        <v>3338</v>
      </c>
      <c r="Q51" s="12" t="s">
        <v>3285</v>
      </c>
      <c r="R51" s="12" t="s">
        <v>282</v>
      </c>
      <c r="S51" s="5" t="s">
        <v>3339</v>
      </c>
      <c r="T51" s="5" t="s">
        <v>3340</v>
      </c>
      <c r="U51" s="12" t="n">
        <v>5</v>
      </c>
      <c r="V51" s="12" t="n">
        <v>2</v>
      </c>
      <c r="W51" s="12" t="n">
        <v>1</v>
      </c>
      <c r="X51" s="12" t="n">
        <v>1</v>
      </c>
      <c r="Y51" s="12" t="n">
        <v>1</v>
      </c>
    </row>
    <row r="52" customFormat="false" ht="149.25" hidden="false" customHeight="true" outlineLevel="0" collapsed="false">
      <c r="A52" s="12" t="s">
        <v>3336</v>
      </c>
      <c r="B52" s="5" t="s">
        <v>3337</v>
      </c>
      <c r="C52" s="12" t="s">
        <v>3336</v>
      </c>
      <c r="D52" s="12" t="s">
        <v>160</v>
      </c>
      <c r="E52" s="5" t="s">
        <v>3341</v>
      </c>
      <c r="F52" s="14"/>
      <c r="G52" s="14"/>
      <c r="H52" s="14" t="s">
        <v>87</v>
      </c>
      <c r="I52" s="14"/>
      <c r="J52" s="14"/>
      <c r="K52" s="14"/>
      <c r="L52" s="15"/>
      <c r="M52" s="12" t="s">
        <v>72</v>
      </c>
      <c r="N52" s="5"/>
      <c r="O52" s="12"/>
      <c r="P52" s="5" t="s">
        <v>3338</v>
      </c>
      <c r="Q52" s="12" t="s">
        <v>3285</v>
      </c>
      <c r="R52" s="12" t="s">
        <v>282</v>
      </c>
      <c r="S52" s="5" t="s">
        <v>3339</v>
      </c>
      <c r="T52" s="5" t="s">
        <v>3340</v>
      </c>
      <c r="U52" s="12" t="n">
        <v>5</v>
      </c>
      <c r="V52" s="12" t="n">
        <v>2</v>
      </c>
      <c r="W52" s="12" t="n">
        <v>1</v>
      </c>
      <c r="X52" s="12" t="n">
        <v>1</v>
      </c>
      <c r="Y52" s="12" t="n">
        <v>1</v>
      </c>
    </row>
    <row r="53" customFormat="false" ht="243" hidden="false" customHeight="true" outlineLevel="0" collapsed="false">
      <c r="A53" s="12" t="s">
        <v>3336</v>
      </c>
      <c r="B53" s="5" t="s">
        <v>3337</v>
      </c>
      <c r="C53" s="12" t="s">
        <v>3342</v>
      </c>
      <c r="D53" s="12" t="s">
        <v>160</v>
      </c>
      <c r="E53" s="5" t="s">
        <v>3343</v>
      </c>
      <c r="F53" s="14"/>
      <c r="G53" s="14"/>
      <c r="H53" s="14" t="s">
        <v>87</v>
      </c>
      <c r="I53" s="14"/>
      <c r="J53" s="14"/>
      <c r="K53" s="14"/>
      <c r="L53" s="15"/>
      <c r="M53" s="12" t="s">
        <v>72</v>
      </c>
      <c r="N53" s="5"/>
      <c r="O53" s="12"/>
      <c r="P53" s="5" t="s">
        <v>3344</v>
      </c>
      <c r="Q53" s="12" t="s">
        <v>3285</v>
      </c>
      <c r="R53" s="12" t="s">
        <v>282</v>
      </c>
      <c r="S53" s="5" t="s">
        <v>3345</v>
      </c>
      <c r="T53" s="5" t="s">
        <v>3346</v>
      </c>
      <c r="U53" s="12" t="n">
        <v>5</v>
      </c>
      <c r="V53" s="12" t="n">
        <v>2</v>
      </c>
      <c r="W53" s="12" t="n">
        <v>1</v>
      </c>
      <c r="X53" s="12" t="n">
        <v>1</v>
      </c>
      <c r="Y53" s="12" t="n">
        <v>1</v>
      </c>
    </row>
    <row r="54" customFormat="false" ht="162" hidden="false" customHeight="true" outlineLevel="0" collapsed="false">
      <c r="A54" s="10" t="s">
        <v>3347</v>
      </c>
      <c r="B54" s="11" t="s">
        <v>3348</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72</v>
      </c>
      <c r="N54" s="5"/>
      <c r="O54" s="12"/>
      <c r="P54" s="5" t="s">
        <v>3349</v>
      </c>
      <c r="Q54" s="12" t="s">
        <v>226</v>
      </c>
      <c r="R54" s="12" t="s">
        <v>282</v>
      </c>
      <c r="S54" s="5" t="s">
        <v>3350</v>
      </c>
      <c r="T54" s="5" t="s">
        <v>3351</v>
      </c>
      <c r="U54" s="12" t="n">
        <v>4</v>
      </c>
      <c r="V54" s="12" t="n">
        <v>2</v>
      </c>
      <c r="W54" s="12" t="n">
        <v>1</v>
      </c>
      <c r="X54" s="12" t="n">
        <v>1</v>
      </c>
      <c r="Y54" s="12" t="n">
        <v>0</v>
      </c>
    </row>
    <row r="55" customFormat="false" ht="162" hidden="false" customHeight="true" outlineLevel="0" collapsed="false">
      <c r="A55" s="12" t="s">
        <v>3347</v>
      </c>
      <c r="B55" s="5" t="s">
        <v>3348</v>
      </c>
      <c r="C55" s="12" t="s">
        <v>3347</v>
      </c>
      <c r="D55" s="12" t="s">
        <v>120</v>
      </c>
      <c r="E55" s="5" t="s">
        <v>3352</v>
      </c>
      <c r="F55" s="14"/>
      <c r="G55" s="14"/>
      <c r="H55" s="14" t="s">
        <v>87</v>
      </c>
      <c r="I55" s="14"/>
      <c r="J55" s="14"/>
      <c r="K55" s="14"/>
      <c r="L55" s="15"/>
      <c r="M55" s="12" t="s">
        <v>72</v>
      </c>
      <c r="N55" s="5"/>
      <c r="O55" s="12"/>
      <c r="P55" s="5" t="s">
        <v>3349</v>
      </c>
      <c r="Q55" s="12" t="s">
        <v>226</v>
      </c>
      <c r="R55" s="12" t="s">
        <v>282</v>
      </c>
      <c r="S55" s="5" t="s">
        <v>3350</v>
      </c>
      <c r="T55" s="5" t="s">
        <v>3351</v>
      </c>
      <c r="U55" s="12" t="n">
        <v>4</v>
      </c>
      <c r="V55" s="12" t="n">
        <v>2</v>
      </c>
      <c r="W55" s="12" t="n">
        <v>1</v>
      </c>
      <c r="X55" s="12" t="n">
        <v>1</v>
      </c>
      <c r="Y55" s="12" t="n">
        <v>0</v>
      </c>
    </row>
    <row r="56" customFormat="false" ht="122.25" hidden="false" customHeight="true" outlineLevel="0" collapsed="false">
      <c r="A56" s="10" t="s">
        <v>3353</v>
      </c>
      <c r="B56" s="11" t="s">
        <v>3354</v>
      </c>
      <c r="C56" s="12"/>
      <c r="D56" s="12" t="s">
        <v>120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t="s">
        <v>88</v>
      </c>
      <c r="N56" s="5"/>
      <c r="O56" s="12"/>
      <c r="P56" s="5" t="s">
        <v>3355</v>
      </c>
      <c r="Q56" s="12" t="s">
        <v>226</v>
      </c>
      <c r="R56" s="12" t="s">
        <v>282</v>
      </c>
      <c r="S56" s="5" t="s">
        <v>3356</v>
      </c>
      <c r="T56" s="5" t="s">
        <v>2386</v>
      </c>
      <c r="U56" s="12" t="n">
        <v>3</v>
      </c>
      <c r="V56" s="12" t="n">
        <v>2</v>
      </c>
      <c r="W56" s="12" t="n">
        <v>2</v>
      </c>
      <c r="X56" s="12" t="n">
        <v>1</v>
      </c>
      <c r="Y56" s="12" t="n">
        <v>0</v>
      </c>
    </row>
    <row r="57" customFormat="false" ht="122.25" hidden="false" customHeight="true" outlineLevel="0" collapsed="false">
      <c r="A57" s="12" t="s">
        <v>3353</v>
      </c>
      <c r="B57" s="5" t="s">
        <v>3354</v>
      </c>
      <c r="C57" s="12" t="s">
        <v>3353</v>
      </c>
      <c r="D57" s="12" t="s">
        <v>120</v>
      </c>
      <c r="E57" s="5" t="s">
        <v>3357</v>
      </c>
      <c r="F57" s="14"/>
      <c r="G57" s="14"/>
      <c r="H57" s="14" t="s">
        <v>87</v>
      </c>
      <c r="I57" s="14"/>
      <c r="J57" s="14"/>
      <c r="K57" s="14"/>
      <c r="L57" s="15"/>
      <c r="M57" s="12" t="s">
        <v>88</v>
      </c>
      <c r="N57" s="5"/>
      <c r="O57" s="12"/>
      <c r="P57" s="5" t="s">
        <v>3355</v>
      </c>
      <c r="Q57" s="12" t="s">
        <v>226</v>
      </c>
      <c r="R57" s="12" t="s">
        <v>282</v>
      </c>
      <c r="S57" s="5" t="s">
        <v>3356</v>
      </c>
      <c r="T57" s="5" t="s">
        <v>2386</v>
      </c>
      <c r="U57" s="12" t="n">
        <v>3</v>
      </c>
      <c r="V57" s="12" t="n">
        <v>2</v>
      </c>
      <c r="W57" s="12" t="n">
        <v>2</v>
      </c>
      <c r="X57" s="12" t="n">
        <v>1</v>
      </c>
      <c r="Y57" s="12" t="n">
        <v>0</v>
      </c>
    </row>
    <row r="58" customFormat="false" ht="243" hidden="false" customHeight="true" outlineLevel="0" collapsed="false">
      <c r="A58" s="10" t="s">
        <v>3358</v>
      </c>
      <c r="B58" s="11" t="s">
        <v>3359</v>
      </c>
      <c r="C58" s="12"/>
      <c r="D58" s="12" t="s">
        <v>120</v>
      </c>
      <c r="E58" s="5" t="s">
        <v>79</v>
      </c>
      <c r="F58" s="12"/>
      <c r="G58" s="12"/>
      <c r="H58" s="13" t="str">
        <f aca="false">IF(OR(COUNTBLANK($H$59:$H$60)&gt;0,COUNTIF($H$59:$H$60,"unbearbeitet")=COUNTA($H$59:$H$60)),"Bitte Teilanforderungen ausfüllen",IF(COUNTIF($H$59:$H$60,"zu klären")&gt;0,"zu klären",IF(COUNTIF($H$59:$H$60,"entbehrlich")=COUNTA($H$59:$H$60),"entbehrlich",IF(COUNTIF($H$59:$H$60,"verwiesen")=COUNTA($H$59:$H$60),"verwiesen",IF(COUNTIF($H$59:$H$60,"nein")+COUNTIF($H$59:$H$60,"entbehrlich")=COUNTA($H$59:$H$60),"nein",IF(COUNTIF($H$59:$H$60,"ja")+COUNTIF($H$59:$H$60,"entbehrlich")+COUNTIF($H$59:$H$60,"verwiesen")=COUNTA($H$59:$H$60),"ja","teilweise"))))))</f>
        <v>Bitte Teilanforderungen ausfüllen</v>
      </c>
      <c r="I58" s="12"/>
      <c r="J58" s="12"/>
      <c r="K58" s="12"/>
      <c r="L58" s="12"/>
      <c r="M58" s="12" t="s">
        <v>3209</v>
      </c>
      <c r="N58" s="5"/>
      <c r="O58" s="12"/>
      <c r="P58" s="5" t="s">
        <v>3360</v>
      </c>
      <c r="Q58" s="12" t="s">
        <v>226</v>
      </c>
      <c r="R58" s="12" t="s">
        <v>282</v>
      </c>
      <c r="S58" s="5" t="s">
        <v>3361</v>
      </c>
      <c r="T58" s="5" t="s">
        <v>745</v>
      </c>
      <c r="U58" s="12" t="n">
        <v>3</v>
      </c>
      <c r="V58" s="12" t="n">
        <v>2</v>
      </c>
      <c r="W58" s="12" t="n">
        <v>2</v>
      </c>
      <c r="X58" s="12" t="n">
        <v>2</v>
      </c>
      <c r="Y58" s="12" t="n">
        <v>1</v>
      </c>
    </row>
    <row r="59" customFormat="false" ht="243" hidden="false" customHeight="true" outlineLevel="0" collapsed="false">
      <c r="A59" s="12" t="s">
        <v>3358</v>
      </c>
      <c r="B59" s="5" t="s">
        <v>3359</v>
      </c>
      <c r="C59" s="12" t="s">
        <v>3358</v>
      </c>
      <c r="D59" s="12" t="s">
        <v>120</v>
      </c>
      <c r="E59" s="5" t="s">
        <v>3362</v>
      </c>
      <c r="F59" s="14"/>
      <c r="G59" s="14"/>
      <c r="H59" s="14" t="s">
        <v>87</v>
      </c>
      <c r="I59" s="14"/>
      <c r="J59" s="14"/>
      <c r="K59" s="14"/>
      <c r="L59" s="15"/>
      <c r="M59" s="12" t="s">
        <v>3209</v>
      </c>
      <c r="N59" s="5"/>
      <c r="O59" s="12"/>
      <c r="P59" s="5" t="s">
        <v>3360</v>
      </c>
      <c r="Q59" s="12" t="s">
        <v>226</v>
      </c>
      <c r="R59" s="12" t="s">
        <v>282</v>
      </c>
      <c r="S59" s="5" t="s">
        <v>3361</v>
      </c>
      <c r="T59" s="5" t="s">
        <v>745</v>
      </c>
      <c r="U59" s="12" t="n">
        <v>3</v>
      </c>
      <c r="V59" s="12" t="n">
        <v>2</v>
      </c>
      <c r="W59" s="12" t="n">
        <v>2</v>
      </c>
      <c r="X59" s="12" t="n">
        <v>2</v>
      </c>
      <c r="Y59" s="12" t="n">
        <v>1</v>
      </c>
    </row>
    <row r="60" customFormat="false" ht="363.75" hidden="false" customHeight="true" outlineLevel="0" collapsed="false">
      <c r="A60" s="12" t="s">
        <v>3358</v>
      </c>
      <c r="B60" s="5" t="s">
        <v>3359</v>
      </c>
      <c r="C60" s="12" t="s">
        <v>3363</v>
      </c>
      <c r="D60" s="12" t="s">
        <v>120</v>
      </c>
      <c r="E60" s="5" t="s">
        <v>3364</v>
      </c>
      <c r="F60" s="14"/>
      <c r="G60" s="14"/>
      <c r="H60" s="14" t="s">
        <v>87</v>
      </c>
      <c r="I60" s="14"/>
      <c r="J60" s="14"/>
      <c r="K60" s="14"/>
      <c r="L60" s="15"/>
      <c r="M60" s="12" t="s">
        <v>88</v>
      </c>
      <c r="N60" s="5"/>
      <c r="O60" s="12"/>
      <c r="P60" s="5" t="s">
        <v>3365</v>
      </c>
      <c r="Q60" s="12" t="s">
        <v>226</v>
      </c>
      <c r="R60" s="12" t="s">
        <v>282</v>
      </c>
      <c r="S60" s="5" t="s">
        <v>3366</v>
      </c>
      <c r="T60" s="5" t="s">
        <v>3367</v>
      </c>
      <c r="U60" s="12" t="n">
        <v>4</v>
      </c>
      <c r="V60" s="12" t="n">
        <v>2</v>
      </c>
      <c r="W60" s="12" t="n">
        <v>2</v>
      </c>
      <c r="X60" s="12" t="n">
        <v>1</v>
      </c>
      <c r="Y60" s="12" t="n">
        <v>1</v>
      </c>
    </row>
    <row r="61" customFormat="false" ht="41.25" hidden="false" customHeight="true" outlineLevel="0" collapsed="false">
      <c r="A61" s="10" t="s">
        <v>3368</v>
      </c>
      <c r="B61" s="11" t="s">
        <v>3369</v>
      </c>
      <c r="C61" s="12"/>
      <c r="D61" s="12" t="s">
        <v>120</v>
      </c>
      <c r="E61" s="5" t="s">
        <v>79</v>
      </c>
      <c r="F61" s="12"/>
      <c r="G61" s="12"/>
      <c r="H61" s="13" t="str">
        <f aca="false">IF(OR(COUNTBLANK($H$62:$H$63)&gt;0,COUNTIF($H$62:$H$63,"unbearbeitet")=COUNTA($H$62:$H$63)),"Bitte Teilanforderungen ausfüllen",IF(COUNTIF($H$62:$H$63,"zu klären")&gt;0,"zu klären",IF(COUNTIF($H$62:$H$63,"entbehrlich")=COUNTA($H$62:$H$63),"entbehrlich",IF(COUNTIF($H$62:$H$63,"verwiesen")=COUNTA($H$62:$H$63),"verwiesen",IF(COUNTIF($H$62:$H$63,"nein")+COUNTIF($H$62:$H$63,"entbehrlich")=COUNTA($H$62:$H$63),"nein",IF(COUNTIF($H$62:$H$63,"ja")+COUNTIF($H$62:$H$63,"entbehrlich")+COUNTIF($H$62:$H$63,"verwiesen")=COUNTA($H$62:$H$63),"ja","teilweise"))))))</f>
        <v>Bitte Teilanforderungen ausfüllen</v>
      </c>
      <c r="I61" s="12"/>
      <c r="J61" s="12"/>
      <c r="K61" s="12"/>
      <c r="L61" s="12"/>
      <c r="M61" s="12" t="s">
        <v>1226</v>
      </c>
      <c r="N61" s="5"/>
      <c r="O61" s="12"/>
      <c r="P61" s="5" t="s">
        <v>3370</v>
      </c>
      <c r="Q61" s="12" t="s">
        <v>226</v>
      </c>
      <c r="R61" s="12" t="s">
        <v>282</v>
      </c>
      <c r="S61" s="5" t="s">
        <v>3371</v>
      </c>
      <c r="T61" s="5" t="s">
        <v>3372</v>
      </c>
      <c r="U61" s="12" t="n">
        <v>3</v>
      </c>
      <c r="V61" s="12" t="n">
        <v>1</v>
      </c>
      <c r="W61" s="12" t="n">
        <v>2</v>
      </c>
      <c r="X61" s="12" t="n">
        <v>0</v>
      </c>
      <c r="Y61" s="12" t="n">
        <v>2</v>
      </c>
    </row>
    <row r="62" customFormat="false" ht="41.25" hidden="false" customHeight="true" outlineLevel="0" collapsed="false">
      <c r="A62" s="12" t="s">
        <v>3368</v>
      </c>
      <c r="B62" s="5" t="s">
        <v>3369</v>
      </c>
      <c r="C62" s="12" t="s">
        <v>3368</v>
      </c>
      <c r="D62" s="12" t="s">
        <v>120</v>
      </c>
      <c r="E62" s="5" t="s">
        <v>3373</v>
      </c>
      <c r="F62" s="14"/>
      <c r="G62" s="14"/>
      <c r="H62" s="14" t="s">
        <v>87</v>
      </c>
      <c r="I62" s="14"/>
      <c r="J62" s="14"/>
      <c r="K62" s="14"/>
      <c r="L62" s="15"/>
      <c r="M62" s="12" t="s">
        <v>1226</v>
      </c>
      <c r="N62" s="5"/>
      <c r="O62" s="12"/>
      <c r="P62" s="5" t="s">
        <v>3370</v>
      </c>
      <c r="Q62" s="12" t="s">
        <v>226</v>
      </c>
      <c r="R62" s="12" t="s">
        <v>282</v>
      </c>
      <c r="S62" s="5" t="s">
        <v>3371</v>
      </c>
      <c r="T62" s="5" t="s">
        <v>3372</v>
      </c>
      <c r="U62" s="12" t="n">
        <v>3</v>
      </c>
      <c r="V62" s="12" t="n">
        <v>1</v>
      </c>
      <c r="W62" s="12" t="n">
        <v>2</v>
      </c>
      <c r="X62" s="12" t="n">
        <v>0</v>
      </c>
      <c r="Y62" s="12" t="n">
        <v>2</v>
      </c>
    </row>
    <row r="63" customFormat="false" ht="175.5" hidden="false" customHeight="true" outlineLevel="0" collapsed="false">
      <c r="A63" s="12" t="s">
        <v>3368</v>
      </c>
      <c r="B63" s="5" t="s">
        <v>3369</v>
      </c>
      <c r="C63" s="12" t="s">
        <v>3374</v>
      </c>
      <c r="D63" s="12" t="s">
        <v>120</v>
      </c>
      <c r="E63" s="5" t="s">
        <v>3375</v>
      </c>
      <c r="F63" s="14"/>
      <c r="G63" s="14"/>
      <c r="H63" s="14" t="s">
        <v>87</v>
      </c>
      <c r="I63" s="14"/>
      <c r="J63" s="14"/>
      <c r="K63" s="14"/>
      <c r="L63" s="15"/>
      <c r="M63" s="12" t="s">
        <v>72</v>
      </c>
      <c r="N63" s="5"/>
      <c r="O63" s="12"/>
      <c r="P63" s="5" t="s">
        <v>3376</v>
      </c>
      <c r="Q63" s="12" t="s">
        <v>226</v>
      </c>
      <c r="R63" s="12" t="s">
        <v>282</v>
      </c>
      <c r="S63" s="5" t="s">
        <v>3377</v>
      </c>
      <c r="T63" s="5" t="s">
        <v>3378</v>
      </c>
      <c r="U63" s="12" t="n">
        <v>4</v>
      </c>
      <c r="V63" s="12" t="n">
        <v>2</v>
      </c>
      <c r="W63" s="12" t="n">
        <v>1</v>
      </c>
      <c r="X63" s="12" t="n">
        <v>0</v>
      </c>
      <c r="Y63" s="12" t="n">
        <v>1</v>
      </c>
    </row>
    <row r="64" customFormat="false" ht="189" hidden="false" customHeight="true" outlineLevel="0" collapsed="false">
      <c r="A64" s="10" t="s">
        <v>3379</v>
      </c>
      <c r="B64" s="11" t="s">
        <v>3380</v>
      </c>
      <c r="C64" s="12"/>
      <c r="D64" s="12" t="s">
        <v>120</v>
      </c>
      <c r="E64" s="5" t="s">
        <v>79</v>
      </c>
      <c r="F64" s="12"/>
      <c r="G64" s="12"/>
      <c r="H64" s="13" t="str">
        <f aca="false">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Bitte Teilanforderungen ausfüllen</v>
      </c>
      <c r="I64" s="12"/>
      <c r="J64" s="12"/>
      <c r="K64" s="12"/>
      <c r="L64" s="12"/>
      <c r="M64" s="12" t="s">
        <v>88</v>
      </c>
      <c r="N64" s="5"/>
      <c r="O64" s="12"/>
      <c r="P64" s="5" t="s">
        <v>3381</v>
      </c>
      <c r="Q64" s="12" t="s">
        <v>226</v>
      </c>
      <c r="R64" s="12" t="s">
        <v>282</v>
      </c>
      <c r="S64" s="5" t="s">
        <v>3382</v>
      </c>
      <c r="T64" s="5" t="s">
        <v>3383</v>
      </c>
      <c r="U64" s="12" t="n">
        <v>2</v>
      </c>
      <c r="V64" s="12" t="n">
        <v>2</v>
      </c>
      <c r="W64" s="12" t="n">
        <v>2</v>
      </c>
      <c r="X64" s="12" t="n">
        <v>1</v>
      </c>
      <c r="Y64" s="12" t="n">
        <v>1</v>
      </c>
    </row>
    <row r="65" customFormat="false" ht="189" hidden="false" customHeight="true" outlineLevel="0" collapsed="false">
      <c r="A65" s="12" t="s">
        <v>3379</v>
      </c>
      <c r="B65" s="5" t="s">
        <v>3380</v>
      </c>
      <c r="C65" s="12" t="s">
        <v>3379</v>
      </c>
      <c r="D65" s="12" t="s">
        <v>120</v>
      </c>
      <c r="E65" s="5" t="s">
        <v>3384</v>
      </c>
      <c r="F65" s="14"/>
      <c r="G65" s="14"/>
      <c r="H65" s="14" t="s">
        <v>87</v>
      </c>
      <c r="I65" s="14"/>
      <c r="J65" s="14"/>
      <c r="K65" s="14"/>
      <c r="L65" s="15"/>
      <c r="M65" s="12" t="s">
        <v>88</v>
      </c>
      <c r="N65" s="5"/>
      <c r="O65" s="12"/>
      <c r="P65" s="5" t="s">
        <v>3381</v>
      </c>
      <c r="Q65" s="12" t="s">
        <v>226</v>
      </c>
      <c r="R65" s="12" t="s">
        <v>282</v>
      </c>
      <c r="S65" s="5" t="s">
        <v>3382</v>
      </c>
      <c r="T65" s="5" t="s">
        <v>3383</v>
      </c>
      <c r="U65" s="12" t="n">
        <v>2</v>
      </c>
      <c r="V65" s="12" t="n">
        <v>2</v>
      </c>
      <c r="W65" s="12" t="n">
        <v>2</v>
      </c>
      <c r="X65" s="12" t="n">
        <v>1</v>
      </c>
      <c r="Y65" s="12" t="n">
        <v>1</v>
      </c>
    </row>
    <row r="66" customFormat="false" ht="149.25" hidden="false" customHeight="true" outlineLevel="0" collapsed="false">
      <c r="A66" s="10" t="s">
        <v>3385</v>
      </c>
      <c r="B66" s="11" t="s">
        <v>3386</v>
      </c>
      <c r="C66" s="12"/>
      <c r="D66" s="12" t="s">
        <v>120</v>
      </c>
      <c r="E66" s="5" t="s">
        <v>79</v>
      </c>
      <c r="F66" s="12"/>
      <c r="G66" s="12"/>
      <c r="H66" s="13" t="str">
        <f aca="false">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2"/>
      <c r="J66" s="12"/>
      <c r="K66" s="12"/>
      <c r="L66" s="12"/>
      <c r="M66" s="12" t="s">
        <v>3209</v>
      </c>
      <c r="N66" s="5" t="s">
        <v>3387</v>
      </c>
      <c r="O66" s="12" t="s">
        <v>1169</v>
      </c>
      <c r="P66" s="5" t="s">
        <v>3388</v>
      </c>
      <c r="Q66" s="12" t="s">
        <v>226</v>
      </c>
      <c r="R66" s="12" t="s">
        <v>282</v>
      </c>
      <c r="S66" s="5" t="s">
        <v>3382</v>
      </c>
      <c r="T66" s="5" t="s">
        <v>3389</v>
      </c>
      <c r="U66" s="12" t="n">
        <v>3</v>
      </c>
      <c r="V66" s="12" t="n">
        <v>2</v>
      </c>
      <c r="W66" s="12" t="n">
        <v>2</v>
      </c>
      <c r="X66" s="12" t="n">
        <v>2</v>
      </c>
      <c r="Y66" s="12" t="n">
        <v>1</v>
      </c>
    </row>
    <row r="67" customFormat="false" ht="149.25" hidden="false" customHeight="true" outlineLevel="0" collapsed="false">
      <c r="A67" s="12" t="s">
        <v>3385</v>
      </c>
      <c r="B67" s="5" t="s">
        <v>3386</v>
      </c>
      <c r="C67" s="12" t="s">
        <v>3385</v>
      </c>
      <c r="D67" s="12" t="s">
        <v>120</v>
      </c>
      <c r="E67" s="5" t="s">
        <v>3390</v>
      </c>
      <c r="F67" s="14"/>
      <c r="G67" s="14"/>
      <c r="H67" s="14" t="s">
        <v>87</v>
      </c>
      <c r="I67" s="14"/>
      <c r="J67" s="14"/>
      <c r="K67" s="14"/>
      <c r="L67" s="15"/>
      <c r="M67" s="12" t="s">
        <v>3209</v>
      </c>
      <c r="N67" s="5" t="s">
        <v>3387</v>
      </c>
      <c r="O67" s="12" t="s">
        <v>1169</v>
      </c>
      <c r="P67" s="5" t="s">
        <v>3388</v>
      </c>
      <c r="Q67" s="12" t="s">
        <v>226</v>
      </c>
      <c r="R67" s="12" t="s">
        <v>282</v>
      </c>
      <c r="S67" s="5" t="s">
        <v>3382</v>
      </c>
      <c r="T67" s="5" t="s">
        <v>3389</v>
      </c>
      <c r="U67" s="12" t="n">
        <v>3</v>
      </c>
      <c r="V67" s="12" t="n">
        <v>2</v>
      </c>
      <c r="W67" s="12" t="n">
        <v>2</v>
      </c>
      <c r="X67" s="12" t="n">
        <v>2</v>
      </c>
      <c r="Y67" s="12" t="n">
        <v>1</v>
      </c>
    </row>
    <row r="68" customFormat="false" ht="122.25" hidden="false" customHeight="true" outlineLevel="0" collapsed="false">
      <c r="A68" s="10" t="s">
        <v>3391</v>
      </c>
      <c r="B68" s="11" t="s">
        <v>3392</v>
      </c>
      <c r="C68" s="12"/>
      <c r="D68" s="12" t="s">
        <v>120</v>
      </c>
      <c r="E68" s="5" t="s">
        <v>79</v>
      </c>
      <c r="F68" s="12"/>
      <c r="G68" s="12"/>
      <c r="H68" s="13" t="str">
        <f aca="false">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2"/>
      <c r="J68" s="12"/>
      <c r="K68" s="12"/>
      <c r="L68" s="12"/>
      <c r="M68" s="12" t="s">
        <v>1226</v>
      </c>
      <c r="N68" s="5" t="s">
        <v>3393</v>
      </c>
      <c r="O68" s="12" t="s">
        <v>524</v>
      </c>
      <c r="P68" s="5" t="s">
        <v>3394</v>
      </c>
      <c r="Q68" s="12" t="s">
        <v>226</v>
      </c>
      <c r="R68" s="12" t="s">
        <v>282</v>
      </c>
      <c r="S68" s="5" t="s">
        <v>3392</v>
      </c>
      <c r="T68" s="5" t="s">
        <v>3372</v>
      </c>
      <c r="U68" s="12" t="n">
        <v>2</v>
      </c>
      <c r="V68" s="12" t="n">
        <v>1</v>
      </c>
      <c r="W68" s="12" t="n">
        <v>2</v>
      </c>
      <c r="X68" s="12" t="n">
        <v>0</v>
      </c>
      <c r="Y68" s="12" t="n">
        <v>2</v>
      </c>
    </row>
    <row r="69" customFormat="false" ht="122.25" hidden="false" customHeight="true" outlineLevel="0" collapsed="false">
      <c r="A69" s="12" t="s">
        <v>3391</v>
      </c>
      <c r="B69" s="5" t="s">
        <v>3392</v>
      </c>
      <c r="C69" s="12" t="s">
        <v>3391</v>
      </c>
      <c r="D69" s="12" t="s">
        <v>120</v>
      </c>
      <c r="E69" s="5" t="s">
        <v>3395</v>
      </c>
      <c r="F69" s="14"/>
      <c r="G69" s="14"/>
      <c r="H69" s="14" t="s">
        <v>87</v>
      </c>
      <c r="I69" s="14"/>
      <c r="J69" s="14"/>
      <c r="K69" s="14"/>
      <c r="L69" s="15"/>
      <c r="M69" s="12" t="s">
        <v>1226</v>
      </c>
      <c r="N69" s="5" t="s">
        <v>3393</v>
      </c>
      <c r="O69" s="12" t="s">
        <v>524</v>
      </c>
      <c r="P69" s="5" t="s">
        <v>3394</v>
      </c>
      <c r="Q69" s="12" t="s">
        <v>226</v>
      </c>
      <c r="R69" s="12" t="s">
        <v>282</v>
      </c>
      <c r="S69" s="5" t="s">
        <v>3392</v>
      </c>
      <c r="T69" s="5" t="s">
        <v>3372</v>
      </c>
      <c r="U69" s="12" t="n">
        <v>2</v>
      </c>
      <c r="V69" s="12" t="n">
        <v>1</v>
      </c>
      <c r="W69" s="12" t="n">
        <v>2</v>
      </c>
      <c r="X69" s="12" t="n">
        <v>0</v>
      </c>
      <c r="Y69" s="12" t="n">
        <v>2</v>
      </c>
    </row>
    <row r="70" customFormat="false" ht="202.5" hidden="false" customHeight="true" outlineLevel="0" collapsed="false">
      <c r="A70" s="10" t="s">
        <v>3396</v>
      </c>
      <c r="B70" s="11" t="s">
        <v>3397</v>
      </c>
      <c r="C70" s="12"/>
      <c r="D70" s="12" t="s">
        <v>120</v>
      </c>
      <c r="E70" s="5" t="s">
        <v>79</v>
      </c>
      <c r="F70" s="12"/>
      <c r="G70" s="12"/>
      <c r="H70" s="13" t="str">
        <f aca="false">IF(OR(COUNTBLANK($H$71:$H$73)&gt;0,COUNTIF($H$71:$H$73,"unbearbeitet")=COUNTA($H$71:$H$73)),"Bitte Teilanforderungen ausfüllen",IF(COUNTIF($H$71:$H$73,"zu klären")&gt;0,"zu klären",IF(COUNTIF($H$71:$H$73,"entbehrlich")=COUNTA($H$71:$H$73),"entbehrlich",IF(COUNTIF($H$71:$H$73,"verwiesen")=COUNTA($H$71:$H$73),"verwiesen",IF(COUNTIF($H$71:$H$73,"nein")+COUNTIF($H$71:$H$73,"entbehrlich")=COUNTA($H$71:$H$73),"nein",IF(COUNTIF($H$71:$H$73,"ja")+COUNTIF($H$71:$H$73,"entbehrlich")+COUNTIF($H$71:$H$73,"verwiesen")=COUNTA($H$71:$H$73),"ja","teilweise"))))))</f>
        <v>Bitte Teilanforderungen ausfüllen</v>
      </c>
      <c r="I70" s="12"/>
      <c r="J70" s="12"/>
      <c r="K70" s="12"/>
      <c r="L70" s="12"/>
      <c r="M70" s="12"/>
      <c r="N70" s="5" t="s">
        <v>3398</v>
      </c>
      <c r="O70" s="12" t="s">
        <v>524</v>
      </c>
      <c r="P70" s="5" t="s">
        <v>3399</v>
      </c>
      <c r="Q70" s="12" t="s">
        <v>226</v>
      </c>
      <c r="R70" s="12" t="s">
        <v>282</v>
      </c>
      <c r="S70" s="5" t="s">
        <v>3400</v>
      </c>
      <c r="T70" s="5" t="s">
        <v>306</v>
      </c>
      <c r="U70" s="12" t="n">
        <v>1</v>
      </c>
      <c r="V70" s="12" t="n">
        <v>1</v>
      </c>
      <c r="W70" s="12" t="n">
        <v>1</v>
      </c>
      <c r="X70" s="12" t="n">
        <v>1</v>
      </c>
      <c r="Y70" s="12" t="n">
        <v>0</v>
      </c>
    </row>
    <row r="71" customFormat="false" ht="202.5" hidden="false" customHeight="true" outlineLevel="0" collapsed="false">
      <c r="A71" s="12" t="s">
        <v>3396</v>
      </c>
      <c r="B71" s="5" t="s">
        <v>3397</v>
      </c>
      <c r="C71" s="12" t="s">
        <v>3396</v>
      </c>
      <c r="D71" s="12" t="s">
        <v>120</v>
      </c>
      <c r="E71" s="5" t="s">
        <v>3401</v>
      </c>
      <c r="F71" s="14"/>
      <c r="G71" s="14"/>
      <c r="H71" s="14" t="s">
        <v>87</v>
      </c>
      <c r="I71" s="14"/>
      <c r="J71" s="14"/>
      <c r="K71" s="14"/>
      <c r="L71" s="15"/>
      <c r="M71" s="12"/>
      <c r="N71" s="5" t="s">
        <v>3398</v>
      </c>
      <c r="O71" s="12" t="s">
        <v>524</v>
      </c>
      <c r="P71" s="5" t="s">
        <v>3399</v>
      </c>
      <c r="Q71" s="12" t="s">
        <v>226</v>
      </c>
      <c r="R71" s="12" t="s">
        <v>282</v>
      </c>
      <c r="S71" s="5" t="s">
        <v>3400</v>
      </c>
      <c r="T71" s="5" t="s">
        <v>306</v>
      </c>
      <c r="U71" s="12" t="n">
        <v>1</v>
      </c>
      <c r="V71" s="12" t="n">
        <v>1</v>
      </c>
      <c r="W71" s="12" t="n">
        <v>1</v>
      </c>
      <c r="X71" s="12" t="n">
        <v>1</v>
      </c>
      <c r="Y71" s="12" t="n">
        <v>0</v>
      </c>
    </row>
    <row r="72" customFormat="false" ht="149.25" hidden="false" customHeight="true" outlineLevel="0" collapsed="false">
      <c r="A72" s="12" t="s">
        <v>3396</v>
      </c>
      <c r="B72" s="5" t="s">
        <v>3397</v>
      </c>
      <c r="C72" s="12" t="s">
        <v>3402</v>
      </c>
      <c r="D72" s="12" t="s">
        <v>120</v>
      </c>
      <c r="E72" s="5" t="s">
        <v>3403</v>
      </c>
      <c r="F72" s="14"/>
      <c r="G72" s="14"/>
      <c r="H72" s="14" t="s">
        <v>87</v>
      </c>
      <c r="I72" s="14"/>
      <c r="J72" s="14"/>
      <c r="K72" s="14"/>
      <c r="L72" s="15"/>
      <c r="M72" s="12" t="s">
        <v>3404</v>
      </c>
      <c r="N72" s="5" t="s">
        <v>3296</v>
      </c>
      <c r="O72" s="12" t="s">
        <v>524</v>
      </c>
      <c r="P72" s="5" t="s">
        <v>3405</v>
      </c>
      <c r="Q72" s="12" t="s">
        <v>226</v>
      </c>
      <c r="R72" s="12" t="s">
        <v>282</v>
      </c>
      <c r="S72" s="5" t="s">
        <v>3406</v>
      </c>
      <c r="T72" s="5" t="s">
        <v>3407</v>
      </c>
      <c r="U72" s="12" t="n">
        <v>1</v>
      </c>
      <c r="V72" s="12" t="n">
        <v>2</v>
      </c>
      <c r="W72" s="12" t="n">
        <v>2</v>
      </c>
      <c r="X72" s="12" t="n">
        <v>2</v>
      </c>
      <c r="Y72" s="12" t="n">
        <v>2</v>
      </c>
    </row>
    <row r="73" customFormat="false" ht="175.5" hidden="false" customHeight="true" outlineLevel="0" collapsed="false">
      <c r="A73" s="12" t="s">
        <v>3396</v>
      </c>
      <c r="B73" s="5" t="s">
        <v>3397</v>
      </c>
      <c r="C73" s="12" t="s">
        <v>3408</v>
      </c>
      <c r="D73" s="12" t="s">
        <v>160</v>
      </c>
      <c r="E73" s="5" t="s">
        <v>3409</v>
      </c>
      <c r="F73" s="14"/>
      <c r="G73" s="14"/>
      <c r="H73" s="14" t="s">
        <v>87</v>
      </c>
      <c r="I73" s="14"/>
      <c r="J73" s="14"/>
      <c r="K73" s="14"/>
      <c r="L73" s="15"/>
      <c r="M73" s="12" t="s">
        <v>72</v>
      </c>
      <c r="N73" s="5"/>
      <c r="O73" s="12"/>
      <c r="P73" s="5" t="s">
        <v>3410</v>
      </c>
      <c r="Q73" s="12" t="s">
        <v>3285</v>
      </c>
      <c r="R73" s="12" t="s">
        <v>282</v>
      </c>
      <c r="S73" s="5" t="s">
        <v>3411</v>
      </c>
      <c r="T73" s="5" t="s">
        <v>3412</v>
      </c>
      <c r="U73" s="12" t="n">
        <v>5</v>
      </c>
      <c r="V73" s="12" t="n">
        <v>2</v>
      </c>
      <c r="W73" s="12" t="n">
        <v>1</v>
      </c>
      <c r="X73" s="12" t="n">
        <v>1</v>
      </c>
      <c r="Y73" s="12" t="n">
        <v>1</v>
      </c>
    </row>
    <row r="74" customFormat="false" ht="122.25" hidden="false" customHeight="true" outlineLevel="0" collapsed="false">
      <c r="A74" s="10" t="s">
        <v>3413</v>
      </c>
      <c r="B74" s="11" t="s">
        <v>3414</v>
      </c>
      <c r="C74" s="12"/>
      <c r="D74" s="12" t="s">
        <v>120</v>
      </c>
      <c r="E74" s="5" t="s">
        <v>79</v>
      </c>
      <c r="F74" s="12"/>
      <c r="G74" s="12"/>
      <c r="H74" s="13" t="str">
        <f aca="false">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2"/>
      <c r="J74" s="12"/>
      <c r="K74" s="12"/>
      <c r="L74" s="12"/>
      <c r="M74" s="12" t="s">
        <v>3209</v>
      </c>
      <c r="N74" s="5"/>
      <c r="O74" s="12"/>
      <c r="P74" s="5" t="s">
        <v>3415</v>
      </c>
      <c r="Q74" s="12" t="s">
        <v>226</v>
      </c>
      <c r="R74" s="12" t="s">
        <v>282</v>
      </c>
      <c r="S74" s="5" t="s">
        <v>3416</v>
      </c>
      <c r="T74" s="5" t="s">
        <v>3389</v>
      </c>
      <c r="U74" s="12" t="n">
        <v>3</v>
      </c>
      <c r="V74" s="12" t="n">
        <v>2</v>
      </c>
      <c r="W74" s="12" t="n">
        <v>2</v>
      </c>
      <c r="X74" s="12" t="n">
        <v>2</v>
      </c>
      <c r="Y74" s="12" t="n">
        <v>1</v>
      </c>
    </row>
    <row r="75" customFormat="false" ht="122.25" hidden="false" customHeight="true" outlineLevel="0" collapsed="false">
      <c r="A75" s="12" t="s">
        <v>3413</v>
      </c>
      <c r="B75" s="5" t="s">
        <v>3414</v>
      </c>
      <c r="C75" s="12" t="s">
        <v>3413</v>
      </c>
      <c r="D75" s="12" t="s">
        <v>120</v>
      </c>
      <c r="E75" s="5" t="s">
        <v>3417</v>
      </c>
      <c r="F75" s="14"/>
      <c r="G75" s="14"/>
      <c r="H75" s="14" t="s">
        <v>87</v>
      </c>
      <c r="I75" s="14"/>
      <c r="J75" s="14"/>
      <c r="K75" s="14"/>
      <c r="L75" s="15"/>
      <c r="M75" s="12" t="s">
        <v>3209</v>
      </c>
      <c r="N75" s="5"/>
      <c r="O75" s="12"/>
      <c r="P75" s="5" t="s">
        <v>3415</v>
      </c>
      <c r="Q75" s="12" t="s">
        <v>226</v>
      </c>
      <c r="R75" s="12" t="s">
        <v>282</v>
      </c>
      <c r="S75" s="5" t="s">
        <v>3416</v>
      </c>
      <c r="T75" s="5" t="s">
        <v>3389</v>
      </c>
      <c r="U75" s="12" t="n">
        <v>3</v>
      </c>
      <c r="V75" s="12" t="n">
        <v>2</v>
      </c>
      <c r="W75" s="12" t="n">
        <v>2</v>
      </c>
      <c r="X75" s="12" t="n">
        <v>2</v>
      </c>
      <c r="Y75" s="12" t="n">
        <v>1</v>
      </c>
    </row>
    <row r="76" customFormat="false" ht="297" hidden="false" customHeight="true" outlineLevel="0" collapsed="false">
      <c r="A76" s="10" t="s">
        <v>3418</v>
      </c>
      <c r="B76" s="11" t="s">
        <v>3419</v>
      </c>
      <c r="C76" s="12"/>
      <c r="D76" s="12" t="s">
        <v>120</v>
      </c>
      <c r="E76" s="5" t="s">
        <v>79</v>
      </c>
      <c r="F76" s="12"/>
      <c r="G76" s="12"/>
      <c r="H76" s="13" t="str">
        <f aca="false">IF(OR(COUNTBLANK($H$77:$H$80)&gt;0,COUNTIF($H$77:$H$80,"unbearbeitet")=COUNTA($H$77:$H$80)),"Bitte Teilanforderungen ausfüllen",IF(COUNTIF($H$77:$H$80,"zu klären")&gt;0,"zu klären",IF(COUNTIF($H$77:$H$80,"entbehrlich")=COUNTA($H$77:$H$80),"entbehrlich",IF(COUNTIF($H$77:$H$80,"verwiesen")=COUNTA($H$77:$H$80),"verwiesen",IF(COUNTIF($H$77:$H$80,"nein")+COUNTIF($H$77:$H$80,"entbehrlich")=COUNTA($H$77:$H$80),"nein",IF(COUNTIF($H$77:$H$80,"ja")+COUNTIF($H$77:$H$80,"entbehrlich")+COUNTIF($H$77:$H$80,"verwiesen")=COUNTA($H$77:$H$80),"ja","teilweise"))))))</f>
        <v>Bitte Teilanforderungen ausfüllen</v>
      </c>
      <c r="I76" s="12"/>
      <c r="J76" s="12"/>
      <c r="K76" s="12"/>
      <c r="L76" s="12"/>
      <c r="M76" s="12" t="s">
        <v>3209</v>
      </c>
      <c r="N76" s="5"/>
      <c r="O76" s="12"/>
      <c r="P76" s="5" t="s">
        <v>3420</v>
      </c>
      <c r="Q76" s="12" t="s">
        <v>226</v>
      </c>
      <c r="R76" s="12" t="s">
        <v>282</v>
      </c>
      <c r="S76" s="5" t="s">
        <v>3421</v>
      </c>
      <c r="T76" s="5" t="s">
        <v>3422</v>
      </c>
      <c r="U76" s="12" t="n">
        <v>3</v>
      </c>
      <c r="V76" s="12" t="n">
        <v>2</v>
      </c>
      <c r="W76" s="12" t="n">
        <v>2</v>
      </c>
      <c r="X76" s="12" t="n">
        <v>2</v>
      </c>
      <c r="Y76" s="12" t="n">
        <v>1</v>
      </c>
    </row>
    <row r="77" customFormat="false" ht="297" hidden="false" customHeight="true" outlineLevel="0" collapsed="false">
      <c r="A77" s="12" t="s">
        <v>3418</v>
      </c>
      <c r="B77" s="5" t="s">
        <v>3419</v>
      </c>
      <c r="C77" s="12" t="s">
        <v>3418</v>
      </c>
      <c r="D77" s="12" t="s">
        <v>120</v>
      </c>
      <c r="E77" s="5" t="s">
        <v>3423</v>
      </c>
      <c r="F77" s="14"/>
      <c r="G77" s="14"/>
      <c r="H77" s="14" t="s">
        <v>87</v>
      </c>
      <c r="I77" s="14"/>
      <c r="J77" s="14"/>
      <c r="K77" s="14"/>
      <c r="L77" s="15"/>
      <c r="M77" s="12" t="s">
        <v>3209</v>
      </c>
      <c r="N77" s="5"/>
      <c r="O77" s="12"/>
      <c r="P77" s="5" t="s">
        <v>3420</v>
      </c>
      <c r="Q77" s="12" t="s">
        <v>226</v>
      </c>
      <c r="R77" s="12" t="s">
        <v>282</v>
      </c>
      <c r="S77" s="5" t="s">
        <v>3421</v>
      </c>
      <c r="T77" s="5" t="s">
        <v>3422</v>
      </c>
      <c r="U77" s="12" t="n">
        <v>3</v>
      </c>
      <c r="V77" s="12" t="n">
        <v>2</v>
      </c>
      <c r="W77" s="12" t="n">
        <v>2</v>
      </c>
      <c r="X77" s="12" t="n">
        <v>2</v>
      </c>
      <c r="Y77" s="12" t="n">
        <v>1</v>
      </c>
    </row>
    <row r="78" customFormat="false" ht="243" hidden="false" customHeight="true" outlineLevel="0" collapsed="false">
      <c r="A78" s="12" t="s">
        <v>3418</v>
      </c>
      <c r="B78" s="5" t="s">
        <v>3419</v>
      </c>
      <c r="C78" s="12" t="s">
        <v>3424</v>
      </c>
      <c r="D78" s="12" t="s">
        <v>160</v>
      </c>
      <c r="E78" s="5" t="s">
        <v>3425</v>
      </c>
      <c r="F78" s="14"/>
      <c r="G78" s="14"/>
      <c r="H78" s="14" t="s">
        <v>87</v>
      </c>
      <c r="I78" s="14"/>
      <c r="J78" s="14"/>
      <c r="K78" s="14"/>
      <c r="L78" s="15"/>
      <c r="M78" s="12"/>
      <c r="N78" s="5"/>
      <c r="O78" s="12"/>
      <c r="P78" s="5" t="s">
        <v>3426</v>
      </c>
      <c r="Q78" s="12" t="s">
        <v>226</v>
      </c>
      <c r="R78" s="12" t="s">
        <v>282</v>
      </c>
      <c r="S78" s="5" t="s">
        <v>3427</v>
      </c>
      <c r="T78" s="5" t="s">
        <v>3428</v>
      </c>
      <c r="U78" s="12" t="n">
        <v>5</v>
      </c>
      <c r="V78" s="12" t="n">
        <v>1</v>
      </c>
      <c r="W78" s="12" t="n">
        <v>1</v>
      </c>
      <c r="X78" s="12" t="n">
        <v>0</v>
      </c>
      <c r="Y78" s="12" t="n">
        <v>1</v>
      </c>
    </row>
    <row r="79" customFormat="false" ht="270" hidden="false" customHeight="true" outlineLevel="0" collapsed="false">
      <c r="A79" s="12" t="s">
        <v>3418</v>
      </c>
      <c r="B79" s="5" t="s">
        <v>3419</v>
      </c>
      <c r="C79" s="12" t="s">
        <v>3429</v>
      </c>
      <c r="D79" s="12" t="s">
        <v>160</v>
      </c>
      <c r="E79" s="5" t="s">
        <v>3430</v>
      </c>
      <c r="F79" s="14"/>
      <c r="G79" s="14"/>
      <c r="H79" s="14" t="s">
        <v>87</v>
      </c>
      <c r="I79" s="14"/>
      <c r="J79" s="14"/>
      <c r="K79" s="14"/>
      <c r="L79" s="15"/>
      <c r="M79" s="12" t="s">
        <v>88</v>
      </c>
      <c r="N79" s="5" t="s">
        <v>3431</v>
      </c>
      <c r="O79" s="12" t="s">
        <v>1169</v>
      </c>
      <c r="P79" s="5" t="s">
        <v>3432</v>
      </c>
      <c r="Q79" s="12" t="s">
        <v>226</v>
      </c>
      <c r="R79" s="12" t="s">
        <v>282</v>
      </c>
      <c r="S79" s="5" t="s">
        <v>3433</v>
      </c>
      <c r="T79" s="5" t="s">
        <v>2386</v>
      </c>
      <c r="U79" s="12" t="n">
        <v>5</v>
      </c>
      <c r="V79" s="12" t="n">
        <v>2</v>
      </c>
      <c r="W79" s="12" t="n">
        <v>2</v>
      </c>
      <c r="X79" s="12" t="n">
        <v>1</v>
      </c>
      <c r="Y79" s="12" t="n">
        <v>0</v>
      </c>
    </row>
    <row r="80" customFormat="false" ht="108.75" hidden="false" customHeight="true" outlineLevel="0" collapsed="false">
      <c r="A80" s="12" t="s">
        <v>3418</v>
      </c>
      <c r="B80" s="5" t="s">
        <v>3419</v>
      </c>
      <c r="C80" s="12" t="s">
        <v>3434</v>
      </c>
      <c r="D80" s="12" t="s">
        <v>160</v>
      </c>
      <c r="E80" s="5" t="s">
        <v>3435</v>
      </c>
      <c r="F80" s="14"/>
      <c r="G80" s="14"/>
      <c r="H80" s="14" t="s">
        <v>87</v>
      </c>
      <c r="I80" s="14"/>
      <c r="J80" s="14"/>
      <c r="K80" s="14"/>
      <c r="L80" s="15"/>
      <c r="M80" s="12" t="s">
        <v>72</v>
      </c>
      <c r="N80" s="5"/>
      <c r="O80" s="12"/>
      <c r="P80" s="5" t="s">
        <v>3436</v>
      </c>
      <c r="Q80" s="12" t="s">
        <v>3285</v>
      </c>
      <c r="R80" s="12" t="s">
        <v>282</v>
      </c>
      <c r="S80" s="5" t="s">
        <v>3437</v>
      </c>
      <c r="T80" s="5" t="s">
        <v>3438</v>
      </c>
      <c r="U80" s="12" t="n">
        <v>5</v>
      </c>
      <c r="V80" s="12" t="n">
        <v>2</v>
      </c>
      <c r="W80" s="12" t="n">
        <v>1</v>
      </c>
      <c r="X80" s="12" t="n">
        <v>1</v>
      </c>
      <c r="Y80" s="12" t="n">
        <v>0</v>
      </c>
    </row>
    <row r="81" customFormat="false" ht="95.25" hidden="false" customHeight="true" outlineLevel="0" collapsed="false">
      <c r="A81" s="10" t="s">
        <v>3439</v>
      </c>
      <c r="B81" s="11" t="s">
        <v>3440</v>
      </c>
      <c r="C81" s="12"/>
      <c r="D81" s="12" t="s">
        <v>120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72</v>
      </c>
      <c r="N81" s="5"/>
      <c r="O81" s="12"/>
      <c r="P81" s="5" t="s">
        <v>3441</v>
      </c>
      <c r="Q81" s="12" t="s">
        <v>3442</v>
      </c>
      <c r="R81" s="12" t="s">
        <v>282</v>
      </c>
      <c r="S81" s="5" t="s">
        <v>3443</v>
      </c>
      <c r="T81" s="5" t="s">
        <v>427</v>
      </c>
      <c r="U81" s="12" t="n">
        <v>3</v>
      </c>
      <c r="V81" s="12" t="n">
        <v>2</v>
      </c>
      <c r="W81" s="12" t="n">
        <v>1</v>
      </c>
      <c r="X81" s="12" t="n">
        <v>1</v>
      </c>
      <c r="Y81" s="12" t="n">
        <v>1</v>
      </c>
    </row>
    <row r="82" customFormat="false" ht="95.25" hidden="false" customHeight="true" outlineLevel="0" collapsed="false">
      <c r="A82" s="12" t="s">
        <v>3439</v>
      </c>
      <c r="B82" s="5" t="s">
        <v>3440</v>
      </c>
      <c r="C82" s="12" t="s">
        <v>3439</v>
      </c>
      <c r="D82" s="12" t="s">
        <v>120</v>
      </c>
      <c r="E82" s="5" t="s">
        <v>3444</v>
      </c>
      <c r="F82" s="14"/>
      <c r="G82" s="14"/>
      <c r="H82" s="14" t="s">
        <v>87</v>
      </c>
      <c r="I82" s="14"/>
      <c r="J82" s="14"/>
      <c r="K82" s="14"/>
      <c r="L82" s="15"/>
      <c r="M82" s="12" t="s">
        <v>72</v>
      </c>
      <c r="N82" s="5"/>
      <c r="O82" s="12"/>
      <c r="P82" s="5" t="s">
        <v>3441</v>
      </c>
      <c r="Q82" s="12" t="s">
        <v>3442</v>
      </c>
      <c r="R82" s="12" t="s">
        <v>282</v>
      </c>
      <c r="S82" s="5" t="s">
        <v>3443</v>
      </c>
      <c r="T82" s="5" t="s">
        <v>427</v>
      </c>
      <c r="U82" s="12" t="n">
        <v>3</v>
      </c>
      <c r="V82" s="12" t="n">
        <v>2</v>
      </c>
      <c r="W82" s="12" t="n">
        <v>1</v>
      </c>
      <c r="X82" s="12" t="n">
        <v>1</v>
      </c>
      <c r="Y82" s="12" t="n">
        <v>1</v>
      </c>
    </row>
    <row r="83" customFormat="false" ht="431.25" hidden="false" customHeight="true" outlineLevel="0" collapsed="false">
      <c r="A83" s="10" t="s">
        <v>3445</v>
      </c>
      <c r="B83" s="11" t="s">
        <v>3446</v>
      </c>
      <c r="C83" s="12"/>
      <c r="D83" s="12" t="s">
        <v>160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c r="N83" s="5"/>
      <c r="O83" s="12"/>
      <c r="P83" s="5" t="s">
        <v>3447</v>
      </c>
      <c r="Q83" s="12" t="s">
        <v>3285</v>
      </c>
      <c r="R83" s="12" t="s">
        <v>282</v>
      </c>
      <c r="S83" s="5" t="s">
        <v>3448</v>
      </c>
      <c r="T83" s="5" t="s">
        <v>3449</v>
      </c>
      <c r="U83" s="12" t="n">
        <v>5</v>
      </c>
      <c r="V83" s="12" t="n">
        <v>1</v>
      </c>
      <c r="W83" s="12" t="n">
        <v>1</v>
      </c>
      <c r="X83" s="12" t="n">
        <v>0</v>
      </c>
      <c r="Y83" s="12" t="n">
        <v>0</v>
      </c>
    </row>
    <row r="84" customFormat="false" ht="431.25" hidden="false" customHeight="true" outlineLevel="0" collapsed="false">
      <c r="A84" s="12" t="s">
        <v>3445</v>
      </c>
      <c r="B84" s="5" t="s">
        <v>3446</v>
      </c>
      <c r="C84" s="12" t="s">
        <v>3445</v>
      </c>
      <c r="D84" s="12" t="s">
        <v>160</v>
      </c>
      <c r="E84" s="5" t="s">
        <v>3450</v>
      </c>
      <c r="F84" s="14"/>
      <c r="G84" s="14"/>
      <c r="H84" s="14" t="s">
        <v>87</v>
      </c>
      <c r="I84" s="14"/>
      <c r="J84" s="14"/>
      <c r="K84" s="14"/>
      <c r="L84" s="15"/>
      <c r="M84" s="12"/>
      <c r="N84" s="5"/>
      <c r="O84" s="12"/>
      <c r="P84" s="5" t="s">
        <v>3447</v>
      </c>
      <c r="Q84" s="12" t="s">
        <v>3285</v>
      </c>
      <c r="R84" s="12" t="s">
        <v>282</v>
      </c>
      <c r="S84" s="5" t="s">
        <v>3448</v>
      </c>
      <c r="T84" s="5" t="s">
        <v>3449</v>
      </c>
      <c r="U84" s="12" t="n">
        <v>5</v>
      </c>
      <c r="V84" s="12" t="n">
        <v>1</v>
      </c>
      <c r="W84" s="12" t="n">
        <v>1</v>
      </c>
      <c r="X84" s="12" t="n">
        <v>0</v>
      </c>
      <c r="Y84" s="12" t="n">
        <v>0</v>
      </c>
    </row>
    <row r="85" customFormat="false" ht="95.25" hidden="false" customHeight="true" outlineLevel="0" collapsed="false">
      <c r="A85" s="10" t="s">
        <v>3451</v>
      </c>
      <c r="B85" s="11" t="s">
        <v>3452</v>
      </c>
      <c r="C85" s="12"/>
      <c r="D85" s="12" t="s">
        <v>120</v>
      </c>
      <c r="E85" s="5" t="s">
        <v>79</v>
      </c>
      <c r="F85" s="12"/>
      <c r="G85" s="12"/>
      <c r="H85" s="13" t="str">
        <f aca="false">IF(OR(COUNTBLANK($H$86:$H$87)&gt;0,COUNTIF($H$86:$H$87,"unbearbeitet")=COUNTA($H$86:$H$87)),"Bitte Teilanforderungen ausfüllen",IF(COUNTIF($H$86:$H$87,"zu klären")&gt;0,"zu klären",IF(COUNTIF($H$86:$H$87,"entbehrlich")=COUNTA($H$86:$H$87),"entbehrlich",IF(COUNTIF($H$86:$H$87,"verwiesen")=COUNTA($H$86:$H$87),"verwiesen",IF(COUNTIF($H$86:$H$87,"nein")+COUNTIF($H$86:$H$87,"entbehrlich")=COUNTA($H$86:$H$87),"nein",IF(COUNTIF($H$86:$H$87,"ja")+COUNTIF($H$86:$H$87,"entbehrlich")+COUNTIF($H$86:$H$87,"verwiesen")=COUNTA($H$86:$H$87),"ja","teilweise"))))))</f>
        <v>Bitte Teilanforderungen ausfüllen</v>
      </c>
      <c r="I85" s="12"/>
      <c r="J85" s="12"/>
      <c r="K85" s="12"/>
      <c r="L85" s="12"/>
      <c r="M85" s="12" t="s">
        <v>3209</v>
      </c>
      <c r="N85" s="5"/>
      <c r="O85" s="12"/>
      <c r="P85" s="5" t="s">
        <v>3453</v>
      </c>
      <c r="Q85" s="12" t="s">
        <v>226</v>
      </c>
      <c r="R85" s="12" t="s">
        <v>282</v>
      </c>
      <c r="S85" s="5" t="s">
        <v>3454</v>
      </c>
      <c r="T85" s="5" t="s">
        <v>3422</v>
      </c>
      <c r="U85" s="12" t="n">
        <v>2</v>
      </c>
      <c r="V85" s="12" t="n">
        <v>2</v>
      </c>
      <c r="W85" s="12" t="n">
        <v>2</v>
      </c>
      <c r="X85" s="12" t="n">
        <v>2</v>
      </c>
      <c r="Y85" s="12" t="n">
        <v>1</v>
      </c>
    </row>
    <row r="86" customFormat="false" ht="95.25" hidden="false" customHeight="true" outlineLevel="0" collapsed="false">
      <c r="A86" s="12" t="s">
        <v>3451</v>
      </c>
      <c r="B86" s="5" t="s">
        <v>3452</v>
      </c>
      <c r="C86" s="12" t="s">
        <v>3451</v>
      </c>
      <c r="D86" s="12" t="s">
        <v>120</v>
      </c>
      <c r="E86" s="5" t="s">
        <v>3455</v>
      </c>
      <c r="F86" s="14"/>
      <c r="G86" s="14"/>
      <c r="H86" s="14" t="s">
        <v>87</v>
      </c>
      <c r="I86" s="14"/>
      <c r="J86" s="14"/>
      <c r="K86" s="14"/>
      <c r="L86" s="15"/>
      <c r="M86" s="12" t="s">
        <v>3209</v>
      </c>
      <c r="N86" s="5"/>
      <c r="O86" s="12"/>
      <c r="P86" s="5" t="s">
        <v>3453</v>
      </c>
      <c r="Q86" s="12" t="s">
        <v>226</v>
      </c>
      <c r="R86" s="12" t="s">
        <v>282</v>
      </c>
      <c r="S86" s="5" t="s">
        <v>3454</v>
      </c>
      <c r="T86" s="5" t="s">
        <v>3422</v>
      </c>
      <c r="U86" s="12" t="n">
        <v>2</v>
      </c>
      <c r="V86" s="12" t="n">
        <v>2</v>
      </c>
      <c r="W86" s="12" t="n">
        <v>2</v>
      </c>
      <c r="X86" s="12" t="n">
        <v>2</v>
      </c>
      <c r="Y86" s="12" t="n">
        <v>1</v>
      </c>
    </row>
    <row r="87" customFormat="false" ht="68.25" hidden="false" customHeight="true" outlineLevel="0" collapsed="false">
      <c r="A87" s="12" t="s">
        <v>3451</v>
      </c>
      <c r="B87" s="5" t="s">
        <v>3452</v>
      </c>
      <c r="C87" s="12" t="s">
        <v>3456</v>
      </c>
      <c r="D87" s="12" t="s">
        <v>160</v>
      </c>
      <c r="E87" s="5" t="s">
        <v>3457</v>
      </c>
      <c r="F87" s="14"/>
      <c r="G87" s="14"/>
      <c r="H87" s="14" t="s">
        <v>87</v>
      </c>
      <c r="I87" s="14"/>
      <c r="J87" s="14"/>
      <c r="K87" s="14"/>
      <c r="L87" s="15"/>
      <c r="M87" s="12" t="s">
        <v>3209</v>
      </c>
      <c r="N87" s="5"/>
      <c r="O87" s="12"/>
      <c r="P87" s="5" t="s">
        <v>3458</v>
      </c>
      <c r="Q87" s="12" t="s">
        <v>226</v>
      </c>
      <c r="R87" s="12" t="s">
        <v>282</v>
      </c>
      <c r="S87" s="5" t="s">
        <v>3459</v>
      </c>
      <c r="T87" s="5" t="s">
        <v>3389</v>
      </c>
      <c r="U87" s="12" t="n">
        <v>5</v>
      </c>
      <c r="V87" s="12" t="n">
        <v>2</v>
      </c>
      <c r="W87" s="12" t="n">
        <v>2</v>
      </c>
      <c r="X87" s="12" t="n">
        <v>2</v>
      </c>
      <c r="Y87" s="12" t="n">
        <v>1</v>
      </c>
    </row>
    <row r="88" customFormat="false" ht="216" hidden="false" customHeight="true" outlineLevel="0" collapsed="false">
      <c r="A88" s="10" t="s">
        <v>3460</v>
      </c>
      <c r="B88" s="11" t="s">
        <v>3461</v>
      </c>
      <c r="C88" s="12"/>
      <c r="D88" s="12" t="s">
        <v>160</v>
      </c>
      <c r="E88" s="5" t="s">
        <v>79</v>
      </c>
      <c r="F88" s="12"/>
      <c r="G88" s="12"/>
      <c r="H88" s="13" t="str">
        <f aca="false">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2"/>
      <c r="J88" s="12"/>
      <c r="K88" s="12"/>
      <c r="L88" s="12"/>
      <c r="M88" s="12" t="s">
        <v>3209</v>
      </c>
      <c r="N88" s="5"/>
      <c r="O88" s="12"/>
      <c r="P88" s="5" t="s">
        <v>3462</v>
      </c>
      <c r="Q88" s="12" t="s">
        <v>226</v>
      </c>
      <c r="R88" s="12" t="s">
        <v>282</v>
      </c>
      <c r="S88" s="5" t="s">
        <v>3463</v>
      </c>
      <c r="T88" s="5" t="s">
        <v>3422</v>
      </c>
      <c r="U88" s="12" t="n">
        <v>5</v>
      </c>
      <c r="V88" s="12" t="n">
        <v>2</v>
      </c>
      <c r="W88" s="12" t="n">
        <v>2</v>
      </c>
      <c r="X88" s="12" t="n">
        <v>2</v>
      </c>
      <c r="Y88" s="12" t="n">
        <v>1</v>
      </c>
    </row>
    <row r="89" customFormat="false" ht="216" hidden="false" customHeight="true" outlineLevel="0" collapsed="false">
      <c r="A89" s="12" t="s">
        <v>3460</v>
      </c>
      <c r="B89" s="5" t="s">
        <v>3461</v>
      </c>
      <c r="C89" s="12" t="s">
        <v>3460</v>
      </c>
      <c r="D89" s="12" t="s">
        <v>160</v>
      </c>
      <c r="E89" s="5" t="s">
        <v>3464</v>
      </c>
      <c r="F89" s="14"/>
      <c r="G89" s="14"/>
      <c r="H89" s="14" t="s">
        <v>87</v>
      </c>
      <c r="I89" s="14"/>
      <c r="J89" s="14"/>
      <c r="K89" s="14"/>
      <c r="L89" s="15"/>
      <c r="M89" s="12" t="s">
        <v>3209</v>
      </c>
      <c r="N89" s="5"/>
      <c r="O89" s="12"/>
      <c r="P89" s="5" t="s">
        <v>3462</v>
      </c>
      <c r="Q89" s="12" t="s">
        <v>226</v>
      </c>
      <c r="R89" s="12" t="s">
        <v>282</v>
      </c>
      <c r="S89" s="5" t="s">
        <v>3463</v>
      </c>
      <c r="T89" s="5" t="s">
        <v>3422</v>
      </c>
      <c r="U89" s="12" t="n">
        <v>5</v>
      </c>
      <c r="V89" s="12" t="n">
        <v>2</v>
      </c>
      <c r="W89" s="12" t="n">
        <v>2</v>
      </c>
      <c r="X89" s="12" t="n">
        <v>2</v>
      </c>
      <c r="Y89" s="12" t="n">
        <v>1</v>
      </c>
    </row>
    <row r="90" customFormat="false" ht="54.75" hidden="false" customHeight="true" outlineLevel="0" collapsed="false">
      <c r="A90" s="10" t="s">
        <v>3465</v>
      </c>
      <c r="B90" s="11" t="s">
        <v>3466</v>
      </c>
      <c r="C90" s="12"/>
      <c r="D90" s="12" t="s">
        <v>120</v>
      </c>
      <c r="E90" s="5" t="s">
        <v>79</v>
      </c>
      <c r="F90" s="12"/>
      <c r="G90" s="12"/>
      <c r="H90" s="13" t="str">
        <f aca="false">IF(OR(COUNTBLANK($H$91:$H$92)&gt;0,COUNTIF($H$91:$H$92,"unbearbeitet")=COUNTA($H$91:$H$92)),"Bitte Teilanforderungen ausfüllen",IF(COUNTIF($H$91:$H$92,"zu klären")&gt;0,"zu klären",IF(COUNTIF($H$91:$H$92,"entbehrlich")=COUNTA($H$91:$H$92),"entbehrlich",IF(COUNTIF($H$91:$H$92,"verwiesen")=COUNTA($H$91:$H$92),"verwiesen",IF(COUNTIF($H$91:$H$92,"nein")+COUNTIF($H$91:$H$92,"entbehrlich")=COUNTA($H$91:$H$92),"nein",IF(COUNTIF($H$91:$H$92,"ja")+COUNTIF($H$91:$H$92,"entbehrlich")+COUNTIF($H$91:$H$92,"verwiesen")=COUNTA($H$91:$H$92),"ja","teilweise"))))))</f>
        <v>Bitte Teilanforderungen ausfüllen</v>
      </c>
      <c r="I90" s="12"/>
      <c r="J90" s="12"/>
      <c r="K90" s="12"/>
      <c r="L90" s="12"/>
      <c r="M90" s="12" t="s">
        <v>72</v>
      </c>
      <c r="N90" s="5"/>
      <c r="O90" s="12"/>
      <c r="P90" s="5" t="s">
        <v>3467</v>
      </c>
      <c r="Q90" s="12" t="s">
        <v>460</v>
      </c>
      <c r="R90" s="12" t="s">
        <v>282</v>
      </c>
      <c r="S90" s="5" t="s">
        <v>3468</v>
      </c>
      <c r="T90" s="5" t="s">
        <v>427</v>
      </c>
      <c r="U90" s="12" t="n">
        <v>2</v>
      </c>
      <c r="V90" s="12" t="n">
        <v>2</v>
      </c>
      <c r="W90" s="12" t="n">
        <v>1</v>
      </c>
      <c r="X90" s="12" t="n">
        <v>1</v>
      </c>
      <c r="Y90" s="12" t="n">
        <v>1</v>
      </c>
    </row>
    <row r="91" customFormat="false" ht="54.75" hidden="false" customHeight="true" outlineLevel="0" collapsed="false">
      <c r="A91" s="12" t="s">
        <v>3465</v>
      </c>
      <c r="B91" s="5" t="s">
        <v>3466</v>
      </c>
      <c r="C91" s="12" t="s">
        <v>3465</v>
      </c>
      <c r="D91" s="12" t="s">
        <v>120</v>
      </c>
      <c r="E91" s="5" t="s">
        <v>3469</v>
      </c>
      <c r="F91" s="14"/>
      <c r="G91" s="14"/>
      <c r="H91" s="14" t="s">
        <v>87</v>
      </c>
      <c r="I91" s="14"/>
      <c r="J91" s="14"/>
      <c r="K91" s="14"/>
      <c r="L91" s="15"/>
      <c r="M91" s="12" t="s">
        <v>72</v>
      </c>
      <c r="N91" s="5"/>
      <c r="O91" s="12"/>
      <c r="P91" s="5" t="s">
        <v>3467</v>
      </c>
      <c r="Q91" s="12" t="s">
        <v>460</v>
      </c>
      <c r="R91" s="12" t="s">
        <v>282</v>
      </c>
      <c r="S91" s="5" t="s">
        <v>3468</v>
      </c>
      <c r="T91" s="5" t="s">
        <v>427</v>
      </c>
      <c r="U91" s="12" t="n">
        <v>2</v>
      </c>
      <c r="V91" s="12" t="n">
        <v>2</v>
      </c>
      <c r="W91" s="12" t="n">
        <v>1</v>
      </c>
      <c r="X91" s="12" t="n">
        <v>1</v>
      </c>
      <c r="Y91" s="12" t="n">
        <v>1</v>
      </c>
    </row>
    <row r="92" customFormat="false" ht="243" hidden="false" customHeight="true" outlineLevel="0" collapsed="false">
      <c r="A92" s="12" t="s">
        <v>3465</v>
      </c>
      <c r="B92" s="5" t="s">
        <v>3466</v>
      </c>
      <c r="C92" s="12" t="s">
        <v>3470</v>
      </c>
      <c r="D92" s="12" t="s">
        <v>120</v>
      </c>
      <c r="E92" s="5" t="s">
        <v>3471</v>
      </c>
      <c r="F92" s="14"/>
      <c r="G92" s="14"/>
      <c r="H92" s="14" t="s">
        <v>87</v>
      </c>
      <c r="I92" s="14"/>
      <c r="J92" s="14"/>
      <c r="K92" s="14"/>
      <c r="L92" s="15"/>
      <c r="M92" s="12"/>
      <c r="N92" s="5" t="s">
        <v>1551</v>
      </c>
      <c r="O92" s="12" t="s">
        <v>524</v>
      </c>
      <c r="P92" s="5" t="s">
        <v>3472</v>
      </c>
      <c r="Q92" s="12" t="s">
        <v>460</v>
      </c>
      <c r="R92" s="12" t="s">
        <v>282</v>
      </c>
      <c r="S92" s="5" t="s">
        <v>3473</v>
      </c>
      <c r="T92" s="5" t="s">
        <v>3428</v>
      </c>
      <c r="U92" s="12" t="n">
        <v>4</v>
      </c>
      <c r="V92" s="12" t="n">
        <v>1</v>
      </c>
      <c r="W92" s="12" t="n">
        <v>1</v>
      </c>
      <c r="X92" s="12" t="n">
        <v>0</v>
      </c>
      <c r="Y92" s="12" t="n">
        <v>1</v>
      </c>
    </row>
    <row r="93" customFormat="false" ht="108.75" hidden="false" customHeight="true" outlineLevel="0" collapsed="false">
      <c r="A93" s="10" t="s">
        <v>3474</v>
      </c>
      <c r="B93" s="11" t="s">
        <v>3475</v>
      </c>
      <c r="C93" s="12"/>
      <c r="D93" s="12" t="s">
        <v>120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t="s">
        <v>3209</v>
      </c>
      <c r="N93" s="5"/>
      <c r="O93" s="12"/>
      <c r="P93" s="5" t="s">
        <v>3476</v>
      </c>
      <c r="Q93" s="12" t="s">
        <v>460</v>
      </c>
      <c r="R93" s="12" t="s">
        <v>282</v>
      </c>
      <c r="S93" s="5" t="s">
        <v>3454</v>
      </c>
      <c r="T93" s="5" t="s">
        <v>3422</v>
      </c>
      <c r="U93" s="12" t="n">
        <v>2</v>
      </c>
      <c r="V93" s="12" t="n">
        <v>2</v>
      </c>
      <c r="W93" s="12" t="n">
        <v>2</v>
      </c>
      <c r="X93" s="12" t="n">
        <v>2</v>
      </c>
      <c r="Y93" s="12" t="n">
        <v>1</v>
      </c>
    </row>
    <row r="94" customFormat="false" ht="108.75" hidden="false" customHeight="true" outlineLevel="0" collapsed="false">
      <c r="A94" s="12" t="s">
        <v>3474</v>
      </c>
      <c r="B94" s="5" t="s">
        <v>3475</v>
      </c>
      <c r="C94" s="12" t="s">
        <v>3474</v>
      </c>
      <c r="D94" s="12" t="s">
        <v>120</v>
      </c>
      <c r="E94" s="5" t="s">
        <v>3477</v>
      </c>
      <c r="F94" s="14"/>
      <c r="G94" s="14"/>
      <c r="H94" s="14" t="s">
        <v>87</v>
      </c>
      <c r="I94" s="14"/>
      <c r="J94" s="14"/>
      <c r="K94" s="14"/>
      <c r="L94" s="15"/>
      <c r="M94" s="12" t="s">
        <v>3209</v>
      </c>
      <c r="N94" s="5"/>
      <c r="O94" s="12"/>
      <c r="P94" s="5" t="s">
        <v>3476</v>
      </c>
      <c r="Q94" s="12" t="s">
        <v>460</v>
      </c>
      <c r="R94" s="12" t="s">
        <v>282</v>
      </c>
      <c r="S94" s="5" t="s">
        <v>3454</v>
      </c>
      <c r="T94" s="5" t="s">
        <v>3422</v>
      </c>
      <c r="U94" s="12" t="n">
        <v>2</v>
      </c>
      <c r="V94" s="12" t="n">
        <v>2</v>
      </c>
      <c r="W94" s="12" t="n">
        <v>2</v>
      </c>
      <c r="X94" s="12" t="n">
        <v>2</v>
      </c>
      <c r="Y94" s="12" t="n">
        <v>1</v>
      </c>
    </row>
    <row r="95" customFormat="false" ht="149.25" hidden="false" customHeight="true" outlineLevel="0" collapsed="false">
      <c r="A95" s="10" t="s">
        <v>3478</v>
      </c>
      <c r="B95" s="11" t="s">
        <v>3479</v>
      </c>
      <c r="C95" s="12"/>
      <c r="D95" s="12" t="s">
        <v>120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t="s">
        <v>3209</v>
      </c>
      <c r="N95" s="5" t="s">
        <v>3480</v>
      </c>
      <c r="O95" s="12" t="s">
        <v>3481</v>
      </c>
      <c r="P95" s="5" t="s">
        <v>3482</v>
      </c>
      <c r="Q95" s="12" t="s">
        <v>2113</v>
      </c>
      <c r="R95" s="12" t="s">
        <v>282</v>
      </c>
      <c r="S95" s="5" t="s">
        <v>3483</v>
      </c>
      <c r="T95" s="5" t="s">
        <v>3422</v>
      </c>
      <c r="U95" s="12" t="n">
        <v>3</v>
      </c>
      <c r="V95" s="12" t="n">
        <v>2</v>
      </c>
      <c r="W95" s="12" t="n">
        <v>2</v>
      </c>
      <c r="X95" s="12" t="n">
        <v>2</v>
      </c>
      <c r="Y95" s="12" t="n">
        <v>1</v>
      </c>
    </row>
    <row r="96" customFormat="false" ht="149.25" hidden="false" customHeight="true" outlineLevel="0" collapsed="false">
      <c r="A96" s="12" t="s">
        <v>3478</v>
      </c>
      <c r="B96" s="5" t="s">
        <v>3479</v>
      </c>
      <c r="C96" s="12" t="s">
        <v>3478</v>
      </c>
      <c r="D96" s="12" t="s">
        <v>120</v>
      </c>
      <c r="E96" s="5" t="s">
        <v>3484</v>
      </c>
      <c r="F96" s="14"/>
      <c r="G96" s="14"/>
      <c r="H96" s="14" t="s">
        <v>87</v>
      </c>
      <c r="I96" s="14"/>
      <c r="J96" s="14"/>
      <c r="K96" s="14"/>
      <c r="L96" s="15"/>
      <c r="M96" s="12" t="s">
        <v>3209</v>
      </c>
      <c r="N96" s="5" t="s">
        <v>3480</v>
      </c>
      <c r="O96" s="12" t="s">
        <v>3481</v>
      </c>
      <c r="P96" s="5" t="s">
        <v>3482</v>
      </c>
      <c r="Q96" s="12" t="s">
        <v>2113</v>
      </c>
      <c r="R96" s="12" t="s">
        <v>282</v>
      </c>
      <c r="S96" s="5" t="s">
        <v>3483</v>
      </c>
      <c r="T96" s="5" t="s">
        <v>3422</v>
      </c>
      <c r="U96" s="12" t="n">
        <v>3</v>
      </c>
      <c r="V96" s="12" t="n">
        <v>2</v>
      </c>
      <c r="W96" s="12" t="n">
        <v>2</v>
      </c>
      <c r="X96" s="12" t="n">
        <v>2</v>
      </c>
      <c r="Y96" s="12" t="n">
        <v>1</v>
      </c>
    </row>
    <row r="97" customFormat="false" ht="297" hidden="false" customHeight="true" outlineLevel="0" collapsed="false">
      <c r="A97" s="10" t="s">
        <v>3485</v>
      </c>
      <c r="B97" s="11" t="s">
        <v>3486</v>
      </c>
      <c r="C97" s="12"/>
      <c r="D97" s="12" t="s">
        <v>120</v>
      </c>
      <c r="E97" s="5" t="s">
        <v>79</v>
      </c>
      <c r="F97" s="12"/>
      <c r="G97" s="12"/>
      <c r="H97" s="13" t="str">
        <f aca="false">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2"/>
      <c r="J97" s="12"/>
      <c r="K97" s="12"/>
      <c r="L97" s="12"/>
      <c r="M97" s="12"/>
      <c r="N97" s="5" t="s">
        <v>3487</v>
      </c>
      <c r="O97" s="12" t="s">
        <v>661</v>
      </c>
      <c r="P97" s="5" t="s">
        <v>3488</v>
      </c>
      <c r="Q97" s="12" t="s">
        <v>2113</v>
      </c>
      <c r="R97" s="12" t="s">
        <v>282</v>
      </c>
      <c r="S97" s="5" t="s">
        <v>3489</v>
      </c>
      <c r="T97" s="5" t="s">
        <v>3428</v>
      </c>
      <c r="U97" s="12" t="n">
        <v>2</v>
      </c>
      <c r="V97" s="12" t="n">
        <v>1</v>
      </c>
      <c r="W97" s="12" t="n">
        <v>1</v>
      </c>
      <c r="X97" s="12" t="n">
        <v>0</v>
      </c>
      <c r="Y97" s="12" t="n">
        <v>1</v>
      </c>
    </row>
    <row r="98" customFormat="false" ht="297" hidden="false" customHeight="true" outlineLevel="0" collapsed="false">
      <c r="A98" s="12" t="s">
        <v>3485</v>
      </c>
      <c r="B98" s="5" t="s">
        <v>3486</v>
      </c>
      <c r="C98" s="12" t="s">
        <v>3485</v>
      </c>
      <c r="D98" s="12" t="s">
        <v>120</v>
      </c>
      <c r="E98" s="5" t="s">
        <v>3490</v>
      </c>
      <c r="F98" s="14"/>
      <c r="G98" s="14"/>
      <c r="H98" s="14" t="s">
        <v>87</v>
      </c>
      <c r="I98" s="14"/>
      <c r="J98" s="14"/>
      <c r="K98" s="14"/>
      <c r="L98" s="15"/>
      <c r="M98" s="12"/>
      <c r="N98" s="5" t="s">
        <v>3487</v>
      </c>
      <c r="O98" s="12" t="s">
        <v>661</v>
      </c>
      <c r="P98" s="5" t="s">
        <v>3488</v>
      </c>
      <c r="Q98" s="12" t="s">
        <v>2113</v>
      </c>
      <c r="R98" s="12" t="s">
        <v>282</v>
      </c>
      <c r="S98" s="5" t="s">
        <v>3489</v>
      </c>
      <c r="T98" s="5" t="s">
        <v>3428</v>
      </c>
      <c r="U98" s="12" t="n">
        <v>2</v>
      </c>
      <c r="V98" s="12" t="n">
        <v>1</v>
      </c>
      <c r="W98" s="12" t="n">
        <v>1</v>
      </c>
      <c r="X98" s="12" t="n">
        <v>0</v>
      </c>
      <c r="Y98" s="12" t="n">
        <v>1</v>
      </c>
    </row>
    <row r="99" customFormat="false" ht="81.75" hidden="false" customHeight="true" outlineLevel="0" collapsed="false">
      <c r="A99" s="10" t="s">
        <v>3491</v>
      </c>
      <c r="B99" s="11" t="s">
        <v>3492</v>
      </c>
      <c r="C99" s="12"/>
      <c r="D99" s="12" t="s">
        <v>120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c r="N99" s="5" t="s">
        <v>3493</v>
      </c>
      <c r="O99" s="12" t="s">
        <v>524</v>
      </c>
      <c r="P99" s="5" t="s">
        <v>3494</v>
      </c>
      <c r="Q99" s="12" t="s">
        <v>2113</v>
      </c>
      <c r="R99" s="12" t="s">
        <v>282</v>
      </c>
      <c r="S99" s="5" t="s">
        <v>3495</v>
      </c>
      <c r="T99" s="5" t="s">
        <v>704</v>
      </c>
      <c r="U99" s="12" t="n">
        <v>2</v>
      </c>
      <c r="V99" s="12" t="n">
        <v>1</v>
      </c>
      <c r="W99" s="12" t="n">
        <v>0</v>
      </c>
      <c r="X99" s="12" t="n">
        <v>0</v>
      </c>
      <c r="Y99" s="12" t="n">
        <v>0</v>
      </c>
    </row>
    <row r="100" customFormat="false" ht="81.75" hidden="false" customHeight="true" outlineLevel="0" collapsed="false">
      <c r="A100" s="12" t="s">
        <v>3491</v>
      </c>
      <c r="B100" s="5" t="s">
        <v>3492</v>
      </c>
      <c r="C100" s="12" t="s">
        <v>3491</v>
      </c>
      <c r="D100" s="12" t="s">
        <v>120</v>
      </c>
      <c r="E100" s="5" t="s">
        <v>3496</v>
      </c>
      <c r="F100" s="14"/>
      <c r="G100" s="14"/>
      <c r="H100" s="14" t="s">
        <v>87</v>
      </c>
      <c r="I100" s="14"/>
      <c r="J100" s="14"/>
      <c r="K100" s="14"/>
      <c r="L100" s="15"/>
      <c r="M100" s="12"/>
      <c r="N100" s="5" t="s">
        <v>3493</v>
      </c>
      <c r="O100" s="12" t="s">
        <v>524</v>
      </c>
      <c r="P100" s="5" t="s">
        <v>3494</v>
      </c>
      <c r="Q100" s="12" t="s">
        <v>2113</v>
      </c>
      <c r="R100" s="12" t="s">
        <v>282</v>
      </c>
      <c r="S100" s="5" t="s">
        <v>3495</v>
      </c>
      <c r="T100" s="5" t="s">
        <v>704</v>
      </c>
      <c r="U100" s="12" t="n">
        <v>2</v>
      </c>
      <c r="V100" s="12" t="n">
        <v>1</v>
      </c>
      <c r="W100" s="12" t="n">
        <v>0</v>
      </c>
      <c r="X100" s="12" t="n">
        <v>0</v>
      </c>
      <c r="Y100" s="12" t="n">
        <v>0</v>
      </c>
    </row>
    <row r="101" customFormat="false" ht="68.25" hidden="false" customHeight="true" outlineLevel="0" collapsed="false">
      <c r="A101" s="10" t="s">
        <v>3497</v>
      </c>
      <c r="B101" s="11" t="s">
        <v>3498</v>
      </c>
      <c r="C101" s="12"/>
      <c r="D101" s="12" t="s">
        <v>120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74</v>
      </c>
      <c r="N101" s="5" t="s">
        <v>3499</v>
      </c>
      <c r="O101" s="12" t="s">
        <v>524</v>
      </c>
      <c r="P101" s="5" t="s">
        <v>3500</v>
      </c>
      <c r="Q101" s="12" t="s">
        <v>2113</v>
      </c>
      <c r="R101" s="12" t="s">
        <v>282</v>
      </c>
      <c r="S101" s="5" t="s">
        <v>3501</v>
      </c>
      <c r="T101" s="5" t="s">
        <v>3502</v>
      </c>
      <c r="U101" s="12" t="n">
        <v>3</v>
      </c>
      <c r="V101" s="12" t="n">
        <v>1</v>
      </c>
      <c r="W101" s="12" t="n">
        <v>1</v>
      </c>
      <c r="X101" s="12" t="n">
        <v>2</v>
      </c>
      <c r="Y101" s="12" t="n">
        <v>0</v>
      </c>
    </row>
    <row r="102" customFormat="false" ht="68.25" hidden="false" customHeight="true" outlineLevel="0" collapsed="false">
      <c r="A102" s="12" t="s">
        <v>3497</v>
      </c>
      <c r="B102" s="5" t="s">
        <v>3498</v>
      </c>
      <c r="C102" s="12" t="s">
        <v>3497</v>
      </c>
      <c r="D102" s="12" t="s">
        <v>120</v>
      </c>
      <c r="E102" s="5" t="s">
        <v>3503</v>
      </c>
      <c r="F102" s="14"/>
      <c r="G102" s="14"/>
      <c r="H102" s="14" t="s">
        <v>87</v>
      </c>
      <c r="I102" s="14"/>
      <c r="J102" s="14"/>
      <c r="K102" s="14"/>
      <c r="L102" s="15"/>
      <c r="M102" s="12" t="s">
        <v>74</v>
      </c>
      <c r="N102" s="5" t="s">
        <v>3499</v>
      </c>
      <c r="O102" s="12" t="s">
        <v>524</v>
      </c>
      <c r="P102" s="5" t="s">
        <v>3500</v>
      </c>
      <c r="Q102" s="12" t="s">
        <v>2113</v>
      </c>
      <c r="R102" s="12" t="s">
        <v>282</v>
      </c>
      <c r="S102" s="5" t="s">
        <v>3501</v>
      </c>
      <c r="T102" s="5" t="s">
        <v>3502</v>
      </c>
      <c r="U102" s="12" t="n">
        <v>3</v>
      </c>
      <c r="V102" s="12" t="n">
        <v>1</v>
      </c>
      <c r="W102" s="12" t="n">
        <v>1</v>
      </c>
      <c r="X102" s="12" t="n">
        <v>2</v>
      </c>
      <c r="Y102" s="12" t="n">
        <v>0</v>
      </c>
    </row>
    <row r="103" customFormat="false" ht="54.75" hidden="false" customHeight="true" outlineLevel="0" collapsed="false">
      <c r="A103" s="10" t="s">
        <v>3504</v>
      </c>
      <c r="B103" s="11" t="s">
        <v>3505</v>
      </c>
      <c r="C103" s="12"/>
      <c r="D103" s="12" t="s">
        <v>120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72</v>
      </c>
      <c r="N103" s="5"/>
      <c r="O103" s="12"/>
      <c r="P103" s="5" t="s">
        <v>3506</v>
      </c>
      <c r="Q103" s="12" t="s">
        <v>3507</v>
      </c>
      <c r="R103" s="12" t="s">
        <v>282</v>
      </c>
      <c r="S103" s="5" t="s">
        <v>3508</v>
      </c>
      <c r="T103" s="5" t="s">
        <v>427</v>
      </c>
      <c r="U103" s="12" t="n">
        <v>3</v>
      </c>
      <c r="V103" s="12" t="n">
        <v>2</v>
      </c>
      <c r="W103" s="12" t="n">
        <v>1</v>
      </c>
      <c r="X103" s="12" t="n">
        <v>1</v>
      </c>
      <c r="Y103" s="12" t="n">
        <v>1</v>
      </c>
    </row>
    <row r="104" customFormat="false" ht="54.75" hidden="false" customHeight="true" outlineLevel="0" collapsed="false">
      <c r="A104" s="12" t="s">
        <v>3504</v>
      </c>
      <c r="B104" s="5" t="s">
        <v>3505</v>
      </c>
      <c r="C104" s="12" t="s">
        <v>3504</v>
      </c>
      <c r="D104" s="12" t="s">
        <v>120</v>
      </c>
      <c r="E104" s="5" t="s">
        <v>3509</v>
      </c>
      <c r="F104" s="14"/>
      <c r="G104" s="14"/>
      <c r="H104" s="14" t="s">
        <v>87</v>
      </c>
      <c r="I104" s="14"/>
      <c r="J104" s="14"/>
      <c r="K104" s="14"/>
      <c r="L104" s="15"/>
      <c r="M104" s="12" t="s">
        <v>72</v>
      </c>
      <c r="N104" s="5"/>
      <c r="O104" s="12"/>
      <c r="P104" s="5" t="s">
        <v>3506</v>
      </c>
      <c r="Q104" s="12" t="s">
        <v>3507</v>
      </c>
      <c r="R104" s="12" t="s">
        <v>282</v>
      </c>
      <c r="S104" s="5" t="s">
        <v>3508</v>
      </c>
      <c r="T104" s="5" t="s">
        <v>427</v>
      </c>
      <c r="U104" s="12" t="n">
        <v>3</v>
      </c>
      <c r="V104" s="12" t="n">
        <v>2</v>
      </c>
      <c r="W104" s="12" t="n">
        <v>1</v>
      </c>
      <c r="X104" s="12" t="n">
        <v>1</v>
      </c>
      <c r="Y104" s="12" t="n">
        <v>1</v>
      </c>
    </row>
    <row r="105" customFormat="false" ht="377.25" hidden="false" customHeight="true" outlineLevel="0" collapsed="false">
      <c r="A105" s="10" t="s">
        <v>3510</v>
      </c>
      <c r="B105" s="11" t="s">
        <v>3511</v>
      </c>
      <c r="C105" s="12"/>
      <c r="D105" s="12" t="s">
        <v>160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t="s">
        <v>3209</v>
      </c>
      <c r="N105" s="5"/>
      <c r="O105" s="12"/>
      <c r="P105" s="5" t="s">
        <v>3512</v>
      </c>
      <c r="Q105" s="12" t="s">
        <v>460</v>
      </c>
      <c r="R105" s="12" t="s">
        <v>282</v>
      </c>
      <c r="S105" s="5" t="s">
        <v>3463</v>
      </c>
      <c r="T105" s="5" t="s">
        <v>3422</v>
      </c>
      <c r="U105" s="12" t="n">
        <v>5</v>
      </c>
      <c r="V105" s="12" t="n">
        <v>2</v>
      </c>
      <c r="W105" s="12" t="n">
        <v>2</v>
      </c>
      <c r="X105" s="12" t="n">
        <v>2</v>
      </c>
      <c r="Y105" s="12" t="n">
        <v>1</v>
      </c>
    </row>
    <row r="106" customFormat="false" ht="377.25" hidden="false" customHeight="true" outlineLevel="0" collapsed="false">
      <c r="A106" s="12" t="s">
        <v>3510</v>
      </c>
      <c r="B106" s="5" t="s">
        <v>3511</v>
      </c>
      <c r="C106" s="12" t="s">
        <v>3510</v>
      </c>
      <c r="D106" s="12" t="s">
        <v>160</v>
      </c>
      <c r="E106" s="5" t="s">
        <v>3513</v>
      </c>
      <c r="F106" s="14"/>
      <c r="G106" s="14"/>
      <c r="H106" s="14" t="s">
        <v>87</v>
      </c>
      <c r="I106" s="14"/>
      <c r="J106" s="14"/>
      <c r="K106" s="14"/>
      <c r="L106" s="15"/>
      <c r="M106" s="12" t="s">
        <v>3209</v>
      </c>
      <c r="N106" s="5"/>
      <c r="O106" s="12"/>
      <c r="P106" s="5" t="s">
        <v>3512</v>
      </c>
      <c r="Q106" s="12" t="s">
        <v>460</v>
      </c>
      <c r="R106" s="12" t="s">
        <v>282</v>
      </c>
      <c r="S106" s="5" t="s">
        <v>3463</v>
      </c>
      <c r="T106" s="5" t="s">
        <v>3422</v>
      </c>
      <c r="U106" s="12" t="n">
        <v>5</v>
      </c>
      <c r="V106" s="12" t="n">
        <v>2</v>
      </c>
      <c r="W106" s="12" t="n">
        <v>2</v>
      </c>
      <c r="X106" s="12" t="n">
        <v>2</v>
      </c>
      <c r="Y106" s="12" t="n">
        <v>1</v>
      </c>
    </row>
    <row r="107" customFormat="false" ht="41.25" hidden="false" customHeight="true" outlineLevel="0" collapsed="false">
      <c r="A107" s="10" t="s">
        <v>3514</v>
      </c>
      <c r="B107" s="11" t="s">
        <v>3515</v>
      </c>
      <c r="C107" s="12"/>
      <c r="D107" s="12" t="s">
        <v>120</v>
      </c>
      <c r="E107" s="5" t="s">
        <v>79</v>
      </c>
      <c r="F107" s="12"/>
      <c r="G107" s="12"/>
      <c r="H107" s="13" t="str">
        <f aca="false">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2"/>
      <c r="J107" s="12"/>
      <c r="K107" s="12"/>
      <c r="L107" s="12"/>
      <c r="M107" s="12" t="s">
        <v>88</v>
      </c>
      <c r="N107" s="5" t="s">
        <v>3516</v>
      </c>
      <c r="O107" s="12" t="s">
        <v>661</v>
      </c>
      <c r="P107" s="5" t="s">
        <v>3517</v>
      </c>
      <c r="Q107" s="12" t="s">
        <v>3518</v>
      </c>
      <c r="R107" s="12" t="s">
        <v>282</v>
      </c>
      <c r="S107" s="5" t="s">
        <v>3515</v>
      </c>
      <c r="T107" s="5" t="s">
        <v>2386</v>
      </c>
      <c r="U107" s="12" t="n">
        <v>2</v>
      </c>
      <c r="V107" s="12" t="n">
        <v>2</v>
      </c>
      <c r="W107" s="12" t="n">
        <v>2</v>
      </c>
      <c r="X107" s="12" t="n">
        <v>1</v>
      </c>
      <c r="Y107" s="12" t="n">
        <v>0</v>
      </c>
    </row>
    <row r="108" customFormat="false" ht="41.25" hidden="false" customHeight="true" outlineLevel="0" collapsed="false">
      <c r="A108" s="12" t="s">
        <v>3514</v>
      </c>
      <c r="B108" s="5" t="s">
        <v>3515</v>
      </c>
      <c r="C108" s="12" t="s">
        <v>3514</v>
      </c>
      <c r="D108" s="12" t="s">
        <v>120</v>
      </c>
      <c r="E108" s="5" t="s">
        <v>3519</v>
      </c>
      <c r="F108" s="14"/>
      <c r="G108" s="14"/>
      <c r="H108" s="14" t="s">
        <v>87</v>
      </c>
      <c r="I108" s="14"/>
      <c r="J108" s="14"/>
      <c r="K108" s="14"/>
      <c r="L108" s="15"/>
      <c r="M108" s="12" t="s">
        <v>88</v>
      </c>
      <c r="N108" s="5" t="s">
        <v>3516</v>
      </c>
      <c r="O108" s="12" t="s">
        <v>661</v>
      </c>
      <c r="P108" s="5" t="s">
        <v>3517</v>
      </c>
      <c r="Q108" s="12" t="s">
        <v>3518</v>
      </c>
      <c r="R108" s="12" t="s">
        <v>282</v>
      </c>
      <c r="S108" s="5" t="s">
        <v>3515</v>
      </c>
      <c r="T108" s="5" t="s">
        <v>2386</v>
      </c>
      <c r="U108" s="12" t="n">
        <v>2</v>
      </c>
      <c r="V108" s="12" t="n">
        <v>2</v>
      </c>
      <c r="W108" s="12" t="n">
        <v>2</v>
      </c>
      <c r="X108" s="12" t="n">
        <v>1</v>
      </c>
      <c r="Y108" s="12" t="n">
        <v>0</v>
      </c>
    </row>
    <row r="109" customFormat="false" ht="41.25" hidden="false" customHeight="true" outlineLevel="0" collapsed="false">
      <c r="A109" s="10" t="s">
        <v>3520</v>
      </c>
      <c r="B109" s="11" t="s">
        <v>3521</v>
      </c>
      <c r="C109" s="12"/>
      <c r="D109" s="12" t="s">
        <v>160</v>
      </c>
      <c r="E109" s="5" t="s">
        <v>79</v>
      </c>
      <c r="F109" s="12"/>
      <c r="G109" s="12"/>
      <c r="H109" s="13" t="str">
        <f aca="false">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2"/>
      <c r="J109" s="12"/>
      <c r="K109" s="12"/>
      <c r="L109" s="12"/>
      <c r="M109" s="12" t="s">
        <v>88</v>
      </c>
      <c r="N109" s="5" t="s">
        <v>3522</v>
      </c>
      <c r="O109" s="12" t="s">
        <v>524</v>
      </c>
      <c r="P109" s="5" t="s">
        <v>3523</v>
      </c>
      <c r="Q109" s="12" t="s">
        <v>3518</v>
      </c>
      <c r="R109" s="12" t="s">
        <v>282</v>
      </c>
      <c r="S109" s="5" t="s">
        <v>3521</v>
      </c>
      <c r="T109" s="5" t="s">
        <v>2386</v>
      </c>
      <c r="U109" s="12" t="n">
        <v>5</v>
      </c>
      <c r="V109" s="12" t="n">
        <v>2</v>
      </c>
      <c r="W109" s="12" t="n">
        <v>2</v>
      </c>
      <c r="X109" s="12" t="n">
        <v>1</v>
      </c>
      <c r="Y109" s="12" t="n">
        <v>0</v>
      </c>
    </row>
    <row r="110" customFormat="false" ht="41.25" hidden="false" customHeight="true" outlineLevel="0" collapsed="false">
      <c r="A110" s="12" t="s">
        <v>3520</v>
      </c>
      <c r="B110" s="5" t="s">
        <v>3521</v>
      </c>
      <c r="C110" s="12" t="s">
        <v>3520</v>
      </c>
      <c r="D110" s="12" t="s">
        <v>160</v>
      </c>
      <c r="E110" s="5" t="s">
        <v>3524</v>
      </c>
      <c r="F110" s="14"/>
      <c r="G110" s="14"/>
      <c r="H110" s="14" t="s">
        <v>87</v>
      </c>
      <c r="I110" s="14"/>
      <c r="J110" s="14"/>
      <c r="K110" s="14"/>
      <c r="L110" s="15"/>
      <c r="M110" s="12" t="s">
        <v>88</v>
      </c>
      <c r="N110" s="5" t="s">
        <v>3522</v>
      </c>
      <c r="O110" s="12" t="s">
        <v>524</v>
      </c>
      <c r="P110" s="5" t="s">
        <v>3523</v>
      </c>
      <c r="Q110" s="12" t="s">
        <v>3518</v>
      </c>
      <c r="R110" s="12" t="s">
        <v>282</v>
      </c>
      <c r="S110" s="5" t="s">
        <v>3521</v>
      </c>
      <c r="T110" s="5" t="s">
        <v>2386</v>
      </c>
      <c r="U110" s="12" t="n">
        <v>5</v>
      </c>
      <c r="V110" s="12" t="n">
        <v>2</v>
      </c>
      <c r="W110" s="12" t="n">
        <v>2</v>
      </c>
      <c r="X110" s="12" t="n">
        <v>1</v>
      </c>
      <c r="Y110" s="12" t="n">
        <v>0</v>
      </c>
    </row>
    <row r="111" customFormat="false" ht="336.75" hidden="false" customHeight="true" outlineLevel="0" collapsed="false">
      <c r="A111" s="10" t="s">
        <v>3525</v>
      </c>
      <c r="B111" s="11" t="s">
        <v>3526</v>
      </c>
      <c r="C111" s="12"/>
      <c r="D111" s="12" t="s">
        <v>160</v>
      </c>
      <c r="E111" s="5" t="s">
        <v>79</v>
      </c>
      <c r="F111" s="12"/>
      <c r="G111" s="12"/>
      <c r="H111" s="13" t="str">
        <f aca="false">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2"/>
      <c r="J111" s="12"/>
      <c r="K111" s="12"/>
      <c r="L111" s="12"/>
      <c r="M111" s="12" t="s">
        <v>72</v>
      </c>
      <c r="N111" s="5"/>
      <c r="O111" s="12"/>
      <c r="P111" s="5" t="s">
        <v>3527</v>
      </c>
      <c r="Q111" s="12" t="s">
        <v>478</v>
      </c>
      <c r="R111" s="12" t="s">
        <v>282</v>
      </c>
      <c r="S111" s="5" t="s">
        <v>3528</v>
      </c>
      <c r="T111" s="5" t="s">
        <v>3269</v>
      </c>
      <c r="U111" s="12" t="n">
        <v>5</v>
      </c>
      <c r="V111" s="12" t="n">
        <v>2</v>
      </c>
      <c r="W111" s="12" t="n">
        <v>1</v>
      </c>
      <c r="X111" s="12" t="n">
        <v>0</v>
      </c>
      <c r="Y111" s="12" t="n">
        <v>0</v>
      </c>
    </row>
    <row r="112" customFormat="false" ht="336.75" hidden="false" customHeight="true" outlineLevel="0" collapsed="false">
      <c r="A112" s="12" t="s">
        <v>3525</v>
      </c>
      <c r="B112" s="5" t="s">
        <v>3526</v>
      </c>
      <c r="C112" s="12" t="s">
        <v>3525</v>
      </c>
      <c r="D112" s="12" t="s">
        <v>160</v>
      </c>
      <c r="E112" s="5" t="s">
        <v>3529</v>
      </c>
      <c r="F112" s="14"/>
      <c r="G112" s="14"/>
      <c r="H112" s="14" t="s">
        <v>87</v>
      </c>
      <c r="I112" s="14"/>
      <c r="J112" s="14"/>
      <c r="K112" s="14"/>
      <c r="L112" s="15"/>
      <c r="M112" s="12" t="s">
        <v>72</v>
      </c>
      <c r="N112" s="5"/>
      <c r="O112" s="12"/>
      <c r="P112" s="5" t="s">
        <v>3527</v>
      </c>
      <c r="Q112" s="12" t="s">
        <v>478</v>
      </c>
      <c r="R112" s="12" t="s">
        <v>282</v>
      </c>
      <c r="S112" s="5" t="s">
        <v>3528</v>
      </c>
      <c r="T112" s="5" t="s">
        <v>3269</v>
      </c>
      <c r="U112" s="12" t="n">
        <v>5</v>
      </c>
      <c r="V112" s="12" t="n">
        <v>2</v>
      </c>
      <c r="W112" s="12" t="n">
        <v>1</v>
      </c>
      <c r="X112" s="12" t="n">
        <v>0</v>
      </c>
      <c r="Y112" s="12" t="n">
        <v>0</v>
      </c>
    </row>
    <row r="113" customFormat="false" ht="122.25" hidden="false" customHeight="true" outlineLevel="0" collapsed="false">
      <c r="A113" s="10" t="s">
        <v>3530</v>
      </c>
      <c r="B113" s="11" t="s">
        <v>3531</v>
      </c>
      <c r="C113" s="12"/>
      <c r="D113" s="12" t="s">
        <v>120</v>
      </c>
      <c r="E113" s="5" t="s">
        <v>79</v>
      </c>
      <c r="F113" s="12"/>
      <c r="G113" s="12"/>
      <c r="H113" s="13" t="str">
        <f aca="false">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2"/>
      <c r="J113" s="12"/>
      <c r="K113" s="12"/>
      <c r="L113" s="12"/>
      <c r="M113" s="12" t="s">
        <v>88</v>
      </c>
      <c r="N113" s="5" t="s">
        <v>3532</v>
      </c>
      <c r="O113" s="12" t="s">
        <v>2211</v>
      </c>
      <c r="P113" s="5" t="s">
        <v>3533</v>
      </c>
      <c r="Q113" s="12" t="s">
        <v>226</v>
      </c>
      <c r="R113" s="12" t="s">
        <v>282</v>
      </c>
      <c r="S113" s="5" t="s">
        <v>3534</v>
      </c>
      <c r="T113" s="5" t="s">
        <v>2386</v>
      </c>
      <c r="U113" s="12" t="n">
        <v>2</v>
      </c>
      <c r="V113" s="12" t="n">
        <v>2</v>
      </c>
      <c r="W113" s="12" t="n">
        <v>2</v>
      </c>
      <c r="X113" s="12" t="n">
        <v>1</v>
      </c>
      <c r="Y113" s="12" t="n">
        <v>0</v>
      </c>
    </row>
    <row r="114" customFormat="false" ht="122.25" hidden="false" customHeight="true" outlineLevel="0" collapsed="false">
      <c r="A114" s="12" t="s">
        <v>3530</v>
      </c>
      <c r="B114" s="5" t="s">
        <v>3531</v>
      </c>
      <c r="C114" s="12" t="s">
        <v>3530</v>
      </c>
      <c r="D114" s="12" t="s">
        <v>120</v>
      </c>
      <c r="E114" s="5" t="s">
        <v>3535</v>
      </c>
      <c r="F114" s="14"/>
      <c r="G114" s="14"/>
      <c r="H114" s="14" t="s">
        <v>87</v>
      </c>
      <c r="I114" s="14"/>
      <c r="J114" s="14"/>
      <c r="K114" s="14"/>
      <c r="L114" s="15"/>
      <c r="M114" s="12" t="s">
        <v>88</v>
      </c>
      <c r="N114" s="5" t="s">
        <v>3532</v>
      </c>
      <c r="O114" s="12" t="s">
        <v>2211</v>
      </c>
      <c r="P114" s="5" t="s">
        <v>3533</v>
      </c>
      <c r="Q114" s="12" t="s">
        <v>226</v>
      </c>
      <c r="R114" s="12" t="s">
        <v>282</v>
      </c>
      <c r="S114" s="5" t="s">
        <v>3534</v>
      </c>
      <c r="T114" s="5" t="s">
        <v>2386</v>
      </c>
      <c r="U114" s="12" t="n">
        <v>2</v>
      </c>
      <c r="V114" s="12" t="n">
        <v>2</v>
      </c>
      <c r="W114" s="12" t="n">
        <v>2</v>
      </c>
      <c r="X114" s="12" t="n">
        <v>1</v>
      </c>
      <c r="Y114" s="12" t="n">
        <v>0</v>
      </c>
    </row>
    <row r="115" customFormat="false" ht="122.25" hidden="false" customHeight="true" outlineLevel="0" collapsed="false">
      <c r="A115" s="10" t="s">
        <v>3536</v>
      </c>
      <c r="B115" s="11" t="s">
        <v>3537</v>
      </c>
      <c r="C115" s="12"/>
      <c r="D115" s="12" t="s">
        <v>120</v>
      </c>
      <c r="E115" s="5" t="s">
        <v>79</v>
      </c>
      <c r="F115" s="12"/>
      <c r="G115" s="12"/>
      <c r="H115" s="13" t="str">
        <f aca="false">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2"/>
      <c r="J115" s="12"/>
      <c r="K115" s="12"/>
      <c r="L115" s="12"/>
      <c r="M115" s="12" t="s">
        <v>88</v>
      </c>
      <c r="N115" s="5"/>
      <c r="O115" s="12"/>
      <c r="P115" s="5" t="s">
        <v>3533</v>
      </c>
      <c r="Q115" s="12" t="s">
        <v>226</v>
      </c>
      <c r="R115" s="12" t="s">
        <v>282</v>
      </c>
      <c r="S115" s="5" t="s">
        <v>3538</v>
      </c>
      <c r="T115" s="5" t="s">
        <v>2386</v>
      </c>
      <c r="U115" s="12" t="n">
        <v>2</v>
      </c>
      <c r="V115" s="12" t="n">
        <v>2</v>
      </c>
      <c r="W115" s="12" t="n">
        <v>2</v>
      </c>
      <c r="X115" s="12" t="n">
        <v>1</v>
      </c>
      <c r="Y115" s="12" t="n">
        <v>0</v>
      </c>
    </row>
    <row r="116" customFormat="false" ht="122.25" hidden="false" customHeight="true" outlineLevel="0" collapsed="false">
      <c r="A116" s="12" t="s">
        <v>3536</v>
      </c>
      <c r="B116" s="5" t="s">
        <v>3537</v>
      </c>
      <c r="C116" s="12" t="s">
        <v>3536</v>
      </c>
      <c r="D116" s="12" t="s">
        <v>120</v>
      </c>
      <c r="E116" s="5" t="s">
        <v>3539</v>
      </c>
      <c r="F116" s="14"/>
      <c r="G116" s="14"/>
      <c r="H116" s="14" t="s">
        <v>87</v>
      </c>
      <c r="I116" s="14"/>
      <c r="J116" s="14"/>
      <c r="K116" s="14"/>
      <c r="L116" s="15"/>
      <c r="M116" s="12" t="s">
        <v>88</v>
      </c>
      <c r="N116" s="5"/>
      <c r="O116" s="12"/>
      <c r="P116" s="5" t="s">
        <v>3533</v>
      </c>
      <c r="Q116" s="12" t="s">
        <v>226</v>
      </c>
      <c r="R116" s="12" t="s">
        <v>282</v>
      </c>
      <c r="S116" s="5" t="s">
        <v>3538</v>
      </c>
      <c r="T116" s="5" t="s">
        <v>2386</v>
      </c>
      <c r="U116" s="12" t="n">
        <v>2</v>
      </c>
      <c r="V116" s="12" t="n">
        <v>2</v>
      </c>
      <c r="W116" s="12" t="n">
        <v>2</v>
      </c>
      <c r="X116" s="12" t="n">
        <v>1</v>
      </c>
      <c r="Y116" s="12" t="n">
        <v>0</v>
      </c>
    </row>
    <row r="117" customFormat="false" ht="243" hidden="false" customHeight="true" outlineLevel="0" collapsed="false">
      <c r="A117" s="10" t="s">
        <v>3540</v>
      </c>
      <c r="B117" s="11" t="s">
        <v>3541</v>
      </c>
      <c r="C117" s="12"/>
      <c r="D117" s="12" t="s">
        <v>160</v>
      </c>
      <c r="E117" s="5" t="s">
        <v>79</v>
      </c>
      <c r="F117" s="12"/>
      <c r="G117" s="12"/>
      <c r="H117" s="13" t="str">
        <f aca="false">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2"/>
      <c r="J117" s="12"/>
      <c r="K117" s="12"/>
      <c r="L117" s="12"/>
      <c r="M117" s="12" t="s">
        <v>88</v>
      </c>
      <c r="N117" s="5"/>
      <c r="O117" s="12"/>
      <c r="P117" s="5" t="s">
        <v>3542</v>
      </c>
      <c r="Q117" s="12" t="s">
        <v>226</v>
      </c>
      <c r="R117" s="12" t="s">
        <v>282</v>
      </c>
      <c r="S117" s="5" t="s">
        <v>3541</v>
      </c>
      <c r="T117" s="5" t="s">
        <v>2386</v>
      </c>
      <c r="U117" s="12" t="n">
        <v>3</v>
      </c>
      <c r="V117" s="12" t="n">
        <v>2</v>
      </c>
      <c r="W117" s="12" t="n">
        <v>2</v>
      </c>
      <c r="X117" s="12" t="n">
        <v>1</v>
      </c>
      <c r="Y117" s="12" t="n">
        <v>0</v>
      </c>
    </row>
    <row r="118" customFormat="false" ht="243" hidden="false" customHeight="true" outlineLevel="0" collapsed="false">
      <c r="A118" s="12" t="s">
        <v>3540</v>
      </c>
      <c r="B118" s="5" t="s">
        <v>3541</v>
      </c>
      <c r="C118" s="12" t="s">
        <v>3540</v>
      </c>
      <c r="D118" s="12" t="s">
        <v>160</v>
      </c>
      <c r="E118" s="5" t="s">
        <v>3543</v>
      </c>
      <c r="F118" s="14"/>
      <c r="G118" s="14"/>
      <c r="H118" s="14" t="s">
        <v>87</v>
      </c>
      <c r="I118" s="14"/>
      <c r="J118" s="14"/>
      <c r="K118" s="14"/>
      <c r="L118" s="15"/>
      <c r="M118" s="12" t="s">
        <v>88</v>
      </c>
      <c r="N118" s="5"/>
      <c r="O118" s="12"/>
      <c r="P118" s="5" t="s">
        <v>3542</v>
      </c>
      <c r="Q118" s="12" t="s">
        <v>226</v>
      </c>
      <c r="R118" s="12" t="s">
        <v>282</v>
      </c>
      <c r="S118" s="5" t="s">
        <v>3541</v>
      </c>
      <c r="T118" s="5" t="s">
        <v>2386</v>
      </c>
      <c r="U118" s="12" t="n">
        <v>3</v>
      </c>
      <c r="V118" s="12" t="n">
        <v>2</v>
      </c>
      <c r="W118" s="12" t="n">
        <v>2</v>
      </c>
      <c r="X118" s="12" t="n">
        <v>1</v>
      </c>
      <c r="Y118" s="12" t="n">
        <v>0</v>
      </c>
    </row>
    <row r="119" customFormat="false" ht="309.75" hidden="false" customHeight="true" outlineLevel="0" collapsed="false">
      <c r="A119" s="10" t="s">
        <v>3544</v>
      </c>
      <c r="B119" s="11" t="s">
        <v>3545</v>
      </c>
      <c r="C119" s="12"/>
      <c r="D119" s="12" t="s">
        <v>160</v>
      </c>
      <c r="E119" s="5" t="s">
        <v>79</v>
      </c>
      <c r="F119" s="12"/>
      <c r="G119" s="12"/>
      <c r="H119" s="13" t="str">
        <f aca="false">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2"/>
      <c r="J119" s="12"/>
      <c r="K119" s="12"/>
      <c r="L119" s="12"/>
      <c r="M119" s="12" t="s">
        <v>88</v>
      </c>
      <c r="N119" s="5"/>
      <c r="O119" s="12"/>
      <c r="P119" s="5" t="s">
        <v>3546</v>
      </c>
      <c r="Q119" s="12" t="s">
        <v>226</v>
      </c>
      <c r="R119" s="12" t="s">
        <v>282</v>
      </c>
      <c r="S119" s="5" t="s">
        <v>3545</v>
      </c>
      <c r="T119" s="5" t="s">
        <v>2386</v>
      </c>
      <c r="U119" s="12" t="n">
        <v>5</v>
      </c>
      <c r="V119" s="12" t="n">
        <v>2</v>
      </c>
      <c r="W119" s="12" t="n">
        <v>2</v>
      </c>
      <c r="X119" s="12" t="n">
        <v>1</v>
      </c>
      <c r="Y119" s="12" t="n">
        <v>0</v>
      </c>
    </row>
    <row r="120" customFormat="false" ht="309.75" hidden="false" customHeight="true" outlineLevel="0" collapsed="false">
      <c r="A120" s="12" t="s">
        <v>3544</v>
      </c>
      <c r="B120" s="5" t="s">
        <v>3545</v>
      </c>
      <c r="C120" s="12" t="s">
        <v>3544</v>
      </c>
      <c r="D120" s="12" t="s">
        <v>160</v>
      </c>
      <c r="E120" s="5" t="s">
        <v>3547</v>
      </c>
      <c r="F120" s="14"/>
      <c r="G120" s="14"/>
      <c r="H120" s="14" t="s">
        <v>87</v>
      </c>
      <c r="I120" s="14"/>
      <c r="J120" s="14"/>
      <c r="K120" s="14"/>
      <c r="L120" s="15"/>
      <c r="M120" s="12" t="s">
        <v>88</v>
      </c>
      <c r="N120" s="5"/>
      <c r="O120" s="12"/>
      <c r="P120" s="5" t="s">
        <v>3546</v>
      </c>
      <c r="Q120" s="12" t="s">
        <v>226</v>
      </c>
      <c r="R120" s="12" t="s">
        <v>282</v>
      </c>
      <c r="S120" s="5" t="s">
        <v>3545</v>
      </c>
      <c r="T120" s="5" t="s">
        <v>2386</v>
      </c>
      <c r="U120" s="12" t="n">
        <v>5</v>
      </c>
      <c r="V120" s="12" t="n">
        <v>2</v>
      </c>
      <c r="W120" s="12" t="n">
        <v>2</v>
      </c>
      <c r="X120" s="12" t="n">
        <v>1</v>
      </c>
      <c r="Y120" s="12" t="n">
        <v>0</v>
      </c>
    </row>
    <row r="121" customFormat="false" ht="175.5" hidden="false" customHeight="true" outlineLevel="0" collapsed="false">
      <c r="A121" s="10" t="s">
        <v>3548</v>
      </c>
      <c r="B121" s="11" t="s">
        <v>3549</v>
      </c>
      <c r="C121" s="12"/>
      <c r="D121" s="12" t="s">
        <v>120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t="s">
        <v>3209</v>
      </c>
      <c r="N121" s="5"/>
      <c r="O121" s="12"/>
      <c r="P121" s="5" t="s">
        <v>3550</v>
      </c>
      <c r="Q121" s="12" t="s">
        <v>226</v>
      </c>
      <c r="R121" s="12" t="s">
        <v>282</v>
      </c>
      <c r="S121" s="5" t="s">
        <v>3551</v>
      </c>
      <c r="T121" s="5" t="s">
        <v>2266</v>
      </c>
      <c r="U121" s="12" t="n">
        <v>3</v>
      </c>
      <c r="V121" s="12" t="n">
        <v>2</v>
      </c>
      <c r="W121" s="12" t="n">
        <v>2</v>
      </c>
      <c r="X121" s="12" t="n">
        <v>2</v>
      </c>
      <c r="Y121" s="12" t="n">
        <v>0</v>
      </c>
    </row>
    <row r="122" customFormat="false" ht="175.5" hidden="false" customHeight="true" outlineLevel="0" collapsed="false">
      <c r="A122" s="12" t="s">
        <v>3548</v>
      </c>
      <c r="B122" s="5" t="s">
        <v>3549</v>
      </c>
      <c r="C122" s="12" t="s">
        <v>3548</v>
      </c>
      <c r="D122" s="12" t="s">
        <v>120</v>
      </c>
      <c r="E122" s="5" t="s">
        <v>3552</v>
      </c>
      <c r="F122" s="14"/>
      <c r="G122" s="14"/>
      <c r="H122" s="14" t="s">
        <v>87</v>
      </c>
      <c r="I122" s="14"/>
      <c r="J122" s="14"/>
      <c r="K122" s="14"/>
      <c r="L122" s="15"/>
      <c r="M122" s="12" t="s">
        <v>3209</v>
      </c>
      <c r="N122" s="5"/>
      <c r="O122" s="12"/>
      <c r="P122" s="5" t="s">
        <v>3550</v>
      </c>
      <c r="Q122" s="12" t="s">
        <v>226</v>
      </c>
      <c r="R122" s="12" t="s">
        <v>282</v>
      </c>
      <c r="S122" s="5" t="s">
        <v>3551</v>
      </c>
      <c r="T122" s="5" t="s">
        <v>2266</v>
      </c>
      <c r="U122" s="12" t="n">
        <v>3</v>
      </c>
      <c r="V122" s="12" t="n">
        <v>2</v>
      </c>
      <c r="W122" s="12" t="n">
        <v>2</v>
      </c>
      <c r="X122" s="12" t="n">
        <v>2</v>
      </c>
      <c r="Y122" s="12" t="n">
        <v>0</v>
      </c>
    </row>
    <row r="123" customFormat="false" ht="122.25" hidden="false" customHeight="true" outlineLevel="0" collapsed="false">
      <c r="A123" s="10" t="s">
        <v>3553</v>
      </c>
      <c r="B123" s="11" t="s">
        <v>3554</v>
      </c>
      <c r="C123" s="12"/>
      <c r="D123" s="12" t="s">
        <v>120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t="s">
        <v>3209</v>
      </c>
      <c r="N123" s="5"/>
      <c r="O123" s="12"/>
      <c r="P123" s="5" t="s">
        <v>3555</v>
      </c>
      <c r="Q123" s="12" t="s">
        <v>226</v>
      </c>
      <c r="R123" s="12" t="s">
        <v>282</v>
      </c>
      <c r="S123" s="5" t="s">
        <v>3556</v>
      </c>
      <c r="T123" s="5" t="s">
        <v>2266</v>
      </c>
      <c r="U123" s="12" t="n">
        <v>2</v>
      </c>
      <c r="V123" s="12" t="n">
        <v>2</v>
      </c>
      <c r="W123" s="12" t="n">
        <v>2</v>
      </c>
      <c r="X123" s="12" t="n">
        <v>2</v>
      </c>
      <c r="Y123" s="12" t="n">
        <v>0</v>
      </c>
    </row>
    <row r="124" customFormat="false" ht="122.25" hidden="false" customHeight="true" outlineLevel="0" collapsed="false">
      <c r="A124" s="12" t="s">
        <v>3553</v>
      </c>
      <c r="B124" s="5" t="s">
        <v>3554</v>
      </c>
      <c r="C124" s="12" t="s">
        <v>3553</v>
      </c>
      <c r="D124" s="12" t="s">
        <v>120</v>
      </c>
      <c r="E124" s="5" t="s">
        <v>3557</v>
      </c>
      <c r="F124" s="14"/>
      <c r="G124" s="14"/>
      <c r="H124" s="14" t="s">
        <v>87</v>
      </c>
      <c r="I124" s="14"/>
      <c r="J124" s="14"/>
      <c r="K124" s="14"/>
      <c r="L124" s="15"/>
      <c r="M124" s="12" t="s">
        <v>3209</v>
      </c>
      <c r="N124" s="5"/>
      <c r="O124" s="12"/>
      <c r="P124" s="5" t="s">
        <v>3555</v>
      </c>
      <c r="Q124" s="12" t="s">
        <v>226</v>
      </c>
      <c r="R124" s="12" t="s">
        <v>282</v>
      </c>
      <c r="S124" s="5" t="s">
        <v>3556</v>
      </c>
      <c r="T124" s="5" t="s">
        <v>2266</v>
      </c>
      <c r="U124" s="12" t="n">
        <v>2</v>
      </c>
      <c r="V124" s="12" t="n">
        <v>2</v>
      </c>
      <c r="W124" s="12" t="n">
        <v>2</v>
      </c>
      <c r="X124" s="12" t="n">
        <v>2</v>
      </c>
      <c r="Y124" s="12" t="n">
        <v>0</v>
      </c>
    </row>
    <row r="125" customFormat="false" ht="377.25" hidden="false" customHeight="true" outlineLevel="0" collapsed="false">
      <c r="A125" s="10" t="s">
        <v>3558</v>
      </c>
      <c r="B125" s="11" t="s">
        <v>3559</v>
      </c>
      <c r="C125" s="12"/>
      <c r="D125" s="12" t="s">
        <v>160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3209</v>
      </c>
      <c r="N125" s="5"/>
      <c r="O125" s="12"/>
      <c r="P125" s="5" t="s">
        <v>3560</v>
      </c>
      <c r="Q125" s="12" t="s">
        <v>226</v>
      </c>
      <c r="R125" s="12" t="s">
        <v>282</v>
      </c>
      <c r="S125" s="5" t="s">
        <v>3561</v>
      </c>
      <c r="T125" s="5" t="s">
        <v>2266</v>
      </c>
      <c r="U125" s="12" t="n">
        <v>5</v>
      </c>
      <c r="V125" s="12" t="n">
        <v>2</v>
      </c>
      <c r="W125" s="12" t="n">
        <v>2</v>
      </c>
      <c r="X125" s="12" t="n">
        <v>2</v>
      </c>
      <c r="Y125" s="12" t="n">
        <v>0</v>
      </c>
    </row>
    <row r="126" customFormat="false" ht="377.25" hidden="false" customHeight="true" outlineLevel="0" collapsed="false">
      <c r="A126" s="12" t="s">
        <v>3558</v>
      </c>
      <c r="B126" s="5" t="s">
        <v>3559</v>
      </c>
      <c r="C126" s="12" t="s">
        <v>3558</v>
      </c>
      <c r="D126" s="12" t="s">
        <v>160</v>
      </c>
      <c r="E126" s="5" t="s">
        <v>3562</v>
      </c>
      <c r="F126" s="14"/>
      <c r="G126" s="14"/>
      <c r="H126" s="14" t="s">
        <v>87</v>
      </c>
      <c r="I126" s="14"/>
      <c r="J126" s="14"/>
      <c r="K126" s="14"/>
      <c r="L126" s="15"/>
      <c r="M126" s="12" t="s">
        <v>3209</v>
      </c>
      <c r="N126" s="5"/>
      <c r="O126" s="12"/>
      <c r="P126" s="5" t="s">
        <v>3560</v>
      </c>
      <c r="Q126" s="12" t="s">
        <v>226</v>
      </c>
      <c r="R126" s="12" t="s">
        <v>282</v>
      </c>
      <c r="S126" s="5" t="s">
        <v>3561</v>
      </c>
      <c r="T126" s="5" t="s">
        <v>2266</v>
      </c>
      <c r="U126" s="12" t="n">
        <v>5</v>
      </c>
      <c r="V126" s="12" t="n">
        <v>2</v>
      </c>
      <c r="W126" s="12" t="n">
        <v>2</v>
      </c>
      <c r="X126" s="12" t="n">
        <v>2</v>
      </c>
      <c r="Y126" s="12" t="n">
        <v>0</v>
      </c>
    </row>
    <row r="127" customFormat="false" ht="54.75" hidden="false" customHeight="true" outlineLevel="0" collapsed="false">
      <c r="A127" s="10" t="s">
        <v>3563</v>
      </c>
      <c r="B127" s="11" t="s">
        <v>3564</v>
      </c>
      <c r="C127" s="12"/>
      <c r="D127" s="12" t="s">
        <v>160</v>
      </c>
      <c r="E127" s="5" t="s">
        <v>79</v>
      </c>
      <c r="F127" s="12"/>
      <c r="G127" s="12"/>
      <c r="H127" s="13" t="str">
        <f aca="false">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2"/>
      <c r="J127" s="12"/>
      <c r="K127" s="12"/>
      <c r="L127" s="12"/>
      <c r="M127" s="12" t="s">
        <v>3209</v>
      </c>
      <c r="N127" s="5"/>
      <c r="O127" s="12"/>
      <c r="P127" s="5" t="s">
        <v>3565</v>
      </c>
      <c r="Q127" s="12" t="s">
        <v>226</v>
      </c>
      <c r="R127" s="12" t="s">
        <v>282</v>
      </c>
      <c r="S127" s="5" t="s">
        <v>3566</v>
      </c>
      <c r="T127" s="5" t="s">
        <v>2266</v>
      </c>
      <c r="U127" s="12" t="n">
        <v>5</v>
      </c>
      <c r="V127" s="12" t="n">
        <v>2</v>
      </c>
      <c r="W127" s="12" t="n">
        <v>2</v>
      </c>
      <c r="X127" s="12" t="n">
        <v>2</v>
      </c>
      <c r="Y127" s="12" t="n">
        <v>0</v>
      </c>
    </row>
    <row r="128" customFormat="false" ht="54.75" hidden="false" customHeight="true" outlineLevel="0" collapsed="false">
      <c r="A128" s="12" t="s">
        <v>3563</v>
      </c>
      <c r="B128" s="5" t="s">
        <v>3564</v>
      </c>
      <c r="C128" s="12" t="s">
        <v>3563</v>
      </c>
      <c r="D128" s="12" t="s">
        <v>160</v>
      </c>
      <c r="E128" s="5" t="s">
        <v>3567</v>
      </c>
      <c r="F128" s="14"/>
      <c r="G128" s="14"/>
      <c r="H128" s="14" t="s">
        <v>87</v>
      </c>
      <c r="I128" s="14"/>
      <c r="J128" s="14"/>
      <c r="K128" s="14"/>
      <c r="L128" s="15"/>
      <c r="M128" s="12" t="s">
        <v>3209</v>
      </c>
      <c r="N128" s="5"/>
      <c r="O128" s="12"/>
      <c r="P128" s="5" t="s">
        <v>3565</v>
      </c>
      <c r="Q128" s="12" t="s">
        <v>226</v>
      </c>
      <c r="R128" s="12" t="s">
        <v>282</v>
      </c>
      <c r="S128" s="5" t="s">
        <v>3566</v>
      </c>
      <c r="T128" s="5" t="s">
        <v>2266</v>
      </c>
      <c r="U128" s="12" t="n">
        <v>5</v>
      </c>
      <c r="V128" s="12" t="n">
        <v>2</v>
      </c>
      <c r="W128" s="12" t="n">
        <v>2</v>
      </c>
      <c r="X128" s="12" t="n">
        <v>2</v>
      </c>
      <c r="Y128" s="12" t="n">
        <v>0</v>
      </c>
    </row>
    <row r="129" customFormat="false" ht="68.25" hidden="false" customHeight="true" outlineLevel="0" collapsed="false">
      <c r="A129" s="10" t="s">
        <v>3568</v>
      </c>
      <c r="B129" s="11" t="s">
        <v>3569</v>
      </c>
      <c r="C129" s="12"/>
      <c r="D129" s="12" t="s">
        <v>120</v>
      </c>
      <c r="E129" s="5" t="s">
        <v>79</v>
      </c>
      <c r="F129" s="12"/>
      <c r="G129" s="12"/>
      <c r="H129" s="13" t="str">
        <f aca="false">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2"/>
      <c r="J129" s="12"/>
      <c r="K129" s="12"/>
      <c r="L129" s="12"/>
      <c r="M129" s="12" t="s">
        <v>3209</v>
      </c>
      <c r="N129" s="5" t="s">
        <v>3570</v>
      </c>
      <c r="O129" s="12" t="s">
        <v>524</v>
      </c>
      <c r="P129" s="5" t="s">
        <v>3571</v>
      </c>
      <c r="Q129" s="12" t="s">
        <v>226</v>
      </c>
      <c r="R129" s="12" t="s">
        <v>282</v>
      </c>
      <c r="S129" s="5" t="s">
        <v>3572</v>
      </c>
      <c r="T129" s="5" t="s">
        <v>3573</v>
      </c>
      <c r="U129" s="12" t="n">
        <v>2</v>
      </c>
      <c r="V129" s="12" t="n">
        <v>2</v>
      </c>
      <c r="W129" s="12" t="n">
        <v>2</v>
      </c>
      <c r="X129" s="12" t="n">
        <v>2</v>
      </c>
      <c r="Y129" s="12" t="n">
        <v>1</v>
      </c>
    </row>
    <row r="130" customFormat="false" ht="68.25" hidden="false" customHeight="true" outlineLevel="0" collapsed="false">
      <c r="A130" s="12" t="s">
        <v>3568</v>
      </c>
      <c r="B130" s="5" t="s">
        <v>3569</v>
      </c>
      <c r="C130" s="12" t="s">
        <v>3568</v>
      </c>
      <c r="D130" s="12" t="s">
        <v>120</v>
      </c>
      <c r="E130" s="5" t="s">
        <v>3574</v>
      </c>
      <c r="F130" s="14"/>
      <c r="G130" s="14"/>
      <c r="H130" s="14" t="s">
        <v>87</v>
      </c>
      <c r="I130" s="14"/>
      <c r="J130" s="14"/>
      <c r="K130" s="14"/>
      <c r="L130" s="15"/>
      <c r="M130" s="12" t="s">
        <v>3209</v>
      </c>
      <c r="N130" s="5" t="s">
        <v>3570</v>
      </c>
      <c r="O130" s="12" t="s">
        <v>524</v>
      </c>
      <c r="P130" s="5" t="s">
        <v>3571</v>
      </c>
      <c r="Q130" s="12" t="s">
        <v>226</v>
      </c>
      <c r="R130" s="12" t="s">
        <v>282</v>
      </c>
      <c r="S130" s="5" t="s">
        <v>3572</v>
      </c>
      <c r="T130" s="5" t="s">
        <v>3573</v>
      </c>
      <c r="U130" s="12" t="n">
        <v>2</v>
      </c>
      <c r="V130" s="12" t="n">
        <v>2</v>
      </c>
      <c r="W130" s="12" t="n">
        <v>2</v>
      </c>
      <c r="X130" s="12" t="n">
        <v>2</v>
      </c>
      <c r="Y130" s="12" t="n">
        <v>1</v>
      </c>
    </row>
    <row r="131" customFormat="false" ht="390.75" hidden="false" customHeight="true" outlineLevel="0" collapsed="false">
      <c r="A131" s="10" t="s">
        <v>3575</v>
      </c>
      <c r="B131" s="11" t="s">
        <v>3576</v>
      </c>
      <c r="C131" s="12"/>
      <c r="D131" s="12" t="s">
        <v>120</v>
      </c>
      <c r="E131" s="5" t="s">
        <v>79</v>
      </c>
      <c r="F131" s="12"/>
      <c r="G131" s="12"/>
      <c r="H131" s="13" t="str">
        <f aca="false">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2"/>
      <c r="J131" s="12"/>
      <c r="K131" s="12"/>
      <c r="L131" s="12"/>
      <c r="M131" s="12" t="s">
        <v>3209</v>
      </c>
      <c r="N131" s="5"/>
      <c r="O131" s="12"/>
      <c r="P131" s="5" t="s">
        <v>3577</v>
      </c>
      <c r="Q131" s="12" t="s">
        <v>226</v>
      </c>
      <c r="R131" s="12" t="s">
        <v>282</v>
      </c>
      <c r="S131" s="5" t="s">
        <v>3578</v>
      </c>
      <c r="T131" s="5" t="s">
        <v>3579</v>
      </c>
      <c r="U131" s="12" t="n">
        <v>4</v>
      </c>
      <c r="V131" s="12" t="n">
        <v>2</v>
      </c>
      <c r="W131" s="12" t="n">
        <v>2</v>
      </c>
      <c r="X131" s="12" t="n">
        <v>2</v>
      </c>
      <c r="Y131" s="12" t="n">
        <v>1</v>
      </c>
    </row>
    <row r="132" customFormat="false" ht="390.75" hidden="false" customHeight="true" outlineLevel="0" collapsed="false">
      <c r="A132" s="12" t="s">
        <v>3575</v>
      </c>
      <c r="B132" s="5" t="s">
        <v>3576</v>
      </c>
      <c r="C132" s="12" t="s">
        <v>3575</v>
      </c>
      <c r="D132" s="12" t="s">
        <v>120</v>
      </c>
      <c r="E132" s="5" t="s">
        <v>3580</v>
      </c>
      <c r="F132" s="14"/>
      <c r="G132" s="14"/>
      <c r="H132" s="14" t="s">
        <v>87</v>
      </c>
      <c r="I132" s="14"/>
      <c r="J132" s="14"/>
      <c r="K132" s="14"/>
      <c r="L132" s="15"/>
      <c r="M132" s="12" t="s">
        <v>3209</v>
      </c>
      <c r="N132" s="5"/>
      <c r="O132" s="12"/>
      <c r="P132" s="5" t="s">
        <v>3577</v>
      </c>
      <c r="Q132" s="12" t="s">
        <v>226</v>
      </c>
      <c r="R132" s="12" t="s">
        <v>282</v>
      </c>
      <c r="S132" s="5" t="s">
        <v>3578</v>
      </c>
      <c r="T132" s="5" t="s">
        <v>3579</v>
      </c>
      <c r="U132" s="12" t="n">
        <v>4</v>
      </c>
      <c r="V132" s="12" t="n">
        <v>2</v>
      </c>
      <c r="W132" s="12" t="n">
        <v>2</v>
      </c>
      <c r="X132" s="12" t="n">
        <v>2</v>
      </c>
      <c r="Y132" s="12" t="n">
        <v>1</v>
      </c>
    </row>
    <row r="133" customFormat="false" ht="229.5" hidden="false" customHeight="true" outlineLevel="0" collapsed="false">
      <c r="A133" s="10" t="s">
        <v>3581</v>
      </c>
      <c r="B133" s="11" t="s">
        <v>3582</v>
      </c>
      <c r="C133" s="12"/>
      <c r="D133" s="12" t="s">
        <v>160</v>
      </c>
      <c r="E133" s="5" t="s">
        <v>79</v>
      </c>
      <c r="F133" s="12"/>
      <c r="G133" s="12"/>
      <c r="H133" s="13" t="str">
        <f aca="false">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2"/>
      <c r="J133" s="12"/>
      <c r="K133" s="12"/>
      <c r="L133" s="12"/>
      <c r="M133" s="12" t="s">
        <v>3209</v>
      </c>
      <c r="N133" s="5"/>
      <c r="O133" s="12"/>
      <c r="P133" s="5" t="s">
        <v>3583</v>
      </c>
      <c r="Q133" s="12" t="s">
        <v>226</v>
      </c>
      <c r="R133" s="12" t="s">
        <v>282</v>
      </c>
      <c r="S133" s="5" t="s">
        <v>3584</v>
      </c>
      <c r="T133" s="5" t="s">
        <v>3579</v>
      </c>
      <c r="U133" s="12" t="n">
        <v>5</v>
      </c>
      <c r="V133" s="12" t="n">
        <v>2</v>
      </c>
      <c r="W133" s="12" t="n">
        <v>2</v>
      </c>
      <c r="X133" s="12" t="n">
        <v>2</v>
      </c>
      <c r="Y133" s="12" t="n">
        <v>1</v>
      </c>
    </row>
    <row r="134" customFormat="false" ht="229.5" hidden="false" customHeight="true" outlineLevel="0" collapsed="false">
      <c r="A134" s="12" t="s">
        <v>3581</v>
      </c>
      <c r="B134" s="5" t="s">
        <v>3582</v>
      </c>
      <c r="C134" s="12" t="s">
        <v>3581</v>
      </c>
      <c r="D134" s="12" t="s">
        <v>160</v>
      </c>
      <c r="E134" s="5" t="s">
        <v>3585</v>
      </c>
      <c r="F134" s="14"/>
      <c r="G134" s="14"/>
      <c r="H134" s="14" t="s">
        <v>87</v>
      </c>
      <c r="I134" s="14"/>
      <c r="J134" s="14"/>
      <c r="K134" s="14"/>
      <c r="L134" s="15"/>
      <c r="M134" s="12" t="s">
        <v>3209</v>
      </c>
      <c r="N134" s="5"/>
      <c r="O134" s="12"/>
      <c r="P134" s="5" t="s">
        <v>3583</v>
      </c>
      <c r="Q134" s="12" t="s">
        <v>226</v>
      </c>
      <c r="R134" s="12" t="s">
        <v>282</v>
      </c>
      <c r="S134" s="5" t="s">
        <v>3584</v>
      </c>
      <c r="T134" s="5" t="s">
        <v>3579</v>
      </c>
      <c r="U134" s="12" t="n">
        <v>5</v>
      </c>
      <c r="V134" s="12" t="n">
        <v>2</v>
      </c>
      <c r="W134" s="12" t="n">
        <v>2</v>
      </c>
      <c r="X134" s="12" t="n">
        <v>2</v>
      </c>
      <c r="Y134" s="12" t="n">
        <v>1</v>
      </c>
    </row>
    <row r="135" customFormat="false" ht="95.25" hidden="false" customHeight="true" outlineLevel="0" collapsed="false">
      <c r="A135" s="10" t="s">
        <v>3586</v>
      </c>
      <c r="B135" s="11" t="s">
        <v>3587</v>
      </c>
      <c r="C135" s="12"/>
      <c r="D135" s="12" t="s">
        <v>160</v>
      </c>
      <c r="E135" s="5" t="s">
        <v>79</v>
      </c>
      <c r="F135" s="12"/>
      <c r="G135" s="12"/>
      <c r="H135" s="13" t="str">
        <f aca="false">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2"/>
      <c r="J135" s="12"/>
      <c r="K135" s="12"/>
      <c r="L135" s="12"/>
      <c r="M135" s="12" t="s">
        <v>3209</v>
      </c>
      <c r="N135" s="5" t="s">
        <v>3588</v>
      </c>
      <c r="O135" s="12" t="s">
        <v>524</v>
      </c>
      <c r="P135" s="5" t="s">
        <v>3589</v>
      </c>
      <c r="Q135" s="12" t="s">
        <v>226</v>
      </c>
      <c r="R135" s="12" t="s">
        <v>282</v>
      </c>
      <c r="S135" s="5" t="s">
        <v>3590</v>
      </c>
      <c r="T135" s="5" t="s">
        <v>3579</v>
      </c>
      <c r="U135" s="12" t="n">
        <v>5</v>
      </c>
      <c r="V135" s="12" t="n">
        <v>2</v>
      </c>
      <c r="W135" s="12" t="n">
        <v>2</v>
      </c>
      <c r="X135" s="12" t="n">
        <v>2</v>
      </c>
      <c r="Y135" s="12" t="n">
        <v>1</v>
      </c>
    </row>
    <row r="136" customFormat="false" ht="95.25" hidden="false" customHeight="true" outlineLevel="0" collapsed="false">
      <c r="A136" s="12" t="s">
        <v>3586</v>
      </c>
      <c r="B136" s="5" t="s">
        <v>3587</v>
      </c>
      <c r="C136" s="12" t="s">
        <v>3586</v>
      </c>
      <c r="D136" s="12" t="s">
        <v>160</v>
      </c>
      <c r="E136" s="5" t="s">
        <v>3591</v>
      </c>
      <c r="F136" s="14"/>
      <c r="G136" s="14"/>
      <c r="H136" s="14" t="s">
        <v>87</v>
      </c>
      <c r="I136" s="14"/>
      <c r="J136" s="14"/>
      <c r="K136" s="14"/>
      <c r="L136" s="15"/>
      <c r="M136" s="12" t="s">
        <v>3209</v>
      </c>
      <c r="N136" s="5" t="s">
        <v>3588</v>
      </c>
      <c r="O136" s="12" t="s">
        <v>524</v>
      </c>
      <c r="P136" s="5" t="s">
        <v>3589</v>
      </c>
      <c r="Q136" s="12" t="s">
        <v>226</v>
      </c>
      <c r="R136" s="12" t="s">
        <v>282</v>
      </c>
      <c r="S136" s="5" t="s">
        <v>3590</v>
      </c>
      <c r="T136" s="5" t="s">
        <v>3579</v>
      </c>
      <c r="U136" s="12" t="n">
        <v>5</v>
      </c>
      <c r="V136" s="12" t="n">
        <v>2</v>
      </c>
      <c r="W136" s="12" t="n">
        <v>2</v>
      </c>
      <c r="X136" s="12" t="n">
        <v>2</v>
      </c>
      <c r="Y136" s="12" t="n">
        <v>1</v>
      </c>
    </row>
    <row r="137" customFormat="false" ht="202.5" hidden="false" customHeight="true" outlineLevel="0" collapsed="false">
      <c r="A137" s="10" t="s">
        <v>3592</v>
      </c>
      <c r="B137" s="11" t="s">
        <v>3593</v>
      </c>
      <c r="C137" s="12"/>
      <c r="D137" s="12" t="s">
        <v>160</v>
      </c>
      <c r="E137" s="5" t="s">
        <v>79</v>
      </c>
      <c r="F137" s="12"/>
      <c r="G137" s="12"/>
      <c r="H137" s="13" t="str">
        <f aca="false">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2"/>
      <c r="J137" s="12"/>
      <c r="K137" s="12"/>
      <c r="L137" s="12"/>
      <c r="M137" s="12" t="s">
        <v>3209</v>
      </c>
      <c r="N137" s="5"/>
      <c r="O137" s="12"/>
      <c r="P137" s="5" t="s">
        <v>3594</v>
      </c>
      <c r="Q137" s="12" t="s">
        <v>226</v>
      </c>
      <c r="R137" s="12" t="s">
        <v>282</v>
      </c>
      <c r="S137" s="5" t="s">
        <v>3595</v>
      </c>
      <c r="T137" s="5" t="s">
        <v>3579</v>
      </c>
      <c r="U137" s="12" t="n">
        <v>5</v>
      </c>
      <c r="V137" s="12" t="n">
        <v>2</v>
      </c>
      <c r="W137" s="12" t="n">
        <v>2</v>
      </c>
      <c r="X137" s="12" t="n">
        <v>2</v>
      </c>
      <c r="Y137" s="12" t="n">
        <v>1</v>
      </c>
    </row>
    <row r="138" customFormat="false" ht="202.5" hidden="false" customHeight="true" outlineLevel="0" collapsed="false">
      <c r="A138" s="12" t="s">
        <v>3592</v>
      </c>
      <c r="B138" s="5" t="s">
        <v>3593</v>
      </c>
      <c r="C138" s="12" t="s">
        <v>3592</v>
      </c>
      <c r="D138" s="12" t="s">
        <v>160</v>
      </c>
      <c r="E138" s="5" t="s">
        <v>3596</v>
      </c>
      <c r="F138" s="14"/>
      <c r="G138" s="14"/>
      <c r="H138" s="14" t="s">
        <v>87</v>
      </c>
      <c r="I138" s="14"/>
      <c r="J138" s="14"/>
      <c r="K138" s="14"/>
      <c r="L138" s="15"/>
      <c r="M138" s="12" t="s">
        <v>3209</v>
      </c>
      <c r="N138" s="5"/>
      <c r="O138" s="12"/>
      <c r="P138" s="5" t="s">
        <v>3594</v>
      </c>
      <c r="Q138" s="12" t="s">
        <v>226</v>
      </c>
      <c r="R138" s="12" t="s">
        <v>282</v>
      </c>
      <c r="S138" s="5" t="s">
        <v>3595</v>
      </c>
      <c r="T138" s="5" t="s">
        <v>3579</v>
      </c>
      <c r="U138" s="12" t="n">
        <v>5</v>
      </c>
      <c r="V138" s="12" t="n">
        <v>2</v>
      </c>
      <c r="W138" s="12" t="n">
        <v>2</v>
      </c>
      <c r="X138" s="12" t="n">
        <v>2</v>
      </c>
      <c r="Y138" s="12" t="n">
        <v>1</v>
      </c>
    </row>
    <row r="139" customFormat="false" ht="54.75" hidden="false" customHeight="true" outlineLevel="0" collapsed="false">
      <c r="A139" s="10" t="s">
        <v>3597</v>
      </c>
      <c r="B139" s="11" t="s">
        <v>3598</v>
      </c>
      <c r="C139" s="12"/>
      <c r="D139" s="12" t="s">
        <v>120</v>
      </c>
      <c r="E139" s="5" t="s">
        <v>79</v>
      </c>
      <c r="F139" s="12"/>
      <c r="G139" s="12"/>
      <c r="H139" s="13" t="str">
        <f aca="false">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2"/>
      <c r="J139" s="12"/>
      <c r="K139" s="12"/>
      <c r="L139" s="12"/>
      <c r="M139" s="12" t="s">
        <v>3209</v>
      </c>
      <c r="N139" s="5"/>
      <c r="O139" s="12"/>
      <c r="P139" s="5" t="s">
        <v>3599</v>
      </c>
      <c r="Q139" s="12" t="s">
        <v>226</v>
      </c>
      <c r="R139" s="12" t="s">
        <v>282</v>
      </c>
      <c r="S139" s="5" t="s">
        <v>3598</v>
      </c>
      <c r="T139" s="5" t="s">
        <v>3600</v>
      </c>
      <c r="U139" s="12" t="n">
        <v>4</v>
      </c>
      <c r="V139" s="12" t="n">
        <v>2</v>
      </c>
      <c r="W139" s="12" t="n">
        <v>2</v>
      </c>
      <c r="X139" s="12" t="n">
        <v>2</v>
      </c>
      <c r="Y139" s="12" t="n">
        <v>1</v>
      </c>
    </row>
    <row r="140" customFormat="false" ht="54.75" hidden="false" customHeight="true" outlineLevel="0" collapsed="false">
      <c r="A140" s="12" t="s">
        <v>3597</v>
      </c>
      <c r="B140" s="5" t="s">
        <v>3598</v>
      </c>
      <c r="C140" s="12" t="s">
        <v>3597</v>
      </c>
      <c r="D140" s="12" t="s">
        <v>120</v>
      </c>
      <c r="E140" s="5" t="s">
        <v>3601</v>
      </c>
      <c r="F140" s="14"/>
      <c r="G140" s="14"/>
      <c r="H140" s="14" t="s">
        <v>87</v>
      </c>
      <c r="I140" s="14"/>
      <c r="J140" s="14"/>
      <c r="K140" s="14"/>
      <c r="L140" s="15"/>
      <c r="M140" s="12" t="s">
        <v>3209</v>
      </c>
      <c r="N140" s="5"/>
      <c r="O140" s="12"/>
      <c r="P140" s="5" t="s">
        <v>3599</v>
      </c>
      <c r="Q140" s="12" t="s">
        <v>226</v>
      </c>
      <c r="R140" s="12" t="s">
        <v>282</v>
      </c>
      <c r="S140" s="5" t="s">
        <v>3598</v>
      </c>
      <c r="T140" s="5" t="s">
        <v>3600</v>
      </c>
      <c r="U140" s="12" t="n">
        <v>4</v>
      </c>
      <c r="V140" s="12" t="n">
        <v>2</v>
      </c>
      <c r="W140" s="12" t="n">
        <v>2</v>
      </c>
      <c r="X140" s="12" t="n">
        <v>2</v>
      </c>
      <c r="Y140" s="12" t="n">
        <v>1</v>
      </c>
    </row>
    <row r="141" customFormat="false" ht="95.25" hidden="false" customHeight="true" outlineLevel="0" collapsed="false">
      <c r="A141" s="10" t="s">
        <v>3602</v>
      </c>
      <c r="B141" s="11" t="s">
        <v>3603</v>
      </c>
      <c r="C141" s="12"/>
      <c r="D141" s="12" t="s">
        <v>120</v>
      </c>
      <c r="E141" s="5" t="s">
        <v>79</v>
      </c>
      <c r="F141" s="12"/>
      <c r="G141" s="12"/>
      <c r="H141" s="13" t="str">
        <f aca="false">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2"/>
      <c r="J141" s="12"/>
      <c r="K141" s="12"/>
      <c r="L141" s="12"/>
      <c r="M141" s="12" t="s">
        <v>88</v>
      </c>
      <c r="N141" s="5" t="s">
        <v>3604</v>
      </c>
      <c r="O141" s="12" t="s">
        <v>1169</v>
      </c>
      <c r="P141" s="5" t="s">
        <v>3605</v>
      </c>
      <c r="Q141" s="12" t="s">
        <v>226</v>
      </c>
      <c r="R141" s="12" t="s">
        <v>282</v>
      </c>
      <c r="S141" s="5" t="s">
        <v>3606</v>
      </c>
      <c r="T141" s="5" t="s">
        <v>3607</v>
      </c>
      <c r="U141" s="12" t="n">
        <v>2</v>
      </c>
      <c r="V141" s="12" t="n">
        <v>2</v>
      </c>
      <c r="W141" s="12" t="n">
        <v>2</v>
      </c>
      <c r="X141" s="12" t="n">
        <v>1</v>
      </c>
      <c r="Y141" s="12" t="n">
        <v>0</v>
      </c>
    </row>
    <row r="142" customFormat="false" ht="95.25" hidden="false" customHeight="true" outlineLevel="0" collapsed="false">
      <c r="A142" s="12" t="s">
        <v>3602</v>
      </c>
      <c r="B142" s="5" t="s">
        <v>3603</v>
      </c>
      <c r="C142" s="12" t="s">
        <v>3602</v>
      </c>
      <c r="D142" s="12" t="s">
        <v>120</v>
      </c>
      <c r="E142" s="5" t="s">
        <v>3608</v>
      </c>
      <c r="F142" s="14"/>
      <c r="G142" s="14"/>
      <c r="H142" s="14" t="s">
        <v>87</v>
      </c>
      <c r="I142" s="14"/>
      <c r="J142" s="14"/>
      <c r="K142" s="14"/>
      <c r="L142" s="15"/>
      <c r="M142" s="12" t="s">
        <v>88</v>
      </c>
      <c r="N142" s="5" t="s">
        <v>3604</v>
      </c>
      <c r="O142" s="12" t="s">
        <v>1169</v>
      </c>
      <c r="P142" s="5" t="s">
        <v>3605</v>
      </c>
      <c r="Q142" s="12" t="s">
        <v>226</v>
      </c>
      <c r="R142" s="12" t="s">
        <v>282</v>
      </c>
      <c r="S142" s="5" t="s">
        <v>3606</v>
      </c>
      <c r="T142" s="5" t="s">
        <v>3607</v>
      </c>
      <c r="U142" s="12" t="n">
        <v>2</v>
      </c>
      <c r="V142" s="12" t="n">
        <v>2</v>
      </c>
      <c r="W142" s="12" t="n">
        <v>2</v>
      </c>
      <c r="X142" s="12" t="n">
        <v>1</v>
      </c>
      <c r="Y142" s="12" t="n">
        <v>0</v>
      </c>
    </row>
    <row r="143" customFormat="false" ht="81.75" hidden="false" customHeight="true" outlineLevel="0" collapsed="false">
      <c r="A143" s="10" t="s">
        <v>3609</v>
      </c>
      <c r="B143" s="11" t="s">
        <v>3610</v>
      </c>
      <c r="C143" s="12"/>
      <c r="D143" s="12" t="s">
        <v>120</v>
      </c>
      <c r="E143" s="5" t="s">
        <v>79</v>
      </c>
      <c r="F143" s="12"/>
      <c r="G143" s="12"/>
      <c r="H143" s="13" t="str">
        <f aca="false">IF(OR(COUNTBLANK($H$144:$H$145)&gt;0,COUNTIF($H$144:$H$145,"unbearbeitet")=COUNTA($H$144:$H$145)),"Bitte Teilanforderungen ausfüllen",IF(COUNTIF($H$144:$H$145,"zu klären")&gt;0,"zu klären",IF(COUNTIF($H$144:$H$145,"entbehrlich")=COUNTA($H$144:$H$145),"entbehrlich",IF(COUNTIF($H$144:$H$145,"verwiesen")=COUNTA($H$144:$H$145),"verwiesen",IF(COUNTIF($H$144:$H$145,"nein")+COUNTIF($H$144:$H$145,"entbehrlich")=COUNTA($H$144:$H$145),"nein",IF(COUNTIF($H$144:$H$145,"ja")+COUNTIF($H$144:$H$145,"entbehrlich")+COUNTIF($H$144:$H$145,"verwiesen")=COUNTA($H$144:$H$145),"ja","teilweise"))))))</f>
        <v>Bitte Teilanforderungen ausfüllen</v>
      </c>
      <c r="I143" s="12"/>
      <c r="J143" s="12"/>
      <c r="K143" s="12"/>
      <c r="L143" s="12"/>
      <c r="M143" s="12" t="s">
        <v>88</v>
      </c>
      <c r="N143" s="5"/>
      <c r="O143" s="12"/>
      <c r="P143" s="5" t="s">
        <v>3611</v>
      </c>
      <c r="Q143" s="12" t="s">
        <v>226</v>
      </c>
      <c r="R143" s="12" t="s">
        <v>282</v>
      </c>
      <c r="S143" s="5" t="s">
        <v>3612</v>
      </c>
      <c r="T143" s="5" t="s">
        <v>2272</v>
      </c>
      <c r="U143" s="12" t="n">
        <v>3</v>
      </c>
      <c r="V143" s="12" t="n">
        <v>2</v>
      </c>
      <c r="W143" s="12" t="n">
        <v>2</v>
      </c>
      <c r="X143" s="12" t="n">
        <v>1</v>
      </c>
      <c r="Y143" s="12" t="n">
        <v>0</v>
      </c>
    </row>
    <row r="144" customFormat="false" ht="81.75" hidden="false" customHeight="true" outlineLevel="0" collapsed="false">
      <c r="A144" s="12" t="s">
        <v>3609</v>
      </c>
      <c r="B144" s="5" t="s">
        <v>3610</v>
      </c>
      <c r="C144" s="12" t="s">
        <v>3609</v>
      </c>
      <c r="D144" s="12" t="s">
        <v>120</v>
      </c>
      <c r="E144" s="5" t="s">
        <v>3613</v>
      </c>
      <c r="F144" s="14"/>
      <c r="G144" s="14"/>
      <c r="H144" s="14" t="s">
        <v>87</v>
      </c>
      <c r="I144" s="14"/>
      <c r="J144" s="14"/>
      <c r="K144" s="14"/>
      <c r="L144" s="15"/>
      <c r="M144" s="12" t="s">
        <v>88</v>
      </c>
      <c r="N144" s="5"/>
      <c r="O144" s="12"/>
      <c r="P144" s="5" t="s">
        <v>3611</v>
      </c>
      <c r="Q144" s="12" t="s">
        <v>226</v>
      </c>
      <c r="R144" s="12" t="s">
        <v>282</v>
      </c>
      <c r="S144" s="5" t="s">
        <v>3612</v>
      </c>
      <c r="T144" s="5" t="s">
        <v>2272</v>
      </c>
      <c r="U144" s="12" t="n">
        <v>3</v>
      </c>
      <c r="V144" s="12" t="n">
        <v>2</v>
      </c>
      <c r="W144" s="12" t="n">
        <v>2</v>
      </c>
      <c r="X144" s="12" t="n">
        <v>1</v>
      </c>
      <c r="Y144" s="12" t="n">
        <v>0</v>
      </c>
    </row>
    <row r="145" customFormat="false" ht="122.25" hidden="false" customHeight="true" outlineLevel="0" collapsed="false">
      <c r="A145" s="12" t="s">
        <v>3609</v>
      </c>
      <c r="B145" s="5" t="s">
        <v>3610</v>
      </c>
      <c r="C145" s="12" t="s">
        <v>3614</v>
      </c>
      <c r="D145" s="12" t="s">
        <v>120</v>
      </c>
      <c r="E145" s="5" t="s">
        <v>3615</v>
      </c>
      <c r="F145" s="14"/>
      <c r="G145" s="14"/>
      <c r="H145" s="14" t="s">
        <v>87</v>
      </c>
      <c r="I145" s="14"/>
      <c r="J145" s="14"/>
      <c r="K145" s="14"/>
      <c r="L145" s="15"/>
      <c r="M145" s="12" t="s">
        <v>88</v>
      </c>
      <c r="N145" s="5"/>
      <c r="O145" s="12"/>
      <c r="P145" s="5" t="s">
        <v>3616</v>
      </c>
      <c r="Q145" s="12" t="s">
        <v>226</v>
      </c>
      <c r="R145" s="12" t="s">
        <v>282</v>
      </c>
      <c r="S145" s="5" t="s">
        <v>3617</v>
      </c>
      <c r="T145" s="5" t="s">
        <v>2272</v>
      </c>
      <c r="U145" s="12" t="n">
        <v>3</v>
      </c>
      <c r="V145" s="12" t="n">
        <v>2</v>
      </c>
      <c r="W145" s="12" t="n">
        <v>2</v>
      </c>
      <c r="X145" s="12" t="n">
        <v>1</v>
      </c>
      <c r="Y145" s="12" t="n">
        <v>0</v>
      </c>
    </row>
    <row r="146" customFormat="false" ht="149.25" hidden="false" customHeight="true" outlineLevel="0" collapsed="false">
      <c r="A146" s="10" t="s">
        <v>3618</v>
      </c>
      <c r="B146" s="11" t="s">
        <v>3619</v>
      </c>
      <c r="C146" s="12"/>
      <c r="D146" s="12" t="s">
        <v>120</v>
      </c>
      <c r="E146" s="5" t="s">
        <v>79</v>
      </c>
      <c r="F146" s="12"/>
      <c r="G146" s="12"/>
      <c r="H146" s="13" t="str">
        <f aca="false">IF(OR(COUNTBLANK($H$147:$H$148)&gt;0,COUNTIF($H$147:$H$148,"unbearbeitet")=COUNTA($H$147:$H$148)),"Bitte Teilanforderungen ausfüllen",IF(COUNTIF($H$147:$H$148,"zu klären")&gt;0,"zu klären",IF(COUNTIF($H$147:$H$148,"entbehrlich")=COUNTA($H$147:$H$148),"entbehrlich",IF(COUNTIF($H$147:$H$148,"verwiesen")=COUNTA($H$147:$H$148),"verwiesen",IF(COUNTIF($H$147:$H$148,"nein")+COUNTIF($H$147:$H$148,"entbehrlich")=COUNTA($H$147:$H$148),"nein",IF(COUNTIF($H$147:$H$148,"ja")+COUNTIF($H$147:$H$148,"entbehrlich")+COUNTIF($H$147:$H$148,"verwiesen")=COUNTA($H$147:$H$148),"ja","teilweise"))))))</f>
        <v>Bitte Teilanforderungen ausfüllen</v>
      </c>
      <c r="I146" s="12"/>
      <c r="J146" s="12"/>
      <c r="K146" s="12"/>
      <c r="L146" s="12"/>
      <c r="M146" s="12" t="s">
        <v>3209</v>
      </c>
      <c r="N146" s="5" t="s">
        <v>3620</v>
      </c>
      <c r="O146" s="12" t="s">
        <v>524</v>
      </c>
      <c r="P146" s="5" t="s">
        <v>3621</v>
      </c>
      <c r="Q146" s="12" t="s">
        <v>226</v>
      </c>
      <c r="R146" s="12" t="s">
        <v>282</v>
      </c>
      <c r="S146" s="5" t="s">
        <v>3622</v>
      </c>
      <c r="T146" s="5" t="s">
        <v>2530</v>
      </c>
      <c r="U146" s="12" t="n">
        <v>2</v>
      </c>
      <c r="V146" s="12" t="n">
        <v>2</v>
      </c>
      <c r="W146" s="12" t="n">
        <v>2</v>
      </c>
      <c r="X146" s="12" t="n">
        <v>2</v>
      </c>
      <c r="Y146" s="12" t="n">
        <v>0</v>
      </c>
    </row>
    <row r="147" customFormat="false" ht="149.25" hidden="false" customHeight="true" outlineLevel="0" collapsed="false">
      <c r="A147" s="12" t="s">
        <v>3618</v>
      </c>
      <c r="B147" s="5" t="s">
        <v>3619</v>
      </c>
      <c r="C147" s="12" t="s">
        <v>3618</v>
      </c>
      <c r="D147" s="12" t="s">
        <v>120</v>
      </c>
      <c r="E147" s="5" t="s">
        <v>3623</v>
      </c>
      <c r="F147" s="14"/>
      <c r="G147" s="14"/>
      <c r="H147" s="14" t="s">
        <v>87</v>
      </c>
      <c r="I147" s="14"/>
      <c r="J147" s="14"/>
      <c r="K147" s="14"/>
      <c r="L147" s="15"/>
      <c r="M147" s="12" t="s">
        <v>3209</v>
      </c>
      <c r="N147" s="5" t="s">
        <v>3620</v>
      </c>
      <c r="O147" s="12" t="s">
        <v>524</v>
      </c>
      <c r="P147" s="5" t="s">
        <v>3621</v>
      </c>
      <c r="Q147" s="12" t="s">
        <v>226</v>
      </c>
      <c r="R147" s="12" t="s">
        <v>282</v>
      </c>
      <c r="S147" s="5" t="s">
        <v>3622</v>
      </c>
      <c r="T147" s="5" t="s">
        <v>2530</v>
      </c>
      <c r="U147" s="12" t="n">
        <v>2</v>
      </c>
      <c r="V147" s="12" t="n">
        <v>2</v>
      </c>
      <c r="W147" s="12" t="n">
        <v>2</v>
      </c>
      <c r="X147" s="12" t="n">
        <v>2</v>
      </c>
      <c r="Y147" s="12" t="n">
        <v>0</v>
      </c>
    </row>
    <row r="148" customFormat="false" ht="122.25" hidden="false" customHeight="true" outlineLevel="0" collapsed="false">
      <c r="A148" s="12" t="s">
        <v>3618</v>
      </c>
      <c r="B148" s="5" t="s">
        <v>3619</v>
      </c>
      <c r="C148" s="12" t="s">
        <v>3624</v>
      </c>
      <c r="D148" s="12" t="s">
        <v>120</v>
      </c>
      <c r="E148" s="5" t="s">
        <v>3625</v>
      </c>
      <c r="F148" s="14"/>
      <c r="G148" s="14"/>
      <c r="H148" s="14" t="s">
        <v>87</v>
      </c>
      <c r="I148" s="14"/>
      <c r="J148" s="14"/>
      <c r="K148" s="14"/>
      <c r="L148" s="15"/>
      <c r="M148" s="12" t="s">
        <v>3209</v>
      </c>
      <c r="N148" s="5" t="s">
        <v>3626</v>
      </c>
      <c r="O148" s="12" t="s">
        <v>524</v>
      </c>
      <c r="P148" s="5" t="s">
        <v>3627</v>
      </c>
      <c r="Q148" s="12" t="s">
        <v>226</v>
      </c>
      <c r="R148" s="12" t="s">
        <v>282</v>
      </c>
      <c r="S148" s="5" t="s">
        <v>3628</v>
      </c>
      <c r="T148" s="5" t="s">
        <v>2530</v>
      </c>
      <c r="U148" s="12" t="n">
        <v>4</v>
      </c>
      <c r="V148" s="12" t="n">
        <v>2</v>
      </c>
      <c r="W148" s="12" t="n">
        <v>2</v>
      </c>
      <c r="X148" s="12" t="n">
        <v>2</v>
      </c>
      <c r="Y148" s="12" t="n">
        <v>0</v>
      </c>
    </row>
    <row r="149" customFormat="false" ht="41.25" hidden="false" customHeight="true" outlineLevel="0" collapsed="false">
      <c r="A149" s="10" t="s">
        <v>3629</v>
      </c>
      <c r="B149" s="11" t="s">
        <v>3630</v>
      </c>
      <c r="C149" s="12"/>
      <c r="D149" s="12" t="s">
        <v>120</v>
      </c>
      <c r="E149" s="5" t="s">
        <v>79</v>
      </c>
      <c r="F149" s="12"/>
      <c r="G149" s="12"/>
      <c r="H149" s="13" t="str">
        <f aca="false">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2"/>
      <c r="J149" s="12"/>
      <c r="K149" s="12"/>
      <c r="L149" s="12"/>
      <c r="M149" s="12" t="s">
        <v>3209</v>
      </c>
      <c r="N149" s="5"/>
      <c r="O149" s="12"/>
      <c r="P149" s="5" t="s">
        <v>3631</v>
      </c>
      <c r="Q149" s="12" t="s">
        <v>460</v>
      </c>
      <c r="R149" s="12" t="s">
        <v>282</v>
      </c>
      <c r="S149" s="5" t="s">
        <v>3632</v>
      </c>
      <c r="T149" s="5" t="s">
        <v>2530</v>
      </c>
      <c r="U149" s="12" t="n">
        <v>2</v>
      </c>
      <c r="V149" s="12" t="n">
        <v>2</v>
      </c>
      <c r="W149" s="12" t="n">
        <v>2</v>
      </c>
      <c r="X149" s="12" t="n">
        <v>2</v>
      </c>
      <c r="Y149" s="12" t="n">
        <v>0</v>
      </c>
    </row>
    <row r="150" customFormat="false" ht="41.25" hidden="false" customHeight="true" outlineLevel="0" collapsed="false">
      <c r="A150" s="12" t="s">
        <v>3629</v>
      </c>
      <c r="B150" s="5" t="s">
        <v>3630</v>
      </c>
      <c r="C150" s="12" t="s">
        <v>3629</v>
      </c>
      <c r="D150" s="12" t="s">
        <v>120</v>
      </c>
      <c r="E150" s="5" t="s">
        <v>3633</v>
      </c>
      <c r="F150" s="14"/>
      <c r="G150" s="14"/>
      <c r="H150" s="14" t="s">
        <v>87</v>
      </c>
      <c r="I150" s="14"/>
      <c r="J150" s="14"/>
      <c r="K150" s="14"/>
      <c r="L150" s="15"/>
      <c r="M150" s="12" t="s">
        <v>3209</v>
      </c>
      <c r="N150" s="5"/>
      <c r="O150" s="12"/>
      <c r="P150" s="5" t="s">
        <v>3631</v>
      </c>
      <c r="Q150" s="12" t="s">
        <v>460</v>
      </c>
      <c r="R150" s="12" t="s">
        <v>282</v>
      </c>
      <c r="S150" s="5" t="s">
        <v>3632</v>
      </c>
      <c r="T150" s="5" t="s">
        <v>2530</v>
      </c>
      <c r="U150" s="12" t="n">
        <v>2</v>
      </c>
      <c r="V150" s="12" t="n">
        <v>2</v>
      </c>
      <c r="W150" s="12" t="n">
        <v>2</v>
      </c>
      <c r="X150" s="12" t="n">
        <v>2</v>
      </c>
      <c r="Y150" s="12" t="n">
        <v>0</v>
      </c>
    </row>
    <row r="151" customFormat="false" ht="81.75" hidden="false" customHeight="true" outlineLevel="0" collapsed="false">
      <c r="A151" s="10" t="s">
        <v>3634</v>
      </c>
      <c r="B151" s="11" t="s">
        <v>3635</v>
      </c>
      <c r="C151" s="12"/>
      <c r="D151" s="12" t="s">
        <v>120</v>
      </c>
      <c r="E151" s="5" t="s">
        <v>79</v>
      </c>
      <c r="F151" s="12"/>
      <c r="G151" s="12"/>
      <c r="H151" s="13" t="str">
        <f aca="false">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2"/>
      <c r="J151" s="12"/>
      <c r="K151" s="12"/>
      <c r="L151" s="12"/>
      <c r="M151" s="12" t="s">
        <v>74</v>
      </c>
      <c r="N151" s="5"/>
      <c r="O151" s="12"/>
      <c r="P151" s="5" t="s">
        <v>3636</v>
      </c>
      <c r="Q151" s="12" t="s">
        <v>226</v>
      </c>
      <c r="R151" s="12" t="s">
        <v>282</v>
      </c>
      <c r="S151" s="5" t="s">
        <v>3637</v>
      </c>
      <c r="T151" s="5" t="s">
        <v>3638</v>
      </c>
      <c r="U151" s="12" t="n">
        <v>4</v>
      </c>
      <c r="V151" s="12" t="n">
        <v>0</v>
      </c>
      <c r="W151" s="12" t="n">
        <v>0</v>
      </c>
      <c r="X151" s="12" t="n">
        <v>2</v>
      </c>
      <c r="Y151" s="12" t="n">
        <v>0</v>
      </c>
    </row>
    <row r="152" customFormat="false" ht="81.75" hidden="false" customHeight="true" outlineLevel="0" collapsed="false">
      <c r="A152" s="12" t="s">
        <v>3634</v>
      </c>
      <c r="B152" s="5" t="s">
        <v>3635</v>
      </c>
      <c r="C152" s="12" t="s">
        <v>3634</v>
      </c>
      <c r="D152" s="12" t="s">
        <v>120</v>
      </c>
      <c r="E152" s="5" t="s">
        <v>3639</v>
      </c>
      <c r="F152" s="14"/>
      <c r="G152" s="14"/>
      <c r="H152" s="14" t="s">
        <v>87</v>
      </c>
      <c r="I152" s="14"/>
      <c r="J152" s="14"/>
      <c r="K152" s="14"/>
      <c r="L152" s="15"/>
      <c r="M152" s="12" t="s">
        <v>74</v>
      </c>
      <c r="N152" s="5"/>
      <c r="O152" s="12"/>
      <c r="P152" s="5" t="s">
        <v>3636</v>
      </c>
      <c r="Q152" s="12" t="s">
        <v>226</v>
      </c>
      <c r="R152" s="12" t="s">
        <v>282</v>
      </c>
      <c r="S152" s="5" t="s">
        <v>3637</v>
      </c>
      <c r="T152" s="5" t="s">
        <v>3638</v>
      </c>
      <c r="U152" s="12" t="n">
        <v>4</v>
      </c>
      <c r="V152" s="12" t="n">
        <v>0</v>
      </c>
      <c r="W152" s="12" t="n">
        <v>0</v>
      </c>
      <c r="X152" s="12" t="n">
        <v>2</v>
      </c>
      <c r="Y152" s="12" t="n">
        <v>0</v>
      </c>
    </row>
    <row r="153" customFormat="false" ht="54.75" hidden="false" customHeight="true" outlineLevel="0" collapsed="false">
      <c r="A153" s="10" t="s">
        <v>3640</v>
      </c>
      <c r="B153" s="11" t="s">
        <v>3641</v>
      </c>
      <c r="C153" s="12"/>
      <c r="D153" s="12" t="s">
        <v>160</v>
      </c>
      <c r="E153" s="5" t="s">
        <v>79</v>
      </c>
      <c r="F153" s="12"/>
      <c r="G153" s="12"/>
      <c r="H153" s="13" t="str">
        <f aca="false">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2"/>
      <c r="J153" s="12"/>
      <c r="K153" s="12"/>
      <c r="L153" s="12"/>
      <c r="M153" s="12" t="s">
        <v>74</v>
      </c>
      <c r="N153" s="5"/>
      <c r="O153" s="12"/>
      <c r="P153" s="5" t="s">
        <v>3642</v>
      </c>
      <c r="Q153" s="12" t="s">
        <v>469</v>
      </c>
      <c r="R153" s="12" t="s">
        <v>282</v>
      </c>
      <c r="S153" s="5" t="s">
        <v>3643</v>
      </c>
      <c r="T153" s="5" t="s">
        <v>3638</v>
      </c>
      <c r="U153" s="12" t="n">
        <v>5</v>
      </c>
      <c r="V153" s="12" t="n">
        <v>0</v>
      </c>
      <c r="W153" s="12" t="n">
        <v>0</v>
      </c>
      <c r="X153" s="12" t="n">
        <v>2</v>
      </c>
      <c r="Y153" s="12" t="n">
        <v>0</v>
      </c>
    </row>
    <row r="154" customFormat="false" ht="54.75" hidden="false" customHeight="true" outlineLevel="0" collapsed="false">
      <c r="A154" s="12" t="s">
        <v>3640</v>
      </c>
      <c r="B154" s="5" t="s">
        <v>3641</v>
      </c>
      <c r="C154" s="12" t="s">
        <v>3640</v>
      </c>
      <c r="D154" s="12" t="s">
        <v>160</v>
      </c>
      <c r="E154" s="5" t="s">
        <v>3644</v>
      </c>
      <c r="F154" s="14"/>
      <c r="G154" s="14"/>
      <c r="H154" s="14" t="s">
        <v>87</v>
      </c>
      <c r="I154" s="14"/>
      <c r="J154" s="14"/>
      <c r="K154" s="14"/>
      <c r="L154" s="15"/>
      <c r="M154" s="12" t="s">
        <v>74</v>
      </c>
      <c r="N154" s="5"/>
      <c r="O154" s="12"/>
      <c r="P154" s="5" t="s">
        <v>3642</v>
      </c>
      <c r="Q154" s="12" t="s">
        <v>469</v>
      </c>
      <c r="R154" s="12" t="s">
        <v>282</v>
      </c>
      <c r="S154" s="5" t="s">
        <v>3643</v>
      </c>
      <c r="T154" s="5" t="s">
        <v>3638</v>
      </c>
      <c r="U154" s="12" t="n">
        <v>5</v>
      </c>
      <c r="V154" s="12" t="n">
        <v>0</v>
      </c>
      <c r="W154" s="12" t="n">
        <v>0</v>
      </c>
      <c r="X154" s="12" t="n">
        <v>2</v>
      </c>
      <c r="Y154" s="12" t="n">
        <v>0</v>
      </c>
    </row>
    <row r="155" customFormat="false" ht="41.25" hidden="false" customHeight="true" outlineLevel="0" collapsed="false">
      <c r="A155" s="10" t="s">
        <v>3645</v>
      </c>
      <c r="B155" s="11" t="s">
        <v>3646</v>
      </c>
      <c r="C155" s="12"/>
      <c r="D155" s="12" t="s">
        <v>160</v>
      </c>
      <c r="E155" s="5" t="s">
        <v>79</v>
      </c>
      <c r="F155" s="12"/>
      <c r="G155" s="12"/>
      <c r="H155" s="13" t="str">
        <f aca="false">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2"/>
      <c r="J155" s="12"/>
      <c r="K155" s="12"/>
      <c r="L155" s="12"/>
      <c r="M155" s="12" t="s">
        <v>74</v>
      </c>
      <c r="N155" s="5"/>
      <c r="O155" s="12"/>
      <c r="P155" s="5" t="s">
        <v>3647</v>
      </c>
      <c r="Q155" s="12" t="s">
        <v>226</v>
      </c>
      <c r="R155" s="12" t="s">
        <v>282</v>
      </c>
      <c r="S155" s="5" t="s">
        <v>3648</v>
      </c>
      <c r="T155" s="5" t="s">
        <v>1857</v>
      </c>
      <c r="U155" s="12" t="n">
        <v>5</v>
      </c>
      <c r="V155" s="12" t="n">
        <v>1</v>
      </c>
      <c r="W155" s="12" t="n">
        <v>1</v>
      </c>
      <c r="X155" s="12" t="n">
        <v>2</v>
      </c>
      <c r="Y155" s="12" t="n">
        <v>0</v>
      </c>
    </row>
    <row r="156" customFormat="false" ht="41.25" hidden="false" customHeight="true" outlineLevel="0" collapsed="false">
      <c r="A156" s="12" t="s">
        <v>3645</v>
      </c>
      <c r="B156" s="5" t="s">
        <v>3646</v>
      </c>
      <c r="C156" s="12" t="s">
        <v>3645</v>
      </c>
      <c r="D156" s="12" t="s">
        <v>160</v>
      </c>
      <c r="E156" s="5" t="s">
        <v>3649</v>
      </c>
      <c r="F156" s="14"/>
      <c r="G156" s="14"/>
      <c r="H156" s="14" t="s">
        <v>87</v>
      </c>
      <c r="I156" s="14"/>
      <c r="J156" s="14"/>
      <c r="K156" s="14"/>
      <c r="L156" s="15"/>
      <c r="M156" s="12" t="s">
        <v>74</v>
      </c>
      <c r="N156" s="5"/>
      <c r="O156" s="12"/>
      <c r="P156" s="5" t="s">
        <v>3647</v>
      </c>
      <c r="Q156" s="12" t="s">
        <v>226</v>
      </c>
      <c r="R156" s="12" t="s">
        <v>282</v>
      </c>
      <c r="S156" s="5" t="s">
        <v>3648</v>
      </c>
      <c r="T156" s="5" t="s">
        <v>1857</v>
      </c>
      <c r="U156" s="12" t="n">
        <v>5</v>
      </c>
      <c r="V156" s="12" t="n">
        <v>1</v>
      </c>
      <c r="W156" s="12" t="n">
        <v>1</v>
      </c>
      <c r="X156" s="12" t="n">
        <v>2</v>
      </c>
      <c r="Y156" s="12" t="n">
        <v>0</v>
      </c>
    </row>
    <row r="157" customFormat="false" ht="323.25" hidden="false" customHeight="true" outlineLevel="0" collapsed="false">
      <c r="A157" s="10" t="s">
        <v>3650</v>
      </c>
      <c r="B157" s="11" t="s">
        <v>3651</v>
      </c>
      <c r="C157" s="12"/>
      <c r="D157" s="12" t="s">
        <v>120</v>
      </c>
      <c r="E157" s="5" t="s">
        <v>79</v>
      </c>
      <c r="F157" s="12"/>
      <c r="G157" s="12"/>
      <c r="H157" s="13" t="str">
        <f aca="false">IF(OR(COUNTBLANK($H$158:$H$159)&gt;0,COUNTIF($H$158:$H$159,"unbearbeitet")=COUNTA($H$158:$H$159)),"Bitte Teilanforderungen ausfüllen",IF(COUNTIF($H$158:$H$159,"zu klären")&gt;0,"zu klären",IF(COUNTIF($H$158:$H$159,"entbehrlich")=COUNTA($H$158:$H$159),"entbehrlich",IF(COUNTIF($H$158:$H$159,"verwiesen")=COUNTA($H$158:$H$159),"verwiesen",IF(COUNTIF($H$158:$H$159,"nein")+COUNTIF($H$158:$H$159,"entbehrlich")=COUNTA($H$158:$H$159),"nein",IF(COUNTIF($H$158:$H$159,"ja")+COUNTIF($H$158:$H$159,"entbehrlich")+COUNTIF($H$158:$H$159,"verwiesen")=COUNTA($H$158:$H$159),"ja","teilweise"))))))</f>
        <v>Bitte Teilanforderungen ausfüllen</v>
      </c>
      <c r="I157" s="12"/>
      <c r="J157" s="12"/>
      <c r="K157" s="12"/>
      <c r="L157" s="12"/>
      <c r="M157" s="12"/>
      <c r="N157" s="5"/>
      <c r="O157" s="12"/>
      <c r="P157" s="5" t="s">
        <v>3652</v>
      </c>
      <c r="Q157" s="12" t="s">
        <v>460</v>
      </c>
      <c r="R157" s="12" t="s">
        <v>282</v>
      </c>
      <c r="S157" s="5" t="s">
        <v>3234</v>
      </c>
      <c r="T157" s="5" t="s">
        <v>306</v>
      </c>
      <c r="U157" s="12" t="n">
        <v>3</v>
      </c>
      <c r="V157" s="12" t="n">
        <v>1</v>
      </c>
      <c r="W157" s="12" t="n">
        <v>1</v>
      </c>
      <c r="X157" s="12" t="n">
        <v>1</v>
      </c>
      <c r="Y157" s="12" t="n">
        <v>0</v>
      </c>
    </row>
    <row r="158" customFormat="false" ht="323.25" hidden="false" customHeight="true" outlineLevel="0" collapsed="false">
      <c r="A158" s="12" t="s">
        <v>3650</v>
      </c>
      <c r="B158" s="5" t="s">
        <v>3651</v>
      </c>
      <c r="C158" s="12" t="s">
        <v>3650</v>
      </c>
      <c r="D158" s="12" t="s">
        <v>120</v>
      </c>
      <c r="E158" s="5" t="s">
        <v>3653</v>
      </c>
      <c r="F158" s="14"/>
      <c r="G158" s="14"/>
      <c r="H158" s="14" t="s">
        <v>87</v>
      </c>
      <c r="I158" s="14"/>
      <c r="J158" s="14"/>
      <c r="K158" s="14"/>
      <c r="L158" s="15"/>
      <c r="M158" s="12"/>
      <c r="N158" s="5"/>
      <c r="O158" s="12"/>
      <c r="P158" s="5" t="s">
        <v>3652</v>
      </c>
      <c r="Q158" s="12" t="s">
        <v>460</v>
      </c>
      <c r="R158" s="12" t="s">
        <v>282</v>
      </c>
      <c r="S158" s="5" t="s">
        <v>3234</v>
      </c>
      <c r="T158" s="5" t="s">
        <v>306</v>
      </c>
      <c r="U158" s="12" t="n">
        <v>3</v>
      </c>
      <c r="V158" s="12" t="n">
        <v>1</v>
      </c>
      <c r="W158" s="12" t="n">
        <v>1</v>
      </c>
      <c r="X158" s="12" t="n">
        <v>1</v>
      </c>
      <c r="Y158" s="12" t="n">
        <v>0</v>
      </c>
    </row>
    <row r="159" customFormat="false" ht="270" hidden="false" customHeight="true" outlineLevel="0" collapsed="false">
      <c r="A159" s="12" t="s">
        <v>3650</v>
      </c>
      <c r="B159" s="5" t="s">
        <v>3651</v>
      </c>
      <c r="C159" s="12" t="s">
        <v>3654</v>
      </c>
      <c r="D159" s="12" t="s">
        <v>120</v>
      </c>
      <c r="E159" s="5" t="s">
        <v>3655</v>
      </c>
      <c r="F159" s="14"/>
      <c r="G159" s="14"/>
      <c r="H159" s="14" t="s">
        <v>87</v>
      </c>
      <c r="I159" s="14"/>
      <c r="J159" s="14"/>
      <c r="K159" s="14"/>
      <c r="L159" s="15"/>
      <c r="M159" s="12" t="s">
        <v>74</v>
      </c>
      <c r="N159" s="5"/>
      <c r="O159" s="12"/>
      <c r="P159" s="5" t="s">
        <v>3656</v>
      </c>
      <c r="Q159" s="12" t="s">
        <v>460</v>
      </c>
      <c r="R159" s="12" t="s">
        <v>282</v>
      </c>
      <c r="S159" s="5" t="s">
        <v>3239</v>
      </c>
      <c r="T159" s="5" t="s">
        <v>3240</v>
      </c>
      <c r="U159" s="12" t="n">
        <v>4</v>
      </c>
      <c r="V159" s="12" t="n">
        <v>1</v>
      </c>
      <c r="W159" s="12" t="n">
        <v>1</v>
      </c>
      <c r="X159" s="12" t="n">
        <v>2</v>
      </c>
      <c r="Y159" s="12" t="n">
        <v>0</v>
      </c>
    </row>
    <row r="160" customFormat="false" ht="135.75" hidden="false" customHeight="true" outlineLevel="0" collapsed="false">
      <c r="A160" s="10" t="s">
        <v>3657</v>
      </c>
      <c r="B160" s="11" t="s">
        <v>3658</v>
      </c>
      <c r="C160" s="12"/>
      <c r="D160" s="12" t="s">
        <v>120</v>
      </c>
      <c r="E160" s="5" t="s">
        <v>79</v>
      </c>
      <c r="F160" s="12"/>
      <c r="G160" s="12"/>
      <c r="H160" s="13" t="str">
        <f aca="false">IF(OR(COUNTBLANK($H$161:$H$161)&gt;0,COUNTIF($H$161:$H$161,"unbearbeitet")=COUNTA($H$161:$H$161)),"Bitte Teilanforderungen ausfüllen",IF(COUNTIF($H$161:$H$161,"zu klären")&gt;0,"zu klären",IF(COUNTIF($H$161:$H$161,"entbehrlich")=COUNTA($H$161:$H$161),"entbehrlich",IF(COUNTIF($H$161:$H$161,"verwiesen")=COUNTA($H$161:$H$161),"verwiesen",IF(COUNTIF($H$161:$H$161,"nein")+COUNTIF($H$161:$H$161,"entbehrlich")=COUNTA($H$161:$H$161),"nein",IF(COUNTIF($H$161:$H$161,"ja")+COUNTIF($H$161:$H$161,"entbehrlich")+COUNTIF($H$161:$H$161,"verwiesen")=COUNTA($H$161:$H$161),"ja","teilweise"))))))</f>
        <v>Bitte Teilanforderungen ausfüllen</v>
      </c>
      <c r="I160" s="12"/>
      <c r="J160" s="12"/>
      <c r="K160" s="12"/>
      <c r="L160" s="12"/>
      <c r="M160" s="12" t="s">
        <v>3209</v>
      </c>
      <c r="N160" s="5" t="s">
        <v>3659</v>
      </c>
      <c r="O160" s="12" t="s">
        <v>1169</v>
      </c>
      <c r="P160" s="5" t="s">
        <v>3660</v>
      </c>
      <c r="Q160" s="12" t="s">
        <v>460</v>
      </c>
      <c r="R160" s="12" t="s">
        <v>282</v>
      </c>
      <c r="S160" s="5" t="s">
        <v>3244</v>
      </c>
      <c r="T160" s="5" t="s">
        <v>109</v>
      </c>
      <c r="U160" s="12" t="n">
        <v>3</v>
      </c>
      <c r="V160" s="12" t="n">
        <v>2</v>
      </c>
      <c r="W160" s="12" t="n">
        <v>2</v>
      </c>
      <c r="X160" s="12" t="n">
        <v>2</v>
      </c>
      <c r="Y160" s="12" t="n">
        <v>0</v>
      </c>
    </row>
    <row r="161" customFormat="false" ht="135.75" hidden="false" customHeight="true" outlineLevel="0" collapsed="false">
      <c r="A161" s="12" t="s">
        <v>3657</v>
      </c>
      <c r="B161" s="5" t="s">
        <v>3658</v>
      </c>
      <c r="C161" s="12" t="s">
        <v>3657</v>
      </c>
      <c r="D161" s="12" t="s">
        <v>120</v>
      </c>
      <c r="E161" s="5" t="s">
        <v>3661</v>
      </c>
      <c r="F161" s="14"/>
      <c r="G161" s="14"/>
      <c r="H161" s="14" t="s">
        <v>87</v>
      </c>
      <c r="I161" s="14"/>
      <c r="J161" s="14"/>
      <c r="K161" s="14"/>
      <c r="L161" s="15"/>
      <c r="M161" s="12" t="s">
        <v>3209</v>
      </c>
      <c r="N161" s="5" t="s">
        <v>3659</v>
      </c>
      <c r="O161" s="12" t="s">
        <v>1169</v>
      </c>
      <c r="P161" s="5" t="s">
        <v>3660</v>
      </c>
      <c r="Q161" s="12" t="s">
        <v>460</v>
      </c>
      <c r="R161" s="12" t="s">
        <v>282</v>
      </c>
      <c r="S161" s="5" t="s">
        <v>3244</v>
      </c>
      <c r="T161" s="5" t="s">
        <v>109</v>
      </c>
      <c r="U161" s="12" t="n">
        <v>3</v>
      </c>
      <c r="V161" s="12" t="n">
        <v>2</v>
      </c>
      <c r="W161" s="12" t="n">
        <v>2</v>
      </c>
      <c r="X161" s="12" t="n">
        <v>2</v>
      </c>
      <c r="Y161" s="12" t="n">
        <v>0</v>
      </c>
    </row>
    <row r="162" customFormat="false" ht="54.75" hidden="false" customHeight="true" outlineLevel="0" collapsed="false">
      <c r="A162" s="10" t="s">
        <v>3662</v>
      </c>
      <c r="B162" s="11" t="s">
        <v>3247</v>
      </c>
      <c r="C162" s="12"/>
      <c r="D162" s="12" t="s">
        <v>120</v>
      </c>
      <c r="E162" s="5" t="s">
        <v>79</v>
      </c>
      <c r="F162" s="12"/>
      <c r="G162" s="12"/>
      <c r="H162" s="13" t="str">
        <f aca="false">IF(OR(COUNTBLANK($H$163:$H$163)&gt;0,COUNTIF($H$163:$H$163,"unbearbeitet")=COUNTA($H$163:$H$163)),"Bitte Teilanforderungen ausfüllen",IF(COUNTIF($H$163:$H$163,"zu klären")&gt;0,"zu klären",IF(COUNTIF($H$163:$H$163,"entbehrlich")=COUNTA($H$163:$H$163),"entbehrlich",IF(COUNTIF($H$163:$H$163,"verwiesen")=COUNTA($H$163:$H$163),"verwiesen",IF(COUNTIF($H$163:$H$163,"nein")+COUNTIF($H$163:$H$163,"entbehrlich")=COUNTA($H$163:$H$163),"nein",IF(COUNTIF($H$163:$H$163,"ja")+COUNTIF($H$163:$H$163,"entbehrlich")+COUNTIF($H$163:$H$163,"verwiesen")=COUNTA($H$163:$H$163),"ja","teilweise"))))))</f>
        <v>Bitte Teilanforderungen ausfüllen</v>
      </c>
      <c r="I162" s="12"/>
      <c r="J162" s="12"/>
      <c r="K162" s="12"/>
      <c r="L162" s="12"/>
      <c r="M162" s="12" t="s">
        <v>88</v>
      </c>
      <c r="N162" s="5"/>
      <c r="O162" s="12"/>
      <c r="P162" s="5" t="s">
        <v>3663</v>
      </c>
      <c r="Q162" s="12" t="s">
        <v>460</v>
      </c>
      <c r="R162" s="12" t="s">
        <v>282</v>
      </c>
      <c r="S162" s="5" t="s">
        <v>3250</v>
      </c>
      <c r="T162" s="5" t="s">
        <v>3251</v>
      </c>
      <c r="U162" s="12" t="n">
        <v>1</v>
      </c>
      <c r="V162" s="12" t="n">
        <v>2</v>
      </c>
      <c r="W162" s="12" t="n">
        <v>2</v>
      </c>
      <c r="X162" s="12" t="n">
        <v>1</v>
      </c>
      <c r="Y162" s="12" t="n">
        <v>1</v>
      </c>
    </row>
    <row r="163" customFormat="false" ht="54.75" hidden="false" customHeight="true" outlineLevel="0" collapsed="false">
      <c r="A163" s="12" t="s">
        <v>3662</v>
      </c>
      <c r="B163" s="5" t="s">
        <v>3247</v>
      </c>
      <c r="C163" s="12" t="s">
        <v>3662</v>
      </c>
      <c r="D163" s="12" t="s">
        <v>120</v>
      </c>
      <c r="E163" s="5" t="s">
        <v>3664</v>
      </c>
      <c r="F163" s="14"/>
      <c r="G163" s="14"/>
      <c r="H163" s="14" t="s">
        <v>87</v>
      </c>
      <c r="I163" s="14"/>
      <c r="J163" s="14"/>
      <c r="K163" s="14"/>
      <c r="L163" s="15"/>
      <c r="M163" s="12" t="s">
        <v>88</v>
      </c>
      <c r="N163" s="5"/>
      <c r="O163" s="12"/>
      <c r="P163" s="5" t="s">
        <v>3663</v>
      </c>
      <c r="Q163" s="12" t="s">
        <v>460</v>
      </c>
      <c r="R163" s="12" t="s">
        <v>282</v>
      </c>
      <c r="S163" s="5" t="s">
        <v>3250</v>
      </c>
      <c r="T163" s="5" t="s">
        <v>3251</v>
      </c>
      <c r="U163" s="12" t="n">
        <v>1</v>
      </c>
      <c r="V163" s="12" t="n">
        <v>2</v>
      </c>
      <c r="W163" s="12" t="n">
        <v>2</v>
      </c>
      <c r="X163" s="12" t="n">
        <v>1</v>
      </c>
      <c r="Y163" s="12" t="n">
        <v>1</v>
      </c>
    </row>
    <row r="164" customFormat="false" ht="108.75" hidden="false" customHeight="true" outlineLevel="0" collapsed="false">
      <c r="A164" s="10" t="s">
        <v>3665</v>
      </c>
      <c r="B164" s="11" t="s">
        <v>3666</v>
      </c>
      <c r="C164" s="12"/>
      <c r="D164" s="12" t="s">
        <v>120</v>
      </c>
      <c r="E164" s="5" t="s">
        <v>79</v>
      </c>
      <c r="F164" s="12"/>
      <c r="G164" s="12"/>
      <c r="H164" s="13" t="str">
        <f aca="false">IF(OR(COUNTBLANK($H$165:$H$165)&gt;0,COUNTIF($H$165:$H$165,"unbearbeitet")=COUNTA($H$165:$H$165)),"Bitte Teilanforderungen ausfüllen",IF(COUNTIF($H$165:$H$165,"zu klären")&gt;0,"zu klären",IF(COUNTIF($H$165:$H$165,"entbehrlich")=COUNTA($H$165:$H$165),"entbehrlich",IF(COUNTIF($H$165:$H$165,"verwiesen")=COUNTA($H$165:$H$165),"verwiesen",IF(COUNTIF($H$165:$H$165,"nein")+COUNTIF($H$165:$H$165,"entbehrlich")=COUNTA($H$165:$H$165),"nein",IF(COUNTIF($H$165:$H$165,"ja")+COUNTIF($H$165:$H$165,"entbehrlich")+COUNTIF($H$165:$H$165,"verwiesen")=COUNTA($H$165:$H$165),"ja","teilweise"))))))</f>
        <v>Bitte Teilanforderungen ausfüllen</v>
      </c>
      <c r="I164" s="12"/>
      <c r="J164" s="12"/>
      <c r="K164" s="12"/>
      <c r="L164" s="12"/>
      <c r="M164" s="12" t="s">
        <v>88</v>
      </c>
      <c r="N164" s="5" t="s">
        <v>3667</v>
      </c>
      <c r="O164" s="12" t="s">
        <v>412</v>
      </c>
      <c r="P164" s="5" t="s">
        <v>3668</v>
      </c>
      <c r="Q164" s="12" t="s">
        <v>460</v>
      </c>
      <c r="R164" s="12" t="s">
        <v>282</v>
      </c>
      <c r="S164" s="5" t="s">
        <v>3669</v>
      </c>
      <c r="T164" s="5" t="s">
        <v>2272</v>
      </c>
      <c r="U164" s="12" t="n">
        <v>3</v>
      </c>
      <c r="V164" s="12" t="n">
        <v>2</v>
      </c>
      <c r="W164" s="12" t="n">
        <v>2</v>
      </c>
      <c r="X164" s="12" t="n">
        <v>1</v>
      </c>
      <c r="Y164" s="12" t="n">
        <v>0</v>
      </c>
    </row>
    <row r="165" customFormat="false" ht="108.75" hidden="false" customHeight="true" outlineLevel="0" collapsed="false">
      <c r="A165" s="12" t="s">
        <v>3665</v>
      </c>
      <c r="B165" s="5" t="s">
        <v>3666</v>
      </c>
      <c r="C165" s="12" t="s">
        <v>3665</v>
      </c>
      <c r="D165" s="12" t="s">
        <v>120</v>
      </c>
      <c r="E165" s="5" t="s">
        <v>3670</v>
      </c>
      <c r="F165" s="14"/>
      <c r="G165" s="14"/>
      <c r="H165" s="14" t="s">
        <v>87</v>
      </c>
      <c r="I165" s="14"/>
      <c r="J165" s="14"/>
      <c r="K165" s="14"/>
      <c r="L165" s="15"/>
      <c r="M165" s="12" t="s">
        <v>88</v>
      </c>
      <c r="N165" s="5" t="s">
        <v>3667</v>
      </c>
      <c r="O165" s="12" t="s">
        <v>412</v>
      </c>
      <c r="P165" s="5" t="s">
        <v>3668</v>
      </c>
      <c r="Q165" s="12" t="s">
        <v>460</v>
      </c>
      <c r="R165" s="12" t="s">
        <v>282</v>
      </c>
      <c r="S165" s="5" t="s">
        <v>3669</v>
      </c>
      <c r="T165" s="5" t="s">
        <v>2272</v>
      </c>
      <c r="U165" s="12" t="n">
        <v>3</v>
      </c>
      <c r="V165" s="12" t="n">
        <v>2</v>
      </c>
      <c r="W165" s="12" t="n">
        <v>2</v>
      </c>
      <c r="X165" s="12" t="n">
        <v>1</v>
      </c>
      <c r="Y165" s="12" t="n">
        <v>0</v>
      </c>
    </row>
    <row r="166" customFormat="false" ht="297" hidden="false" customHeight="true" outlineLevel="0" collapsed="false">
      <c r="A166" s="10" t="s">
        <v>3671</v>
      </c>
      <c r="B166" s="11" t="s">
        <v>3271</v>
      </c>
      <c r="C166" s="12"/>
      <c r="D166" s="12" t="s">
        <v>120</v>
      </c>
      <c r="E166" s="5" t="s">
        <v>79</v>
      </c>
      <c r="F166" s="12"/>
      <c r="G166" s="12"/>
      <c r="H166" s="13" t="str">
        <f aca="false">IF(OR(COUNTBLANK($H$167:$H$168)&gt;0,COUNTIF($H$167:$H$168,"unbearbeitet")=COUNTA($H$167:$H$168)),"Bitte Teilanforderungen ausfüllen",IF(COUNTIF($H$167:$H$168,"zu klären")&gt;0,"zu klären",IF(COUNTIF($H$167:$H$168,"entbehrlich")=COUNTA($H$167:$H$168),"entbehrlich",IF(COUNTIF($H$167:$H$168,"verwiesen")=COUNTA($H$167:$H$168),"verwiesen",IF(COUNTIF($H$167:$H$168,"nein")+COUNTIF($H$167:$H$168,"entbehrlich")=COUNTA($H$167:$H$168),"nein",IF(COUNTIF($H$167:$H$168,"ja")+COUNTIF($H$167:$H$168,"entbehrlich")+COUNTIF($H$167:$H$168,"verwiesen")=COUNTA($H$167:$H$168),"ja","teilweise"))))))</f>
        <v>Bitte Teilanforderungen ausfüllen</v>
      </c>
      <c r="I166" s="12"/>
      <c r="J166" s="12"/>
      <c r="K166" s="12"/>
      <c r="L166" s="12"/>
      <c r="M166" s="12" t="s">
        <v>73</v>
      </c>
      <c r="N166" s="5" t="s">
        <v>3672</v>
      </c>
      <c r="O166" s="12" t="s">
        <v>524</v>
      </c>
      <c r="P166" s="5" t="s">
        <v>3673</v>
      </c>
      <c r="Q166" s="12" t="s">
        <v>460</v>
      </c>
      <c r="R166" s="12" t="s">
        <v>282</v>
      </c>
      <c r="S166" s="5" t="s">
        <v>3274</v>
      </c>
      <c r="T166" s="5" t="s">
        <v>3281</v>
      </c>
      <c r="U166" s="12" t="n">
        <v>4</v>
      </c>
      <c r="V166" s="12" t="n">
        <v>1</v>
      </c>
      <c r="W166" s="12" t="n">
        <v>2</v>
      </c>
      <c r="X166" s="12" t="n">
        <v>1</v>
      </c>
      <c r="Y166" s="12" t="n">
        <v>1</v>
      </c>
    </row>
    <row r="167" customFormat="false" ht="297" hidden="false" customHeight="true" outlineLevel="0" collapsed="false">
      <c r="A167" s="12" t="s">
        <v>3671</v>
      </c>
      <c r="B167" s="5" t="s">
        <v>3271</v>
      </c>
      <c r="C167" s="12" t="s">
        <v>3671</v>
      </c>
      <c r="D167" s="12" t="s">
        <v>120</v>
      </c>
      <c r="E167" s="5" t="s">
        <v>3674</v>
      </c>
      <c r="F167" s="14"/>
      <c r="G167" s="14"/>
      <c r="H167" s="14" t="s">
        <v>87</v>
      </c>
      <c r="I167" s="14"/>
      <c r="J167" s="14"/>
      <c r="K167" s="14"/>
      <c r="L167" s="15"/>
      <c r="M167" s="12" t="s">
        <v>73</v>
      </c>
      <c r="N167" s="5" t="s">
        <v>3672</v>
      </c>
      <c r="O167" s="12" t="s">
        <v>524</v>
      </c>
      <c r="P167" s="5" t="s">
        <v>3673</v>
      </c>
      <c r="Q167" s="12" t="s">
        <v>460</v>
      </c>
      <c r="R167" s="12" t="s">
        <v>282</v>
      </c>
      <c r="S167" s="5" t="s">
        <v>3274</v>
      </c>
      <c r="T167" s="5" t="s">
        <v>3281</v>
      </c>
      <c r="U167" s="12" t="n">
        <v>4</v>
      </c>
      <c r="V167" s="12" t="n">
        <v>1</v>
      </c>
      <c r="W167" s="12" t="n">
        <v>2</v>
      </c>
      <c r="X167" s="12" t="n">
        <v>1</v>
      </c>
      <c r="Y167" s="12" t="n">
        <v>1</v>
      </c>
    </row>
    <row r="168" customFormat="false" ht="149.25" hidden="false" customHeight="true" outlineLevel="0" collapsed="false">
      <c r="A168" s="12" t="s">
        <v>3671</v>
      </c>
      <c r="B168" s="5" t="s">
        <v>3271</v>
      </c>
      <c r="C168" s="12" t="s">
        <v>3675</v>
      </c>
      <c r="D168" s="12" t="s">
        <v>160</v>
      </c>
      <c r="E168" s="5" t="s">
        <v>3676</v>
      </c>
      <c r="F168" s="14"/>
      <c r="G168" s="14"/>
      <c r="H168" s="14" t="s">
        <v>87</v>
      </c>
      <c r="I168" s="14"/>
      <c r="J168" s="14"/>
      <c r="K168" s="14"/>
      <c r="L168" s="15"/>
      <c r="M168" s="12" t="s">
        <v>73</v>
      </c>
      <c r="N168" s="5"/>
      <c r="O168" s="12"/>
      <c r="P168" s="5" t="s">
        <v>3677</v>
      </c>
      <c r="Q168" s="12" t="s">
        <v>460</v>
      </c>
      <c r="R168" s="12" t="s">
        <v>1270</v>
      </c>
      <c r="S168" s="5" t="s">
        <v>3280</v>
      </c>
      <c r="T168" s="5" t="s">
        <v>3281</v>
      </c>
      <c r="U168" s="12" t="n">
        <v>5</v>
      </c>
      <c r="V168" s="12" t="n">
        <v>1</v>
      </c>
      <c r="W168" s="12" t="n">
        <v>2</v>
      </c>
      <c r="X168" s="12" t="n">
        <v>1</v>
      </c>
      <c r="Y168" s="12" t="n">
        <v>1</v>
      </c>
    </row>
    <row r="169" customFormat="false" ht="309.75" hidden="false" customHeight="true" outlineLevel="0" collapsed="false">
      <c r="A169" s="10" t="s">
        <v>3678</v>
      </c>
      <c r="B169" s="11" t="s">
        <v>3679</v>
      </c>
      <c r="C169" s="12"/>
      <c r="D169" s="12" t="s">
        <v>120</v>
      </c>
      <c r="E169" s="5" t="s">
        <v>79</v>
      </c>
      <c r="F169" s="12"/>
      <c r="G169" s="12"/>
      <c r="H169" s="13" t="str">
        <f aca="false">IF(OR(COUNTBLANK($H$170:$H$172)&gt;0,COUNTIF($H$170:$H$172,"unbearbeitet")=COUNTA($H$170:$H$172)),"Bitte Teilanforderungen ausfüllen",IF(COUNTIF($H$170:$H$172,"zu klären")&gt;0,"zu klären",IF(COUNTIF($H$170:$H$172,"entbehrlich")=COUNTA($H$170:$H$172),"entbehrlich",IF(COUNTIF($H$170:$H$172,"verwiesen")=COUNTA($H$170:$H$172),"verwiesen",IF(COUNTIF($H$170:$H$172,"nein")+COUNTIF($H$170:$H$172,"entbehrlich")=COUNTA($H$170:$H$172),"nein",IF(COUNTIF($H$170:$H$172,"ja")+COUNTIF($H$170:$H$172,"entbehrlich")+COUNTIF($H$170:$H$172,"verwiesen")=COUNTA($H$170:$H$172),"ja","teilweise"))))))</f>
        <v>Bitte Teilanforderungen ausfüllen</v>
      </c>
      <c r="I169" s="12"/>
      <c r="J169" s="12"/>
      <c r="K169" s="12"/>
      <c r="L169" s="12"/>
      <c r="M169" s="12" t="s">
        <v>72</v>
      </c>
      <c r="N169" s="5" t="s">
        <v>3680</v>
      </c>
      <c r="O169" s="12" t="s">
        <v>2351</v>
      </c>
      <c r="P169" s="5" t="s">
        <v>3681</v>
      </c>
      <c r="Q169" s="12" t="s">
        <v>460</v>
      </c>
      <c r="R169" s="12" t="s">
        <v>282</v>
      </c>
      <c r="S169" s="5" t="s">
        <v>3682</v>
      </c>
      <c r="T169" s="5" t="s">
        <v>427</v>
      </c>
      <c r="U169" s="12" t="n">
        <v>1</v>
      </c>
      <c r="V169" s="12" t="n">
        <v>2</v>
      </c>
      <c r="W169" s="12" t="n">
        <v>1</v>
      </c>
      <c r="X169" s="12" t="n">
        <v>1</v>
      </c>
      <c r="Y169" s="12" t="n">
        <v>1</v>
      </c>
    </row>
    <row r="170" customFormat="false" ht="309.75" hidden="false" customHeight="true" outlineLevel="0" collapsed="false">
      <c r="A170" s="12" t="s">
        <v>3678</v>
      </c>
      <c r="B170" s="5" t="s">
        <v>3679</v>
      </c>
      <c r="C170" s="12" t="s">
        <v>3678</v>
      </c>
      <c r="D170" s="12" t="s">
        <v>120</v>
      </c>
      <c r="E170" s="5" t="s">
        <v>3683</v>
      </c>
      <c r="F170" s="14"/>
      <c r="G170" s="14"/>
      <c r="H170" s="14" t="s">
        <v>87</v>
      </c>
      <c r="I170" s="14"/>
      <c r="J170" s="14"/>
      <c r="K170" s="14"/>
      <c r="L170" s="15"/>
      <c r="M170" s="12" t="s">
        <v>72</v>
      </c>
      <c r="N170" s="5" t="s">
        <v>3680</v>
      </c>
      <c r="O170" s="12" t="s">
        <v>2351</v>
      </c>
      <c r="P170" s="5" t="s">
        <v>3681</v>
      </c>
      <c r="Q170" s="12" t="s">
        <v>460</v>
      </c>
      <c r="R170" s="12" t="s">
        <v>282</v>
      </c>
      <c r="S170" s="5" t="s">
        <v>3682</v>
      </c>
      <c r="T170" s="5" t="s">
        <v>427</v>
      </c>
      <c r="U170" s="12" t="n">
        <v>1</v>
      </c>
      <c r="V170" s="12" t="n">
        <v>2</v>
      </c>
      <c r="W170" s="12" t="n">
        <v>1</v>
      </c>
      <c r="X170" s="12" t="n">
        <v>1</v>
      </c>
      <c r="Y170" s="12" t="n">
        <v>1</v>
      </c>
    </row>
    <row r="171" customFormat="false" ht="162" hidden="false" customHeight="true" outlineLevel="0" collapsed="false">
      <c r="A171" s="12" t="s">
        <v>3678</v>
      </c>
      <c r="B171" s="5" t="s">
        <v>3679</v>
      </c>
      <c r="C171" s="12" t="s">
        <v>3684</v>
      </c>
      <c r="D171" s="12" t="s">
        <v>120</v>
      </c>
      <c r="E171" s="5" t="s">
        <v>3685</v>
      </c>
      <c r="F171" s="14"/>
      <c r="G171" s="14"/>
      <c r="H171" s="14" t="s">
        <v>87</v>
      </c>
      <c r="I171" s="14"/>
      <c r="J171" s="14"/>
      <c r="K171" s="14"/>
      <c r="L171" s="15"/>
      <c r="M171" s="12" t="s">
        <v>72</v>
      </c>
      <c r="N171" s="5"/>
      <c r="O171" s="12"/>
      <c r="P171" s="5" t="s">
        <v>3686</v>
      </c>
      <c r="Q171" s="12" t="s">
        <v>3687</v>
      </c>
      <c r="R171" s="12" t="s">
        <v>282</v>
      </c>
      <c r="S171" s="5" t="s">
        <v>3688</v>
      </c>
      <c r="T171" s="5" t="s">
        <v>427</v>
      </c>
      <c r="U171" s="12" t="n">
        <v>1</v>
      </c>
      <c r="V171" s="12" t="n">
        <v>2</v>
      </c>
      <c r="W171" s="12" t="n">
        <v>1</v>
      </c>
      <c r="X171" s="12" t="n">
        <v>1</v>
      </c>
      <c r="Y171" s="12" t="n">
        <v>1</v>
      </c>
    </row>
    <row r="172" customFormat="false" ht="243" hidden="false" customHeight="true" outlineLevel="0" collapsed="false">
      <c r="A172" s="12" t="s">
        <v>3678</v>
      </c>
      <c r="B172" s="5" t="s">
        <v>3679</v>
      </c>
      <c r="C172" s="12" t="s">
        <v>3689</v>
      </c>
      <c r="D172" s="12" t="s">
        <v>120</v>
      </c>
      <c r="E172" s="5" t="s">
        <v>3690</v>
      </c>
      <c r="F172" s="14"/>
      <c r="G172" s="14"/>
      <c r="H172" s="14" t="s">
        <v>87</v>
      </c>
      <c r="I172" s="14"/>
      <c r="J172" s="14"/>
      <c r="K172" s="14"/>
      <c r="L172" s="15"/>
      <c r="M172" s="12" t="s">
        <v>88</v>
      </c>
      <c r="N172" s="5" t="s">
        <v>3691</v>
      </c>
      <c r="O172" s="12" t="s">
        <v>412</v>
      </c>
      <c r="P172" s="5" t="s">
        <v>3692</v>
      </c>
      <c r="Q172" s="12" t="s">
        <v>460</v>
      </c>
      <c r="R172" s="12" t="s">
        <v>282</v>
      </c>
      <c r="S172" s="5" t="s">
        <v>3693</v>
      </c>
      <c r="T172" s="5" t="s">
        <v>3367</v>
      </c>
      <c r="U172" s="12" t="n">
        <v>2</v>
      </c>
      <c r="V172" s="12" t="n">
        <v>2</v>
      </c>
      <c r="W172" s="12" t="n">
        <v>2</v>
      </c>
      <c r="X172" s="12" t="n">
        <v>1</v>
      </c>
      <c r="Y172" s="12" t="n">
        <v>1</v>
      </c>
    </row>
    <row r="173" customFormat="false" ht="68.25" hidden="false" customHeight="true" outlineLevel="0" collapsed="false">
      <c r="A173" s="10" t="s">
        <v>3694</v>
      </c>
      <c r="B173" s="11" t="s">
        <v>3695</v>
      </c>
      <c r="C173" s="12"/>
      <c r="D173" s="12" t="s">
        <v>120</v>
      </c>
      <c r="E173" s="5" t="s">
        <v>79</v>
      </c>
      <c r="F173" s="12"/>
      <c r="G173" s="12"/>
      <c r="H173" s="13" t="str">
        <f aca="false">IF(OR(COUNTBLANK($H$174:$H$174)&gt;0,COUNTIF($H$174:$H$174,"unbearbeitet")=COUNTA($H$174:$H$174)),"Bitte Teilanforderungen ausfüllen",IF(COUNTIF($H$174:$H$174,"zu klären")&gt;0,"zu klären",IF(COUNTIF($H$174:$H$174,"entbehrlich")=COUNTA($H$174:$H$174),"entbehrlich",IF(COUNTIF($H$174:$H$174,"verwiesen")=COUNTA($H$174:$H$174),"verwiesen",IF(COUNTIF($H$174:$H$174,"nein")+COUNTIF($H$174:$H$174,"entbehrlich")=COUNTA($H$174:$H$174),"nein",IF(COUNTIF($H$174:$H$174,"ja")+COUNTIF($H$174:$H$174,"entbehrlich")+COUNTIF($H$174:$H$174,"verwiesen")=COUNTA($H$174:$H$174),"ja","teilweise"))))))</f>
        <v>Bitte Teilanforderungen ausfüllen</v>
      </c>
      <c r="I173" s="12"/>
      <c r="J173" s="12"/>
      <c r="K173" s="12"/>
      <c r="L173" s="12"/>
      <c r="M173" s="12" t="s">
        <v>72</v>
      </c>
      <c r="N173" s="5"/>
      <c r="O173" s="12"/>
      <c r="P173" s="5" t="s">
        <v>3696</v>
      </c>
      <c r="Q173" s="12" t="s">
        <v>3507</v>
      </c>
      <c r="R173" s="12" t="s">
        <v>282</v>
      </c>
      <c r="S173" s="5" t="s">
        <v>3697</v>
      </c>
      <c r="T173" s="5" t="s">
        <v>427</v>
      </c>
      <c r="U173" s="12" t="n">
        <v>3</v>
      </c>
      <c r="V173" s="12" t="n">
        <v>2</v>
      </c>
      <c r="W173" s="12" t="n">
        <v>1</v>
      </c>
      <c r="X173" s="12" t="n">
        <v>1</v>
      </c>
      <c r="Y173" s="12" t="n">
        <v>1</v>
      </c>
    </row>
    <row r="174" customFormat="false" ht="68.25" hidden="false" customHeight="true" outlineLevel="0" collapsed="false">
      <c r="A174" s="12" t="s">
        <v>3694</v>
      </c>
      <c r="B174" s="5" t="s">
        <v>3695</v>
      </c>
      <c r="C174" s="12" t="s">
        <v>3694</v>
      </c>
      <c r="D174" s="12" t="s">
        <v>120</v>
      </c>
      <c r="E174" s="5" t="s">
        <v>3698</v>
      </c>
      <c r="F174" s="14"/>
      <c r="G174" s="14"/>
      <c r="H174" s="14" t="s">
        <v>87</v>
      </c>
      <c r="I174" s="14"/>
      <c r="J174" s="14"/>
      <c r="K174" s="14"/>
      <c r="L174" s="15"/>
      <c r="M174" s="12" t="s">
        <v>72</v>
      </c>
      <c r="N174" s="5"/>
      <c r="O174" s="12"/>
      <c r="P174" s="5" t="s">
        <v>3696</v>
      </c>
      <c r="Q174" s="12" t="s">
        <v>3507</v>
      </c>
      <c r="R174" s="12" t="s">
        <v>282</v>
      </c>
      <c r="S174" s="5" t="s">
        <v>3697</v>
      </c>
      <c r="T174" s="5" t="s">
        <v>427</v>
      </c>
      <c r="U174" s="12" t="n">
        <v>3</v>
      </c>
      <c r="V174" s="12" t="n">
        <v>2</v>
      </c>
      <c r="W174" s="12" t="n">
        <v>1</v>
      </c>
      <c r="X174" s="12" t="n">
        <v>1</v>
      </c>
      <c r="Y174" s="12" t="n">
        <v>1</v>
      </c>
    </row>
    <row r="175" customFormat="false" ht="81.75" hidden="false" customHeight="true" outlineLevel="0" collapsed="false">
      <c r="A175" s="10" t="s">
        <v>3699</v>
      </c>
      <c r="B175" s="11" t="s">
        <v>3700</v>
      </c>
      <c r="C175" s="12"/>
      <c r="D175" s="12" t="s">
        <v>120</v>
      </c>
      <c r="E175" s="5" t="s">
        <v>79</v>
      </c>
      <c r="F175" s="12"/>
      <c r="G175" s="12"/>
      <c r="H175" s="13" t="str">
        <f aca="false">IF(OR(COUNTBLANK($H$176:$H$176)&gt;0,COUNTIF($H$176:$H$176,"unbearbeitet")=COUNTA($H$176:$H$176)),"Bitte Teilanforderungen ausfüllen",IF(COUNTIF($H$176:$H$176,"zu klären")&gt;0,"zu klären",IF(COUNTIF($H$176:$H$176,"entbehrlich")=COUNTA($H$176:$H$176),"entbehrlich",IF(COUNTIF($H$176:$H$176,"verwiesen")=COUNTA($H$176:$H$176),"verwiesen",IF(COUNTIF($H$176:$H$176,"nein")+COUNTIF($H$176:$H$176,"entbehrlich")=COUNTA($H$176:$H$176),"nein",IF(COUNTIF($H$176:$H$176,"ja")+COUNTIF($H$176:$H$176,"entbehrlich")+COUNTIF($H$176:$H$176,"verwiesen")=COUNTA($H$176:$H$176),"ja","teilweise"))))))</f>
        <v>Bitte Teilanforderungen ausfüllen</v>
      </c>
      <c r="I175" s="12"/>
      <c r="J175" s="12"/>
      <c r="K175" s="12"/>
      <c r="L175" s="12"/>
      <c r="M175" s="12" t="s">
        <v>72</v>
      </c>
      <c r="N175" s="5"/>
      <c r="O175" s="12"/>
      <c r="P175" s="5" t="s">
        <v>3701</v>
      </c>
      <c r="Q175" s="12" t="s">
        <v>3702</v>
      </c>
      <c r="R175" s="12" t="s">
        <v>282</v>
      </c>
      <c r="S175" s="5" t="s">
        <v>3703</v>
      </c>
      <c r="T175" s="5" t="s">
        <v>3317</v>
      </c>
      <c r="U175" s="12" t="n">
        <v>3</v>
      </c>
      <c r="V175" s="12" t="n">
        <v>2</v>
      </c>
      <c r="W175" s="12" t="n">
        <v>0</v>
      </c>
      <c r="X175" s="12" t="n">
        <v>0</v>
      </c>
      <c r="Y175" s="12" t="n">
        <v>0</v>
      </c>
    </row>
    <row r="176" customFormat="false" ht="81.75" hidden="false" customHeight="true" outlineLevel="0" collapsed="false">
      <c r="A176" s="12" t="s">
        <v>3699</v>
      </c>
      <c r="B176" s="5" t="s">
        <v>3700</v>
      </c>
      <c r="C176" s="12" t="s">
        <v>3699</v>
      </c>
      <c r="D176" s="12" t="s">
        <v>120</v>
      </c>
      <c r="E176" s="5" t="s">
        <v>3704</v>
      </c>
      <c r="F176" s="14"/>
      <c r="G176" s="14"/>
      <c r="H176" s="14" t="s">
        <v>87</v>
      </c>
      <c r="I176" s="14"/>
      <c r="J176" s="14"/>
      <c r="K176" s="14"/>
      <c r="L176" s="15"/>
      <c r="M176" s="12" t="s">
        <v>72</v>
      </c>
      <c r="N176" s="5"/>
      <c r="O176" s="12"/>
      <c r="P176" s="5" t="s">
        <v>3701</v>
      </c>
      <c r="Q176" s="12" t="s">
        <v>3702</v>
      </c>
      <c r="R176" s="12" t="s">
        <v>282</v>
      </c>
      <c r="S176" s="5" t="s">
        <v>3703</v>
      </c>
      <c r="T176" s="5" t="s">
        <v>3317</v>
      </c>
      <c r="U176" s="12" t="n">
        <v>3</v>
      </c>
      <c r="V176" s="12" t="n">
        <v>2</v>
      </c>
      <c r="W176" s="12" t="n">
        <v>0</v>
      </c>
      <c r="X176" s="12" t="n">
        <v>0</v>
      </c>
      <c r="Y176" s="12" t="n">
        <v>0</v>
      </c>
    </row>
    <row r="177" customFormat="false" ht="122.25" hidden="false" customHeight="true" outlineLevel="0" collapsed="false">
      <c r="A177" s="10" t="s">
        <v>3705</v>
      </c>
      <c r="B177" s="11" t="s">
        <v>3706</v>
      </c>
      <c r="C177" s="12"/>
      <c r="D177" s="12" t="s">
        <v>120</v>
      </c>
      <c r="E177" s="5" t="s">
        <v>79</v>
      </c>
      <c r="F177" s="12"/>
      <c r="G177" s="12"/>
      <c r="H177" s="13" t="str">
        <f aca="false">IF(OR(COUNTBLANK($H$178:$H$178)&gt;0,COUNTIF($H$178:$H$178,"unbearbeitet")=COUNTA($H$178:$H$178)),"Bitte Teilanforderungen ausfüllen",IF(COUNTIF($H$178:$H$178,"zu klären")&gt;0,"zu klären",IF(COUNTIF($H$178:$H$178,"entbehrlich")=COUNTA($H$178:$H$178),"entbehrlich",IF(COUNTIF($H$178:$H$178,"verwiesen")=COUNTA($H$178:$H$178),"verwiesen",IF(COUNTIF($H$178:$H$178,"nein")+COUNTIF($H$178:$H$178,"entbehrlich")=COUNTA($H$178:$H$178),"nein",IF(COUNTIF($H$178:$H$178,"ja")+COUNTIF($H$178:$H$178,"entbehrlich")+COUNTIF($H$178:$H$178,"verwiesen")=COUNTA($H$178:$H$178),"ja","teilweise"))))))</f>
        <v>Bitte Teilanforderungen ausfüllen</v>
      </c>
      <c r="I177" s="12"/>
      <c r="J177" s="12"/>
      <c r="K177" s="12"/>
      <c r="L177" s="12"/>
      <c r="M177" s="12" t="s">
        <v>72</v>
      </c>
      <c r="N177" s="5"/>
      <c r="O177" s="12"/>
      <c r="P177" s="5" t="s">
        <v>3707</v>
      </c>
      <c r="Q177" s="12" t="s">
        <v>3708</v>
      </c>
      <c r="R177" s="12" t="s">
        <v>282</v>
      </c>
      <c r="S177" s="5" t="s">
        <v>3709</v>
      </c>
      <c r="T177" s="5" t="s">
        <v>3710</v>
      </c>
      <c r="U177" s="12" t="n">
        <v>4</v>
      </c>
      <c r="V177" s="12" t="n">
        <v>2</v>
      </c>
      <c r="W177" s="12" t="n">
        <v>1</v>
      </c>
      <c r="X177" s="12" t="n">
        <v>0</v>
      </c>
      <c r="Y177" s="12" t="n">
        <v>0</v>
      </c>
    </row>
    <row r="178" customFormat="false" ht="122.25" hidden="false" customHeight="true" outlineLevel="0" collapsed="false">
      <c r="A178" s="12" t="s">
        <v>3705</v>
      </c>
      <c r="B178" s="5" t="s">
        <v>3706</v>
      </c>
      <c r="C178" s="12" t="s">
        <v>3705</v>
      </c>
      <c r="D178" s="12" t="s">
        <v>120</v>
      </c>
      <c r="E178" s="5" t="s">
        <v>3711</v>
      </c>
      <c r="F178" s="14"/>
      <c r="G178" s="14"/>
      <c r="H178" s="14" t="s">
        <v>87</v>
      </c>
      <c r="I178" s="14"/>
      <c r="J178" s="14"/>
      <c r="K178" s="14"/>
      <c r="L178" s="15"/>
      <c r="M178" s="12" t="s">
        <v>72</v>
      </c>
      <c r="N178" s="5"/>
      <c r="O178" s="12"/>
      <c r="P178" s="5" t="s">
        <v>3707</v>
      </c>
      <c r="Q178" s="12" t="s">
        <v>3708</v>
      </c>
      <c r="R178" s="12" t="s">
        <v>282</v>
      </c>
      <c r="S178" s="5" t="s">
        <v>3709</v>
      </c>
      <c r="T178" s="5" t="s">
        <v>3710</v>
      </c>
      <c r="U178" s="12" t="n">
        <v>4</v>
      </c>
      <c r="V178" s="12" t="n">
        <v>2</v>
      </c>
      <c r="W178" s="12" t="n">
        <v>1</v>
      </c>
      <c r="X178" s="12" t="n">
        <v>0</v>
      </c>
      <c r="Y178" s="12" t="n">
        <v>0</v>
      </c>
    </row>
    <row r="179" customFormat="false" ht="270" hidden="false" customHeight="true" outlineLevel="0" collapsed="false">
      <c r="A179" s="10" t="s">
        <v>3712</v>
      </c>
      <c r="B179" s="11" t="s">
        <v>3713</v>
      </c>
      <c r="C179" s="12"/>
      <c r="D179" s="12" t="s">
        <v>120</v>
      </c>
      <c r="E179" s="5" t="s">
        <v>79</v>
      </c>
      <c r="F179" s="12"/>
      <c r="G179" s="12"/>
      <c r="H179" s="13" t="str">
        <f aca="false">IF(OR(COUNTBLANK($H$180:$H$180)&gt;0,COUNTIF($H$180:$H$180,"unbearbeitet")=COUNTA($H$180:$H$180)),"Bitte Teilanforderungen ausfüllen",IF(COUNTIF($H$180:$H$180,"zu klären")&gt;0,"zu klären",IF(COUNTIF($H$180:$H$180,"entbehrlich")=COUNTA($H$180:$H$180),"entbehrlich",IF(COUNTIF($H$180:$H$180,"verwiesen")=COUNTA($H$180:$H$180),"verwiesen",IF(COUNTIF($H$180:$H$180,"nein")+COUNTIF($H$180:$H$180,"entbehrlich")=COUNTA($H$180:$H$180),"nein",IF(COUNTIF($H$180:$H$180,"ja")+COUNTIF($H$180:$H$180,"entbehrlich")+COUNTIF($H$180:$H$180,"verwiesen")=COUNTA($H$180:$H$180),"ja","teilweise"))))))</f>
        <v>Bitte Teilanforderungen ausfüllen</v>
      </c>
      <c r="I179" s="12"/>
      <c r="J179" s="12"/>
      <c r="K179" s="12"/>
      <c r="L179" s="12"/>
      <c r="M179" s="12" t="s">
        <v>88</v>
      </c>
      <c r="N179" s="5"/>
      <c r="O179" s="12"/>
      <c r="P179" s="5" t="s">
        <v>3714</v>
      </c>
      <c r="Q179" s="12" t="s">
        <v>3687</v>
      </c>
      <c r="R179" s="12" t="s">
        <v>282</v>
      </c>
      <c r="S179" s="5" t="s">
        <v>3715</v>
      </c>
      <c r="T179" s="5" t="s">
        <v>3383</v>
      </c>
      <c r="U179" s="12" t="n">
        <v>3</v>
      </c>
      <c r="V179" s="12" t="n">
        <v>2</v>
      </c>
      <c r="W179" s="12" t="n">
        <v>2</v>
      </c>
      <c r="X179" s="12" t="n">
        <v>1</v>
      </c>
      <c r="Y179" s="12" t="n">
        <v>1</v>
      </c>
    </row>
    <row r="180" customFormat="false" ht="270" hidden="false" customHeight="true" outlineLevel="0" collapsed="false">
      <c r="A180" s="12" t="s">
        <v>3712</v>
      </c>
      <c r="B180" s="5" t="s">
        <v>3713</v>
      </c>
      <c r="C180" s="12" t="s">
        <v>3712</v>
      </c>
      <c r="D180" s="12" t="s">
        <v>120</v>
      </c>
      <c r="E180" s="5" t="s">
        <v>3716</v>
      </c>
      <c r="F180" s="14"/>
      <c r="G180" s="14"/>
      <c r="H180" s="14" t="s">
        <v>87</v>
      </c>
      <c r="I180" s="14"/>
      <c r="J180" s="14"/>
      <c r="K180" s="14"/>
      <c r="L180" s="15"/>
      <c r="M180" s="12" t="s">
        <v>88</v>
      </c>
      <c r="N180" s="5"/>
      <c r="O180" s="12"/>
      <c r="P180" s="5" t="s">
        <v>3714</v>
      </c>
      <c r="Q180" s="12" t="s">
        <v>3687</v>
      </c>
      <c r="R180" s="12" t="s">
        <v>282</v>
      </c>
      <c r="S180" s="5" t="s">
        <v>3715</v>
      </c>
      <c r="T180" s="5" t="s">
        <v>3383</v>
      </c>
      <c r="U180" s="12" t="n">
        <v>3</v>
      </c>
      <c r="V180" s="12" t="n">
        <v>2</v>
      </c>
      <c r="W180" s="12" t="n">
        <v>2</v>
      </c>
      <c r="X180" s="12" t="n">
        <v>1</v>
      </c>
      <c r="Y180" s="12" t="n">
        <v>1</v>
      </c>
    </row>
    <row r="181" customFormat="false" ht="54.75" hidden="false" customHeight="true" outlineLevel="0" collapsed="false">
      <c r="A181" s="10" t="s">
        <v>3717</v>
      </c>
      <c r="B181" s="11" t="s">
        <v>3718</v>
      </c>
      <c r="C181" s="12"/>
      <c r="D181" s="12" t="s">
        <v>160</v>
      </c>
      <c r="E181" s="5" t="s">
        <v>79</v>
      </c>
      <c r="F181" s="12"/>
      <c r="G181" s="12"/>
      <c r="H181" s="13" t="str">
        <f aca="false">IF(OR(COUNTBLANK($H$182:$H$182)&gt;0,COUNTIF($H$182:$H$182,"unbearbeitet")=COUNTA($H$182:$H$182)),"Bitte Teilanforderungen ausfüllen",IF(COUNTIF($H$182:$H$182,"zu klären")&gt;0,"zu klären",IF(COUNTIF($H$182:$H$182,"entbehrlich")=COUNTA($H$182:$H$182),"entbehrlich",IF(COUNTIF($H$182:$H$182,"verwiesen")=COUNTA($H$182:$H$182),"verwiesen",IF(COUNTIF($H$182:$H$182,"nein")+COUNTIF($H$182:$H$182,"entbehrlich")=COUNTA($H$182:$H$182),"nein",IF(COUNTIF($H$182:$H$182,"ja")+COUNTIF($H$182:$H$182,"entbehrlich")+COUNTIF($H$182:$H$182,"verwiesen")=COUNTA($H$182:$H$182),"ja","teilweise"))))))</f>
        <v>Bitte Teilanforderungen ausfüllen</v>
      </c>
      <c r="I181" s="12"/>
      <c r="J181" s="12"/>
      <c r="K181" s="12"/>
      <c r="L181" s="12"/>
      <c r="M181" s="12" t="s">
        <v>88</v>
      </c>
      <c r="N181" s="5"/>
      <c r="O181" s="12"/>
      <c r="P181" s="5" t="s">
        <v>3719</v>
      </c>
      <c r="Q181" s="12" t="s">
        <v>460</v>
      </c>
      <c r="R181" s="12" t="s">
        <v>282</v>
      </c>
      <c r="S181" s="5" t="s">
        <v>3720</v>
      </c>
      <c r="T181" s="5" t="s">
        <v>3383</v>
      </c>
      <c r="U181" s="12" t="n">
        <v>5</v>
      </c>
      <c r="V181" s="12" t="n">
        <v>2</v>
      </c>
      <c r="W181" s="12" t="n">
        <v>2</v>
      </c>
      <c r="X181" s="12" t="n">
        <v>1</v>
      </c>
      <c r="Y181" s="12" t="n">
        <v>1</v>
      </c>
    </row>
    <row r="182" customFormat="false" ht="54.75" hidden="false" customHeight="true" outlineLevel="0" collapsed="false">
      <c r="A182" s="12" t="s">
        <v>3717</v>
      </c>
      <c r="B182" s="5" t="s">
        <v>3718</v>
      </c>
      <c r="C182" s="12" t="s">
        <v>3717</v>
      </c>
      <c r="D182" s="12" t="s">
        <v>160</v>
      </c>
      <c r="E182" s="5" t="s">
        <v>3721</v>
      </c>
      <c r="F182" s="14"/>
      <c r="G182" s="14"/>
      <c r="H182" s="14" t="s">
        <v>87</v>
      </c>
      <c r="I182" s="14"/>
      <c r="J182" s="14"/>
      <c r="K182" s="14"/>
      <c r="L182" s="15"/>
      <c r="M182" s="12" t="s">
        <v>88</v>
      </c>
      <c r="N182" s="5"/>
      <c r="O182" s="12"/>
      <c r="P182" s="5" t="s">
        <v>3719</v>
      </c>
      <c r="Q182" s="12" t="s">
        <v>460</v>
      </c>
      <c r="R182" s="12" t="s">
        <v>282</v>
      </c>
      <c r="S182" s="5" t="s">
        <v>3720</v>
      </c>
      <c r="T182" s="5" t="s">
        <v>3383</v>
      </c>
      <c r="U182" s="12" t="n">
        <v>5</v>
      </c>
      <c r="V182" s="12" t="n">
        <v>2</v>
      </c>
      <c r="W182" s="12" t="n">
        <v>2</v>
      </c>
      <c r="X182" s="12" t="n">
        <v>1</v>
      </c>
      <c r="Y182" s="12" t="n">
        <v>1</v>
      </c>
    </row>
    <row r="183" customFormat="false" ht="336.75" hidden="false" customHeight="true" outlineLevel="0" collapsed="false">
      <c r="A183" s="10" t="s">
        <v>3722</v>
      </c>
      <c r="B183" s="11" t="s">
        <v>3723</v>
      </c>
      <c r="C183" s="12"/>
      <c r="D183" s="12" t="s">
        <v>120</v>
      </c>
      <c r="E183" s="5" t="s">
        <v>79</v>
      </c>
      <c r="F183" s="12"/>
      <c r="G183" s="12"/>
      <c r="H183" s="13" t="str">
        <f aca="false">IF(OR(COUNTBLANK($H$184:$H$187)&gt;0,COUNTIF($H$184:$H$187,"unbearbeitet")=COUNTA($H$184:$H$187)),"Bitte Teilanforderungen ausfüllen",IF(COUNTIF($H$184:$H$187,"zu klären")&gt;0,"zu klären",IF(COUNTIF($H$184:$H$187,"entbehrlich")=COUNTA($H$184:$H$187),"entbehrlich",IF(COUNTIF($H$184:$H$187,"verwiesen")=COUNTA($H$184:$H$187),"verwiesen",IF(COUNTIF($H$184:$H$187,"nein")+COUNTIF($H$184:$H$187,"entbehrlich")=COUNTA($H$184:$H$187),"nein",IF(COUNTIF($H$184:$H$187,"ja")+COUNTIF($H$184:$H$187,"entbehrlich")+COUNTIF($H$184:$H$187,"verwiesen")=COUNTA($H$184:$H$187),"ja","teilweise"))))))</f>
        <v>Bitte Teilanforderungen ausfüllen</v>
      </c>
      <c r="I183" s="12"/>
      <c r="J183" s="12"/>
      <c r="K183" s="12"/>
      <c r="L183" s="12"/>
      <c r="M183" s="12" t="s">
        <v>72</v>
      </c>
      <c r="N183" s="5"/>
      <c r="O183" s="12"/>
      <c r="P183" s="5" t="s">
        <v>3724</v>
      </c>
      <c r="Q183" s="12" t="s">
        <v>460</v>
      </c>
      <c r="R183" s="12" t="s">
        <v>282</v>
      </c>
      <c r="S183" s="5" t="s">
        <v>3725</v>
      </c>
      <c r="T183" s="5" t="s">
        <v>3710</v>
      </c>
      <c r="U183" s="12" t="n">
        <v>3</v>
      </c>
      <c r="V183" s="12" t="n">
        <v>2</v>
      </c>
      <c r="W183" s="12" t="n">
        <v>1</v>
      </c>
      <c r="X183" s="12" t="n">
        <v>0</v>
      </c>
      <c r="Y183" s="12" t="n">
        <v>0</v>
      </c>
    </row>
    <row r="184" customFormat="false" ht="336.75" hidden="false" customHeight="true" outlineLevel="0" collapsed="false">
      <c r="A184" s="12" t="s">
        <v>3722</v>
      </c>
      <c r="B184" s="5" t="s">
        <v>3723</v>
      </c>
      <c r="C184" s="12" t="s">
        <v>3722</v>
      </c>
      <c r="D184" s="12" t="s">
        <v>120</v>
      </c>
      <c r="E184" s="5" t="s">
        <v>3726</v>
      </c>
      <c r="F184" s="14"/>
      <c r="G184" s="14"/>
      <c r="H184" s="14" t="s">
        <v>87</v>
      </c>
      <c r="I184" s="14"/>
      <c r="J184" s="14"/>
      <c r="K184" s="14"/>
      <c r="L184" s="15"/>
      <c r="M184" s="12" t="s">
        <v>72</v>
      </c>
      <c r="N184" s="5"/>
      <c r="O184" s="12"/>
      <c r="P184" s="5" t="s">
        <v>3724</v>
      </c>
      <c r="Q184" s="12" t="s">
        <v>460</v>
      </c>
      <c r="R184" s="12" t="s">
        <v>282</v>
      </c>
      <c r="S184" s="5" t="s">
        <v>3725</v>
      </c>
      <c r="T184" s="5" t="s">
        <v>3710</v>
      </c>
      <c r="U184" s="12" t="n">
        <v>3</v>
      </c>
      <c r="V184" s="12" t="n">
        <v>2</v>
      </c>
      <c r="W184" s="12" t="n">
        <v>1</v>
      </c>
      <c r="X184" s="12" t="n">
        <v>0</v>
      </c>
      <c r="Y184" s="12" t="n">
        <v>0</v>
      </c>
    </row>
    <row r="185" customFormat="false" ht="54.75" hidden="false" customHeight="true" outlineLevel="0" collapsed="false">
      <c r="A185" s="12" t="s">
        <v>3722</v>
      </c>
      <c r="B185" s="5" t="s">
        <v>3723</v>
      </c>
      <c r="C185" s="12" t="s">
        <v>3727</v>
      </c>
      <c r="D185" s="12" t="s">
        <v>120</v>
      </c>
      <c r="E185" s="5" t="s">
        <v>3728</v>
      </c>
      <c r="F185" s="14"/>
      <c r="G185" s="14"/>
      <c r="H185" s="14" t="s">
        <v>87</v>
      </c>
      <c r="I185" s="14"/>
      <c r="J185" s="14"/>
      <c r="K185" s="14"/>
      <c r="L185" s="15"/>
      <c r="M185" s="12" t="s">
        <v>72</v>
      </c>
      <c r="N185" s="5"/>
      <c r="O185" s="12"/>
      <c r="P185" s="5" t="s">
        <v>3729</v>
      </c>
      <c r="Q185" s="12" t="s">
        <v>3702</v>
      </c>
      <c r="R185" s="12" t="s">
        <v>282</v>
      </c>
      <c r="S185" s="5" t="s">
        <v>3730</v>
      </c>
      <c r="T185" s="5" t="s">
        <v>3412</v>
      </c>
      <c r="U185" s="12" t="n">
        <v>3</v>
      </c>
      <c r="V185" s="12" t="n">
        <v>2</v>
      </c>
      <c r="W185" s="12" t="n">
        <v>1</v>
      </c>
      <c r="X185" s="12" t="n">
        <v>1</v>
      </c>
      <c r="Y185" s="12" t="n">
        <v>1</v>
      </c>
    </row>
    <row r="186" customFormat="false" ht="54.75" hidden="false" customHeight="true" outlineLevel="0" collapsed="false">
      <c r="A186" s="12" t="s">
        <v>3722</v>
      </c>
      <c r="B186" s="5" t="s">
        <v>3723</v>
      </c>
      <c r="C186" s="12" t="s">
        <v>3731</v>
      </c>
      <c r="D186" s="12" t="s">
        <v>120</v>
      </c>
      <c r="E186" s="5" t="s">
        <v>3732</v>
      </c>
      <c r="F186" s="14"/>
      <c r="G186" s="14"/>
      <c r="H186" s="14" t="s">
        <v>87</v>
      </c>
      <c r="I186" s="14"/>
      <c r="J186" s="14"/>
      <c r="K186" s="14"/>
      <c r="L186" s="15"/>
      <c r="M186" s="12" t="s">
        <v>88</v>
      </c>
      <c r="N186" s="5"/>
      <c r="O186" s="12"/>
      <c r="P186" s="5" t="s">
        <v>3733</v>
      </c>
      <c r="Q186" s="12" t="s">
        <v>3687</v>
      </c>
      <c r="R186" s="12" t="s">
        <v>282</v>
      </c>
      <c r="S186" s="5" t="s">
        <v>3734</v>
      </c>
      <c r="T186" s="5" t="s">
        <v>3383</v>
      </c>
      <c r="U186" s="12" t="n">
        <v>3</v>
      </c>
      <c r="V186" s="12" t="n">
        <v>2</v>
      </c>
      <c r="W186" s="12" t="n">
        <v>2</v>
      </c>
      <c r="X186" s="12" t="n">
        <v>1</v>
      </c>
      <c r="Y186" s="12" t="n">
        <v>1</v>
      </c>
    </row>
    <row r="187" customFormat="false" ht="68.25" hidden="false" customHeight="true" outlineLevel="0" collapsed="false">
      <c r="A187" s="12" t="s">
        <v>3722</v>
      </c>
      <c r="B187" s="5" t="s">
        <v>3723</v>
      </c>
      <c r="C187" s="12" t="s">
        <v>3735</v>
      </c>
      <c r="D187" s="12" t="s">
        <v>120</v>
      </c>
      <c r="E187" s="5" t="s">
        <v>3736</v>
      </c>
      <c r="F187" s="14"/>
      <c r="G187" s="14"/>
      <c r="H187" s="14" t="s">
        <v>87</v>
      </c>
      <c r="I187" s="14"/>
      <c r="J187" s="14"/>
      <c r="K187" s="14"/>
      <c r="L187" s="15"/>
      <c r="M187" s="12" t="s">
        <v>88</v>
      </c>
      <c r="N187" s="5"/>
      <c r="O187" s="12"/>
      <c r="P187" s="5" t="s">
        <v>3737</v>
      </c>
      <c r="Q187" s="12" t="s">
        <v>3687</v>
      </c>
      <c r="R187" s="12" t="s">
        <v>282</v>
      </c>
      <c r="S187" s="5" t="s">
        <v>3738</v>
      </c>
      <c r="T187" s="5" t="s">
        <v>3383</v>
      </c>
      <c r="U187" s="12" t="n">
        <v>3</v>
      </c>
      <c r="V187" s="12" t="n">
        <v>2</v>
      </c>
      <c r="W187" s="12" t="n">
        <v>2</v>
      </c>
      <c r="X187" s="12" t="n">
        <v>1</v>
      </c>
      <c r="Y187" s="12" t="n">
        <v>1</v>
      </c>
    </row>
    <row r="188" customFormat="false" ht="41.25" hidden="false" customHeight="true" outlineLevel="0" collapsed="false">
      <c r="A188" s="10" t="s">
        <v>3739</v>
      </c>
      <c r="B188" s="11" t="s">
        <v>3740</v>
      </c>
      <c r="C188" s="12"/>
      <c r="D188" s="12" t="s">
        <v>160</v>
      </c>
      <c r="E188" s="5" t="s">
        <v>79</v>
      </c>
      <c r="F188" s="12"/>
      <c r="G188" s="12"/>
      <c r="H188" s="13" t="str">
        <f aca="false">IF(OR(COUNTBLANK($H$189:$H$189)&gt;0,COUNTIF($H$189:$H$189,"unbearbeitet")=COUNTA($H$189:$H$189)),"Bitte Teilanforderungen ausfüllen",IF(COUNTIF($H$189:$H$189,"zu klären")&gt;0,"zu klären",IF(COUNTIF($H$189:$H$189,"entbehrlich")=COUNTA($H$189:$H$189),"entbehrlich",IF(COUNTIF($H$189:$H$189,"verwiesen")=COUNTA($H$189:$H$189),"verwiesen",IF(COUNTIF($H$189:$H$189,"nein")+COUNTIF($H$189:$H$189,"entbehrlich")=COUNTA($H$189:$H$189),"nein",IF(COUNTIF($H$189:$H$189,"ja")+COUNTIF($H$189:$H$189,"entbehrlich")+COUNTIF($H$189:$H$189,"verwiesen")=COUNTA($H$189:$H$189),"ja","teilweise"))))))</f>
        <v>Bitte Teilanforderungen ausfüllen</v>
      </c>
      <c r="I188" s="12"/>
      <c r="J188" s="12"/>
      <c r="K188" s="12"/>
      <c r="L188" s="12"/>
      <c r="M188" s="12" t="s">
        <v>72</v>
      </c>
      <c r="N188" s="5" t="s">
        <v>3741</v>
      </c>
      <c r="O188" s="12" t="s">
        <v>524</v>
      </c>
      <c r="P188" s="5" t="s">
        <v>3742</v>
      </c>
      <c r="Q188" s="12" t="s">
        <v>460</v>
      </c>
      <c r="R188" s="12" t="s">
        <v>282</v>
      </c>
      <c r="S188" s="5" t="s">
        <v>3743</v>
      </c>
      <c r="T188" s="5" t="s">
        <v>3317</v>
      </c>
      <c r="U188" s="12" t="n">
        <v>5</v>
      </c>
      <c r="V188" s="12" t="n">
        <v>2</v>
      </c>
      <c r="W188" s="12" t="n">
        <v>0</v>
      </c>
      <c r="X188" s="12" t="n">
        <v>0</v>
      </c>
      <c r="Y188" s="12" t="n">
        <v>0</v>
      </c>
    </row>
    <row r="189" customFormat="false" ht="41.25" hidden="false" customHeight="true" outlineLevel="0" collapsed="false">
      <c r="A189" s="12" t="s">
        <v>3739</v>
      </c>
      <c r="B189" s="5" t="s">
        <v>3740</v>
      </c>
      <c r="C189" s="12" t="s">
        <v>3739</v>
      </c>
      <c r="D189" s="12" t="s">
        <v>160</v>
      </c>
      <c r="E189" s="5" t="s">
        <v>3744</v>
      </c>
      <c r="F189" s="14"/>
      <c r="G189" s="14"/>
      <c r="H189" s="14" t="s">
        <v>87</v>
      </c>
      <c r="I189" s="14"/>
      <c r="J189" s="14"/>
      <c r="K189" s="14"/>
      <c r="L189" s="15"/>
      <c r="M189" s="12" t="s">
        <v>72</v>
      </c>
      <c r="N189" s="5" t="s">
        <v>3741</v>
      </c>
      <c r="O189" s="12" t="s">
        <v>524</v>
      </c>
      <c r="P189" s="5" t="s">
        <v>3742</v>
      </c>
      <c r="Q189" s="12" t="s">
        <v>460</v>
      </c>
      <c r="R189" s="12" t="s">
        <v>282</v>
      </c>
      <c r="S189" s="5" t="s">
        <v>3743</v>
      </c>
      <c r="T189" s="5" t="s">
        <v>3317</v>
      </c>
      <c r="U189" s="12" t="n">
        <v>5</v>
      </c>
      <c r="V189" s="12" t="n">
        <v>2</v>
      </c>
      <c r="W189" s="12" t="n">
        <v>0</v>
      </c>
      <c r="X189" s="12" t="n">
        <v>0</v>
      </c>
      <c r="Y189" s="12" t="n">
        <v>0</v>
      </c>
    </row>
    <row r="190" customFormat="false" ht="297" hidden="false" customHeight="true" outlineLevel="0" collapsed="false">
      <c r="A190" s="10" t="s">
        <v>3745</v>
      </c>
      <c r="B190" s="11" t="s">
        <v>3746</v>
      </c>
      <c r="C190" s="12"/>
      <c r="D190" s="12" t="s">
        <v>120</v>
      </c>
      <c r="E190" s="5" t="s">
        <v>79</v>
      </c>
      <c r="F190" s="12"/>
      <c r="G190" s="12"/>
      <c r="H190" s="13" t="str">
        <f aca="false">IF(OR(COUNTBLANK($H$191:$H$202)&gt;0,COUNTIF($H$191:$H$202,"unbearbeitet")=COUNTA($H$191:$H$202)),"Bitte Teilanforderungen ausfüllen",IF(COUNTIF($H$191:$H$202,"zu klären")&gt;0,"zu klären",IF(COUNTIF($H$191:$H$202,"entbehrlich")=COUNTA($H$191:$H$202),"entbehrlich",IF(COUNTIF($H$191:$H$202,"verwiesen")=COUNTA($H$191:$H$202),"verwiesen",IF(COUNTIF($H$191:$H$202,"nein")+COUNTIF($H$191:$H$202,"entbehrlich")=COUNTA($H$191:$H$202),"nein",IF(COUNTIF($H$191:$H$202,"ja")+COUNTIF($H$191:$H$202,"entbehrlich")+COUNTIF($H$191:$H$202,"verwiesen")=COUNTA($H$191:$H$202),"ja","teilweise"))))))</f>
        <v>Bitte Teilanforderungen ausfüllen</v>
      </c>
      <c r="I190" s="12"/>
      <c r="J190" s="12"/>
      <c r="K190" s="12"/>
      <c r="L190" s="12"/>
      <c r="M190" s="12" t="s">
        <v>88</v>
      </c>
      <c r="N190" s="5"/>
      <c r="O190" s="12"/>
      <c r="P190" s="5" t="s">
        <v>3747</v>
      </c>
      <c r="Q190" s="12" t="s">
        <v>460</v>
      </c>
      <c r="R190" s="12" t="s">
        <v>282</v>
      </c>
      <c r="S190" s="5" t="s">
        <v>3748</v>
      </c>
      <c r="T190" s="5" t="s">
        <v>2272</v>
      </c>
      <c r="U190" s="12" t="n">
        <v>1</v>
      </c>
      <c r="V190" s="12" t="n">
        <v>2</v>
      </c>
      <c r="W190" s="12" t="n">
        <v>2</v>
      </c>
      <c r="X190" s="12" t="n">
        <v>1</v>
      </c>
      <c r="Y190" s="12" t="n">
        <v>0</v>
      </c>
    </row>
    <row r="191" customFormat="false" ht="297" hidden="false" customHeight="true" outlineLevel="0" collapsed="false">
      <c r="A191" s="12" t="s">
        <v>3745</v>
      </c>
      <c r="B191" s="5" t="s">
        <v>3746</v>
      </c>
      <c r="C191" s="12" t="s">
        <v>3745</v>
      </c>
      <c r="D191" s="12" t="s">
        <v>120</v>
      </c>
      <c r="E191" s="5" t="s">
        <v>3749</v>
      </c>
      <c r="F191" s="14"/>
      <c r="G191" s="14"/>
      <c r="H191" s="14" t="s">
        <v>87</v>
      </c>
      <c r="I191" s="14"/>
      <c r="J191" s="14"/>
      <c r="K191" s="14"/>
      <c r="L191" s="15"/>
      <c r="M191" s="12" t="s">
        <v>88</v>
      </c>
      <c r="N191" s="5"/>
      <c r="O191" s="12"/>
      <c r="P191" s="5" t="s">
        <v>3747</v>
      </c>
      <c r="Q191" s="12" t="s">
        <v>460</v>
      </c>
      <c r="R191" s="12" t="s">
        <v>282</v>
      </c>
      <c r="S191" s="5" t="s">
        <v>3748</v>
      </c>
      <c r="T191" s="5" t="s">
        <v>2272</v>
      </c>
      <c r="U191" s="12" t="n">
        <v>1</v>
      </c>
      <c r="V191" s="12" t="n">
        <v>2</v>
      </c>
      <c r="W191" s="12" t="n">
        <v>2</v>
      </c>
      <c r="X191" s="12" t="n">
        <v>1</v>
      </c>
      <c r="Y191" s="12" t="n">
        <v>0</v>
      </c>
    </row>
    <row r="192" customFormat="false" ht="175.5" hidden="false" customHeight="true" outlineLevel="0" collapsed="false">
      <c r="A192" s="12" t="s">
        <v>3745</v>
      </c>
      <c r="B192" s="5" t="s">
        <v>3746</v>
      </c>
      <c r="C192" s="12" t="s">
        <v>3750</v>
      </c>
      <c r="D192" s="12" t="s">
        <v>120</v>
      </c>
      <c r="E192" s="5" t="s">
        <v>3751</v>
      </c>
      <c r="F192" s="14"/>
      <c r="G192" s="14"/>
      <c r="H192" s="14" t="s">
        <v>87</v>
      </c>
      <c r="I192" s="14"/>
      <c r="J192" s="14"/>
      <c r="K192" s="14"/>
      <c r="L192" s="15"/>
      <c r="M192" s="12"/>
      <c r="N192" s="5" t="s">
        <v>3752</v>
      </c>
      <c r="O192" s="12" t="s">
        <v>524</v>
      </c>
      <c r="P192" s="5" t="s">
        <v>3753</v>
      </c>
      <c r="Q192" s="12" t="s">
        <v>3518</v>
      </c>
      <c r="R192" s="12" t="s">
        <v>282</v>
      </c>
      <c r="S192" s="5" t="s">
        <v>3754</v>
      </c>
      <c r="T192" s="5" t="s">
        <v>2490</v>
      </c>
      <c r="U192" s="12" t="n">
        <v>1</v>
      </c>
      <c r="V192" s="12" t="n">
        <v>1</v>
      </c>
      <c r="W192" s="12" t="n">
        <v>1</v>
      </c>
      <c r="X192" s="12" t="n">
        <v>0</v>
      </c>
      <c r="Y192" s="12" t="n">
        <v>1</v>
      </c>
    </row>
    <row r="193" customFormat="false" ht="162" hidden="false" customHeight="true" outlineLevel="0" collapsed="false">
      <c r="A193" s="12" t="s">
        <v>3745</v>
      </c>
      <c r="B193" s="5" t="s">
        <v>3746</v>
      </c>
      <c r="C193" s="12" t="s">
        <v>3755</v>
      </c>
      <c r="D193" s="12" t="s">
        <v>120</v>
      </c>
      <c r="E193" s="5" t="s">
        <v>3756</v>
      </c>
      <c r="F193" s="14"/>
      <c r="G193" s="14"/>
      <c r="H193" s="14" t="s">
        <v>87</v>
      </c>
      <c r="I193" s="14"/>
      <c r="J193" s="14"/>
      <c r="K193" s="14"/>
      <c r="L193" s="15"/>
      <c r="M193" s="12" t="s">
        <v>88</v>
      </c>
      <c r="N193" s="5" t="s">
        <v>3757</v>
      </c>
      <c r="O193" s="12" t="s">
        <v>2211</v>
      </c>
      <c r="P193" s="5" t="s">
        <v>3758</v>
      </c>
      <c r="Q193" s="12" t="s">
        <v>3518</v>
      </c>
      <c r="R193" s="12" t="s">
        <v>282</v>
      </c>
      <c r="S193" s="5" t="s">
        <v>3759</v>
      </c>
      <c r="T193" s="5" t="s">
        <v>2272</v>
      </c>
      <c r="U193" s="12" t="n">
        <v>1</v>
      </c>
      <c r="V193" s="12" t="n">
        <v>2</v>
      </c>
      <c r="W193" s="12" t="n">
        <v>2</v>
      </c>
      <c r="X193" s="12" t="n">
        <v>1</v>
      </c>
      <c r="Y193" s="12" t="n">
        <v>0</v>
      </c>
    </row>
    <row r="194" customFormat="false" ht="202.5" hidden="false" customHeight="true" outlineLevel="0" collapsed="false">
      <c r="A194" s="12" t="s">
        <v>3745</v>
      </c>
      <c r="B194" s="5" t="s">
        <v>3746</v>
      </c>
      <c r="C194" s="12" t="s">
        <v>3760</v>
      </c>
      <c r="D194" s="12" t="s">
        <v>120</v>
      </c>
      <c r="E194" s="5" t="s">
        <v>3761</v>
      </c>
      <c r="F194" s="14"/>
      <c r="G194" s="14"/>
      <c r="H194" s="14" t="s">
        <v>87</v>
      </c>
      <c r="I194" s="14"/>
      <c r="J194" s="14"/>
      <c r="K194" s="14"/>
      <c r="L194" s="15"/>
      <c r="M194" s="12" t="s">
        <v>72</v>
      </c>
      <c r="N194" s="5" t="s">
        <v>3762</v>
      </c>
      <c r="O194" s="12" t="s">
        <v>524</v>
      </c>
      <c r="P194" s="5" t="s">
        <v>3763</v>
      </c>
      <c r="Q194" s="12" t="s">
        <v>3518</v>
      </c>
      <c r="R194" s="12" t="s">
        <v>282</v>
      </c>
      <c r="S194" s="5" t="s">
        <v>3764</v>
      </c>
      <c r="T194" s="5" t="s">
        <v>3765</v>
      </c>
      <c r="U194" s="12" t="n">
        <v>1</v>
      </c>
      <c r="V194" s="12" t="n">
        <v>2</v>
      </c>
      <c r="W194" s="12" t="n">
        <v>1</v>
      </c>
      <c r="X194" s="12" t="n">
        <v>1</v>
      </c>
      <c r="Y194" s="12" t="n">
        <v>0</v>
      </c>
    </row>
    <row r="195" customFormat="false" ht="256.5" hidden="false" customHeight="true" outlineLevel="0" collapsed="false">
      <c r="A195" s="12" t="s">
        <v>3745</v>
      </c>
      <c r="B195" s="5" t="s">
        <v>3746</v>
      </c>
      <c r="C195" s="12" t="s">
        <v>3766</v>
      </c>
      <c r="D195" s="12" t="s">
        <v>120</v>
      </c>
      <c r="E195" s="5" t="s">
        <v>3767</v>
      </c>
      <c r="F195" s="14"/>
      <c r="G195" s="14"/>
      <c r="H195" s="14" t="s">
        <v>87</v>
      </c>
      <c r="I195" s="14"/>
      <c r="J195" s="14"/>
      <c r="K195" s="14"/>
      <c r="L195" s="15"/>
      <c r="M195" s="12" t="s">
        <v>73</v>
      </c>
      <c r="N195" s="5" t="s">
        <v>3762</v>
      </c>
      <c r="O195" s="12" t="s">
        <v>524</v>
      </c>
      <c r="P195" s="5" t="s">
        <v>3768</v>
      </c>
      <c r="Q195" s="12" t="s">
        <v>3518</v>
      </c>
      <c r="R195" s="12" t="s">
        <v>282</v>
      </c>
      <c r="S195" s="5" t="s">
        <v>3769</v>
      </c>
      <c r="T195" s="5" t="s">
        <v>2461</v>
      </c>
      <c r="U195" s="12" t="n">
        <v>1</v>
      </c>
      <c r="V195" s="12" t="n">
        <v>0</v>
      </c>
      <c r="W195" s="12" t="n">
        <v>2</v>
      </c>
      <c r="X195" s="12" t="n">
        <v>0</v>
      </c>
      <c r="Y195" s="12" t="n">
        <v>1</v>
      </c>
    </row>
    <row r="196" customFormat="false" ht="202.5" hidden="false" customHeight="true" outlineLevel="0" collapsed="false">
      <c r="A196" s="12" t="s">
        <v>3745</v>
      </c>
      <c r="B196" s="5" t="s">
        <v>3746</v>
      </c>
      <c r="C196" s="12" t="s">
        <v>3770</v>
      </c>
      <c r="D196" s="12" t="s">
        <v>120</v>
      </c>
      <c r="E196" s="5" t="s">
        <v>3771</v>
      </c>
      <c r="F196" s="14"/>
      <c r="G196" s="14"/>
      <c r="H196" s="14" t="s">
        <v>87</v>
      </c>
      <c r="I196" s="14"/>
      <c r="J196" s="14"/>
      <c r="K196" s="14"/>
      <c r="L196" s="15"/>
      <c r="M196" s="12" t="s">
        <v>72</v>
      </c>
      <c r="N196" s="5" t="s">
        <v>3772</v>
      </c>
      <c r="O196" s="12" t="s">
        <v>661</v>
      </c>
      <c r="P196" s="5" t="s">
        <v>3773</v>
      </c>
      <c r="Q196" s="12" t="s">
        <v>3518</v>
      </c>
      <c r="R196" s="12" t="s">
        <v>282</v>
      </c>
      <c r="S196" s="5" t="s">
        <v>3774</v>
      </c>
      <c r="T196" s="5" t="s">
        <v>3775</v>
      </c>
      <c r="U196" s="12" t="n">
        <v>1</v>
      </c>
      <c r="V196" s="12" t="n">
        <v>2</v>
      </c>
      <c r="W196" s="12" t="n">
        <v>1</v>
      </c>
      <c r="X196" s="12" t="n">
        <v>0</v>
      </c>
      <c r="Y196" s="12" t="n">
        <v>1</v>
      </c>
    </row>
    <row r="197" customFormat="false" ht="81.75" hidden="false" customHeight="true" outlineLevel="0" collapsed="false">
      <c r="A197" s="12" t="s">
        <v>3745</v>
      </c>
      <c r="B197" s="5" t="s">
        <v>3746</v>
      </c>
      <c r="C197" s="12" t="s">
        <v>3776</v>
      </c>
      <c r="D197" s="12" t="s">
        <v>160</v>
      </c>
      <c r="E197" s="5" t="s">
        <v>3777</v>
      </c>
      <c r="F197" s="14"/>
      <c r="G197" s="14"/>
      <c r="H197" s="14" t="s">
        <v>87</v>
      </c>
      <c r="I197" s="14"/>
      <c r="J197" s="14"/>
      <c r="K197" s="14"/>
      <c r="L197" s="15"/>
      <c r="M197" s="12" t="s">
        <v>3209</v>
      </c>
      <c r="N197" s="5"/>
      <c r="O197" s="12"/>
      <c r="P197" s="5" t="s">
        <v>3778</v>
      </c>
      <c r="Q197" s="12" t="s">
        <v>3518</v>
      </c>
      <c r="R197" s="12" t="s">
        <v>282</v>
      </c>
      <c r="S197" s="5" t="s">
        <v>3779</v>
      </c>
      <c r="T197" s="5" t="s">
        <v>3780</v>
      </c>
      <c r="U197" s="12" t="n">
        <v>5</v>
      </c>
      <c r="V197" s="12" t="n">
        <v>2</v>
      </c>
      <c r="W197" s="12" t="n">
        <v>2</v>
      </c>
      <c r="X197" s="12" t="n">
        <v>2</v>
      </c>
      <c r="Y197" s="12" t="n">
        <v>0</v>
      </c>
    </row>
    <row r="198" customFormat="false" ht="95.25" hidden="false" customHeight="true" outlineLevel="0" collapsed="false">
      <c r="A198" s="12" t="s">
        <v>3745</v>
      </c>
      <c r="B198" s="5" t="s">
        <v>3746</v>
      </c>
      <c r="C198" s="12" t="s">
        <v>3781</v>
      </c>
      <c r="D198" s="12" t="s">
        <v>120</v>
      </c>
      <c r="E198" s="5" t="s">
        <v>3782</v>
      </c>
      <c r="F198" s="14"/>
      <c r="G198" s="14"/>
      <c r="H198" s="14" t="s">
        <v>87</v>
      </c>
      <c r="I198" s="14"/>
      <c r="J198" s="14"/>
      <c r="K198" s="14"/>
      <c r="L198" s="15"/>
      <c r="M198" s="12" t="s">
        <v>3209</v>
      </c>
      <c r="N198" s="5" t="s">
        <v>3783</v>
      </c>
      <c r="O198" s="12" t="s">
        <v>2211</v>
      </c>
      <c r="P198" s="5" t="s">
        <v>3784</v>
      </c>
      <c r="Q198" s="12" t="s">
        <v>3708</v>
      </c>
      <c r="R198" s="12" t="s">
        <v>282</v>
      </c>
      <c r="S198" s="5" t="s">
        <v>3785</v>
      </c>
      <c r="T198" s="5" t="s">
        <v>3780</v>
      </c>
      <c r="U198" s="12" t="n">
        <v>3</v>
      </c>
      <c r="V198" s="12" t="n">
        <v>2</v>
      </c>
      <c r="W198" s="12" t="n">
        <v>2</v>
      </c>
      <c r="X198" s="12" t="n">
        <v>2</v>
      </c>
      <c r="Y198" s="12" t="n">
        <v>0</v>
      </c>
    </row>
    <row r="199" customFormat="false" ht="54.75" hidden="false" customHeight="true" outlineLevel="0" collapsed="false">
      <c r="A199" s="12" t="s">
        <v>3745</v>
      </c>
      <c r="B199" s="5" t="s">
        <v>3746</v>
      </c>
      <c r="C199" s="12" t="s">
        <v>3786</v>
      </c>
      <c r="D199" s="12" t="s">
        <v>120</v>
      </c>
      <c r="E199" s="5" t="s">
        <v>3787</v>
      </c>
      <c r="F199" s="14"/>
      <c r="G199" s="14"/>
      <c r="H199" s="14" t="s">
        <v>87</v>
      </c>
      <c r="I199" s="14"/>
      <c r="J199" s="14"/>
      <c r="K199" s="14"/>
      <c r="L199" s="15"/>
      <c r="M199" s="12"/>
      <c r="N199" s="5"/>
      <c r="O199" s="12"/>
      <c r="P199" s="5" t="s">
        <v>3788</v>
      </c>
      <c r="Q199" s="12" t="s">
        <v>1098</v>
      </c>
      <c r="R199" s="12" t="s">
        <v>282</v>
      </c>
      <c r="S199" s="5" t="s">
        <v>3789</v>
      </c>
      <c r="T199" s="5" t="s">
        <v>3790</v>
      </c>
      <c r="U199" s="12" t="n">
        <v>3</v>
      </c>
      <c r="V199" s="12" t="n">
        <v>0</v>
      </c>
      <c r="W199" s="12" t="n">
        <v>1</v>
      </c>
      <c r="X199" s="12" t="n">
        <v>0</v>
      </c>
      <c r="Y199" s="12" t="n">
        <v>0</v>
      </c>
    </row>
    <row r="200" customFormat="false" ht="81.75" hidden="false" customHeight="true" outlineLevel="0" collapsed="false">
      <c r="A200" s="12" t="s">
        <v>3745</v>
      </c>
      <c r="B200" s="5" t="s">
        <v>3746</v>
      </c>
      <c r="C200" s="12" t="s">
        <v>3791</v>
      </c>
      <c r="D200" s="12" t="s">
        <v>120</v>
      </c>
      <c r="E200" s="5" t="s">
        <v>3792</v>
      </c>
      <c r="F200" s="14"/>
      <c r="G200" s="14"/>
      <c r="H200" s="14" t="s">
        <v>87</v>
      </c>
      <c r="I200" s="14"/>
      <c r="J200" s="14"/>
      <c r="K200" s="14"/>
      <c r="L200" s="15"/>
      <c r="M200" s="12"/>
      <c r="N200" s="5"/>
      <c r="O200" s="12"/>
      <c r="P200" s="5" t="s">
        <v>3793</v>
      </c>
      <c r="Q200" s="12" t="s">
        <v>3442</v>
      </c>
      <c r="R200" s="12" t="s">
        <v>282</v>
      </c>
      <c r="S200" s="5" t="s">
        <v>3794</v>
      </c>
      <c r="T200" s="5" t="s">
        <v>3795</v>
      </c>
      <c r="U200" s="12" t="n">
        <v>1</v>
      </c>
      <c r="V200" s="12" t="n">
        <v>0</v>
      </c>
      <c r="W200" s="12" t="n">
        <v>1</v>
      </c>
      <c r="X200" s="12" t="n">
        <v>1</v>
      </c>
      <c r="Y200" s="12" t="n">
        <v>0</v>
      </c>
    </row>
    <row r="201" customFormat="false" ht="41.25" hidden="false" customHeight="true" outlineLevel="0" collapsed="false">
      <c r="A201" s="12" t="s">
        <v>3745</v>
      </c>
      <c r="B201" s="5" t="s">
        <v>3746</v>
      </c>
      <c r="C201" s="12" t="s">
        <v>3796</v>
      </c>
      <c r="D201" s="12" t="s">
        <v>120</v>
      </c>
      <c r="E201" s="5" t="s">
        <v>3797</v>
      </c>
      <c r="F201" s="14"/>
      <c r="G201" s="14"/>
      <c r="H201" s="14" t="s">
        <v>87</v>
      </c>
      <c r="I201" s="14"/>
      <c r="J201" s="14"/>
      <c r="K201" s="14"/>
      <c r="L201" s="15"/>
      <c r="M201" s="12" t="s">
        <v>88</v>
      </c>
      <c r="N201" s="5" t="s">
        <v>3798</v>
      </c>
      <c r="O201" s="12" t="s">
        <v>425</v>
      </c>
      <c r="P201" s="5" t="s">
        <v>3799</v>
      </c>
      <c r="Q201" s="12" t="s">
        <v>3708</v>
      </c>
      <c r="R201" s="12" t="s">
        <v>282</v>
      </c>
      <c r="S201" s="5" t="s">
        <v>3800</v>
      </c>
      <c r="T201" s="5" t="s">
        <v>2272</v>
      </c>
      <c r="U201" s="12" t="n">
        <v>3</v>
      </c>
      <c r="V201" s="12" t="n">
        <v>2</v>
      </c>
      <c r="W201" s="12" t="n">
        <v>2</v>
      </c>
      <c r="X201" s="12" t="n">
        <v>1</v>
      </c>
      <c r="Y201" s="12" t="n">
        <v>0</v>
      </c>
    </row>
    <row r="202" customFormat="false" ht="122.25" hidden="false" customHeight="true" outlineLevel="0" collapsed="false">
      <c r="A202" s="12" t="s">
        <v>3745</v>
      </c>
      <c r="B202" s="5" t="s">
        <v>3746</v>
      </c>
      <c r="C202" s="12" t="s">
        <v>3801</v>
      </c>
      <c r="D202" s="12" t="s">
        <v>120</v>
      </c>
      <c r="E202" s="5" t="s">
        <v>3802</v>
      </c>
      <c r="F202" s="14"/>
      <c r="G202" s="14"/>
      <c r="H202" s="14" t="s">
        <v>87</v>
      </c>
      <c r="I202" s="14"/>
      <c r="J202" s="14"/>
      <c r="K202" s="14"/>
      <c r="L202" s="15"/>
      <c r="M202" s="12" t="s">
        <v>88</v>
      </c>
      <c r="N202" s="5" t="s">
        <v>3803</v>
      </c>
      <c r="O202" s="12" t="s">
        <v>524</v>
      </c>
      <c r="P202" s="5" t="s">
        <v>3804</v>
      </c>
      <c r="Q202" s="12" t="s">
        <v>3805</v>
      </c>
      <c r="R202" s="12" t="s">
        <v>282</v>
      </c>
      <c r="S202" s="5" t="s">
        <v>3806</v>
      </c>
      <c r="T202" s="5" t="s">
        <v>2386</v>
      </c>
      <c r="U202" s="12" t="n">
        <v>2</v>
      </c>
      <c r="V202" s="12" t="n">
        <v>2</v>
      </c>
      <c r="W202" s="12" t="n">
        <v>2</v>
      </c>
      <c r="X202" s="12" t="n">
        <v>1</v>
      </c>
      <c r="Y202" s="12" t="n">
        <v>0</v>
      </c>
    </row>
    <row r="203" customFormat="false" ht="175.5" hidden="false" customHeight="true" outlineLevel="0" collapsed="false">
      <c r="A203" s="10" t="s">
        <v>3807</v>
      </c>
      <c r="B203" s="11" t="s">
        <v>3808</v>
      </c>
      <c r="C203" s="12"/>
      <c r="D203" s="12" t="s">
        <v>120</v>
      </c>
      <c r="E203" s="5" t="s">
        <v>79</v>
      </c>
      <c r="F203" s="12"/>
      <c r="G203" s="12"/>
      <c r="H203" s="13" t="str">
        <f aca="false">IF(OR(COUNTBLANK($H$204:$H$204)&gt;0,COUNTIF($H$204:$H$204,"unbearbeitet")=COUNTA($H$204:$H$204)),"Bitte Teilanforderungen ausfüllen",IF(COUNTIF($H$204:$H$204,"zu klären")&gt;0,"zu klären",IF(COUNTIF($H$204:$H$204,"entbehrlich")=COUNTA($H$204:$H$204),"entbehrlich",IF(COUNTIF($H$204:$H$204,"verwiesen")=COUNTA($H$204:$H$204),"verwiesen",IF(COUNTIF($H$204:$H$204,"nein")+COUNTIF($H$204:$H$204,"entbehrlich")=COUNTA($H$204:$H$204),"nein",IF(COUNTIF($H$204:$H$204,"ja")+COUNTIF($H$204:$H$204,"entbehrlich")+COUNTIF($H$204:$H$204,"verwiesen")=COUNTA($H$204:$H$204),"ja","teilweise"))))))</f>
        <v>Bitte Teilanforderungen ausfüllen</v>
      </c>
      <c r="I203" s="12"/>
      <c r="J203" s="12"/>
      <c r="K203" s="12"/>
      <c r="L203" s="12"/>
      <c r="M203" s="12" t="s">
        <v>72</v>
      </c>
      <c r="N203" s="5" t="s">
        <v>3809</v>
      </c>
      <c r="O203" s="12" t="s">
        <v>524</v>
      </c>
      <c r="P203" s="5" t="s">
        <v>3810</v>
      </c>
      <c r="Q203" s="12" t="s">
        <v>3518</v>
      </c>
      <c r="R203" s="12" t="s">
        <v>282</v>
      </c>
      <c r="S203" s="5" t="s">
        <v>3811</v>
      </c>
      <c r="T203" s="5" t="s">
        <v>3775</v>
      </c>
      <c r="U203" s="12" t="n">
        <v>1</v>
      </c>
      <c r="V203" s="12" t="n">
        <v>2</v>
      </c>
      <c r="W203" s="12" t="n">
        <v>1</v>
      </c>
      <c r="X203" s="12" t="n">
        <v>0</v>
      </c>
      <c r="Y203" s="12" t="n">
        <v>1</v>
      </c>
    </row>
    <row r="204" customFormat="false" ht="175.5" hidden="false" customHeight="true" outlineLevel="0" collapsed="false">
      <c r="A204" s="12" t="s">
        <v>3807</v>
      </c>
      <c r="B204" s="5" t="s">
        <v>3808</v>
      </c>
      <c r="C204" s="12" t="s">
        <v>3807</v>
      </c>
      <c r="D204" s="12" t="s">
        <v>120</v>
      </c>
      <c r="E204" s="5" t="s">
        <v>3812</v>
      </c>
      <c r="F204" s="14"/>
      <c r="G204" s="14"/>
      <c r="H204" s="14" t="s">
        <v>87</v>
      </c>
      <c r="I204" s="14"/>
      <c r="J204" s="14"/>
      <c r="K204" s="14"/>
      <c r="L204" s="15"/>
      <c r="M204" s="12" t="s">
        <v>72</v>
      </c>
      <c r="N204" s="5" t="s">
        <v>3809</v>
      </c>
      <c r="O204" s="12" t="s">
        <v>524</v>
      </c>
      <c r="P204" s="5" t="s">
        <v>3810</v>
      </c>
      <c r="Q204" s="12" t="s">
        <v>3518</v>
      </c>
      <c r="R204" s="12" t="s">
        <v>282</v>
      </c>
      <c r="S204" s="5" t="s">
        <v>3811</v>
      </c>
      <c r="T204" s="5" t="s">
        <v>3775</v>
      </c>
      <c r="U204" s="12" t="n">
        <v>1</v>
      </c>
      <c r="V204" s="12" t="n">
        <v>2</v>
      </c>
      <c r="W204" s="12" t="n">
        <v>1</v>
      </c>
      <c r="X204" s="12" t="n">
        <v>0</v>
      </c>
      <c r="Y204" s="12" t="n">
        <v>1</v>
      </c>
    </row>
    <row r="205" customFormat="false" ht="95.25" hidden="false" customHeight="true" outlineLevel="0" collapsed="false">
      <c r="A205" s="10" t="s">
        <v>3813</v>
      </c>
      <c r="B205" s="11" t="s">
        <v>3814</v>
      </c>
      <c r="C205" s="12"/>
      <c r="D205" s="12" t="s">
        <v>120</v>
      </c>
      <c r="E205" s="5" t="s">
        <v>79</v>
      </c>
      <c r="F205" s="12"/>
      <c r="G205" s="12"/>
      <c r="H205" s="13" t="str">
        <f aca="false">IF(OR(COUNTBLANK($H$206:$H$206)&gt;0,COUNTIF($H$206:$H$206,"unbearbeitet")=COUNTA($H$206:$H$206)),"Bitte Teilanforderungen ausfüllen",IF(COUNTIF($H$206:$H$206,"zu klären")&gt;0,"zu klären",IF(COUNTIF($H$206:$H$206,"entbehrlich")=COUNTA($H$206:$H$206),"entbehrlich",IF(COUNTIF($H$206:$H$206,"verwiesen")=COUNTA($H$206:$H$206),"verwiesen",IF(COUNTIF($H$206:$H$206,"nein")+COUNTIF($H$206:$H$206,"entbehrlich")=COUNTA($H$206:$H$206),"nein",IF(COUNTIF($H$206:$H$206,"ja")+COUNTIF($H$206:$H$206,"entbehrlich")+COUNTIF($H$206:$H$206,"verwiesen")=COUNTA($H$206:$H$206),"ja","teilweise"))))))</f>
        <v>Bitte Teilanforderungen ausfüllen</v>
      </c>
      <c r="I205" s="12"/>
      <c r="J205" s="12"/>
      <c r="K205" s="12"/>
      <c r="L205" s="12"/>
      <c r="M205" s="12" t="s">
        <v>72</v>
      </c>
      <c r="N205" s="5" t="s">
        <v>3815</v>
      </c>
      <c r="O205" s="12" t="s">
        <v>524</v>
      </c>
      <c r="P205" s="5" t="s">
        <v>3816</v>
      </c>
      <c r="Q205" s="12" t="s">
        <v>3518</v>
      </c>
      <c r="R205" s="12" t="s">
        <v>282</v>
      </c>
      <c r="S205" s="5" t="s">
        <v>3814</v>
      </c>
      <c r="T205" s="5" t="s">
        <v>3317</v>
      </c>
      <c r="U205" s="12" t="n">
        <v>3</v>
      </c>
      <c r="V205" s="12" t="n">
        <v>2</v>
      </c>
      <c r="W205" s="12" t="n">
        <v>0</v>
      </c>
      <c r="X205" s="12" t="n">
        <v>0</v>
      </c>
      <c r="Y205" s="12" t="n">
        <v>0</v>
      </c>
    </row>
    <row r="206" customFormat="false" ht="95.25" hidden="false" customHeight="true" outlineLevel="0" collapsed="false">
      <c r="A206" s="12" t="s">
        <v>3813</v>
      </c>
      <c r="B206" s="5" t="s">
        <v>3814</v>
      </c>
      <c r="C206" s="12" t="s">
        <v>3813</v>
      </c>
      <c r="D206" s="12" t="s">
        <v>120</v>
      </c>
      <c r="E206" s="5" t="s">
        <v>3817</v>
      </c>
      <c r="F206" s="14"/>
      <c r="G206" s="14"/>
      <c r="H206" s="14" t="s">
        <v>87</v>
      </c>
      <c r="I206" s="14"/>
      <c r="J206" s="14"/>
      <c r="K206" s="14"/>
      <c r="L206" s="15"/>
      <c r="M206" s="12" t="s">
        <v>72</v>
      </c>
      <c r="N206" s="5" t="s">
        <v>3815</v>
      </c>
      <c r="O206" s="12" t="s">
        <v>524</v>
      </c>
      <c r="P206" s="5" t="s">
        <v>3816</v>
      </c>
      <c r="Q206" s="12" t="s">
        <v>3518</v>
      </c>
      <c r="R206" s="12" t="s">
        <v>282</v>
      </c>
      <c r="S206" s="5" t="s">
        <v>3814</v>
      </c>
      <c r="T206" s="5" t="s">
        <v>3317</v>
      </c>
      <c r="U206" s="12" t="n">
        <v>3</v>
      </c>
      <c r="V206" s="12" t="n">
        <v>2</v>
      </c>
      <c r="W206" s="12" t="n">
        <v>0</v>
      </c>
      <c r="X206" s="12" t="n">
        <v>0</v>
      </c>
      <c r="Y206" s="12" t="n">
        <v>0</v>
      </c>
    </row>
    <row r="207" customFormat="false" ht="511.5" hidden="false" customHeight="true" outlineLevel="0" collapsed="false">
      <c r="A207" s="10" t="s">
        <v>3818</v>
      </c>
      <c r="B207" s="11" t="s">
        <v>3819</v>
      </c>
      <c r="C207" s="12"/>
      <c r="D207" s="12" t="s">
        <v>120</v>
      </c>
      <c r="E207" s="5" t="s">
        <v>79</v>
      </c>
      <c r="F207" s="12"/>
      <c r="G207" s="12"/>
      <c r="H207" s="13" t="str">
        <f aca="false">IF(OR(COUNTBLANK($H$208:$H$208)&gt;0,COUNTIF($H$208:$H$208,"unbearbeitet")=COUNTA($H$208:$H$208)),"Bitte Teilanforderungen ausfüllen",IF(COUNTIF($H$208:$H$208,"zu klären")&gt;0,"zu klären",IF(COUNTIF($H$208:$H$208,"entbehrlich")=COUNTA($H$208:$H$208),"entbehrlich",IF(COUNTIF($H$208:$H$208,"verwiesen")=COUNTA($H$208:$H$208),"verwiesen",IF(COUNTIF($H$208:$H$208,"nein")+COUNTIF($H$208:$H$208,"entbehrlich")=COUNTA($H$208:$H$208),"nein",IF(COUNTIF($H$208:$H$208,"ja")+COUNTIF($H$208:$H$208,"entbehrlich")+COUNTIF($H$208:$H$208,"verwiesen")=COUNTA($H$208:$H$208),"ja","teilweise"))))))</f>
        <v>Bitte Teilanforderungen ausfüllen</v>
      </c>
      <c r="I207" s="12"/>
      <c r="J207" s="12"/>
      <c r="K207" s="12"/>
      <c r="L207" s="12"/>
      <c r="M207" s="12" t="s">
        <v>72</v>
      </c>
      <c r="N207" s="5" t="s">
        <v>3820</v>
      </c>
      <c r="O207" s="12" t="s">
        <v>272</v>
      </c>
      <c r="P207" s="5" t="s">
        <v>3821</v>
      </c>
      <c r="Q207" s="12" t="s">
        <v>3518</v>
      </c>
      <c r="R207" s="12" t="s">
        <v>282</v>
      </c>
      <c r="S207" s="5" t="s">
        <v>3822</v>
      </c>
      <c r="T207" s="5" t="s">
        <v>427</v>
      </c>
      <c r="U207" s="12" t="n">
        <v>2</v>
      </c>
      <c r="V207" s="12" t="n">
        <v>2</v>
      </c>
      <c r="W207" s="12" t="n">
        <v>1</v>
      </c>
      <c r="X207" s="12" t="n">
        <v>1</v>
      </c>
      <c r="Y207" s="12" t="n">
        <v>1</v>
      </c>
    </row>
    <row r="208" customFormat="false" ht="511.5" hidden="false" customHeight="true" outlineLevel="0" collapsed="false">
      <c r="A208" s="12" t="s">
        <v>3818</v>
      </c>
      <c r="B208" s="5" t="s">
        <v>3819</v>
      </c>
      <c r="C208" s="12" t="s">
        <v>3818</v>
      </c>
      <c r="D208" s="12" t="s">
        <v>120</v>
      </c>
      <c r="E208" s="5" t="s">
        <v>3823</v>
      </c>
      <c r="F208" s="14"/>
      <c r="G208" s="14"/>
      <c r="H208" s="14" t="s">
        <v>87</v>
      </c>
      <c r="I208" s="14"/>
      <c r="J208" s="14"/>
      <c r="K208" s="14"/>
      <c r="L208" s="15"/>
      <c r="M208" s="12" t="s">
        <v>72</v>
      </c>
      <c r="N208" s="5" t="s">
        <v>3820</v>
      </c>
      <c r="O208" s="12" t="s">
        <v>272</v>
      </c>
      <c r="P208" s="5" t="s">
        <v>3821</v>
      </c>
      <c r="Q208" s="12" t="s">
        <v>3518</v>
      </c>
      <c r="R208" s="12" t="s">
        <v>282</v>
      </c>
      <c r="S208" s="5" t="s">
        <v>3822</v>
      </c>
      <c r="T208" s="5" t="s">
        <v>427</v>
      </c>
      <c r="U208" s="12" t="n">
        <v>2</v>
      </c>
      <c r="V208" s="12" t="n">
        <v>2</v>
      </c>
      <c r="W208" s="12" t="n">
        <v>1</v>
      </c>
      <c r="X208" s="12" t="n">
        <v>1</v>
      </c>
      <c r="Y208" s="12" t="n">
        <v>1</v>
      </c>
    </row>
    <row r="209" customFormat="false" ht="54.75" hidden="false" customHeight="true" outlineLevel="0" collapsed="false">
      <c r="A209" s="10" t="s">
        <v>3824</v>
      </c>
      <c r="B209" s="11" t="s">
        <v>3825</v>
      </c>
      <c r="C209" s="12"/>
      <c r="D209" s="12" t="s">
        <v>120</v>
      </c>
      <c r="E209" s="5" t="s">
        <v>79</v>
      </c>
      <c r="F209" s="12"/>
      <c r="G209" s="12"/>
      <c r="H209" s="13" t="str">
        <f aca="false">IF(OR(COUNTBLANK($H$210:$H$210)&gt;0,COUNTIF($H$210:$H$210,"unbearbeitet")=COUNTA($H$210:$H$210)),"Bitte Teilanforderungen ausfüllen",IF(COUNTIF($H$210:$H$210,"zu klären")&gt;0,"zu klären",IF(COUNTIF($H$210:$H$210,"entbehrlich")=COUNTA($H$210:$H$210),"entbehrlich",IF(COUNTIF($H$210:$H$210,"verwiesen")=COUNTA($H$210:$H$210),"verwiesen",IF(COUNTIF($H$210:$H$210,"nein")+COUNTIF($H$210:$H$210,"entbehrlich")=COUNTA($H$210:$H$210),"nein",IF(COUNTIF($H$210:$H$210,"ja")+COUNTIF($H$210:$H$210,"entbehrlich")+COUNTIF($H$210:$H$210,"verwiesen")=COUNTA($H$210:$H$210),"ja","teilweise"))))))</f>
        <v>Bitte Teilanforderungen ausfüllen</v>
      </c>
      <c r="I209" s="12"/>
      <c r="J209" s="12"/>
      <c r="K209" s="12"/>
      <c r="L209" s="12"/>
      <c r="M209" s="12" t="s">
        <v>72</v>
      </c>
      <c r="N209" s="5"/>
      <c r="O209" s="12"/>
      <c r="P209" s="5" t="s">
        <v>3826</v>
      </c>
      <c r="Q209" s="12" t="s">
        <v>3518</v>
      </c>
      <c r="R209" s="12" t="s">
        <v>282</v>
      </c>
      <c r="S209" s="5" t="s">
        <v>3827</v>
      </c>
      <c r="T209" s="5" t="s">
        <v>427</v>
      </c>
      <c r="U209" s="12" t="n">
        <v>4</v>
      </c>
      <c r="V209" s="12" t="n">
        <v>2</v>
      </c>
      <c r="W209" s="12" t="n">
        <v>1</v>
      </c>
      <c r="X209" s="12" t="n">
        <v>1</v>
      </c>
      <c r="Y209" s="12" t="n">
        <v>1</v>
      </c>
    </row>
    <row r="210" customFormat="false" ht="54.75" hidden="false" customHeight="true" outlineLevel="0" collapsed="false">
      <c r="A210" s="12" t="s">
        <v>3824</v>
      </c>
      <c r="B210" s="5" t="s">
        <v>3825</v>
      </c>
      <c r="C210" s="12" t="s">
        <v>3824</v>
      </c>
      <c r="D210" s="12" t="s">
        <v>120</v>
      </c>
      <c r="E210" s="5" t="s">
        <v>3828</v>
      </c>
      <c r="F210" s="14"/>
      <c r="G210" s="14"/>
      <c r="H210" s="14" t="s">
        <v>87</v>
      </c>
      <c r="I210" s="14"/>
      <c r="J210" s="14"/>
      <c r="K210" s="14"/>
      <c r="L210" s="15"/>
      <c r="M210" s="12" t="s">
        <v>72</v>
      </c>
      <c r="N210" s="5"/>
      <c r="O210" s="12"/>
      <c r="P210" s="5" t="s">
        <v>3826</v>
      </c>
      <c r="Q210" s="12" t="s">
        <v>3518</v>
      </c>
      <c r="R210" s="12" t="s">
        <v>282</v>
      </c>
      <c r="S210" s="5" t="s">
        <v>3827</v>
      </c>
      <c r="T210" s="5" t="s">
        <v>427</v>
      </c>
      <c r="U210" s="12" t="n">
        <v>4</v>
      </c>
      <c r="V210" s="12" t="n">
        <v>2</v>
      </c>
      <c r="W210" s="12" t="n">
        <v>1</v>
      </c>
      <c r="X210" s="12" t="n">
        <v>1</v>
      </c>
      <c r="Y210" s="12" t="n">
        <v>1</v>
      </c>
    </row>
    <row r="211" customFormat="false" ht="41.25" hidden="false" customHeight="true" outlineLevel="0" collapsed="false">
      <c r="A211" s="10" t="s">
        <v>3829</v>
      </c>
      <c r="B211" s="11" t="s">
        <v>3830</v>
      </c>
      <c r="C211" s="12"/>
      <c r="D211" s="12" t="s">
        <v>160</v>
      </c>
      <c r="E211" s="5" t="s">
        <v>79</v>
      </c>
      <c r="F211" s="12"/>
      <c r="G211" s="12"/>
      <c r="H211" s="13" t="str">
        <f aca="false">IF(OR(COUNTBLANK($H$212:$H$212)&gt;0,COUNTIF($H$212:$H$212,"unbearbeitet")=COUNTA($H$212:$H$212)),"Bitte Teilanforderungen ausfüllen",IF(COUNTIF($H$212:$H$212,"zu klären")&gt;0,"zu klären",IF(COUNTIF($H$212:$H$212,"entbehrlich")=COUNTA($H$212:$H$212),"entbehrlich",IF(COUNTIF($H$212:$H$212,"verwiesen")=COUNTA($H$212:$H$212),"verwiesen",IF(COUNTIF($H$212:$H$212,"nein")+COUNTIF($H$212:$H$212,"entbehrlich")=COUNTA($H$212:$H$212),"nein",IF(COUNTIF($H$212:$H$212,"ja")+COUNTIF($H$212:$H$212,"entbehrlich")+COUNTIF($H$212:$H$212,"verwiesen")=COUNTA($H$212:$H$212),"ja","teilweise"))))))</f>
        <v>Bitte Teilanforderungen ausfüllen</v>
      </c>
      <c r="I211" s="12"/>
      <c r="J211" s="12"/>
      <c r="K211" s="12"/>
      <c r="L211" s="12"/>
      <c r="M211" s="12" t="s">
        <v>72</v>
      </c>
      <c r="N211" s="5"/>
      <c r="O211" s="12"/>
      <c r="P211" s="5" t="s">
        <v>3831</v>
      </c>
      <c r="Q211" s="12" t="s">
        <v>3518</v>
      </c>
      <c r="R211" s="12" t="s">
        <v>282</v>
      </c>
      <c r="S211" s="5" t="s">
        <v>3832</v>
      </c>
      <c r="T211" s="5" t="s">
        <v>3317</v>
      </c>
      <c r="U211" s="12" t="n">
        <v>5</v>
      </c>
      <c r="V211" s="12" t="n">
        <v>2</v>
      </c>
      <c r="W211" s="12" t="n">
        <v>0</v>
      </c>
      <c r="X211" s="12" t="n">
        <v>0</v>
      </c>
      <c r="Y211" s="12" t="n">
        <v>0</v>
      </c>
    </row>
    <row r="212" customFormat="false" ht="41.25" hidden="false" customHeight="true" outlineLevel="0" collapsed="false">
      <c r="A212" s="12" t="s">
        <v>3829</v>
      </c>
      <c r="B212" s="5" t="s">
        <v>3830</v>
      </c>
      <c r="C212" s="12" t="s">
        <v>3829</v>
      </c>
      <c r="D212" s="12" t="s">
        <v>160</v>
      </c>
      <c r="E212" s="5" t="s">
        <v>3833</v>
      </c>
      <c r="F212" s="14"/>
      <c r="G212" s="14"/>
      <c r="H212" s="14" t="s">
        <v>87</v>
      </c>
      <c r="I212" s="14"/>
      <c r="J212" s="14"/>
      <c r="K212" s="14"/>
      <c r="L212" s="15"/>
      <c r="M212" s="12" t="s">
        <v>72</v>
      </c>
      <c r="N212" s="5"/>
      <c r="O212" s="12"/>
      <c r="P212" s="5" t="s">
        <v>3831</v>
      </c>
      <c r="Q212" s="12" t="s">
        <v>3518</v>
      </c>
      <c r="R212" s="12" t="s">
        <v>282</v>
      </c>
      <c r="S212" s="5" t="s">
        <v>3832</v>
      </c>
      <c r="T212" s="5" t="s">
        <v>3317</v>
      </c>
      <c r="U212" s="12" t="n">
        <v>5</v>
      </c>
      <c r="V212" s="12" t="n">
        <v>2</v>
      </c>
      <c r="W212" s="12" t="n">
        <v>0</v>
      </c>
      <c r="X212" s="12" t="n">
        <v>0</v>
      </c>
      <c r="Y212" s="12" t="n">
        <v>0</v>
      </c>
    </row>
    <row r="213" customFormat="false" ht="54.75" hidden="false" customHeight="true" outlineLevel="0" collapsed="false">
      <c r="A213" s="10" t="s">
        <v>3834</v>
      </c>
      <c r="B213" s="11" t="s">
        <v>3835</v>
      </c>
      <c r="C213" s="12"/>
      <c r="D213" s="12" t="s">
        <v>120</v>
      </c>
      <c r="E213" s="5" t="s">
        <v>79</v>
      </c>
      <c r="F213" s="12"/>
      <c r="G213" s="12"/>
      <c r="H213" s="13" t="str">
        <f aca="false">IF(OR(COUNTBLANK($H$214:$H$214)&gt;0,COUNTIF($H$214:$H$214,"unbearbeitet")=COUNTA($H$214:$H$214)),"Bitte Teilanforderungen ausfüllen",IF(COUNTIF($H$214:$H$214,"zu klären")&gt;0,"zu klären",IF(COUNTIF($H$214:$H$214,"entbehrlich")=COUNTA($H$214:$H$214),"entbehrlich",IF(COUNTIF($H$214:$H$214,"verwiesen")=COUNTA($H$214:$H$214),"verwiesen",IF(COUNTIF($H$214:$H$214,"nein")+COUNTIF($H$214:$H$214,"entbehrlich")=COUNTA($H$214:$H$214),"nein",IF(COUNTIF($H$214:$H$214,"ja")+COUNTIF($H$214:$H$214,"entbehrlich")+COUNTIF($H$214:$H$214,"verwiesen")=COUNTA($H$214:$H$214),"ja","teilweise"))))))</f>
        <v>Bitte Teilanforderungen ausfüllen</v>
      </c>
      <c r="I213" s="12"/>
      <c r="J213" s="12"/>
      <c r="K213" s="12"/>
      <c r="L213" s="12"/>
      <c r="M213" s="12" t="s">
        <v>1226</v>
      </c>
      <c r="N213" s="5"/>
      <c r="O213" s="12"/>
      <c r="P213" s="5" t="s">
        <v>3836</v>
      </c>
      <c r="Q213" s="12" t="s">
        <v>3442</v>
      </c>
      <c r="R213" s="12" t="s">
        <v>282</v>
      </c>
      <c r="S213" s="5" t="s">
        <v>3837</v>
      </c>
      <c r="T213" s="5" t="s">
        <v>3838</v>
      </c>
      <c r="U213" s="12" t="n">
        <v>1</v>
      </c>
      <c r="V213" s="12" t="n">
        <v>1</v>
      </c>
      <c r="W213" s="12" t="n">
        <v>2</v>
      </c>
      <c r="X213" s="12" t="n">
        <v>1</v>
      </c>
      <c r="Y213" s="12" t="n">
        <v>2</v>
      </c>
    </row>
    <row r="214" customFormat="false" ht="54.75" hidden="false" customHeight="true" outlineLevel="0" collapsed="false">
      <c r="A214" s="12" t="s">
        <v>3834</v>
      </c>
      <c r="B214" s="5" t="s">
        <v>3835</v>
      </c>
      <c r="C214" s="12" t="s">
        <v>3834</v>
      </c>
      <c r="D214" s="12" t="s">
        <v>120</v>
      </c>
      <c r="E214" s="5" t="s">
        <v>3839</v>
      </c>
      <c r="F214" s="14"/>
      <c r="G214" s="14"/>
      <c r="H214" s="14" t="s">
        <v>87</v>
      </c>
      <c r="I214" s="14"/>
      <c r="J214" s="14"/>
      <c r="K214" s="14"/>
      <c r="L214" s="15"/>
      <c r="M214" s="12" t="s">
        <v>1226</v>
      </c>
      <c r="N214" s="5"/>
      <c r="O214" s="12"/>
      <c r="P214" s="5" t="s">
        <v>3836</v>
      </c>
      <c r="Q214" s="12" t="s">
        <v>3442</v>
      </c>
      <c r="R214" s="12" t="s">
        <v>282</v>
      </c>
      <c r="S214" s="5" t="s">
        <v>3837</v>
      </c>
      <c r="T214" s="5" t="s">
        <v>3838</v>
      </c>
      <c r="U214" s="12" t="n">
        <v>1</v>
      </c>
      <c r="V214" s="12" t="n">
        <v>1</v>
      </c>
      <c r="W214" s="12" t="n">
        <v>2</v>
      </c>
      <c r="X214" s="12" t="n">
        <v>1</v>
      </c>
      <c r="Y214" s="12" t="n">
        <v>2</v>
      </c>
    </row>
    <row r="215" customFormat="false" ht="229.5" hidden="false" customHeight="true" outlineLevel="0" collapsed="false">
      <c r="A215" s="10" t="s">
        <v>3840</v>
      </c>
      <c r="B215" s="11" t="s">
        <v>3841</v>
      </c>
      <c r="C215" s="12"/>
      <c r="D215" s="12" t="s">
        <v>120</v>
      </c>
      <c r="E215" s="5" t="s">
        <v>79</v>
      </c>
      <c r="F215" s="12"/>
      <c r="G215" s="12"/>
      <c r="H215" s="13" t="str">
        <f aca="false">IF(OR(COUNTBLANK($H$216:$H$216)&gt;0,COUNTIF($H$216:$H$216,"unbearbeitet")=COUNTA($H$216:$H$216)),"Bitte Teilanforderungen ausfüllen",IF(COUNTIF($H$216:$H$216,"zu klären")&gt;0,"zu klären",IF(COUNTIF($H$216:$H$216,"entbehrlich")=COUNTA($H$216:$H$216),"entbehrlich",IF(COUNTIF($H$216:$H$216,"verwiesen")=COUNTA($H$216:$H$216),"verwiesen",IF(COUNTIF($H$216:$H$216,"nein")+COUNTIF($H$216:$H$216,"entbehrlich")=COUNTA($H$216:$H$216),"nein",IF(COUNTIF($H$216:$H$216,"ja")+COUNTIF($H$216:$H$216,"entbehrlich")+COUNTIF($H$216:$H$216,"verwiesen")=COUNTA($H$216:$H$216),"ja","teilweise"))))))</f>
        <v>Bitte Teilanforderungen ausfüllen</v>
      </c>
      <c r="I215" s="12"/>
      <c r="J215" s="12"/>
      <c r="K215" s="12"/>
      <c r="L215" s="12"/>
      <c r="M215" s="12" t="s">
        <v>72</v>
      </c>
      <c r="N215" s="5"/>
      <c r="O215" s="12"/>
      <c r="P215" s="5" t="s">
        <v>3842</v>
      </c>
      <c r="Q215" s="12" t="s">
        <v>3507</v>
      </c>
      <c r="R215" s="12" t="s">
        <v>282</v>
      </c>
      <c r="S215" s="5" t="s">
        <v>3843</v>
      </c>
      <c r="T215" s="5" t="s">
        <v>3317</v>
      </c>
      <c r="U215" s="12" t="n">
        <v>1</v>
      </c>
      <c r="V215" s="12" t="n">
        <v>2</v>
      </c>
      <c r="W215" s="12" t="n">
        <v>0</v>
      </c>
      <c r="X215" s="12" t="n">
        <v>0</v>
      </c>
      <c r="Y215" s="12" t="n">
        <v>0</v>
      </c>
    </row>
    <row r="216" customFormat="false" ht="229.5" hidden="false" customHeight="true" outlineLevel="0" collapsed="false">
      <c r="A216" s="12" t="s">
        <v>3840</v>
      </c>
      <c r="B216" s="5" t="s">
        <v>3841</v>
      </c>
      <c r="C216" s="12" t="s">
        <v>3840</v>
      </c>
      <c r="D216" s="12" t="s">
        <v>120</v>
      </c>
      <c r="E216" s="5" t="s">
        <v>3844</v>
      </c>
      <c r="F216" s="14"/>
      <c r="G216" s="14"/>
      <c r="H216" s="14" t="s">
        <v>87</v>
      </c>
      <c r="I216" s="14"/>
      <c r="J216" s="14"/>
      <c r="K216" s="14"/>
      <c r="L216" s="15"/>
      <c r="M216" s="12" t="s">
        <v>72</v>
      </c>
      <c r="N216" s="5"/>
      <c r="O216" s="12"/>
      <c r="P216" s="5" t="s">
        <v>3842</v>
      </c>
      <c r="Q216" s="12" t="s">
        <v>3507</v>
      </c>
      <c r="R216" s="12" t="s">
        <v>282</v>
      </c>
      <c r="S216" s="5" t="s">
        <v>3843</v>
      </c>
      <c r="T216" s="5" t="s">
        <v>3317</v>
      </c>
      <c r="U216" s="12" t="n">
        <v>1</v>
      </c>
      <c r="V216" s="12" t="n">
        <v>2</v>
      </c>
      <c r="W216" s="12" t="n">
        <v>0</v>
      </c>
      <c r="X216" s="12" t="n">
        <v>0</v>
      </c>
      <c r="Y216" s="12" t="n">
        <v>0</v>
      </c>
    </row>
    <row r="217" customFormat="false" ht="189" hidden="false" customHeight="true" outlineLevel="0" collapsed="false">
      <c r="A217" s="10" t="s">
        <v>3845</v>
      </c>
      <c r="B217" s="11" t="s">
        <v>3846</v>
      </c>
      <c r="C217" s="12"/>
      <c r="D217" s="12" t="s">
        <v>120</v>
      </c>
      <c r="E217" s="5" t="s">
        <v>79</v>
      </c>
      <c r="F217" s="12"/>
      <c r="G217" s="12"/>
      <c r="H217" s="13" t="str">
        <f aca="false">IF(OR(COUNTBLANK($H$218:$H$218)&gt;0,COUNTIF($H$218:$H$218,"unbearbeitet")=COUNTA($H$218:$H$218)),"Bitte Teilanforderungen ausfüllen",IF(COUNTIF($H$218:$H$218,"zu klären")&gt;0,"zu klären",IF(COUNTIF($H$218:$H$218,"entbehrlich")=COUNTA($H$218:$H$218),"entbehrlich",IF(COUNTIF($H$218:$H$218,"verwiesen")=COUNTA($H$218:$H$218),"verwiesen",IF(COUNTIF($H$218:$H$218,"nein")+COUNTIF($H$218:$H$218,"entbehrlich")=COUNTA($H$218:$H$218),"nein",IF(COUNTIF($H$218:$H$218,"ja")+COUNTIF($H$218:$H$218,"entbehrlich")+COUNTIF($H$218:$H$218,"verwiesen")=COUNTA($H$218:$H$218),"ja","teilweise"))))))</f>
        <v>Bitte Teilanforderungen ausfüllen</v>
      </c>
      <c r="I217" s="12"/>
      <c r="J217" s="12"/>
      <c r="K217" s="12"/>
      <c r="L217" s="12"/>
      <c r="M217" s="12" t="s">
        <v>72</v>
      </c>
      <c r="N217" s="5"/>
      <c r="O217" s="12"/>
      <c r="P217" s="5" t="s">
        <v>3847</v>
      </c>
      <c r="Q217" s="12" t="s">
        <v>3507</v>
      </c>
      <c r="R217" s="12" t="s">
        <v>282</v>
      </c>
      <c r="S217" s="5" t="s">
        <v>3848</v>
      </c>
      <c r="T217" s="5" t="s">
        <v>3849</v>
      </c>
      <c r="U217" s="12" t="n">
        <v>1</v>
      </c>
      <c r="V217" s="12" t="n">
        <v>2</v>
      </c>
      <c r="W217" s="12" t="n">
        <v>1</v>
      </c>
      <c r="X217" s="12" t="n">
        <v>1</v>
      </c>
      <c r="Y217" s="12" t="n">
        <v>0</v>
      </c>
    </row>
    <row r="218" customFormat="false" ht="189" hidden="false" customHeight="true" outlineLevel="0" collapsed="false">
      <c r="A218" s="12" t="s">
        <v>3845</v>
      </c>
      <c r="B218" s="5" t="s">
        <v>3846</v>
      </c>
      <c r="C218" s="12" t="s">
        <v>3845</v>
      </c>
      <c r="D218" s="12" t="s">
        <v>120</v>
      </c>
      <c r="E218" s="5" t="s">
        <v>3850</v>
      </c>
      <c r="F218" s="14"/>
      <c r="G218" s="14"/>
      <c r="H218" s="14" t="s">
        <v>87</v>
      </c>
      <c r="I218" s="14"/>
      <c r="J218" s="14"/>
      <c r="K218" s="14"/>
      <c r="L218" s="15"/>
      <c r="M218" s="12" t="s">
        <v>72</v>
      </c>
      <c r="N218" s="5"/>
      <c r="O218" s="12"/>
      <c r="P218" s="5" t="s">
        <v>3847</v>
      </c>
      <c r="Q218" s="12" t="s">
        <v>3507</v>
      </c>
      <c r="R218" s="12" t="s">
        <v>282</v>
      </c>
      <c r="S218" s="5" t="s">
        <v>3848</v>
      </c>
      <c r="T218" s="5" t="s">
        <v>3849</v>
      </c>
      <c r="U218" s="12" t="n">
        <v>1</v>
      </c>
      <c r="V218" s="12" t="n">
        <v>2</v>
      </c>
      <c r="W218" s="12" t="n">
        <v>1</v>
      </c>
      <c r="X218" s="12" t="n">
        <v>1</v>
      </c>
      <c r="Y218" s="12" t="n">
        <v>0</v>
      </c>
    </row>
    <row r="219" customFormat="false" ht="95.25" hidden="false" customHeight="true" outlineLevel="0" collapsed="false">
      <c r="A219" s="10" t="s">
        <v>3851</v>
      </c>
      <c r="B219" s="11" t="s">
        <v>3852</v>
      </c>
      <c r="C219" s="12"/>
      <c r="D219" s="12" t="s">
        <v>120</v>
      </c>
      <c r="E219" s="5" t="s">
        <v>79</v>
      </c>
      <c r="F219" s="12"/>
      <c r="G219" s="12"/>
      <c r="H219" s="13" t="str">
        <f aca="false">IF(OR(COUNTBLANK($H$220:$H$220)&gt;0,COUNTIF($H$220:$H$220,"unbearbeitet")=COUNTA($H$220:$H$220)),"Bitte Teilanforderungen ausfüllen",IF(COUNTIF($H$220:$H$220,"zu klären")&gt;0,"zu klären",IF(COUNTIF($H$220:$H$220,"entbehrlich")=COUNTA($H$220:$H$220),"entbehrlich",IF(COUNTIF($H$220:$H$220,"verwiesen")=COUNTA($H$220:$H$220),"verwiesen",IF(COUNTIF($H$220:$H$220,"nein")+COUNTIF($H$220:$H$220,"entbehrlich")=COUNTA($H$220:$H$220),"nein",IF(COUNTIF($H$220:$H$220,"ja")+COUNTIF($H$220:$H$220,"entbehrlich")+COUNTIF($H$220:$H$220,"verwiesen")=COUNTA($H$220:$H$220),"ja","teilweise"))))))</f>
        <v>Bitte Teilanforderungen ausfüllen</v>
      </c>
      <c r="I219" s="12"/>
      <c r="J219" s="12"/>
      <c r="K219" s="12"/>
      <c r="L219" s="12"/>
      <c r="M219" s="12" t="s">
        <v>72</v>
      </c>
      <c r="N219" s="5"/>
      <c r="O219" s="12"/>
      <c r="P219" s="5" t="s">
        <v>3853</v>
      </c>
      <c r="Q219" s="12" t="s">
        <v>3708</v>
      </c>
      <c r="R219" s="12" t="s">
        <v>282</v>
      </c>
      <c r="S219" s="5" t="s">
        <v>3852</v>
      </c>
      <c r="T219" s="5" t="s">
        <v>3854</v>
      </c>
      <c r="U219" s="12" t="n">
        <v>3</v>
      </c>
      <c r="V219" s="12" t="n">
        <v>2</v>
      </c>
      <c r="W219" s="12" t="n">
        <v>1</v>
      </c>
      <c r="X219" s="12" t="n">
        <v>0</v>
      </c>
      <c r="Y219" s="12" t="n">
        <v>1</v>
      </c>
    </row>
    <row r="220" customFormat="false" ht="95.25" hidden="false" customHeight="true" outlineLevel="0" collapsed="false">
      <c r="A220" s="12" t="s">
        <v>3851</v>
      </c>
      <c r="B220" s="5" t="s">
        <v>3852</v>
      </c>
      <c r="C220" s="12" t="s">
        <v>3851</v>
      </c>
      <c r="D220" s="12" t="s">
        <v>120</v>
      </c>
      <c r="E220" s="5" t="s">
        <v>3855</v>
      </c>
      <c r="F220" s="14"/>
      <c r="G220" s="14"/>
      <c r="H220" s="14" t="s">
        <v>87</v>
      </c>
      <c r="I220" s="14"/>
      <c r="J220" s="14"/>
      <c r="K220" s="14"/>
      <c r="L220" s="15"/>
      <c r="M220" s="12" t="s">
        <v>72</v>
      </c>
      <c r="N220" s="5"/>
      <c r="O220" s="12"/>
      <c r="P220" s="5" t="s">
        <v>3853</v>
      </c>
      <c r="Q220" s="12" t="s">
        <v>3708</v>
      </c>
      <c r="R220" s="12" t="s">
        <v>282</v>
      </c>
      <c r="S220" s="5" t="s">
        <v>3852</v>
      </c>
      <c r="T220" s="5" t="s">
        <v>3854</v>
      </c>
      <c r="U220" s="12" t="n">
        <v>3</v>
      </c>
      <c r="V220" s="12" t="n">
        <v>2</v>
      </c>
      <c r="W220" s="12" t="n">
        <v>1</v>
      </c>
      <c r="X220" s="12" t="n">
        <v>0</v>
      </c>
      <c r="Y220" s="12" t="n">
        <v>1</v>
      </c>
    </row>
    <row r="221" customFormat="false" ht="122.25" hidden="false" customHeight="true" outlineLevel="0" collapsed="false">
      <c r="A221" s="10" t="s">
        <v>3856</v>
      </c>
      <c r="B221" s="11" t="s">
        <v>3857</v>
      </c>
      <c r="C221" s="12"/>
      <c r="D221" s="12" t="s">
        <v>160</v>
      </c>
      <c r="E221" s="5" t="s">
        <v>79</v>
      </c>
      <c r="F221" s="12"/>
      <c r="G221" s="12"/>
      <c r="H221" s="13" t="str">
        <f aca="false">IF(OR(COUNTBLANK($H$222:$H$222)&gt;0,COUNTIF($H$222:$H$222,"unbearbeitet")=COUNTA($H$222:$H$222)),"Bitte Teilanforderungen ausfüllen",IF(COUNTIF($H$222:$H$222,"zu klären")&gt;0,"zu klären",IF(COUNTIF($H$222:$H$222,"entbehrlich")=COUNTA($H$222:$H$222),"entbehrlich",IF(COUNTIF($H$222:$H$222,"verwiesen")=COUNTA($H$222:$H$222),"verwiesen",IF(COUNTIF($H$222:$H$222,"nein")+COUNTIF($H$222:$H$222,"entbehrlich")=COUNTA($H$222:$H$222),"nein",IF(COUNTIF($H$222:$H$222,"ja")+COUNTIF($H$222:$H$222,"entbehrlich")+COUNTIF($H$222:$H$222,"verwiesen")=COUNTA($H$222:$H$222),"ja","teilweise"))))))</f>
        <v>Bitte Teilanforderungen ausfüllen</v>
      </c>
      <c r="I221" s="12"/>
      <c r="J221" s="12"/>
      <c r="K221" s="12"/>
      <c r="L221" s="12"/>
      <c r="M221" s="12" t="s">
        <v>72</v>
      </c>
      <c r="N221" s="5"/>
      <c r="O221" s="12"/>
      <c r="P221" s="5" t="s">
        <v>3858</v>
      </c>
      <c r="Q221" s="12" t="s">
        <v>3687</v>
      </c>
      <c r="R221" s="12" t="s">
        <v>282</v>
      </c>
      <c r="S221" s="5" t="s">
        <v>3859</v>
      </c>
      <c r="T221" s="5" t="s">
        <v>3317</v>
      </c>
      <c r="U221" s="12" t="n">
        <v>5</v>
      </c>
      <c r="V221" s="12" t="n">
        <v>2</v>
      </c>
      <c r="W221" s="12" t="n">
        <v>0</v>
      </c>
      <c r="X221" s="12" t="n">
        <v>0</v>
      </c>
      <c r="Y221" s="12" t="n">
        <v>0</v>
      </c>
    </row>
    <row r="222" customFormat="false" ht="122.25" hidden="false" customHeight="true" outlineLevel="0" collapsed="false">
      <c r="A222" s="12" t="s">
        <v>3856</v>
      </c>
      <c r="B222" s="5" t="s">
        <v>3857</v>
      </c>
      <c r="C222" s="12" t="s">
        <v>3856</v>
      </c>
      <c r="D222" s="12" t="s">
        <v>160</v>
      </c>
      <c r="E222" s="5" t="s">
        <v>3860</v>
      </c>
      <c r="F222" s="14"/>
      <c r="G222" s="14"/>
      <c r="H222" s="14" t="s">
        <v>87</v>
      </c>
      <c r="I222" s="14"/>
      <c r="J222" s="14"/>
      <c r="K222" s="14"/>
      <c r="L222" s="15"/>
      <c r="M222" s="12" t="s">
        <v>72</v>
      </c>
      <c r="N222" s="5"/>
      <c r="O222" s="12"/>
      <c r="P222" s="5" t="s">
        <v>3858</v>
      </c>
      <c r="Q222" s="12" t="s">
        <v>3687</v>
      </c>
      <c r="R222" s="12" t="s">
        <v>282</v>
      </c>
      <c r="S222" s="5" t="s">
        <v>3859</v>
      </c>
      <c r="T222" s="5" t="s">
        <v>3317</v>
      </c>
      <c r="U222" s="12" t="n">
        <v>5</v>
      </c>
      <c r="V222" s="12" t="n">
        <v>2</v>
      </c>
      <c r="W222" s="12" t="n">
        <v>0</v>
      </c>
      <c r="X222" s="12" t="n">
        <v>0</v>
      </c>
      <c r="Y222" s="12" t="n">
        <v>0</v>
      </c>
    </row>
    <row r="223" customFormat="false" ht="243" hidden="false" customHeight="true" outlineLevel="0" collapsed="false">
      <c r="A223" s="10" t="s">
        <v>3861</v>
      </c>
      <c r="B223" s="11" t="s">
        <v>3862</v>
      </c>
      <c r="C223" s="12"/>
      <c r="D223" s="12" t="s">
        <v>120</v>
      </c>
      <c r="E223" s="5" t="s">
        <v>79</v>
      </c>
      <c r="F223" s="12"/>
      <c r="G223" s="12"/>
      <c r="H223" s="13" t="str">
        <f aca="false">IF(OR(COUNTBLANK($H$224:$H$224)&gt;0,COUNTIF($H$224:$H$224,"unbearbeitet")=COUNTA($H$224:$H$224)),"Bitte Teilanforderungen ausfüllen",IF(COUNTIF($H$224:$H$224,"zu klären")&gt;0,"zu klären",IF(COUNTIF($H$224:$H$224,"entbehrlich")=COUNTA($H$224:$H$224),"entbehrlich",IF(COUNTIF($H$224:$H$224,"verwiesen")=COUNTA($H$224:$H$224),"verwiesen",IF(COUNTIF($H$224:$H$224,"nein")+COUNTIF($H$224:$H$224,"entbehrlich")=COUNTA($H$224:$H$224),"nein",IF(COUNTIF($H$224:$H$224,"ja")+COUNTIF($H$224:$H$224,"entbehrlich")+COUNTIF($H$224:$H$224,"verwiesen")=COUNTA($H$224:$H$224),"ja","teilweise"))))))</f>
        <v>Bitte Teilanforderungen ausfüllen</v>
      </c>
      <c r="I223" s="12"/>
      <c r="J223" s="12"/>
      <c r="K223" s="12"/>
      <c r="L223" s="12"/>
      <c r="M223" s="12" t="s">
        <v>88</v>
      </c>
      <c r="N223" s="5"/>
      <c r="O223" s="12"/>
      <c r="P223" s="5" t="s">
        <v>3863</v>
      </c>
      <c r="Q223" s="12" t="s">
        <v>3687</v>
      </c>
      <c r="R223" s="12" t="s">
        <v>282</v>
      </c>
      <c r="S223" s="5" t="s">
        <v>3864</v>
      </c>
      <c r="T223" s="5" t="s">
        <v>3865</v>
      </c>
      <c r="U223" s="12" t="n">
        <v>3</v>
      </c>
      <c r="V223" s="12" t="n">
        <v>2</v>
      </c>
      <c r="W223" s="12" t="n">
        <v>2</v>
      </c>
      <c r="X223" s="12" t="n">
        <v>0</v>
      </c>
      <c r="Y223" s="12" t="n">
        <v>1</v>
      </c>
    </row>
    <row r="224" customFormat="false" ht="243" hidden="false" customHeight="true" outlineLevel="0" collapsed="false">
      <c r="A224" s="12" t="s">
        <v>3861</v>
      </c>
      <c r="B224" s="5" t="s">
        <v>3862</v>
      </c>
      <c r="C224" s="12" t="s">
        <v>3861</v>
      </c>
      <c r="D224" s="12" t="s">
        <v>120</v>
      </c>
      <c r="E224" s="5" t="s">
        <v>3866</v>
      </c>
      <c r="F224" s="14"/>
      <c r="G224" s="14"/>
      <c r="H224" s="14" t="s">
        <v>87</v>
      </c>
      <c r="I224" s="14"/>
      <c r="J224" s="14"/>
      <c r="K224" s="14"/>
      <c r="L224" s="15"/>
      <c r="M224" s="12" t="s">
        <v>88</v>
      </c>
      <c r="N224" s="5"/>
      <c r="O224" s="12"/>
      <c r="P224" s="5" t="s">
        <v>3863</v>
      </c>
      <c r="Q224" s="12" t="s">
        <v>3687</v>
      </c>
      <c r="R224" s="12" t="s">
        <v>282</v>
      </c>
      <c r="S224" s="5" t="s">
        <v>3864</v>
      </c>
      <c r="T224" s="5" t="s">
        <v>3865</v>
      </c>
      <c r="U224" s="12" t="n">
        <v>3</v>
      </c>
      <c r="V224" s="12" t="n">
        <v>2</v>
      </c>
      <c r="W224" s="12" t="n">
        <v>2</v>
      </c>
      <c r="X224" s="12" t="n">
        <v>0</v>
      </c>
      <c r="Y224" s="12" t="n">
        <v>1</v>
      </c>
    </row>
    <row r="225" customFormat="false" ht="81.75" hidden="false" customHeight="true" outlineLevel="0" collapsed="false">
      <c r="A225" s="10" t="s">
        <v>3867</v>
      </c>
      <c r="B225" s="11" t="s">
        <v>3868</v>
      </c>
      <c r="C225" s="12"/>
      <c r="D225" s="12" t="s">
        <v>120</v>
      </c>
      <c r="E225" s="5" t="s">
        <v>79</v>
      </c>
      <c r="F225" s="12"/>
      <c r="G225" s="12"/>
      <c r="H225" s="13" t="str">
        <f aca="false">IF(OR(COUNTBLANK($H$226:$H$226)&gt;0,COUNTIF($H$226:$H$226,"unbearbeitet")=COUNTA($H$226:$H$226)),"Bitte Teilanforderungen ausfüllen",IF(COUNTIF($H$226:$H$226,"zu klären")&gt;0,"zu klären",IF(COUNTIF($H$226:$H$226,"entbehrlich")=COUNTA($H$226:$H$226),"entbehrlich",IF(COUNTIF($H$226:$H$226,"verwiesen")=COUNTA($H$226:$H$226),"verwiesen",IF(COUNTIF($H$226:$H$226,"nein")+COUNTIF($H$226:$H$226,"entbehrlich")=COUNTA($H$226:$H$226),"nein",IF(COUNTIF($H$226:$H$226,"ja")+COUNTIF($H$226:$H$226,"entbehrlich")+COUNTIF($H$226:$H$226,"verwiesen")=COUNTA($H$226:$H$226),"ja","teilweise"))))))</f>
        <v>Bitte Teilanforderungen ausfüllen</v>
      </c>
      <c r="I225" s="12"/>
      <c r="J225" s="12"/>
      <c r="K225" s="12"/>
      <c r="L225" s="12"/>
      <c r="M225" s="12" t="s">
        <v>88</v>
      </c>
      <c r="N225" s="5"/>
      <c r="O225" s="12"/>
      <c r="P225" s="5" t="s">
        <v>3869</v>
      </c>
      <c r="Q225" s="12" t="s">
        <v>3870</v>
      </c>
      <c r="R225" s="12" t="s">
        <v>282</v>
      </c>
      <c r="S225" s="5" t="s">
        <v>3871</v>
      </c>
      <c r="T225" s="5" t="s">
        <v>625</v>
      </c>
      <c r="U225" s="12" t="n">
        <v>3</v>
      </c>
      <c r="V225" s="12" t="n">
        <v>2</v>
      </c>
      <c r="W225" s="12" t="n">
        <v>2</v>
      </c>
      <c r="X225" s="12" t="n">
        <v>1</v>
      </c>
      <c r="Y225" s="12" t="n">
        <v>1</v>
      </c>
    </row>
    <row r="226" customFormat="false" ht="81.75" hidden="false" customHeight="true" outlineLevel="0" collapsed="false">
      <c r="A226" s="12" t="s">
        <v>3867</v>
      </c>
      <c r="B226" s="5" t="s">
        <v>3868</v>
      </c>
      <c r="C226" s="12" t="s">
        <v>3867</v>
      </c>
      <c r="D226" s="12" t="s">
        <v>120</v>
      </c>
      <c r="E226" s="5" t="s">
        <v>3872</v>
      </c>
      <c r="F226" s="14"/>
      <c r="G226" s="14"/>
      <c r="H226" s="14" t="s">
        <v>87</v>
      </c>
      <c r="I226" s="14"/>
      <c r="J226" s="14"/>
      <c r="K226" s="14"/>
      <c r="L226" s="15"/>
      <c r="M226" s="12" t="s">
        <v>88</v>
      </c>
      <c r="N226" s="5"/>
      <c r="O226" s="12"/>
      <c r="P226" s="5" t="s">
        <v>3869</v>
      </c>
      <c r="Q226" s="12" t="s">
        <v>3870</v>
      </c>
      <c r="R226" s="12" t="s">
        <v>282</v>
      </c>
      <c r="S226" s="5" t="s">
        <v>3871</v>
      </c>
      <c r="T226" s="5" t="s">
        <v>625</v>
      </c>
      <c r="U226" s="12" t="n">
        <v>3</v>
      </c>
      <c r="V226" s="12" t="n">
        <v>2</v>
      </c>
      <c r="W226" s="12" t="n">
        <v>2</v>
      </c>
      <c r="X226" s="12" t="n">
        <v>1</v>
      </c>
      <c r="Y226" s="12" t="n">
        <v>1</v>
      </c>
    </row>
    <row r="227" customFormat="false" ht="95.25" hidden="false" customHeight="true" outlineLevel="0" collapsed="false">
      <c r="A227" s="10" t="s">
        <v>3873</v>
      </c>
      <c r="B227" s="11" t="s">
        <v>3874</v>
      </c>
      <c r="C227" s="12"/>
      <c r="D227" s="12" t="s">
        <v>120</v>
      </c>
      <c r="E227" s="5" t="s">
        <v>79</v>
      </c>
      <c r="F227" s="12"/>
      <c r="G227" s="12"/>
      <c r="H227" s="13" t="str">
        <f aca="false">IF(OR(COUNTBLANK($H$228:$H$228)&gt;0,COUNTIF($H$228:$H$228,"unbearbeitet")=COUNTA($H$228:$H$228)),"Bitte Teilanforderungen ausfüllen",IF(COUNTIF($H$228:$H$228,"zu klären")&gt;0,"zu klären",IF(COUNTIF($H$228:$H$228,"entbehrlich")=COUNTA($H$228:$H$228),"entbehrlich",IF(COUNTIF($H$228:$H$228,"verwiesen")=COUNTA($H$228:$H$228),"verwiesen",IF(COUNTIF($H$228:$H$228,"nein")+COUNTIF($H$228:$H$228,"entbehrlich")=COUNTA($H$228:$H$228),"nein",IF(COUNTIF($H$228:$H$228,"ja")+COUNTIF($H$228:$H$228,"entbehrlich")+COUNTIF($H$228:$H$228,"verwiesen")=COUNTA($H$228:$H$228),"ja","teilweise"))))))</f>
        <v>Bitte Teilanforderungen ausfüllen</v>
      </c>
      <c r="I227" s="12"/>
      <c r="J227" s="12"/>
      <c r="K227" s="12"/>
      <c r="L227" s="12"/>
      <c r="M227" s="12" t="s">
        <v>1226</v>
      </c>
      <c r="N227" s="5" t="s">
        <v>3875</v>
      </c>
      <c r="O227" s="12" t="s">
        <v>272</v>
      </c>
      <c r="P227" s="5" t="s">
        <v>3876</v>
      </c>
      <c r="Q227" s="12" t="s">
        <v>3702</v>
      </c>
      <c r="R227" s="12" t="s">
        <v>282</v>
      </c>
      <c r="S227" s="5" t="s">
        <v>3877</v>
      </c>
      <c r="T227" s="5" t="s">
        <v>3878</v>
      </c>
      <c r="U227" s="12" t="n">
        <v>3</v>
      </c>
      <c r="V227" s="12" t="n">
        <v>1</v>
      </c>
      <c r="W227" s="12" t="n">
        <v>2</v>
      </c>
      <c r="X227" s="12" t="n">
        <v>0</v>
      </c>
      <c r="Y227" s="12" t="n">
        <v>2</v>
      </c>
    </row>
    <row r="228" customFormat="false" ht="95.25" hidden="false" customHeight="true" outlineLevel="0" collapsed="false">
      <c r="A228" s="12" t="s">
        <v>3873</v>
      </c>
      <c r="B228" s="5" t="s">
        <v>3874</v>
      </c>
      <c r="C228" s="12" t="s">
        <v>3873</v>
      </c>
      <c r="D228" s="12" t="s">
        <v>120</v>
      </c>
      <c r="E228" s="5" t="s">
        <v>3879</v>
      </c>
      <c r="F228" s="14"/>
      <c r="G228" s="14"/>
      <c r="H228" s="14" t="s">
        <v>87</v>
      </c>
      <c r="I228" s="14"/>
      <c r="J228" s="14"/>
      <c r="K228" s="14"/>
      <c r="L228" s="15"/>
      <c r="M228" s="12" t="s">
        <v>1226</v>
      </c>
      <c r="N228" s="5" t="s">
        <v>3875</v>
      </c>
      <c r="O228" s="12" t="s">
        <v>272</v>
      </c>
      <c r="P228" s="5" t="s">
        <v>3876</v>
      </c>
      <c r="Q228" s="12" t="s">
        <v>3702</v>
      </c>
      <c r="R228" s="12" t="s">
        <v>282</v>
      </c>
      <c r="S228" s="5" t="s">
        <v>3877</v>
      </c>
      <c r="T228" s="5" t="s">
        <v>3878</v>
      </c>
      <c r="U228" s="12" t="n">
        <v>3</v>
      </c>
      <c r="V228" s="12" t="n">
        <v>1</v>
      </c>
      <c r="W228" s="12" t="n">
        <v>2</v>
      </c>
      <c r="X228" s="12" t="n">
        <v>0</v>
      </c>
      <c r="Y228" s="12" t="n">
        <v>2</v>
      </c>
    </row>
    <row r="229" customFormat="false" ht="297" hidden="false" customHeight="true" outlineLevel="0" collapsed="false">
      <c r="A229" s="10" t="s">
        <v>3880</v>
      </c>
      <c r="B229" s="11" t="s">
        <v>3881</v>
      </c>
      <c r="C229" s="12"/>
      <c r="D229" s="12" t="s">
        <v>120</v>
      </c>
      <c r="E229" s="5" t="s">
        <v>79</v>
      </c>
      <c r="F229" s="12"/>
      <c r="G229" s="12"/>
      <c r="H229" s="13" t="str">
        <f aca="false">IF(OR(COUNTBLANK($H$230:$H$232)&gt;0,COUNTIF($H$230:$H$232,"unbearbeitet")=COUNTA($H$230:$H$232)),"Bitte Teilanforderungen ausfüllen",IF(COUNTIF($H$230:$H$232,"zu klären")&gt;0,"zu klären",IF(COUNTIF($H$230:$H$232,"entbehrlich")=COUNTA($H$230:$H$232),"entbehrlich",IF(COUNTIF($H$230:$H$232,"verwiesen")=COUNTA($H$230:$H$232),"verwiesen",IF(COUNTIF($H$230:$H$232,"nein")+COUNTIF($H$230:$H$232,"entbehrlich")=COUNTA($H$230:$H$232),"nein",IF(COUNTIF($H$230:$H$232,"ja")+COUNTIF($H$230:$H$232,"entbehrlich")+COUNTIF($H$230:$H$232,"verwiesen")=COUNTA($H$230:$H$232),"ja","teilweise"))))))</f>
        <v>Bitte Teilanforderungen ausfüllen</v>
      </c>
      <c r="I229" s="12"/>
      <c r="J229" s="12"/>
      <c r="K229" s="12"/>
      <c r="L229" s="12"/>
      <c r="M229" s="12" t="s">
        <v>88</v>
      </c>
      <c r="N229" s="5"/>
      <c r="O229" s="12"/>
      <c r="P229" s="5" t="s">
        <v>3882</v>
      </c>
      <c r="Q229" s="12" t="s">
        <v>3883</v>
      </c>
      <c r="R229" s="12" t="s">
        <v>282</v>
      </c>
      <c r="S229" s="5" t="s">
        <v>3884</v>
      </c>
      <c r="T229" s="5" t="s">
        <v>2386</v>
      </c>
      <c r="U229" s="12" t="n">
        <v>3</v>
      </c>
      <c r="V229" s="12" t="n">
        <v>2</v>
      </c>
      <c r="W229" s="12" t="n">
        <v>2</v>
      </c>
      <c r="X229" s="12" t="n">
        <v>1</v>
      </c>
      <c r="Y229" s="12" t="n">
        <v>0</v>
      </c>
    </row>
    <row r="230" customFormat="false" ht="297" hidden="false" customHeight="true" outlineLevel="0" collapsed="false">
      <c r="A230" s="12" t="s">
        <v>3880</v>
      </c>
      <c r="B230" s="5" t="s">
        <v>3881</v>
      </c>
      <c r="C230" s="12" t="s">
        <v>3880</v>
      </c>
      <c r="D230" s="12" t="s">
        <v>120</v>
      </c>
      <c r="E230" s="5" t="s">
        <v>3885</v>
      </c>
      <c r="F230" s="14"/>
      <c r="G230" s="14"/>
      <c r="H230" s="14" t="s">
        <v>87</v>
      </c>
      <c r="I230" s="14"/>
      <c r="J230" s="14"/>
      <c r="K230" s="14"/>
      <c r="L230" s="15"/>
      <c r="M230" s="12" t="s">
        <v>88</v>
      </c>
      <c r="N230" s="5"/>
      <c r="O230" s="12"/>
      <c r="P230" s="5" t="s">
        <v>3882</v>
      </c>
      <c r="Q230" s="12" t="s">
        <v>3883</v>
      </c>
      <c r="R230" s="12" t="s">
        <v>282</v>
      </c>
      <c r="S230" s="5" t="s">
        <v>3884</v>
      </c>
      <c r="T230" s="5" t="s">
        <v>2386</v>
      </c>
      <c r="U230" s="12" t="n">
        <v>3</v>
      </c>
      <c r="V230" s="12" t="n">
        <v>2</v>
      </c>
      <c r="W230" s="12" t="n">
        <v>2</v>
      </c>
      <c r="X230" s="12" t="n">
        <v>1</v>
      </c>
      <c r="Y230" s="12" t="n">
        <v>0</v>
      </c>
    </row>
    <row r="231" customFormat="false" ht="243" hidden="false" customHeight="true" outlineLevel="0" collapsed="false">
      <c r="A231" s="12" t="s">
        <v>3880</v>
      </c>
      <c r="B231" s="5" t="s">
        <v>3881</v>
      </c>
      <c r="C231" s="12" t="s">
        <v>3886</v>
      </c>
      <c r="D231" s="12" t="s">
        <v>120</v>
      </c>
      <c r="E231" s="5" t="s">
        <v>3887</v>
      </c>
      <c r="F231" s="14"/>
      <c r="G231" s="14"/>
      <c r="H231" s="14" t="s">
        <v>87</v>
      </c>
      <c r="I231" s="14"/>
      <c r="J231" s="14"/>
      <c r="K231" s="14"/>
      <c r="L231" s="15"/>
      <c r="M231" s="12" t="s">
        <v>88</v>
      </c>
      <c r="N231" s="5"/>
      <c r="O231" s="12"/>
      <c r="P231" s="5" t="s">
        <v>3888</v>
      </c>
      <c r="Q231" s="12" t="s">
        <v>3883</v>
      </c>
      <c r="R231" s="12" t="s">
        <v>282</v>
      </c>
      <c r="S231" s="5" t="s">
        <v>3889</v>
      </c>
      <c r="T231" s="5" t="s">
        <v>3890</v>
      </c>
      <c r="U231" s="12" t="n">
        <v>3</v>
      </c>
      <c r="V231" s="12" t="n">
        <v>2</v>
      </c>
      <c r="W231" s="12" t="n">
        <v>2</v>
      </c>
      <c r="X231" s="12" t="n">
        <v>1</v>
      </c>
      <c r="Y231" s="12" t="n">
        <v>0</v>
      </c>
    </row>
    <row r="232" customFormat="false" ht="297" hidden="false" customHeight="true" outlineLevel="0" collapsed="false">
      <c r="A232" s="12" t="s">
        <v>3880</v>
      </c>
      <c r="B232" s="5" t="s">
        <v>3881</v>
      </c>
      <c r="C232" s="12" t="s">
        <v>3891</v>
      </c>
      <c r="D232" s="12" t="s">
        <v>120</v>
      </c>
      <c r="E232" s="5" t="s">
        <v>3892</v>
      </c>
      <c r="F232" s="14"/>
      <c r="G232" s="14"/>
      <c r="H232" s="14" t="s">
        <v>87</v>
      </c>
      <c r="I232" s="14"/>
      <c r="J232" s="14"/>
      <c r="K232" s="14"/>
      <c r="L232" s="15"/>
      <c r="M232" s="12" t="s">
        <v>88</v>
      </c>
      <c r="N232" s="5" t="s">
        <v>3893</v>
      </c>
      <c r="O232" s="12" t="s">
        <v>425</v>
      </c>
      <c r="P232" s="5" t="s">
        <v>3894</v>
      </c>
      <c r="Q232" s="12" t="s">
        <v>3883</v>
      </c>
      <c r="R232" s="12" t="s">
        <v>282</v>
      </c>
      <c r="S232" s="5" t="s">
        <v>3895</v>
      </c>
      <c r="T232" s="5" t="s">
        <v>2386</v>
      </c>
      <c r="U232" s="12" t="n">
        <v>4</v>
      </c>
      <c r="V232" s="12" t="n">
        <v>2</v>
      </c>
      <c r="W232" s="12" t="n">
        <v>2</v>
      </c>
      <c r="X232" s="12" t="n">
        <v>1</v>
      </c>
      <c r="Y232" s="12" t="n">
        <v>0</v>
      </c>
    </row>
    <row r="233" customFormat="false" ht="350.25" hidden="false" customHeight="true" outlineLevel="0" collapsed="false">
      <c r="A233" s="10" t="s">
        <v>3896</v>
      </c>
      <c r="B233" s="11" t="s">
        <v>3897</v>
      </c>
      <c r="C233" s="12"/>
      <c r="D233" s="12" t="s">
        <v>120</v>
      </c>
      <c r="E233" s="5" t="s">
        <v>79</v>
      </c>
      <c r="F233" s="12"/>
      <c r="G233" s="12"/>
      <c r="H233" s="13" t="str">
        <f aca="false">IF(OR(COUNTBLANK($H$234:$H$236)&gt;0,COUNTIF($H$234:$H$236,"unbearbeitet")=COUNTA($H$234:$H$236)),"Bitte Teilanforderungen ausfüllen",IF(COUNTIF($H$234:$H$236,"zu klären")&gt;0,"zu klären",IF(COUNTIF($H$234:$H$236,"entbehrlich")=COUNTA($H$234:$H$236),"entbehrlich",IF(COUNTIF($H$234:$H$236,"verwiesen")=COUNTA($H$234:$H$236),"verwiesen",IF(COUNTIF($H$234:$H$236,"nein")+COUNTIF($H$234:$H$236,"entbehrlich")=COUNTA($H$234:$H$236),"nein",IF(COUNTIF($H$234:$H$236,"ja")+COUNTIF($H$234:$H$236,"entbehrlich")+COUNTIF($H$234:$H$236,"verwiesen")=COUNTA($H$234:$H$236),"ja","teilweise"))))))</f>
        <v>Bitte Teilanforderungen ausfüllen</v>
      </c>
      <c r="I233" s="12"/>
      <c r="J233" s="12"/>
      <c r="K233" s="12"/>
      <c r="L233" s="12"/>
      <c r="M233" s="12" t="s">
        <v>73</v>
      </c>
      <c r="N233" s="5"/>
      <c r="O233" s="12"/>
      <c r="P233" s="5" t="s">
        <v>3898</v>
      </c>
      <c r="Q233" s="12" t="s">
        <v>3883</v>
      </c>
      <c r="R233" s="12" t="s">
        <v>282</v>
      </c>
      <c r="S233" s="5" t="s">
        <v>3899</v>
      </c>
      <c r="T233" s="5" t="s">
        <v>3900</v>
      </c>
      <c r="U233" s="12" t="n">
        <v>2</v>
      </c>
      <c r="V233" s="12" t="n">
        <v>1</v>
      </c>
      <c r="W233" s="12" t="n">
        <v>2</v>
      </c>
      <c r="X233" s="12" t="n">
        <v>1</v>
      </c>
      <c r="Y233" s="12" t="n">
        <v>1</v>
      </c>
    </row>
    <row r="234" customFormat="false" ht="350.25" hidden="false" customHeight="true" outlineLevel="0" collapsed="false">
      <c r="A234" s="12" t="s">
        <v>3896</v>
      </c>
      <c r="B234" s="5" t="s">
        <v>3897</v>
      </c>
      <c r="C234" s="12" t="s">
        <v>3896</v>
      </c>
      <c r="D234" s="12" t="s">
        <v>120</v>
      </c>
      <c r="E234" s="5" t="s">
        <v>3901</v>
      </c>
      <c r="F234" s="14"/>
      <c r="G234" s="14"/>
      <c r="H234" s="14" t="s">
        <v>87</v>
      </c>
      <c r="I234" s="14"/>
      <c r="J234" s="14"/>
      <c r="K234" s="14"/>
      <c r="L234" s="15"/>
      <c r="M234" s="12" t="s">
        <v>73</v>
      </c>
      <c r="N234" s="5"/>
      <c r="O234" s="12"/>
      <c r="P234" s="5" t="s">
        <v>3898</v>
      </c>
      <c r="Q234" s="12" t="s">
        <v>3883</v>
      </c>
      <c r="R234" s="12" t="s">
        <v>282</v>
      </c>
      <c r="S234" s="5" t="s">
        <v>3899</v>
      </c>
      <c r="T234" s="5" t="s">
        <v>3900</v>
      </c>
      <c r="U234" s="12" t="n">
        <v>2</v>
      </c>
      <c r="V234" s="12" t="n">
        <v>1</v>
      </c>
      <c r="W234" s="12" t="n">
        <v>2</v>
      </c>
      <c r="X234" s="12" t="n">
        <v>1</v>
      </c>
      <c r="Y234" s="12" t="n">
        <v>1</v>
      </c>
    </row>
    <row r="235" customFormat="false" ht="108.75" hidden="false" customHeight="true" outlineLevel="0" collapsed="false">
      <c r="A235" s="12" t="s">
        <v>3896</v>
      </c>
      <c r="B235" s="5" t="s">
        <v>3897</v>
      </c>
      <c r="C235" s="12" t="s">
        <v>3902</v>
      </c>
      <c r="D235" s="12" t="s">
        <v>120</v>
      </c>
      <c r="E235" s="5" t="s">
        <v>3903</v>
      </c>
      <c r="F235" s="14"/>
      <c r="G235" s="14"/>
      <c r="H235" s="14" t="s">
        <v>87</v>
      </c>
      <c r="I235" s="14"/>
      <c r="J235" s="14"/>
      <c r="K235" s="14"/>
      <c r="L235" s="15"/>
      <c r="M235" s="12" t="s">
        <v>88</v>
      </c>
      <c r="N235" s="5"/>
      <c r="O235" s="12"/>
      <c r="P235" s="5" t="s">
        <v>3904</v>
      </c>
      <c r="Q235" s="12" t="s">
        <v>2219</v>
      </c>
      <c r="R235" s="12" t="s">
        <v>282</v>
      </c>
      <c r="S235" s="5" t="s">
        <v>3905</v>
      </c>
      <c r="T235" s="5" t="s">
        <v>3367</v>
      </c>
      <c r="U235" s="12" t="n">
        <v>2</v>
      </c>
      <c r="V235" s="12" t="n">
        <v>2</v>
      </c>
      <c r="W235" s="12" t="n">
        <v>2</v>
      </c>
      <c r="X235" s="12" t="n">
        <v>1</v>
      </c>
      <c r="Y235" s="12" t="n">
        <v>1</v>
      </c>
    </row>
    <row r="236" customFormat="false" ht="175.5" hidden="false" customHeight="true" outlineLevel="0" collapsed="false">
      <c r="A236" s="12" t="s">
        <v>3896</v>
      </c>
      <c r="B236" s="5" t="s">
        <v>3897</v>
      </c>
      <c r="C236" s="12" t="s">
        <v>3906</v>
      </c>
      <c r="D236" s="12" t="s">
        <v>120</v>
      </c>
      <c r="E236" s="5" t="s">
        <v>3907</v>
      </c>
      <c r="F236" s="14"/>
      <c r="G236" s="14"/>
      <c r="H236" s="14" t="s">
        <v>87</v>
      </c>
      <c r="I236" s="14"/>
      <c r="J236" s="14"/>
      <c r="K236" s="14"/>
      <c r="L236" s="15"/>
      <c r="M236" s="12" t="s">
        <v>73</v>
      </c>
      <c r="N236" s="5"/>
      <c r="O236" s="12"/>
      <c r="P236" s="5" t="s">
        <v>3908</v>
      </c>
      <c r="Q236" s="12" t="s">
        <v>2219</v>
      </c>
      <c r="R236" s="12" t="s">
        <v>282</v>
      </c>
      <c r="S236" s="5" t="s">
        <v>3909</v>
      </c>
      <c r="T236" s="5" t="s">
        <v>3910</v>
      </c>
      <c r="U236" s="12" t="n">
        <v>2</v>
      </c>
      <c r="V236" s="12" t="n">
        <v>1</v>
      </c>
      <c r="W236" s="12" t="n">
        <v>2</v>
      </c>
      <c r="X236" s="12" t="n">
        <v>1</v>
      </c>
      <c r="Y236" s="12" t="n">
        <v>0</v>
      </c>
    </row>
    <row r="237" customFormat="false" ht="175.5" hidden="false" customHeight="true" outlineLevel="0" collapsed="false">
      <c r="A237" s="10" t="s">
        <v>3911</v>
      </c>
      <c r="B237" s="11" t="s">
        <v>3912</v>
      </c>
      <c r="C237" s="12"/>
      <c r="D237" s="12" t="s">
        <v>120</v>
      </c>
      <c r="E237" s="5" t="s">
        <v>79</v>
      </c>
      <c r="F237" s="12"/>
      <c r="G237" s="12"/>
      <c r="H237" s="13" t="str">
        <f aca="false">IF(OR(COUNTBLANK($H$238:$H$238)&gt;0,COUNTIF($H$238:$H$238,"unbearbeitet")=COUNTA($H$238:$H$238)),"Bitte Teilanforderungen ausfüllen",IF(COUNTIF($H$238:$H$238,"zu klären")&gt;0,"zu klären",IF(COUNTIF($H$238:$H$238,"entbehrlich")=COUNTA($H$238:$H$238),"entbehrlich",IF(COUNTIF($H$238:$H$238,"verwiesen")=COUNTA($H$238:$H$238),"verwiesen",IF(COUNTIF($H$238:$H$238,"nein")+COUNTIF($H$238:$H$238,"entbehrlich")=COUNTA($H$238:$H$238),"nein",IF(COUNTIF($H$238:$H$238,"ja")+COUNTIF($H$238:$H$238,"entbehrlich")+COUNTIF($H$238:$H$238,"verwiesen")=COUNTA($H$238:$H$238),"ja","teilweise"))))))</f>
        <v>Bitte Teilanforderungen ausfüllen</v>
      </c>
      <c r="I237" s="12"/>
      <c r="J237" s="12"/>
      <c r="K237" s="12"/>
      <c r="L237" s="12"/>
      <c r="M237" s="12" t="s">
        <v>73</v>
      </c>
      <c r="N237" s="5"/>
      <c r="O237" s="12"/>
      <c r="P237" s="5" t="s">
        <v>3913</v>
      </c>
      <c r="Q237" s="12" t="s">
        <v>2219</v>
      </c>
      <c r="R237" s="12" t="s">
        <v>282</v>
      </c>
      <c r="S237" s="5" t="s">
        <v>3914</v>
      </c>
      <c r="T237" s="5" t="s">
        <v>3910</v>
      </c>
      <c r="U237" s="12" t="n">
        <v>4</v>
      </c>
      <c r="V237" s="12" t="n">
        <v>1</v>
      </c>
      <c r="W237" s="12" t="n">
        <v>2</v>
      </c>
      <c r="X237" s="12" t="n">
        <v>1</v>
      </c>
      <c r="Y237" s="12" t="n">
        <v>0</v>
      </c>
    </row>
    <row r="238" customFormat="false" ht="175.5" hidden="false" customHeight="true" outlineLevel="0" collapsed="false">
      <c r="A238" s="12" t="s">
        <v>3911</v>
      </c>
      <c r="B238" s="5" t="s">
        <v>3912</v>
      </c>
      <c r="C238" s="12" t="s">
        <v>3911</v>
      </c>
      <c r="D238" s="12" t="s">
        <v>120</v>
      </c>
      <c r="E238" s="5" t="s">
        <v>3915</v>
      </c>
      <c r="F238" s="14"/>
      <c r="G238" s="14"/>
      <c r="H238" s="14" t="s">
        <v>87</v>
      </c>
      <c r="I238" s="14"/>
      <c r="J238" s="14"/>
      <c r="K238" s="14"/>
      <c r="L238" s="15"/>
      <c r="M238" s="12" t="s">
        <v>73</v>
      </c>
      <c r="N238" s="5"/>
      <c r="O238" s="12"/>
      <c r="P238" s="5" t="s">
        <v>3913</v>
      </c>
      <c r="Q238" s="12" t="s">
        <v>2219</v>
      </c>
      <c r="R238" s="12" t="s">
        <v>282</v>
      </c>
      <c r="S238" s="5" t="s">
        <v>3914</v>
      </c>
      <c r="T238" s="5" t="s">
        <v>3910</v>
      </c>
      <c r="U238" s="12" t="n">
        <v>4</v>
      </c>
      <c r="V238" s="12" t="n">
        <v>1</v>
      </c>
      <c r="W238" s="12" t="n">
        <v>2</v>
      </c>
      <c r="X238" s="12" t="n">
        <v>1</v>
      </c>
      <c r="Y238" s="12" t="n">
        <v>0</v>
      </c>
    </row>
    <row r="239" customFormat="false" ht="41.25" hidden="false" customHeight="true" outlineLevel="0" collapsed="false">
      <c r="A239" s="10" t="s">
        <v>3916</v>
      </c>
      <c r="B239" s="11" t="s">
        <v>3917</v>
      </c>
      <c r="C239" s="12"/>
      <c r="D239" s="12" t="s">
        <v>160</v>
      </c>
      <c r="E239" s="5" t="s">
        <v>79</v>
      </c>
      <c r="F239" s="12"/>
      <c r="G239" s="12"/>
      <c r="H239" s="13" t="str">
        <f aca="false">IF(OR(COUNTBLANK($H$240:$H$240)&gt;0,COUNTIF($H$240:$H$240,"unbearbeitet")=COUNTA($H$240:$H$240)),"Bitte Teilanforderungen ausfüllen",IF(COUNTIF($H$240:$H$240,"zu klären")&gt;0,"zu klären",IF(COUNTIF($H$240:$H$240,"entbehrlich")=COUNTA($H$240:$H$240),"entbehrlich",IF(COUNTIF($H$240:$H$240,"verwiesen")=COUNTA($H$240:$H$240),"verwiesen",IF(COUNTIF($H$240:$H$240,"nein")+COUNTIF($H$240:$H$240,"entbehrlich")=COUNTA($H$240:$H$240),"nein",IF(COUNTIF($H$240:$H$240,"ja")+COUNTIF($H$240:$H$240,"entbehrlich")+COUNTIF($H$240:$H$240,"verwiesen")=COUNTA($H$240:$H$240),"ja","teilweise"))))))</f>
        <v>Bitte Teilanforderungen ausfüllen</v>
      </c>
      <c r="I239" s="12"/>
      <c r="J239" s="12"/>
      <c r="K239" s="12"/>
      <c r="L239" s="12"/>
      <c r="M239" s="12" t="s">
        <v>88</v>
      </c>
      <c r="N239" s="5"/>
      <c r="O239" s="12"/>
      <c r="P239" s="5" t="s">
        <v>3918</v>
      </c>
      <c r="Q239" s="12" t="s">
        <v>2219</v>
      </c>
      <c r="R239" s="12" t="s">
        <v>282</v>
      </c>
      <c r="S239" s="5" t="s">
        <v>3919</v>
      </c>
      <c r="T239" s="5" t="s">
        <v>3920</v>
      </c>
      <c r="U239" s="12" t="n">
        <v>5</v>
      </c>
      <c r="V239" s="12" t="n">
        <v>2</v>
      </c>
      <c r="W239" s="12" t="n">
        <v>2</v>
      </c>
      <c r="X239" s="12" t="n">
        <v>1</v>
      </c>
      <c r="Y239" s="12" t="n">
        <v>1</v>
      </c>
    </row>
    <row r="240" customFormat="false" ht="41.25" hidden="false" customHeight="true" outlineLevel="0" collapsed="false">
      <c r="A240" s="12" t="s">
        <v>3916</v>
      </c>
      <c r="B240" s="5" t="s">
        <v>3917</v>
      </c>
      <c r="C240" s="12" t="s">
        <v>3916</v>
      </c>
      <c r="D240" s="12" t="s">
        <v>160</v>
      </c>
      <c r="E240" s="5" t="s">
        <v>3921</v>
      </c>
      <c r="F240" s="14"/>
      <c r="G240" s="14"/>
      <c r="H240" s="14" t="s">
        <v>87</v>
      </c>
      <c r="I240" s="14"/>
      <c r="J240" s="14"/>
      <c r="K240" s="14"/>
      <c r="L240" s="15"/>
      <c r="M240" s="12" t="s">
        <v>88</v>
      </c>
      <c r="N240" s="5"/>
      <c r="O240" s="12"/>
      <c r="P240" s="5" t="s">
        <v>3918</v>
      </c>
      <c r="Q240" s="12" t="s">
        <v>2219</v>
      </c>
      <c r="R240" s="12" t="s">
        <v>282</v>
      </c>
      <c r="S240" s="5" t="s">
        <v>3919</v>
      </c>
      <c r="T240" s="5" t="s">
        <v>3920</v>
      </c>
      <c r="U240" s="12" t="n">
        <v>5</v>
      </c>
      <c r="V240" s="12" t="n">
        <v>2</v>
      </c>
      <c r="W240" s="12" t="n">
        <v>2</v>
      </c>
      <c r="X240" s="12" t="n">
        <v>1</v>
      </c>
      <c r="Y240" s="12" t="n">
        <v>1</v>
      </c>
    </row>
    <row r="241" customFormat="false" ht="243" hidden="false" customHeight="true" outlineLevel="0" collapsed="false">
      <c r="A241" s="10" t="s">
        <v>3922</v>
      </c>
      <c r="B241" s="11" t="s">
        <v>3923</v>
      </c>
      <c r="C241" s="12"/>
      <c r="D241" s="12" t="s">
        <v>120</v>
      </c>
      <c r="E241" s="5" t="s">
        <v>79</v>
      </c>
      <c r="F241" s="12"/>
      <c r="G241" s="12"/>
      <c r="H241" s="13" t="str">
        <f aca="false">IF(OR(COUNTBLANK($H$242:$H$243)&gt;0,COUNTIF($H$242:$H$243,"unbearbeitet")=COUNTA($H$242:$H$243)),"Bitte Teilanforderungen ausfüllen",IF(COUNTIF($H$242:$H$243,"zu klären")&gt;0,"zu klären",IF(COUNTIF($H$242:$H$243,"entbehrlich")=COUNTA($H$242:$H$243),"entbehrlich",IF(COUNTIF($H$242:$H$243,"verwiesen")=COUNTA($H$242:$H$243),"verwiesen",IF(COUNTIF($H$242:$H$243,"nein")+COUNTIF($H$242:$H$243,"entbehrlich")=COUNTA($H$242:$H$243),"nein",IF(COUNTIF($H$242:$H$243,"ja")+COUNTIF($H$242:$H$243,"entbehrlich")+COUNTIF($H$242:$H$243,"verwiesen")=COUNTA($H$242:$H$243),"ja","teilweise"))))))</f>
        <v>Bitte Teilanforderungen ausfüllen</v>
      </c>
      <c r="I241" s="12"/>
      <c r="J241" s="12"/>
      <c r="K241" s="12"/>
      <c r="L241" s="12"/>
      <c r="M241" s="12" t="s">
        <v>88</v>
      </c>
      <c r="N241" s="5"/>
      <c r="O241" s="12"/>
      <c r="P241" s="5" t="s">
        <v>3924</v>
      </c>
      <c r="Q241" s="12" t="s">
        <v>2219</v>
      </c>
      <c r="R241" s="12" t="s">
        <v>282</v>
      </c>
      <c r="S241" s="5" t="s">
        <v>3925</v>
      </c>
      <c r="T241" s="5" t="s">
        <v>2609</v>
      </c>
      <c r="U241" s="12" t="n">
        <v>3</v>
      </c>
      <c r="V241" s="12" t="n">
        <v>2</v>
      </c>
      <c r="W241" s="12" t="n">
        <v>2</v>
      </c>
      <c r="X241" s="12" t="n">
        <v>1</v>
      </c>
      <c r="Y241" s="12" t="n">
        <v>1</v>
      </c>
    </row>
    <row r="242" customFormat="false" ht="243" hidden="false" customHeight="true" outlineLevel="0" collapsed="false">
      <c r="A242" s="12" t="s">
        <v>3922</v>
      </c>
      <c r="B242" s="5" t="s">
        <v>3923</v>
      </c>
      <c r="C242" s="12" t="s">
        <v>3922</v>
      </c>
      <c r="D242" s="12" t="s">
        <v>120</v>
      </c>
      <c r="E242" s="5" t="s">
        <v>3926</v>
      </c>
      <c r="F242" s="14"/>
      <c r="G242" s="14"/>
      <c r="H242" s="14" t="s">
        <v>87</v>
      </c>
      <c r="I242" s="14"/>
      <c r="J242" s="14"/>
      <c r="K242" s="14"/>
      <c r="L242" s="15"/>
      <c r="M242" s="12" t="s">
        <v>88</v>
      </c>
      <c r="N242" s="5"/>
      <c r="O242" s="12"/>
      <c r="P242" s="5" t="s">
        <v>3924</v>
      </c>
      <c r="Q242" s="12" t="s">
        <v>2219</v>
      </c>
      <c r="R242" s="12" t="s">
        <v>282</v>
      </c>
      <c r="S242" s="5" t="s">
        <v>3925</v>
      </c>
      <c r="T242" s="5" t="s">
        <v>2609</v>
      </c>
      <c r="U242" s="12" t="n">
        <v>3</v>
      </c>
      <c r="V242" s="12" t="n">
        <v>2</v>
      </c>
      <c r="W242" s="12" t="n">
        <v>2</v>
      </c>
      <c r="X242" s="12" t="n">
        <v>1</v>
      </c>
      <c r="Y242" s="12" t="n">
        <v>1</v>
      </c>
    </row>
    <row r="243" customFormat="false" ht="175.5" hidden="false" customHeight="true" outlineLevel="0" collapsed="false">
      <c r="A243" s="12" t="s">
        <v>3922</v>
      </c>
      <c r="B243" s="5" t="s">
        <v>3923</v>
      </c>
      <c r="C243" s="12" t="s">
        <v>3927</v>
      </c>
      <c r="D243" s="12" t="s">
        <v>120</v>
      </c>
      <c r="E243" s="5" t="s">
        <v>3928</v>
      </c>
      <c r="F243" s="14"/>
      <c r="G243" s="14"/>
      <c r="H243" s="14" t="s">
        <v>87</v>
      </c>
      <c r="I243" s="14"/>
      <c r="J243" s="14"/>
      <c r="K243" s="14"/>
      <c r="L243" s="15"/>
      <c r="M243" s="12" t="s">
        <v>88</v>
      </c>
      <c r="N243" s="5" t="s">
        <v>3929</v>
      </c>
      <c r="O243" s="12" t="s">
        <v>1169</v>
      </c>
      <c r="P243" s="5" t="s">
        <v>3930</v>
      </c>
      <c r="Q243" s="12" t="s">
        <v>2219</v>
      </c>
      <c r="R243" s="12" t="s">
        <v>282</v>
      </c>
      <c r="S243" s="5" t="s">
        <v>3931</v>
      </c>
      <c r="T243" s="5" t="s">
        <v>3932</v>
      </c>
      <c r="U243" s="12" t="n">
        <v>4</v>
      </c>
      <c r="V243" s="12" t="n">
        <v>2</v>
      </c>
      <c r="W243" s="12" t="n">
        <v>2</v>
      </c>
      <c r="X243" s="12" t="n">
        <v>1</v>
      </c>
      <c r="Y243" s="12" t="n">
        <v>0</v>
      </c>
    </row>
    <row r="244" customFormat="false" ht="216" hidden="false" customHeight="true" outlineLevel="0" collapsed="false">
      <c r="A244" s="10" t="s">
        <v>3933</v>
      </c>
      <c r="B244" s="11" t="s">
        <v>3934</v>
      </c>
      <c r="C244" s="12"/>
      <c r="D244" s="12" t="s">
        <v>120</v>
      </c>
      <c r="E244" s="5" t="s">
        <v>79</v>
      </c>
      <c r="F244" s="12"/>
      <c r="G244" s="12"/>
      <c r="H244" s="13" t="str">
        <f aca="false">IF(OR(COUNTBLANK($H$245:$H$245)&gt;0,COUNTIF($H$245:$H$245,"unbearbeitet")=COUNTA($H$245:$H$245)),"Bitte Teilanforderungen ausfüllen",IF(COUNTIF($H$245:$H$245,"zu klären")&gt;0,"zu klären",IF(COUNTIF($H$245:$H$245,"entbehrlich")=COUNTA($H$245:$H$245),"entbehrlich",IF(COUNTIF($H$245:$H$245,"verwiesen")=COUNTA($H$245:$H$245),"verwiesen",IF(COUNTIF($H$245:$H$245,"nein")+COUNTIF($H$245:$H$245,"entbehrlich")=COUNTA($H$245:$H$245),"nein",IF(COUNTIF($H$245:$H$245,"ja")+COUNTIF($H$245:$H$245,"entbehrlich")+COUNTIF($H$245:$H$245,"verwiesen")=COUNTA($H$245:$H$245),"ja","teilweise"))))))</f>
        <v>Bitte Teilanforderungen ausfüllen</v>
      </c>
      <c r="I244" s="12"/>
      <c r="J244" s="12"/>
      <c r="K244" s="12"/>
      <c r="L244" s="12"/>
      <c r="M244" s="12" t="s">
        <v>73</v>
      </c>
      <c r="N244" s="5"/>
      <c r="O244" s="12"/>
      <c r="P244" s="5" t="s">
        <v>3935</v>
      </c>
      <c r="Q244" s="12" t="s">
        <v>2219</v>
      </c>
      <c r="R244" s="12" t="s">
        <v>282</v>
      </c>
      <c r="S244" s="5" t="s">
        <v>3936</v>
      </c>
      <c r="T244" s="5" t="s">
        <v>3910</v>
      </c>
      <c r="U244" s="12" t="n">
        <v>3</v>
      </c>
      <c r="V244" s="12" t="n">
        <v>1</v>
      </c>
      <c r="W244" s="12" t="n">
        <v>2</v>
      </c>
      <c r="X244" s="12" t="n">
        <v>1</v>
      </c>
      <c r="Y244" s="12" t="n">
        <v>0</v>
      </c>
    </row>
    <row r="245" customFormat="false" ht="216" hidden="false" customHeight="true" outlineLevel="0" collapsed="false">
      <c r="A245" s="12" t="s">
        <v>3933</v>
      </c>
      <c r="B245" s="5" t="s">
        <v>3934</v>
      </c>
      <c r="C245" s="12" t="s">
        <v>3933</v>
      </c>
      <c r="D245" s="12" t="s">
        <v>120</v>
      </c>
      <c r="E245" s="5" t="s">
        <v>3937</v>
      </c>
      <c r="F245" s="14"/>
      <c r="G245" s="14"/>
      <c r="H245" s="14" t="s">
        <v>87</v>
      </c>
      <c r="I245" s="14"/>
      <c r="J245" s="14"/>
      <c r="K245" s="14"/>
      <c r="L245" s="15"/>
      <c r="M245" s="12" t="s">
        <v>73</v>
      </c>
      <c r="N245" s="5"/>
      <c r="O245" s="12"/>
      <c r="P245" s="5" t="s">
        <v>3935</v>
      </c>
      <c r="Q245" s="12" t="s">
        <v>2219</v>
      </c>
      <c r="R245" s="12" t="s">
        <v>282</v>
      </c>
      <c r="S245" s="5" t="s">
        <v>3936</v>
      </c>
      <c r="T245" s="5" t="s">
        <v>3910</v>
      </c>
      <c r="U245" s="12" t="n">
        <v>3</v>
      </c>
      <c r="V245" s="12" t="n">
        <v>1</v>
      </c>
      <c r="W245" s="12" t="n">
        <v>2</v>
      </c>
      <c r="X245" s="12" t="n">
        <v>1</v>
      </c>
      <c r="Y245" s="12" t="n">
        <v>0</v>
      </c>
    </row>
    <row r="246" customFormat="false" ht="68.25" hidden="false" customHeight="true" outlineLevel="0" collapsed="false">
      <c r="A246" s="10" t="s">
        <v>3938</v>
      </c>
      <c r="B246" s="11" t="s">
        <v>3939</v>
      </c>
      <c r="C246" s="12"/>
      <c r="D246" s="12" t="s">
        <v>160</v>
      </c>
      <c r="E246" s="5" t="s">
        <v>79</v>
      </c>
      <c r="F246" s="12"/>
      <c r="G246" s="12"/>
      <c r="H246" s="13" t="str">
        <f aca="false">IF(OR(COUNTBLANK($H$247:$H$247)&gt;0,COUNTIF($H$247:$H$247,"unbearbeitet")=COUNTA($H$247:$H$247)),"Bitte Teilanforderungen ausfüllen",IF(COUNTIF($H$247:$H$247,"zu klären")&gt;0,"zu klären",IF(COUNTIF($H$247:$H$247,"entbehrlich")=COUNTA($H$247:$H$247),"entbehrlich",IF(COUNTIF($H$247:$H$247,"verwiesen")=COUNTA($H$247:$H$247),"verwiesen",IF(COUNTIF($H$247:$H$247,"nein")+COUNTIF($H$247:$H$247,"entbehrlich")=COUNTA($H$247:$H$247),"nein",IF(COUNTIF($H$247:$H$247,"ja")+COUNTIF($H$247:$H$247,"entbehrlich")+COUNTIF($H$247:$H$247,"verwiesen")=COUNTA($H$247:$H$247),"ja","teilweise"))))))</f>
        <v>Bitte Teilanforderungen ausfüllen</v>
      </c>
      <c r="I246" s="12"/>
      <c r="J246" s="12"/>
      <c r="K246" s="12"/>
      <c r="L246" s="12"/>
      <c r="M246" s="12" t="s">
        <v>72</v>
      </c>
      <c r="N246" s="5"/>
      <c r="O246" s="12"/>
      <c r="P246" s="5" t="s">
        <v>3940</v>
      </c>
      <c r="Q246" s="12" t="s">
        <v>2219</v>
      </c>
      <c r="R246" s="12" t="s">
        <v>282</v>
      </c>
      <c r="S246" s="5" t="s">
        <v>3939</v>
      </c>
      <c r="T246" s="5" t="s">
        <v>3941</v>
      </c>
      <c r="U246" s="12" t="n">
        <v>5</v>
      </c>
      <c r="V246" s="12" t="n">
        <v>2</v>
      </c>
      <c r="W246" s="12" t="n">
        <v>1</v>
      </c>
      <c r="X246" s="12" t="n">
        <v>0</v>
      </c>
      <c r="Y246" s="12" t="n">
        <v>1</v>
      </c>
    </row>
    <row r="247" customFormat="false" ht="68.25" hidden="false" customHeight="true" outlineLevel="0" collapsed="false">
      <c r="A247" s="12" t="s">
        <v>3938</v>
      </c>
      <c r="B247" s="5" t="s">
        <v>3939</v>
      </c>
      <c r="C247" s="12" t="s">
        <v>3938</v>
      </c>
      <c r="D247" s="12" t="s">
        <v>160</v>
      </c>
      <c r="E247" s="5" t="s">
        <v>3942</v>
      </c>
      <c r="F247" s="14"/>
      <c r="G247" s="14"/>
      <c r="H247" s="14" t="s">
        <v>87</v>
      </c>
      <c r="I247" s="14"/>
      <c r="J247" s="14"/>
      <c r="K247" s="14"/>
      <c r="L247" s="15"/>
      <c r="M247" s="12" t="s">
        <v>72</v>
      </c>
      <c r="N247" s="5"/>
      <c r="O247" s="12"/>
      <c r="P247" s="5" t="s">
        <v>3940</v>
      </c>
      <c r="Q247" s="12" t="s">
        <v>2219</v>
      </c>
      <c r="R247" s="12" t="s">
        <v>282</v>
      </c>
      <c r="S247" s="5" t="s">
        <v>3939</v>
      </c>
      <c r="T247" s="5" t="s">
        <v>3941</v>
      </c>
      <c r="U247" s="12" t="n">
        <v>5</v>
      </c>
      <c r="V247" s="12" t="n">
        <v>2</v>
      </c>
      <c r="W247" s="12" t="n">
        <v>1</v>
      </c>
      <c r="X247" s="12" t="n">
        <v>0</v>
      </c>
      <c r="Y247" s="12" t="n">
        <v>1</v>
      </c>
    </row>
    <row r="248" customFormat="false" ht="81.75" hidden="false" customHeight="true" outlineLevel="0" collapsed="false">
      <c r="A248" s="10" t="s">
        <v>3943</v>
      </c>
      <c r="B248" s="11" t="s">
        <v>3944</v>
      </c>
      <c r="C248" s="12"/>
      <c r="D248" s="12" t="s">
        <v>160</v>
      </c>
      <c r="E248" s="5" t="s">
        <v>79</v>
      </c>
      <c r="F248" s="12"/>
      <c r="G248" s="12"/>
      <c r="H248" s="13" t="str">
        <f aca="false">IF(OR(COUNTBLANK($H$249:$H$249)&gt;0,COUNTIF($H$249:$H$249,"unbearbeitet")=COUNTA($H$249:$H$249)),"Bitte Teilanforderungen ausfüllen",IF(COUNTIF($H$249:$H$249,"zu klären")&gt;0,"zu klären",IF(COUNTIF($H$249:$H$249,"entbehrlich")=COUNTA($H$249:$H$249),"entbehrlich",IF(COUNTIF($H$249:$H$249,"verwiesen")=COUNTA($H$249:$H$249),"verwiesen",IF(COUNTIF($H$249:$H$249,"nein")+COUNTIF($H$249:$H$249,"entbehrlich")=COUNTA($H$249:$H$249),"nein",IF(COUNTIF($H$249:$H$249,"ja")+COUNTIF($H$249:$H$249,"entbehrlich")+COUNTIF($H$249:$H$249,"verwiesen")=COUNTA($H$249:$H$249),"ja","teilweise"))))))</f>
        <v>Bitte Teilanforderungen ausfüllen</v>
      </c>
      <c r="I248" s="12"/>
      <c r="J248" s="12"/>
      <c r="K248" s="12"/>
      <c r="L248" s="12"/>
      <c r="M248" s="12" t="s">
        <v>88</v>
      </c>
      <c r="N248" s="5"/>
      <c r="O248" s="12"/>
      <c r="P248" s="5" t="s">
        <v>3945</v>
      </c>
      <c r="Q248" s="12" t="s">
        <v>2219</v>
      </c>
      <c r="R248" s="12" t="s">
        <v>282</v>
      </c>
      <c r="S248" s="5" t="s">
        <v>3944</v>
      </c>
      <c r="T248" s="5" t="s">
        <v>3932</v>
      </c>
      <c r="U248" s="12" t="n">
        <v>5</v>
      </c>
      <c r="V248" s="12" t="n">
        <v>2</v>
      </c>
      <c r="W248" s="12" t="n">
        <v>2</v>
      </c>
      <c r="X248" s="12" t="n">
        <v>1</v>
      </c>
      <c r="Y248" s="12" t="n">
        <v>0</v>
      </c>
    </row>
    <row r="249" customFormat="false" ht="81.75" hidden="false" customHeight="true" outlineLevel="0" collapsed="false">
      <c r="A249" s="12" t="s">
        <v>3943</v>
      </c>
      <c r="B249" s="5" t="s">
        <v>3944</v>
      </c>
      <c r="C249" s="12" t="s">
        <v>3943</v>
      </c>
      <c r="D249" s="12" t="s">
        <v>160</v>
      </c>
      <c r="E249" s="5" t="s">
        <v>3946</v>
      </c>
      <c r="F249" s="14"/>
      <c r="G249" s="14"/>
      <c r="H249" s="14" t="s">
        <v>87</v>
      </c>
      <c r="I249" s="14"/>
      <c r="J249" s="14"/>
      <c r="K249" s="14"/>
      <c r="L249" s="15"/>
      <c r="M249" s="12" t="s">
        <v>88</v>
      </c>
      <c r="N249" s="5"/>
      <c r="O249" s="12"/>
      <c r="P249" s="5" t="s">
        <v>3945</v>
      </c>
      <c r="Q249" s="12" t="s">
        <v>2219</v>
      </c>
      <c r="R249" s="12" t="s">
        <v>282</v>
      </c>
      <c r="S249" s="5" t="s">
        <v>3944</v>
      </c>
      <c r="T249" s="5" t="s">
        <v>3932</v>
      </c>
      <c r="U249" s="12" t="n">
        <v>5</v>
      </c>
      <c r="V249" s="12" t="n">
        <v>2</v>
      </c>
      <c r="W249" s="12" t="n">
        <v>2</v>
      </c>
      <c r="X249" s="12" t="n">
        <v>1</v>
      </c>
      <c r="Y249" s="12" t="n">
        <v>0</v>
      </c>
    </row>
    <row r="250" customFormat="false" ht="54.75" hidden="false" customHeight="true" outlineLevel="0" collapsed="false">
      <c r="A250" s="10" t="s">
        <v>3947</v>
      </c>
      <c r="B250" s="11" t="s">
        <v>3948</v>
      </c>
      <c r="C250" s="12"/>
      <c r="D250" s="12" t="s">
        <v>120</v>
      </c>
      <c r="E250" s="5" t="s">
        <v>79</v>
      </c>
      <c r="F250" s="12"/>
      <c r="G250" s="12"/>
      <c r="H250" s="13" t="str">
        <f aca="false">IF(OR(COUNTBLANK($H$251:$H$251)&gt;0,COUNTIF($H$251:$H$251,"unbearbeitet")=COUNTA($H$251:$H$251)),"Bitte Teilanforderungen ausfüllen",IF(COUNTIF($H$251:$H$251,"zu klären")&gt;0,"zu klären",IF(COUNTIF($H$251:$H$251,"entbehrlich")=COUNTA($H$251:$H$251),"entbehrlich",IF(COUNTIF($H$251:$H$251,"verwiesen")=COUNTA($H$251:$H$251),"verwiesen",IF(COUNTIF($H$251:$H$251,"nein")+COUNTIF($H$251:$H$251,"entbehrlich")=COUNTA($H$251:$H$251),"nein",IF(COUNTIF($H$251:$H$251,"ja")+COUNTIF($H$251:$H$251,"entbehrlich")+COUNTIF($H$251:$H$251,"verwiesen")=COUNTA($H$251:$H$251),"ja","teilweise"))))))</f>
        <v>Bitte Teilanforderungen ausfüllen</v>
      </c>
      <c r="I250" s="12"/>
      <c r="J250" s="12"/>
      <c r="K250" s="12"/>
      <c r="L250" s="12"/>
      <c r="M250" s="12" t="s">
        <v>88</v>
      </c>
      <c r="N250" s="5"/>
      <c r="O250" s="12"/>
      <c r="P250" s="5" t="s">
        <v>3949</v>
      </c>
      <c r="Q250" s="12" t="s">
        <v>2219</v>
      </c>
      <c r="R250" s="12" t="s">
        <v>282</v>
      </c>
      <c r="S250" s="5" t="s">
        <v>3950</v>
      </c>
      <c r="T250" s="5" t="s">
        <v>3932</v>
      </c>
      <c r="U250" s="12" t="n">
        <v>3</v>
      </c>
      <c r="V250" s="12" t="n">
        <v>2</v>
      </c>
      <c r="W250" s="12" t="n">
        <v>2</v>
      </c>
      <c r="X250" s="12" t="n">
        <v>1</v>
      </c>
      <c r="Y250" s="12" t="n">
        <v>0</v>
      </c>
    </row>
    <row r="251" customFormat="false" ht="54.75" hidden="false" customHeight="true" outlineLevel="0" collapsed="false">
      <c r="A251" s="12" t="s">
        <v>3947</v>
      </c>
      <c r="B251" s="5" t="s">
        <v>3948</v>
      </c>
      <c r="C251" s="12" t="s">
        <v>3947</v>
      </c>
      <c r="D251" s="12" t="s">
        <v>120</v>
      </c>
      <c r="E251" s="5" t="s">
        <v>3951</v>
      </c>
      <c r="F251" s="14"/>
      <c r="G251" s="14"/>
      <c r="H251" s="14" t="s">
        <v>87</v>
      </c>
      <c r="I251" s="14"/>
      <c r="J251" s="14"/>
      <c r="K251" s="14"/>
      <c r="L251" s="15"/>
      <c r="M251" s="12" t="s">
        <v>88</v>
      </c>
      <c r="N251" s="5"/>
      <c r="O251" s="12"/>
      <c r="P251" s="5" t="s">
        <v>3949</v>
      </c>
      <c r="Q251" s="12" t="s">
        <v>2219</v>
      </c>
      <c r="R251" s="12" t="s">
        <v>282</v>
      </c>
      <c r="S251" s="5" t="s">
        <v>3950</v>
      </c>
      <c r="T251" s="5" t="s">
        <v>3932</v>
      </c>
      <c r="U251" s="12" t="n">
        <v>3</v>
      </c>
      <c r="V251" s="12" t="n">
        <v>2</v>
      </c>
      <c r="W251" s="12" t="n">
        <v>2</v>
      </c>
      <c r="X251" s="12" t="n">
        <v>1</v>
      </c>
      <c r="Y251" s="12" t="n">
        <v>0</v>
      </c>
    </row>
    <row r="252" customFormat="false" ht="270" hidden="false" customHeight="true" outlineLevel="0" collapsed="false">
      <c r="A252" s="10" t="s">
        <v>3952</v>
      </c>
      <c r="B252" s="11" t="s">
        <v>3953</v>
      </c>
      <c r="C252" s="12"/>
      <c r="D252" s="12" t="s">
        <v>120</v>
      </c>
      <c r="E252" s="5" t="s">
        <v>79</v>
      </c>
      <c r="F252" s="12"/>
      <c r="G252" s="12"/>
      <c r="H252" s="13" t="str">
        <f aca="false">IF(OR(COUNTBLANK($H$253:$H$253)&gt;0,COUNTIF($H$253:$H$253,"unbearbeitet")=COUNTA($H$253:$H$253)),"Bitte Teilanforderungen ausfüllen",IF(COUNTIF($H$253:$H$253,"zu klären")&gt;0,"zu klären",IF(COUNTIF($H$253:$H$253,"entbehrlich")=COUNTA($H$253:$H$253),"entbehrlich",IF(COUNTIF($H$253:$H$253,"verwiesen")=COUNTA($H$253:$H$253),"verwiesen",IF(COUNTIF($H$253:$H$253,"nein")+COUNTIF($H$253:$H$253,"entbehrlich")=COUNTA($H$253:$H$253),"nein",IF(COUNTIF($H$253:$H$253,"ja")+COUNTIF($H$253:$H$253,"entbehrlich")+COUNTIF($H$253:$H$253,"verwiesen")=COUNTA($H$253:$H$253),"ja","teilweise"))))))</f>
        <v>Bitte Teilanforderungen ausfüllen</v>
      </c>
      <c r="I252" s="12"/>
      <c r="J252" s="12"/>
      <c r="K252" s="12"/>
      <c r="L252" s="12"/>
      <c r="M252" s="12" t="s">
        <v>88</v>
      </c>
      <c r="N252" s="5" t="s">
        <v>3954</v>
      </c>
      <c r="O252" s="12" t="s">
        <v>524</v>
      </c>
      <c r="P252" s="5" t="s">
        <v>3955</v>
      </c>
      <c r="Q252" s="12" t="s">
        <v>2219</v>
      </c>
      <c r="R252" s="12" t="s">
        <v>282</v>
      </c>
      <c r="S252" s="5" t="s">
        <v>3956</v>
      </c>
      <c r="T252" s="5" t="s">
        <v>3367</v>
      </c>
      <c r="U252" s="12" t="n">
        <v>4</v>
      </c>
      <c r="V252" s="12" t="n">
        <v>2</v>
      </c>
      <c r="W252" s="12" t="n">
        <v>2</v>
      </c>
      <c r="X252" s="12" t="n">
        <v>1</v>
      </c>
      <c r="Y252" s="12" t="n">
        <v>1</v>
      </c>
    </row>
    <row r="253" customFormat="false" ht="270" hidden="false" customHeight="true" outlineLevel="0" collapsed="false">
      <c r="A253" s="12" t="s">
        <v>3952</v>
      </c>
      <c r="B253" s="5" t="s">
        <v>3953</v>
      </c>
      <c r="C253" s="12" t="s">
        <v>3952</v>
      </c>
      <c r="D253" s="12" t="s">
        <v>120</v>
      </c>
      <c r="E253" s="5" t="s">
        <v>3957</v>
      </c>
      <c r="F253" s="14"/>
      <c r="G253" s="14"/>
      <c r="H253" s="14" t="s">
        <v>87</v>
      </c>
      <c r="I253" s="14"/>
      <c r="J253" s="14"/>
      <c r="K253" s="14"/>
      <c r="L253" s="15"/>
      <c r="M253" s="12" t="s">
        <v>88</v>
      </c>
      <c r="N253" s="5" t="s">
        <v>3954</v>
      </c>
      <c r="O253" s="12" t="s">
        <v>524</v>
      </c>
      <c r="P253" s="5" t="s">
        <v>3955</v>
      </c>
      <c r="Q253" s="12" t="s">
        <v>2219</v>
      </c>
      <c r="R253" s="12" t="s">
        <v>282</v>
      </c>
      <c r="S253" s="5" t="s">
        <v>3956</v>
      </c>
      <c r="T253" s="5" t="s">
        <v>3367</v>
      </c>
      <c r="U253" s="12" t="n">
        <v>4</v>
      </c>
      <c r="V253" s="12" t="n">
        <v>2</v>
      </c>
      <c r="W253" s="12" t="n">
        <v>2</v>
      </c>
      <c r="X253" s="12" t="n">
        <v>1</v>
      </c>
      <c r="Y253" s="12" t="n">
        <v>1</v>
      </c>
    </row>
    <row r="254" customFormat="false" ht="297" hidden="false" customHeight="true" outlineLevel="0" collapsed="false">
      <c r="A254" s="10" t="s">
        <v>3958</v>
      </c>
      <c r="B254" s="11" t="s">
        <v>3959</v>
      </c>
      <c r="C254" s="12"/>
      <c r="D254" s="12" t="s">
        <v>120</v>
      </c>
      <c r="E254" s="5" t="s">
        <v>79</v>
      </c>
      <c r="F254" s="12"/>
      <c r="G254" s="12"/>
      <c r="H254" s="13" t="str">
        <f aca="false">IF(OR(COUNTBLANK($H$255:$H$255)&gt;0,COUNTIF($H$255:$H$255,"unbearbeitet")=COUNTA($H$255:$H$255)),"Bitte Teilanforderungen ausfüllen",IF(COUNTIF($H$255:$H$255,"zu klären")&gt;0,"zu klären",IF(COUNTIF($H$255:$H$255,"entbehrlich")=COUNTA($H$255:$H$255),"entbehrlich",IF(COUNTIF($H$255:$H$255,"verwiesen")=COUNTA($H$255:$H$255),"verwiesen",IF(COUNTIF($H$255:$H$255,"nein")+COUNTIF($H$255:$H$255,"entbehrlich")=COUNTA($H$255:$H$255),"nein",IF(COUNTIF($H$255:$H$255,"ja")+COUNTIF($H$255:$H$255,"entbehrlich")+COUNTIF($H$255:$H$255,"verwiesen")=COUNTA($H$255:$H$255),"ja","teilweise"))))))</f>
        <v>Bitte Teilanforderungen ausfüllen</v>
      </c>
      <c r="I254" s="12"/>
      <c r="J254" s="12"/>
      <c r="K254" s="12"/>
      <c r="L254" s="12"/>
      <c r="M254" s="12" t="s">
        <v>72</v>
      </c>
      <c r="N254" s="5"/>
      <c r="O254" s="12"/>
      <c r="P254" s="5" t="s">
        <v>3960</v>
      </c>
      <c r="Q254" s="12" t="s">
        <v>2219</v>
      </c>
      <c r="R254" s="12" t="s">
        <v>282</v>
      </c>
      <c r="S254" s="5" t="s">
        <v>3959</v>
      </c>
      <c r="T254" s="5" t="s">
        <v>3941</v>
      </c>
      <c r="U254" s="12" t="n">
        <v>4</v>
      </c>
      <c r="V254" s="12" t="n">
        <v>2</v>
      </c>
      <c r="W254" s="12" t="n">
        <v>1</v>
      </c>
      <c r="X254" s="12" t="n">
        <v>0</v>
      </c>
      <c r="Y254" s="12" t="n">
        <v>1</v>
      </c>
    </row>
    <row r="255" customFormat="false" ht="297" hidden="false" customHeight="true" outlineLevel="0" collapsed="false">
      <c r="A255" s="12" t="s">
        <v>3958</v>
      </c>
      <c r="B255" s="5" t="s">
        <v>3959</v>
      </c>
      <c r="C255" s="12" t="s">
        <v>3958</v>
      </c>
      <c r="D255" s="12" t="s">
        <v>120</v>
      </c>
      <c r="E255" s="5" t="s">
        <v>3961</v>
      </c>
      <c r="F255" s="14"/>
      <c r="G255" s="14"/>
      <c r="H255" s="14" t="s">
        <v>87</v>
      </c>
      <c r="I255" s="14"/>
      <c r="J255" s="14"/>
      <c r="K255" s="14"/>
      <c r="L255" s="15"/>
      <c r="M255" s="12" t="s">
        <v>72</v>
      </c>
      <c r="N255" s="5"/>
      <c r="O255" s="12"/>
      <c r="P255" s="5" t="s">
        <v>3960</v>
      </c>
      <c r="Q255" s="12" t="s">
        <v>2219</v>
      </c>
      <c r="R255" s="12" t="s">
        <v>282</v>
      </c>
      <c r="S255" s="5" t="s">
        <v>3959</v>
      </c>
      <c r="T255" s="5" t="s">
        <v>3941</v>
      </c>
      <c r="U255" s="12" t="n">
        <v>4</v>
      </c>
      <c r="V255" s="12" t="n">
        <v>2</v>
      </c>
      <c r="W255" s="12" t="n">
        <v>1</v>
      </c>
      <c r="X255" s="12" t="n">
        <v>0</v>
      </c>
      <c r="Y255" s="12" t="n">
        <v>1</v>
      </c>
    </row>
    <row r="256" customFormat="false" ht="229.5" hidden="false" customHeight="true" outlineLevel="0" collapsed="false">
      <c r="A256" s="10" t="s">
        <v>3962</v>
      </c>
      <c r="B256" s="11" t="s">
        <v>3963</v>
      </c>
      <c r="C256" s="12"/>
      <c r="D256" s="12" t="s">
        <v>120</v>
      </c>
      <c r="E256" s="5" t="s">
        <v>79</v>
      </c>
      <c r="F256" s="12"/>
      <c r="G256" s="12"/>
      <c r="H256" s="13" t="str">
        <f aca="false">IF(OR(COUNTBLANK($H$257:$H$259)&gt;0,COUNTIF($H$257:$H$259,"unbearbeitet")=COUNTA($H$257:$H$259)),"Bitte Teilanforderungen ausfüllen",IF(COUNTIF($H$257:$H$259,"zu klären")&gt;0,"zu klären",IF(COUNTIF($H$257:$H$259,"entbehrlich")=COUNTA($H$257:$H$259),"entbehrlich",IF(COUNTIF($H$257:$H$259,"verwiesen")=COUNTA($H$257:$H$259),"verwiesen",IF(COUNTIF($H$257:$H$259,"nein")+COUNTIF($H$257:$H$259,"entbehrlich")=COUNTA($H$257:$H$259),"nein",IF(COUNTIF($H$257:$H$259,"ja")+COUNTIF($H$257:$H$259,"entbehrlich")+COUNTIF($H$257:$H$259,"verwiesen")=COUNTA($H$257:$H$259),"ja","teilweise"))))))</f>
        <v>Bitte Teilanforderungen ausfüllen</v>
      </c>
      <c r="I256" s="12"/>
      <c r="J256" s="12"/>
      <c r="K256" s="12"/>
      <c r="L256" s="12"/>
      <c r="M256" s="12" t="s">
        <v>72</v>
      </c>
      <c r="N256" s="5" t="s">
        <v>3964</v>
      </c>
      <c r="O256" s="12" t="s">
        <v>3965</v>
      </c>
      <c r="P256" s="5" t="s">
        <v>3966</v>
      </c>
      <c r="Q256" s="12" t="s">
        <v>460</v>
      </c>
      <c r="R256" s="12" t="s">
        <v>282</v>
      </c>
      <c r="S256" s="5" t="s">
        <v>3967</v>
      </c>
      <c r="T256" s="5" t="s">
        <v>3941</v>
      </c>
      <c r="U256" s="12" t="n">
        <v>2</v>
      </c>
      <c r="V256" s="12" t="n">
        <v>2</v>
      </c>
      <c r="W256" s="12" t="n">
        <v>1</v>
      </c>
      <c r="X256" s="12" t="n">
        <v>0</v>
      </c>
      <c r="Y256" s="12" t="n">
        <v>1</v>
      </c>
    </row>
    <row r="257" customFormat="false" ht="229.5" hidden="false" customHeight="true" outlineLevel="0" collapsed="false">
      <c r="A257" s="12" t="s">
        <v>3962</v>
      </c>
      <c r="B257" s="5" t="s">
        <v>3963</v>
      </c>
      <c r="C257" s="12" t="s">
        <v>3962</v>
      </c>
      <c r="D257" s="12" t="s">
        <v>120</v>
      </c>
      <c r="E257" s="5" t="s">
        <v>3968</v>
      </c>
      <c r="F257" s="14"/>
      <c r="G257" s="14"/>
      <c r="H257" s="14" t="s">
        <v>87</v>
      </c>
      <c r="I257" s="14"/>
      <c r="J257" s="14"/>
      <c r="K257" s="14"/>
      <c r="L257" s="15"/>
      <c r="M257" s="12" t="s">
        <v>72</v>
      </c>
      <c r="N257" s="5" t="s">
        <v>3964</v>
      </c>
      <c r="O257" s="12" t="s">
        <v>3965</v>
      </c>
      <c r="P257" s="5" t="s">
        <v>3966</v>
      </c>
      <c r="Q257" s="12" t="s">
        <v>460</v>
      </c>
      <c r="R257" s="12" t="s">
        <v>282</v>
      </c>
      <c r="S257" s="5" t="s">
        <v>3967</v>
      </c>
      <c r="T257" s="5" t="s">
        <v>3941</v>
      </c>
      <c r="U257" s="12" t="n">
        <v>2</v>
      </c>
      <c r="V257" s="12" t="n">
        <v>2</v>
      </c>
      <c r="W257" s="12" t="n">
        <v>1</v>
      </c>
      <c r="X257" s="12" t="n">
        <v>0</v>
      </c>
      <c r="Y257" s="12" t="n">
        <v>1</v>
      </c>
    </row>
    <row r="258" customFormat="false" ht="175.5" hidden="false" customHeight="true" outlineLevel="0" collapsed="false">
      <c r="A258" s="12" t="s">
        <v>3962</v>
      </c>
      <c r="B258" s="5" t="s">
        <v>3963</v>
      </c>
      <c r="C258" s="12" t="s">
        <v>3969</v>
      </c>
      <c r="D258" s="12" t="s">
        <v>120</v>
      </c>
      <c r="E258" s="5" t="s">
        <v>3970</v>
      </c>
      <c r="F258" s="14"/>
      <c r="G258" s="14"/>
      <c r="H258" s="14" t="s">
        <v>87</v>
      </c>
      <c r="I258" s="14"/>
      <c r="J258" s="14"/>
      <c r="K258" s="14"/>
      <c r="L258" s="15"/>
      <c r="M258" s="12" t="s">
        <v>72</v>
      </c>
      <c r="N258" s="5"/>
      <c r="O258" s="12"/>
      <c r="P258" s="5" t="s">
        <v>3971</v>
      </c>
      <c r="Q258" s="12" t="s">
        <v>460</v>
      </c>
      <c r="R258" s="12" t="s">
        <v>282</v>
      </c>
      <c r="S258" s="5" t="s">
        <v>3972</v>
      </c>
      <c r="T258" s="5" t="s">
        <v>3941</v>
      </c>
      <c r="U258" s="12" t="n">
        <v>4</v>
      </c>
      <c r="V258" s="12" t="n">
        <v>2</v>
      </c>
      <c r="W258" s="12" t="n">
        <v>1</v>
      </c>
      <c r="X258" s="12" t="n">
        <v>0</v>
      </c>
      <c r="Y258" s="12" t="n">
        <v>1</v>
      </c>
    </row>
    <row r="259" customFormat="false" ht="162" hidden="false" customHeight="true" outlineLevel="0" collapsed="false">
      <c r="A259" s="12" t="s">
        <v>3962</v>
      </c>
      <c r="B259" s="5" t="s">
        <v>3963</v>
      </c>
      <c r="C259" s="12" t="s">
        <v>3973</v>
      </c>
      <c r="D259" s="12" t="s">
        <v>160</v>
      </c>
      <c r="E259" s="5" t="s">
        <v>3974</v>
      </c>
      <c r="F259" s="14"/>
      <c r="G259" s="14"/>
      <c r="H259" s="14" t="s">
        <v>87</v>
      </c>
      <c r="I259" s="14"/>
      <c r="J259" s="14"/>
      <c r="K259" s="14"/>
      <c r="L259" s="15"/>
      <c r="M259" s="12" t="s">
        <v>72</v>
      </c>
      <c r="N259" s="5"/>
      <c r="O259" s="12"/>
      <c r="P259" s="5" t="s">
        <v>3975</v>
      </c>
      <c r="Q259" s="12" t="s">
        <v>460</v>
      </c>
      <c r="R259" s="12" t="s">
        <v>282</v>
      </c>
      <c r="S259" s="5" t="s">
        <v>3976</v>
      </c>
      <c r="T259" s="5" t="s">
        <v>3977</v>
      </c>
      <c r="U259" s="12" t="n">
        <v>5</v>
      </c>
      <c r="V259" s="12" t="n">
        <v>2</v>
      </c>
      <c r="W259" s="12" t="n">
        <v>0</v>
      </c>
      <c r="X259" s="12" t="n">
        <v>0</v>
      </c>
      <c r="Y259" s="12" t="n">
        <v>0</v>
      </c>
    </row>
    <row r="260" customFormat="false" ht="54.75" hidden="false" customHeight="true" outlineLevel="0" collapsed="false">
      <c r="A260" s="10" t="s">
        <v>3978</v>
      </c>
      <c r="B260" s="11" t="s">
        <v>3979</v>
      </c>
      <c r="C260" s="12"/>
      <c r="D260" s="12" t="s">
        <v>120</v>
      </c>
      <c r="E260" s="5" t="s">
        <v>79</v>
      </c>
      <c r="F260" s="12"/>
      <c r="G260" s="12"/>
      <c r="H260" s="13" t="str">
        <f aca="false">IF(OR(COUNTBLANK($H$261:$H$261)&gt;0,COUNTIF($H$261:$H$261,"unbearbeitet")=COUNTA($H$261:$H$261)),"Bitte Teilanforderungen ausfüllen",IF(COUNTIF($H$261:$H$261,"zu klären")&gt;0,"zu klären",IF(COUNTIF($H$261:$H$261,"entbehrlich")=COUNTA($H$261:$H$261),"entbehrlich",IF(COUNTIF($H$261:$H$261,"verwiesen")=COUNTA($H$261:$H$261),"verwiesen",IF(COUNTIF($H$261:$H$261,"nein")+COUNTIF($H$261:$H$261,"entbehrlich")=COUNTA($H$261:$H$261),"nein",IF(COUNTIF($H$261:$H$261,"ja")+COUNTIF($H$261:$H$261,"entbehrlich")+COUNTIF($H$261:$H$261,"verwiesen")=COUNTA($H$261:$H$261),"ja","teilweise"))))))</f>
        <v>Bitte Teilanforderungen ausfüllen</v>
      </c>
      <c r="I260" s="12"/>
      <c r="J260" s="12"/>
      <c r="K260" s="12"/>
      <c r="L260" s="12"/>
      <c r="M260" s="12" t="s">
        <v>1226</v>
      </c>
      <c r="N260" s="5"/>
      <c r="O260" s="12"/>
      <c r="P260" s="5" t="s">
        <v>3980</v>
      </c>
      <c r="Q260" s="12" t="s">
        <v>3702</v>
      </c>
      <c r="R260" s="12" t="s">
        <v>282</v>
      </c>
      <c r="S260" s="5" t="s">
        <v>3979</v>
      </c>
      <c r="T260" s="5" t="s">
        <v>3878</v>
      </c>
      <c r="U260" s="12" t="n">
        <v>1</v>
      </c>
      <c r="V260" s="12" t="n">
        <v>1</v>
      </c>
      <c r="W260" s="12" t="n">
        <v>2</v>
      </c>
      <c r="X260" s="12" t="n">
        <v>0</v>
      </c>
      <c r="Y260" s="12" t="n">
        <v>2</v>
      </c>
    </row>
    <row r="261" customFormat="false" ht="54.75" hidden="false" customHeight="true" outlineLevel="0" collapsed="false">
      <c r="A261" s="12" t="s">
        <v>3978</v>
      </c>
      <c r="B261" s="5" t="s">
        <v>3979</v>
      </c>
      <c r="C261" s="12" t="s">
        <v>3978</v>
      </c>
      <c r="D261" s="12" t="s">
        <v>120</v>
      </c>
      <c r="E261" s="5" t="s">
        <v>3981</v>
      </c>
      <c r="F261" s="14"/>
      <c r="G261" s="14"/>
      <c r="H261" s="14" t="s">
        <v>87</v>
      </c>
      <c r="I261" s="14"/>
      <c r="J261" s="14"/>
      <c r="K261" s="14"/>
      <c r="L261" s="15"/>
      <c r="M261" s="12" t="s">
        <v>1226</v>
      </c>
      <c r="N261" s="5"/>
      <c r="O261" s="12"/>
      <c r="P261" s="5" t="s">
        <v>3980</v>
      </c>
      <c r="Q261" s="12" t="s">
        <v>3702</v>
      </c>
      <c r="R261" s="12" t="s">
        <v>282</v>
      </c>
      <c r="S261" s="5" t="s">
        <v>3979</v>
      </c>
      <c r="T261" s="5" t="s">
        <v>3878</v>
      </c>
      <c r="U261" s="12" t="n">
        <v>1</v>
      </c>
      <c r="V261" s="12" t="n">
        <v>1</v>
      </c>
      <c r="W261" s="12" t="n">
        <v>2</v>
      </c>
      <c r="X261" s="12" t="n">
        <v>0</v>
      </c>
      <c r="Y261" s="12" t="n">
        <v>2</v>
      </c>
    </row>
    <row r="262" customFormat="false" ht="68.25" hidden="false" customHeight="true" outlineLevel="0" collapsed="false">
      <c r="A262" s="10" t="s">
        <v>3982</v>
      </c>
      <c r="B262" s="11" t="s">
        <v>3983</v>
      </c>
      <c r="C262" s="12"/>
      <c r="D262" s="12" t="s">
        <v>120</v>
      </c>
      <c r="E262" s="5" t="s">
        <v>79</v>
      </c>
      <c r="F262" s="12"/>
      <c r="G262" s="12"/>
      <c r="H262" s="13" t="str">
        <f aca="false">IF(OR(COUNTBLANK($H$263:$H$263)&gt;0,COUNTIF($H$263:$H$263,"unbearbeitet")=COUNTA($H$263:$H$263)),"Bitte Teilanforderungen ausfüllen",IF(COUNTIF($H$263:$H$263,"zu klären")&gt;0,"zu klären",IF(COUNTIF($H$263:$H$263,"entbehrlich")=COUNTA($H$263:$H$263),"entbehrlich",IF(COUNTIF($H$263:$H$263,"verwiesen")=COUNTA($H$263:$H$263),"verwiesen",IF(COUNTIF($H$263:$H$263,"nein")+COUNTIF($H$263:$H$263,"entbehrlich")=COUNTA($H$263:$H$263),"nein",IF(COUNTIF($H$263:$H$263,"ja")+COUNTIF($H$263:$H$263,"entbehrlich")+COUNTIF($H$263:$H$263,"verwiesen")=COUNTA($H$263:$H$263),"ja","teilweise"))))))</f>
        <v>Bitte Teilanforderungen ausfüllen</v>
      </c>
      <c r="I262" s="12"/>
      <c r="J262" s="12"/>
      <c r="K262" s="12"/>
      <c r="L262" s="12"/>
      <c r="M262" s="12" t="s">
        <v>74</v>
      </c>
      <c r="N262" s="5"/>
      <c r="O262" s="12"/>
      <c r="P262" s="5" t="s">
        <v>3984</v>
      </c>
      <c r="Q262" s="12" t="s">
        <v>3702</v>
      </c>
      <c r="R262" s="12" t="s">
        <v>282</v>
      </c>
      <c r="S262" s="5" t="s">
        <v>3985</v>
      </c>
      <c r="T262" s="5" t="s">
        <v>3986</v>
      </c>
      <c r="U262" s="12" t="n">
        <v>1</v>
      </c>
      <c r="V262" s="12" t="n">
        <v>1</v>
      </c>
      <c r="W262" s="12" t="n">
        <v>1</v>
      </c>
      <c r="X262" s="12" t="n">
        <v>2</v>
      </c>
      <c r="Y262" s="12" t="n">
        <v>1</v>
      </c>
    </row>
    <row r="263" customFormat="false" ht="68.25" hidden="false" customHeight="true" outlineLevel="0" collapsed="false">
      <c r="A263" s="12" t="s">
        <v>3982</v>
      </c>
      <c r="B263" s="5" t="s">
        <v>3983</v>
      </c>
      <c r="C263" s="12" t="s">
        <v>3982</v>
      </c>
      <c r="D263" s="12" t="s">
        <v>120</v>
      </c>
      <c r="E263" s="5" t="s">
        <v>3987</v>
      </c>
      <c r="F263" s="14"/>
      <c r="G263" s="14"/>
      <c r="H263" s="14" t="s">
        <v>87</v>
      </c>
      <c r="I263" s="14"/>
      <c r="J263" s="14"/>
      <c r="K263" s="14"/>
      <c r="L263" s="15"/>
      <c r="M263" s="12" t="s">
        <v>74</v>
      </c>
      <c r="N263" s="5"/>
      <c r="O263" s="12"/>
      <c r="P263" s="5" t="s">
        <v>3984</v>
      </c>
      <c r="Q263" s="12" t="s">
        <v>3702</v>
      </c>
      <c r="R263" s="12" t="s">
        <v>282</v>
      </c>
      <c r="S263" s="5" t="s">
        <v>3985</v>
      </c>
      <c r="T263" s="5" t="s">
        <v>3986</v>
      </c>
      <c r="U263" s="12" t="n">
        <v>1</v>
      </c>
      <c r="V263" s="12" t="n">
        <v>1</v>
      </c>
      <c r="W263" s="12" t="n">
        <v>1</v>
      </c>
      <c r="X263" s="12" t="n">
        <v>2</v>
      </c>
      <c r="Y263" s="12" t="n">
        <v>1</v>
      </c>
    </row>
    <row r="264" customFormat="false" ht="68.25" hidden="false" customHeight="true" outlineLevel="0" collapsed="false">
      <c r="A264" s="10" t="s">
        <v>3988</v>
      </c>
      <c r="B264" s="11" t="s">
        <v>3989</v>
      </c>
      <c r="C264" s="12"/>
      <c r="D264" s="12" t="s">
        <v>160</v>
      </c>
      <c r="E264" s="5" t="s">
        <v>79</v>
      </c>
      <c r="F264" s="12"/>
      <c r="G264" s="12"/>
      <c r="H264" s="13" t="str">
        <f aca="false">IF(OR(COUNTBLANK($H$265:$H$265)&gt;0,COUNTIF($H$265:$H$265,"unbearbeitet")=COUNTA($H$265:$H$265)),"Bitte Teilanforderungen ausfüllen",IF(COUNTIF($H$265:$H$265,"zu klären")&gt;0,"zu klären",IF(COUNTIF($H$265:$H$265,"entbehrlich")=COUNTA($H$265:$H$265),"entbehrlich",IF(COUNTIF($H$265:$H$265,"verwiesen")=COUNTA($H$265:$H$265),"verwiesen",IF(COUNTIF($H$265:$H$265,"nein")+COUNTIF($H$265:$H$265,"entbehrlich")=COUNTA($H$265:$H$265),"nein",IF(COUNTIF($H$265:$H$265,"ja")+COUNTIF($H$265:$H$265,"entbehrlich")+COUNTIF($H$265:$H$265,"verwiesen")=COUNTA($H$265:$H$265),"ja","teilweise"))))))</f>
        <v>Bitte Teilanforderungen ausfüllen</v>
      </c>
      <c r="I264" s="12"/>
      <c r="J264" s="12"/>
      <c r="K264" s="12"/>
      <c r="L264" s="12"/>
      <c r="M264" s="12" t="s">
        <v>74</v>
      </c>
      <c r="N264" s="5"/>
      <c r="O264" s="12"/>
      <c r="P264" s="5" t="s">
        <v>3990</v>
      </c>
      <c r="Q264" s="12" t="s">
        <v>3991</v>
      </c>
      <c r="R264" s="12" t="s">
        <v>282</v>
      </c>
      <c r="S264" s="5" t="s">
        <v>3992</v>
      </c>
      <c r="T264" s="5" t="s">
        <v>3638</v>
      </c>
      <c r="U264" s="12" t="n">
        <v>5</v>
      </c>
      <c r="V264" s="12" t="n">
        <v>0</v>
      </c>
      <c r="W264" s="12" t="n">
        <v>0</v>
      </c>
      <c r="X264" s="12" t="n">
        <v>2</v>
      </c>
      <c r="Y264" s="12" t="n">
        <v>0</v>
      </c>
    </row>
    <row r="265" customFormat="false" ht="68.25" hidden="false" customHeight="true" outlineLevel="0" collapsed="false">
      <c r="A265" s="12" t="s">
        <v>3988</v>
      </c>
      <c r="B265" s="5" t="s">
        <v>3989</v>
      </c>
      <c r="C265" s="12" t="s">
        <v>3988</v>
      </c>
      <c r="D265" s="12" t="s">
        <v>160</v>
      </c>
      <c r="E265" s="5" t="s">
        <v>3993</v>
      </c>
      <c r="F265" s="14"/>
      <c r="G265" s="14"/>
      <c r="H265" s="14" t="s">
        <v>87</v>
      </c>
      <c r="I265" s="14"/>
      <c r="J265" s="14"/>
      <c r="K265" s="14"/>
      <c r="L265" s="15"/>
      <c r="M265" s="12" t="s">
        <v>74</v>
      </c>
      <c r="N265" s="5"/>
      <c r="O265" s="12"/>
      <c r="P265" s="5" t="s">
        <v>3990</v>
      </c>
      <c r="Q265" s="12" t="s">
        <v>3991</v>
      </c>
      <c r="R265" s="12" t="s">
        <v>282</v>
      </c>
      <c r="S265" s="5" t="s">
        <v>3992</v>
      </c>
      <c r="T265" s="5" t="s">
        <v>3638</v>
      </c>
      <c r="U265" s="12" t="n">
        <v>5</v>
      </c>
      <c r="V265" s="12" t="n">
        <v>0</v>
      </c>
      <c r="W265" s="12" t="n">
        <v>0</v>
      </c>
      <c r="X265" s="12" t="n">
        <v>2</v>
      </c>
      <c r="Y265" s="12" t="n">
        <v>0</v>
      </c>
    </row>
    <row r="266" customFormat="false" ht="41.25" hidden="false" customHeight="true" outlineLevel="0" collapsed="false">
      <c r="A266" s="10" t="s">
        <v>3994</v>
      </c>
      <c r="B266" s="11" t="s">
        <v>3995</v>
      </c>
      <c r="C266" s="12"/>
      <c r="D266" s="12" t="s">
        <v>120</v>
      </c>
      <c r="E266" s="5" t="s">
        <v>79</v>
      </c>
      <c r="F266" s="12"/>
      <c r="G266" s="12"/>
      <c r="H266" s="13" t="str">
        <f aca="false">IF(OR(COUNTBLANK($H$267:$H$267)&gt;0,COUNTIF($H$267:$H$267,"unbearbeitet")=COUNTA($H$267:$H$267)),"Bitte Teilanforderungen ausfüllen",IF(COUNTIF($H$267:$H$267,"zu klären")&gt;0,"zu klären",IF(COUNTIF($H$267:$H$267,"entbehrlich")=COUNTA($H$267:$H$267),"entbehrlich",IF(COUNTIF($H$267:$H$267,"verwiesen")=COUNTA($H$267:$H$267),"verwiesen",IF(COUNTIF($H$267:$H$267,"nein")+COUNTIF($H$267:$H$267,"entbehrlich")=COUNTA($H$267:$H$267),"nein",IF(COUNTIF($H$267:$H$267,"ja")+COUNTIF($H$267:$H$267,"entbehrlich")+COUNTIF($H$267:$H$267,"verwiesen")=COUNTA($H$267:$H$267),"ja","teilweise"))))))</f>
        <v>Bitte Teilanforderungen ausfüllen</v>
      </c>
      <c r="I266" s="12"/>
      <c r="J266" s="12"/>
      <c r="K266" s="12"/>
      <c r="L266" s="12"/>
      <c r="M266" s="12" t="s">
        <v>74</v>
      </c>
      <c r="N266" s="5"/>
      <c r="O266" s="12"/>
      <c r="P266" s="5" t="s">
        <v>3996</v>
      </c>
      <c r="Q266" s="12" t="s">
        <v>460</v>
      </c>
      <c r="R266" s="12" t="s">
        <v>282</v>
      </c>
      <c r="S266" s="5" t="s">
        <v>3997</v>
      </c>
      <c r="T266" s="5" t="s">
        <v>3638</v>
      </c>
      <c r="U266" s="12" t="n">
        <v>4</v>
      </c>
      <c r="V266" s="12" t="n">
        <v>0</v>
      </c>
      <c r="W266" s="12" t="n">
        <v>0</v>
      </c>
      <c r="X266" s="12" t="n">
        <v>2</v>
      </c>
      <c r="Y266" s="12" t="n">
        <v>0</v>
      </c>
    </row>
    <row r="267" customFormat="false" ht="41.25" hidden="false" customHeight="true" outlineLevel="0" collapsed="false">
      <c r="A267" s="12" t="s">
        <v>3994</v>
      </c>
      <c r="B267" s="5" t="s">
        <v>3995</v>
      </c>
      <c r="C267" s="12" t="s">
        <v>3994</v>
      </c>
      <c r="D267" s="12" t="s">
        <v>120</v>
      </c>
      <c r="E267" s="5" t="s">
        <v>3998</v>
      </c>
      <c r="F267" s="14"/>
      <c r="G267" s="14"/>
      <c r="H267" s="14" t="s">
        <v>87</v>
      </c>
      <c r="I267" s="14"/>
      <c r="J267" s="14"/>
      <c r="K267" s="14"/>
      <c r="L267" s="15"/>
      <c r="M267" s="12" t="s">
        <v>74</v>
      </c>
      <c r="N267" s="5"/>
      <c r="O267" s="12"/>
      <c r="P267" s="5" t="s">
        <v>3996</v>
      </c>
      <c r="Q267" s="12" t="s">
        <v>460</v>
      </c>
      <c r="R267" s="12" t="s">
        <v>282</v>
      </c>
      <c r="S267" s="5" t="s">
        <v>3997</v>
      </c>
      <c r="T267" s="5" t="s">
        <v>3638</v>
      </c>
      <c r="U267" s="12" t="n">
        <v>4</v>
      </c>
      <c r="V267" s="12" t="n">
        <v>0</v>
      </c>
      <c r="W267" s="12" t="n">
        <v>0</v>
      </c>
      <c r="X267" s="12" t="n">
        <v>2</v>
      </c>
      <c r="Y267" s="12" t="n">
        <v>0</v>
      </c>
    </row>
    <row r="268" customFormat="false" ht="243" hidden="false" customHeight="true" outlineLevel="0" collapsed="false">
      <c r="A268" s="10" t="s">
        <v>3999</v>
      </c>
      <c r="B268" s="11" t="s">
        <v>4000</v>
      </c>
      <c r="C268" s="12"/>
      <c r="D268" s="12" t="s">
        <v>160</v>
      </c>
      <c r="E268" s="5" t="s">
        <v>79</v>
      </c>
      <c r="F268" s="12"/>
      <c r="G268" s="12"/>
      <c r="H268" s="13" t="str">
        <f aca="false">IF(OR(COUNTBLANK($H$269:$H$269)&gt;0,COUNTIF($H$269:$H$269,"unbearbeitet")=COUNTA($H$269:$H$269)),"Bitte Teilanforderungen ausfüllen",IF(COUNTIF($H$269:$H$269,"zu klären")&gt;0,"zu klären",IF(COUNTIF($H$269:$H$269,"entbehrlich")=COUNTA($H$269:$H$269),"entbehrlich",IF(COUNTIF($H$269:$H$269,"verwiesen")=COUNTA($H$269:$H$269),"verwiesen",IF(COUNTIF($H$269:$H$269,"nein")+COUNTIF($H$269:$H$269,"entbehrlich")=COUNTA($H$269:$H$269),"nein",IF(COUNTIF($H$269:$H$269,"ja")+COUNTIF($H$269:$H$269,"entbehrlich")+COUNTIF($H$269:$H$269,"verwiesen")=COUNTA($H$269:$H$269),"ja","teilweise"))))))</f>
        <v>Bitte Teilanforderungen ausfüllen</v>
      </c>
      <c r="I268" s="12"/>
      <c r="J268" s="12"/>
      <c r="K268" s="12"/>
      <c r="L268" s="12"/>
      <c r="M268" s="12" t="s">
        <v>74</v>
      </c>
      <c r="N268" s="5"/>
      <c r="O268" s="12"/>
      <c r="P268" s="5" t="s">
        <v>4001</v>
      </c>
      <c r="Q268" s="12" t="s">
        <v>4002</v>
      </c>
      <c r="R268" s="12" t="s">
        <v>282</v>
      </c>
      <c r="S268" s="5" t="s">
        <v>4003</v>
      </c>
      <c r="T268" s="5" t="s">
        <v>3638</v>
      </c>
      <c r="U268" s="12" t="n">
        <v>5</v>
      </c>
      <c r="V268" s="12" t="n">
        <v>0</v>
      </c>
      <c r="W268" s="12" t="n">
        <v>0</v>
      </c>
      <c r="X268" s="12" t="n">
        <v>2</v>
      </c>
      <c r="Y268" s="12" t="n">
        <v>0</v>
      </c>
    </row>
    <row r="269" customFormat="false" ht="243" hidden="false" customHeight="true" outlineLevel="0" collapsed="false">
      <c r="A269" s="12" t="s">
        <v>3999</v>
      </c>
      <c r="B269" s="5" t="s">
        <v>4000</v>
      </c>
      <c r="C269" s="12" t="s">
        <v>3999</v>
      </c>
      <c r="D269" s="12" t="s">
        <v>160</v>
      </c>
      <c r="E269" s="5" t="s">
        <v>4004</v>
      </c>
      <c r="F269" s="14"/>
      <c r="G269" s="14"/>
      <c r="H269" s="14" t="s">
        <v>87</v>
      </c>
      <c r="I269" s="14"/>
      <c r="J269" s="14"/>
      <c r="K269" s="14"/>
      <c r="L269" s="15"/>
      <c r="M269" s="12" t="s">
        <v>74</v>
      </c>
      <c r="N269" s="5"/>
      <c r="O269" s="12"/>
      <c r="P269" s="5" t="s">
        <v>4001</v>
      </c>
      <c r="Q269" s="12" t="s">
        <v>4002</v>
      </c>
      <c r="R269" s="12" t="s">
        <v>282</v>
      </c>
      <c r="S269" s="5" t="s">
        <v>4003</v>
      </c>
      <c r="T269" s="5" t="s">
        <v>3638</v>
      </c>
      <c r="U269" s="12" t="n">
        <v>5</v>
      </c>
      <c r="V269" s="12" t="n">
        <v>0</v>
      </c>
      <c r="W269" s="12" t="n">
        <v>0</v>
      </c>
      <c r="X269" s="12" t="n">
        <v>2</v>
      </c>
      <c r="Y269" s="12" t="n">
        <v>0</v>
      </c>
    </row>
    <row r="270" customFormat="false" ht="95.25" hidden="false" customHeight="true" outlineLevel="0" collapsed="false">
      <c r="A270" s="10" t="s">
        <v>4005</v>
      </c>
      <c r="B270" s="11" t="s">
        <v>3641</v>
      </c>
      <c r="C270" s="12"/>
      <c r="D270" s="12" t="s">
        <v>160</v>
      </c>
      <c r="E270" s="5" t="s">
        <v>79</v>
      </c>
      <c r="F270" s="12"/>
      <c r="G270" s="12"/>
      <c r="H270" s="13" t="str">
        <f aca="false">IF(OR(COUNTBLANK($H$271:$H$271)&gt;0,COUNTIF($H$271:$H$271,"unbearbeitet")=COUNTA($H$271:$H$271)),"Bitte Teilanforderungen ausfüllen",IF(COUNTIF($H$271:$H$271,"zu klären")&gt;0,"zu klären",IF(COUNTIF($H$271:$H$271,"entbehrlich")=COUNTA($H$271:$H$271),"entbehrlich",IF(COUNTIF($H$271:$H$271,"verwiesen")=COUNTA($H$271:$H$271),"verwiesen",IF(COUNTIF($H$271:$H$271,"nein")+COUNTIF($H$271:$H$271,"entbehrlich")=COUNTA($H$271:$H$271),"nein",IF(COUNTIF($H$271:$H$271,"ja")+COUNTIF($H$271:$H$271,"entbehrlich")+COUNTIF($H$271:$H$271,"verwiesen")=COUNTA($H$271:$H$271),"ja","teilweise"))))))</f>
        <v>Bitte Teilanforderungen ausfüllen</v>
      </c>
      <c r="I270" s="12"/>
      <c r="J270" s="12"/>
      <c r="K270" s="12"/>
      <c r="L270" s="12"/>
      <c r="M270" s="12" t="s">
        <v>74</v>
      </c>
      <c r="N270" s="5"/>
      <c r="O270" s="12"/>
      <c r="P270" s="5" t="s">
        <v>4006</v>
      </c>
      <c r="Q270" s="12" t="s">
        <v>4002</v>
      </c>
      <c r="R270" s="12" t="s">
        <v>282</v>
      </c>
      <c r="S270" s="5" t="s">
        <v>4007</v>
      </c>
      <c r="T270" s="5" t="s">
        <v>3638</v>
      </c>
      <c r="U270" s="12" t="n">
        <v>5</v>
      </c>
      <c r="V270" s="12" t="n">
        <v>0</v>
      </c>
      <c r="W270" s="12" t="n">
        <v>0</v>
      </c>
      <c r="X270" s="12" t="n">
        <v>2</v>
      </c>
      <c r="Y270" s="12" t="n">
        <v>0</v>
      </c>
    </row>
    <row r="271" customFormat="false" ht="95.25" hidden="false" customHeight="true" outlineLevel="0" collapsed="false">
      <c r="A271" s="12" t="s">
        <v>4005</v>
      </c>
      <c r="B271" s="5" t="s">
        <v>3641</v>
      </c>
      <c r="C271" s="12" t="s">
        <v>4005</v>
      </c>
      <c r="D271" s="12" t="s">
        <v>160</v>
      </c>
      <c r="E271" s="5" t="s">
        <v>4008</v>
      </c>
      <c r="F271" s="14"/>
      <c r="G271" s="14"/>
      <c r="H271" s="14" t="s">
        <v>87</v>
      </c>
      <c r="I271" s="14"/>
      <c r="J271" s="14"/>
      <c r="K271" s="14"/>
      <c r="L271" s="15"/>
      <c r="M271" s="12" t="s">
        <v>74</v>
      </c>
      <c r="N271" s="5"/>
      <c r="O271" s="12"/>
      <c r="P271" s="5" t="s">
        <v>4006</v>
      </c>
      <c r="Q271" s="12" t="s">
        <v>4002</v>
      </c>
      <c r="R271" s="12" t="s">
        <v>282</v>
      </c>
      <c r="S271" s="5" t="s">
        <v>4007</v>
      </c>
      <c r="T271" s="5" t="s">
        <v>3638</v>
      </c>
      <c r="U271" s="12" t="n">
        <v>5</v>
      </c>
      <c r="V271" s="12" t="n">
        <v>0</v>
      </c>
      <c r="W271" s="12" t="n">
        <v>0</v>
      </c>
      <c r="X271" s="12" t="n">
        <v>2</v>
      </c>
      <c r="Y271" s="12" t="n">
        <v>0</v>
      </c>
    </row>
    <row r="272" customFormat="false" ht="81.75" hidden="false" customHeight="true" outlineLevel="0" collapsed="false">
      <c r="A272" s="10" t="s">
        <v>4009</v>
      </c>
      <c r="B272" s="11" t="s">
        <v>4010</v>
      </c>
      <c r="C272" s="12"/>
      <c r="D272" s="12" t="s">
        <v>160</v>
      </c>
      <c r="E272" s="5" t="s">
        <v>79</v>
      </c>
      <c r="F272" s="12"/>
      <c r="G272" s="12"/>
      <c r="H272" s="13" t="str">
        <f aca="false">IF(OR(COUNTBLANK($H$273:$H$273)&gt;0,COUNTIF($H$273:$H$273,"unbearbeitet")=COUNTA($H$273:$H$273)),"Bitte Teilanforderungen ausfüllen",IF(COUNTIF($H$273:$H$273,"zu klären")&gt;0,"zu klären",IF(COUNTIF($H$273:$H$273,"entbehrlich")=COUNTA($H$273:$H$273),"entbehrlich",IF(COUNTIF($H$273:$H$273,"verwiesen")=COUNTA($H$273:$H$273),"verwiesen",IF(COUNTIF($H$273:$H$273,"nein")+COUNTIF($H$273:$H$273,"entbehrlich")=COUNTA($H$273:$H$273),"nein",IF(COUNTIF($H$273:$H$273,"ja")+COUNTIF($H$273:$H$273,"entbehrlich")+COUNTIF($H$273:$H$273,"verwiesen")=COUNTA($H$273:$H$273),"ja","teilweise"))))))</f>
        <v>Bitte Teilanforderungen ausfüllen</v>
      </c>
      <c r="I272" s="12"/>
      <c r="J272" s="12"/>
      <c r="K272" s="12"/>
      <c r="L272" s="12"/>
      <c r="M272" s="12" t="s">
        <v>74</v>
      </c>
      <c r="N272" s="5"/>
      <c r="O272" s="12"/>
      <c r="P272" s="5" t="s">
        <v>4011</v>
      </c>
      <c r="Q272" s="12" t="s">
        <v>4002</v>
      </c>
      <c r="R272" s="12" t="s">
        <v>282</v>
      </c>
      <c r="S272" s="5" t="s">
        <v>4012</v>
      </c>
      <c r="T272" s="5" t="s">
        <v>3638</v>
      </c>
      <c r="U272" s="12" t="n">
        <v>5</v>
      </c>
      <c r="V272" s="12" t="n">
        <v>0</v>
      </c>
      <c r="W272" s="12" t="n">
        <v>0</v>
      </c>
      <c r="X272" s="12" t="n">
        <v>2</v>
      </c>
      <c r="Y272" s="12" t="n">
        <v>0</v>
      </c>
    </row>
    <row r="273" customFormat="false" ht="81.75" hidden="false" customHeight="true" outlineLevel="0" collapsed="false">
      <c r="A273" s="12" t="s">
        <v>4009</v>
      </c>
      <c r="B273" s="5" t="s">
        <v>4010</v>
      </c>
      <c r="C273" s="12" t="s">
        <v>4009</v>
      </c>
      <c r="D273" s="12" t="s">
        <v>160</v>
      </c>
      <c r="E273" s="5" t="s">
        <v>4013</v>
      </c>
      <c r="F273" s="14"/>
      <c r="G273" s="14"/>
      <c r="H273" s="14" t="s">
        <v>87</v>
      </c>
      <c r="I273" s="14"/>
      <c r="J273" s="14"/>
      <c r="K273" s="14"/>
      <c r="L273" s="15"/>
      <c r="M273" s="12" t="s">
        <v>74</v>
      </c>
      <c r="N273" s="5"/>
      <c r="O273" s="12"/>
      <c r="P273" s="5" t="s">
        <v>4011</v>
      </c>
      <c r="Q273" s="12" t="s">
        <v>4002</v>
      </c>
      <c r="R273" s="12" t="s">
        <v>282</v>
      </c>
      <c r="S273" s="5" t="s">
        <v>4012</v>
      </c>
      <c r="T273" s="5" t="s">
        <v>3638</v>
      </c>
      <c r="U273" s="12" t="n">
        <v>5</v>
      </c>
      <c r="V273" s="12" t="n">
        <v>0</v>
      </c>
      <c r="W273" s="12" t="n">
        <v>0</v>
      </c>
      <c r="X273" s="12" t="n">
        <v>2</v>
      </c>
      <c r="Y273" s="12" t="n">
        <v>0</v>
      </c>
    </row>
    <row r="274" customFormat="false" ht="270" hidden="false" customHeight="true" outlineLevel="0" collapsed="false">
      <c r="A274" s="10" t="s">
        <v>4014</v>
      </c>
      <c r="B274" s="11" t="s">
        <v>4015</v>
      </c>
      <c r="C274" s="12"/>
      <c r="D274" s="12" t="s">
        <v>160</v>
      </c>
      <c r="E274" s="5" t="s">
        <v>79</v>
      </c>
      <c r="F274" s="12"/>
      <c r="G274" s="12"/>
      <c r="H274" s="13" t="str">
        <f aca="false">IF(OR(COUNTBLANK($H$275:$H$275)&gt;0,COUNTIF($H$275:$H$275,"unbearbeitet")=COUNTA($H$275:$H$275)),"Bitte Teilanforderungen ausfüllen",IF(COUNTIF($H$275:$H$275,"zu klären")&gt;0,"zu klären",IF(COUNTIF($H$275:$H$275,"entbehrlich")=COUNTA($H$275:$H$275),"entbehrlich",IF(COUNTIF($H$275:$H$275,"verwiesen")=COUNTA($H$275:$H$275),"verwiesen",IF(COUNTIF($H$275:$H$275,"nein")+COUNTIF($H$275:$H$275,"entbehrlich")=COUNTA($H$275:$H$275),"nein",IF(COUNTIF($H$275:$H$275,"ja")+COUNTIF($H$275:$H$275,"entbehrlich")+COUNTIF($H$275:$H$275,"verwiesen")=COUNTA($H$275:$H$275),"ja","teilweise"))))))</f>
        <v>Bitte Teilanforderungen ausfüllen</v>
      </c>
      <c r="I274" s="12"/>
      <c r="J274" s="12"/>
      <c r="K274" s="12"/>
      <c r="L274" s="12"/>
      <c r="M274" s="12" t="s">
        <v>74</v>
      </c>
      <c r="N274" s="5"/>
      <c r="O274" s="12"/>
      <c r="P274" s="5" t="s">
        <v>4016</v>
      </c>
      <c r="Q274" s="12" t="s">
        <v>478</v>
      </c>
      <c r="R274" s="12" t="s">
        <v>282</v>
      </c>
      <c r="S274" s="5" t="s">
        <v>4017</v>
      </c>
      <c r="T274" s="5" t="s">
        <v>3638</v>
      </c>
      <c r="U274" s="12" t="n">
        <v>5</v>
      </c>
      <c r="V274" s="12" t="n">
        <v>0</v>
      </c>
      <c r="W274" s="12" t="n">
        <v>0</v>
      </c>
      <c r="X274" s="12" t="n">
        <v>2</v>
      </c>
      <c r="Y274" s="12" t="n">
        <v>0</v>
      </c>
    </row>
    <row r="275" customFormat="false" ht="270" hidden="false" customHeight="true" outlineLevel="0" collapsed="false">
      <c r="A275" s="12" t="s">
        <v>4014</v>
      </c>
      <c r="B275" s="5" t="s">
        <v>4015</v>
      </c>
      <c r="C275" s="12" t="s">
        <v>4014</v>
      </c>
      <c r="D275" s="12" t="s">
        <v>160</v>
      </c>
      <c r="E275" s="5" t="s">
        <v>4018</v>
      </c>
      <c r="F275" s="14"/>
      <c r="G275" s="14"/>
      <c r="H275" s="14" t="s">
        <v>87</v>
      </c>
      <c r="I275" s="14"/>
      <c r="J275" s="14"/>
      <c r="K275" s="14"/>
      <c r="L275" s="15"/>
      <c r="M275" s="12" t="s">
        <v>74</v>
      </c>
      <c r="N275" s="5"/>
      <c r="O275" s="12"/>
      <c r="P275" s="5" t="s">
        <v>4016</v>
      </c>
      <c r="Q275" s="12" t="s">
        <v>478</v>
      </c>
      <c r="R275" s="12" t="s">
        <v>282</v>
      </c>
      <c r="S275" s="5" t="s">
        <v>4017</v>
      </c>
      <c r="T275" s="5" t="s">
        <v>3638</v>
      </c>
      <c r="U275" s="12" t="n">
        <v>5</v>
      </c>
      <c r="V275" s="12" t="n">
        <v>0</v>
      </c>
      <c r="W275" s="12" t="n">
        <v>0</v>
      </c>
      <c r="X275" s="12" t="n">
        <v>2</v>
      </c>
      <c r="Y275" s="12" t="n">
        <v>0</v>
      </c>
    </row>
  </sheetData>
  <autoFilter ref="A6:Y6"/>
  <conditionalFormatting sqref="H7:H275">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H21 H23 H25 H27:H29 H31:H32 H34 H36 H38 H40 H42 H44 H46 H48 H50 H52:H53 H55 H57 H59:H60 H62:H63 H65 H67 H69 H71:H73 H75 H77:H80 H82 H84 H86:H87 H89 H91:H92 H94 H96 H98 H100 H102 H104 H106 H108 H110 H112 H114 H116 H118 H120 H122 H124 H126 H128 H130 H132 H134 H136 H138 H140 H142 H144:H145 H147:H148 H150 H152 H154 H156 H158:H159 H161 H163 H165 H167:H168 H170:H172 H174 H176 H178 H180 H182 H184:H187 H189 H191:H202 H204 H206 H208 H210 H212 H214 H216 H218 H220 H222 H224 H226 H228 H230:H232 H234:H236 H238 H240 H242:H243 H245 H247 H249 H251 H253 H255 H257:H259 H261 H263 H265 H267 H269 H271 H273 H275"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598</v>
      </c>
      <c r="B3" s="7" t="s">
        <v>599</v>
      </c>
    </row>
    <row r="4" customFormat="false" ht="15" hidden="false" customHeight="true" outlineLevel="0" collapsed="false">
      <c r="A4" s="4" t="s">
        <v>50</v>
      </c>
      <c r="B4" s="8" t="str">
        <f aca="false">IF(Praktiken!D15="","",Praktiken!D15)</f>
        <v/>
      </c>
    </row>
    <row r="5" customFormat="false" ht="15" hidden="false" customHeight="true" outlineLevel="0" collapsed="false">
      <c r="A5" s="4" t="s">
        <v>51</v>
      </c>
      <c r="B5" s="8" t="str">
        <f aca="false">IF(Praktiken!S15="","",Praktiken!S15)</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49.25" hidden="false" customHeight="true" outlineLevel="0" collapsed="false">
      <c r="A7" s="10" t="s">
        <v>4019</v>
      </c>
      <c r="B7" s="11" t="s">
        <v>77</v>
      </c>
      <c r="C7" s="12"/>
      <c r="D7" s="12" t="s">
        <v>78</v>
      </c>
      <c r="E7" s="5" t="s">
        <v>79</v>
      </c>
      <c r="F7" s="12"/>
      <c r="G7" s="12"/>
      <c r="H7" s="13" t="str">
        <f aca="false">IF(OR(COUNTBLANK($H$8:$H$11)&gt;0,COUNTIF($H$8:$H$11,"unbearbeitet")=COUNTA($H$8:$H$11)),"Bitte Teilanforderungen ausfüllen",IF(COUNTIF($H$8:$H$11,"zu klären")&gt;0,"zu klären",IF(COUNTIF($H$8:$H$11,"entbehrlich")=COUNTA($H$8:$H$11),"entbehrlich",IF(COUNTIF($H$8:$H$11,"verwiesen")=COUNTA($H$8:$H$11),"verwiesen",IF(COUNTIF($H$8:$H$11,"nein")+COUNTIF($H$8:$H$11,"entbehrlich")=COUNTA($H$8:$H$11),"nein",IF(COUNTIF($H$8:$H$11,"ja")+COUNTIF($H$8:$H$11,"entbehrlich")+COUNTIF($H$8:$H$11,"verwiesen")=COUNTA($H$8:$H$11),"ja","teilweise"))))))</f>
        <v>Bitte Teilanforderungen ausfüllen</v>
      </c>
      <c r="I7" s="12"/>
      <c r="J7" s="12"/>
      <c r="K7" s="12"/>
      <c r="L7" s="12"/>
      <c r="M7" s="12" t="s">
        <v>74</v>
      </c>
      <c r="N7" s="5" t="s">
        <v>4020</v>
      </c>
      <c r="O7" s="12" t="s">
        <v>4021</v>
      </c>
      <c r="P7" s="5" t="s">
        <v>4022</v>
      </c>
      <c r="Q7" s="12"/>
      <c r="R7" s="12" t="s">
        <v>4023</v>
      </c>
      <c r="S7" s="5" t="s">
        <v>4024</v>
      </c>
      <c r="T7" s="5" t="s">
        <v>306</v>
      </c>
      <c r="U7" s="12" t="n">
        <v>0</v>
      </c>
      <c r="V7" s="12" t="n">
        <v>1</v>
      </c>
      <c r="W7" s="12" t="n">
        <v>1</v>
      </c>
      <c r="X7" s="12" t="n">
        <v>2</v>
      </c>
      <c r="Y7" s="12" t="n">
        <v>0</v>
      </c>
    </row>
    <row r="8" customFormat="false" ht="216" hidden="false" customHeight="true" outlineLevel="0" collapsed="false">
      <c r="A8" s="12" t="s">
        <v>4019</v>
      </c>
      <c r="B8" s="5" t="s">
        <v>77</v>
      </c>
      <c r="C8" s="12" t="s">
        <v>4025</v>
      </c>
      <c r="D8" s="12" t="s">
        <v>78</v>
      </c>
      <c r="E8" s="5" t="s">
        <v>4026</v>
      </c>
      <c r="F8" s="14"/>
      <c r="G8" s="14"/>
      <c r="H8" s="14" t="s">
        <v>87</v>
      </c>
      <c r="I8" s="14"/>
      <c r="J8" s="14"/>
      <c r="K8" s="14"/>
      <c r="L8" s="15"/>
      <c r="M8" s="12"/>
      <c r="N8" s="5" t="s">
        <v>4027</v>
      </c>
      <c r="O8" s="12" t="s">
        <v>272</v>
      </c>
      <c r="P8" s="5" t="s">
        <v>624</v>
      </c>
      <c r="Q8" s="12"/>
      <c r="R8" s="12" t="s">
        <v>92</v>
      </c>
      <c r="S8" s="5" t="s">
        <v>93</v>
      </c>
      <c r="T8" s="5" t="s">
        <v>625</v>
      </c>
      <c r="U8" s="12" t="n">
        <v>0</v>
      </c>
      <c r="V8" s="12" t="n">
        <v>1</v>
      </c>
      <c r="W8" s="12" t="n">
        <v>1</v>
      </c>
      <c r="X8" s="12" t="n">
        <v>1</v>
      </c>
      <c r="Y8" s="12" t="n">
        <v>1</v>
      </c>
    </row>
    <row r="9" customFormat="false" ht="336.75" hidden="false" customHeight="true" outlineLevel="0" collapsed="false">
      <c r="A9" s="12" t="s">
        <v>4019</v>
      </c>
      <c r="B9" s="5" t="s">
        <v>77</v>
      </c>
      <c r="C9" s="12" t="s">
        <v>4028</v>
      </c>
      <c r="D9" s="12" t="s">
        <v>78</v>
      </c>
      <c r="E9" s="5" t="s">
        <v>4029</v>
      </c>
      <c r="F9" s="14"/>
      <c r="G9" s="14"/>
      <c r="H9" s="14" t="s">
        <v>87</v>
      </c>
      <c r="I9" s="14"/>
      <c r="J9" s="14"/>
      <c r="K9" s="14"/>
      <c r="L9" s="15"/>
      <c r="M9" s="12"/>
      <c r="N9" s="5"/>
      <c r="O9" s="12"/>
      <c r="P9" s="5" t="s">
        <v>4030</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4019</v>
      </c>
      <c r="B10" s="5" t="s">
        <v>77</v>
      </c>
      <c r="C10" s="12" t="s">
        <v>4031</v>
      </c>
      <c r="D10" s="12" t="s">
        <v>78</v>
      </c>
      <c r="E10" s="5" t="s">
        <v>4032</v>
      </c>
      <c r="F10" s="14"/>
      <c r="G10" s="14"/>
      <c r="H10" s="14" t="s">
        <v>87</v>
      </c>
      <c r="I10" s="14"/>
      <c r="J10" s="14"/>
      <c r="K10" s="14"/>
      <c r="L10" s="15"/>
      <c r="M10" s="12" t="s">
        <v>73</v>
      </c>
      <c r="N10" s="5"/>
      <c r="O10" s="12"/>
      <c r="P10" s="5" t="s">
        <v>631</v>
      </c>
      <c r="Q10" s="12"/>
      <c r="R10" s="12" t="s">
        <v>92</v>
      </c>
      <c r="S10" s="5" t="s">
        <v>108</v>
      </c>
      <c r="T10" s="5" t="s">
        <v>102</v>
      </c>
      <c r="U10" s="12" t="n">
        <v>0</v>
      </c>
      <c r="V10" s="12" t="n">
        <v>1</v>
      </c>
      <c r="W10" s="12" t="n">
        <v>2</v>
      </c>
      <c r="X10" s="12" t="n">
        <v>1</v>
      </c>
      <c r="Y10" s="12" t="n">
        <v>0</v>
      </c>
    </row>
    <row r="11" customFormat="false" ht="189" hidden="false" customHeight="true" outlineLevel="0" collapsed="false">
      <c r="A11" s="12" t="s">
        <v>4019</v>
      </c>
      <c r="B11" s="5" t="s">
        <v>77</v>
      </c>
      <c r="C11" s="12" t="s">
        <v>4033</v>
      </c>
      <c r="D11" s="12" t="s">
        <v>160</v>
      </c>
      <c r="E11" s="5" t="s">
        <v>4034</v>
      </c>
      <c r="F11" s="14"/>
      <c r="G11" s="14"/>
      <c r="H11" s="14" t="s">
        <v>87</v>
      </c>
      <c r="I11" s="14"/>
      <c r="J11" s="14"/>
      <c r="K11" s="14"/>
      <c r="L11" s="15"/>
      <c r="M11" s="12" t="s">
        <v>74</v>
      </c>
      <c r="N11" s="5"/>
      <c r="O11" s="12"/>
      <c r="P11" s="5" t="s">
        <v>4035</v>
      </c>
      <c r="Q11" s="12"/>
      <c r="R11" s="12" t="s">
        <v>4023</v>
      </c>
      <c r="S11" s="5" t="s">
        <v>4036</v>
      </c>
      <c r="T11" s="5" t="s">
        <v>306</v>
      </c>
      <c r="U11" s="12" t="n">
        <v>5</v>
      </c>
      <c r="V11" s="12" t="n">
        <v>1</v>
      </c>
      <c r="W11" s="12" t="n">
        <v>1</v>
      </c>
      <c r="X11" s="12" t="n">
        <v>2</v>
      </c>
      <c r="Y11" s="12" t="n">
        <v>0</v>
      </c>
    </row>
    <row r="12" customFormat="false" ht="189" hidden="false" customHeight="true" outlineLevel="0" collapsed="false">
      <c r="A12" s="10" t="s">
        <v>4037</v>
      </c>
      <c r="B12" s="11" t="s">
        <v>111</v>
      </c>
      <c r="C12" s="12"/>
      <c r="D12" s="12" t="s">
        <v>78</v>
      </c>
      <c r="E12" s="5" t="s">
        <v>79</v>
      </c>
      <c r="F12" s="12"/>
      <c r="G12" s="12"/>
      <c r="H12" s="13" t="str">
        <f aca="false">IF(OR(COUNTBLANK($H$13:$H$13)&gt;0,COUNTIF($H$13:$H$13,"unbearbeitet")=COUNTA($H$13:$H$13)),"Bitte Teilanforderungen ausfüllen",IF(COUNTIF($H$13:$H$13,"zu klären")&gt;0,"zu klären",IF(COUNTIF($H$13:$H$13,"entbehrlich")=COUNTA($H$13:$H$13),"entbehrlich",IF(COUNTIF($H$13:$H$13,"verwiesen")=COUNTA($H$13:$H$13),"verwiesen",IF(COUNTIF($H$13:$H$13,"nein")+COUNTIF($H$13:$H$13,"entbehrlich")=COUNTA($H$13:$H$13),"nein",IF(COUNTIF($H$13:$H$13,"ja")+COUNTIF($H$13:$H$13,"entbehrlich")+COUNTIF($H$13:$H$13,"verwiesen")=COUNTA($H$13:$H$13),"ja","teilweise"))))))</f>
        <v>Bitte Teilanforderungen ausfüllen</v>
      </c>
      <c r="I12" s="12"/>
      <c r="J12" s="12"/>
      <c r="K12" s="12"/>
      <c r="L12" s="12"/>
      <c r="M12" s="12"/>
      <c r="N12" s="5" t="s">
        <v>4038</v>
      </c>
      <c r="O12" s="12" t="s">
        <v>272</v>
      </c>
      <c r="P12" s="5" t="s">
        <v>2855</v>
      </c>
      <c r="Q12" s="12"/>
      <c r="R12" s="12" t="s">
        <v>115</v>
      </c>
      <c r="S12" s="5" t="s">
        <v>93</v>
      </c>
      <c r="T12" s="5" t="s">
        <v>306</v>
      </c>
      <c r="U12" s="12" t="n">
        <v>0</v>
      </c>
      <c r="V12" s="12" t="n">
        <v>1</v>
      </c>
      <c r="W12" s="12" t="n">
        <v>1</v>
      </c>
      <c r="X12" s="12" t="n">
        <v>1</v>
      </c>
      <c r="Y12" s="12" t="n">
        <v>0</v>
      </c>
    </row>
    <row r="13" customFormat="false" ht="189" hidden="false" customHeight="true" outlineLevel="0" collapsed="false">
      <c r="A13" s="12" t="s">
        <v>4037</v>
      </c>
      <c r="B13" s="5" t="s">
        <v>111</v>
      </c>
      <c r="C13" s="12" t="s">
        <v>4037</v>
      </c>
      <c r="D13" s="12" t="s">
        <v>78</v>
      </c>
      <c r="E13" s="5" t="s">
        <v>4039</v>
      </c>
      <c r="F13" s="14"/>
      <c r="G13" s="14"/>
      <c r="H13" s="14" t="s">
        <v>87</v>
      </c>
      <c r="I13" s="14"/>
      <c r="J13" s="14"/>
      <c r="K13" s="14"/>
      <c r="L13" s="15"/>
      <c r="M13" s="12"/>
      <c r="N13" s="5" t="s">
        <v>4038</v>
      </c>
      <c r="O13" s="12" t="s">
        <v>272</v>
      </c>
      <c r="P13" s="5" t="s">
        <v>2855</v>
      </c>
      <c r="Q13" s="12"/>
      <c r="R13" s="12" t="s">
        <v>115</v>
      </c>
      <c r="S13" s="5" t="s">
        <v>93</v>
      </c>
      <c r="T13" s="5" t="s">
        <v>306</v>
      </c>
      <c r="U13" s="12" t="n">
        <v>0</v>
      </c>
      <c r="V13" s="12" t="n">
        <v>1</v>
      </c>
      <c r="W13" s="12" t="n">
        <v>1</v>
      </c>
      <c r="X13" s="12" t="n">
        <v>1</v>
      </c>
      <c r="Y13" s="12" t="n">
        <v>0</v>
      </c>
    </row>
    <row r="14" customFormat="false" ht="135.75" hidden="false" customHeight="true" outlineLevel="0" collapsed="false">
      <c r="A14" s="10" t="s">
        <v>4040</v>
      </c>
      <c r="B14" s="11" t="s">
        <v>4041</v>
      </c>
      <c r="C14" s="12"/>
      <c r="D14" s="12" t="s">
        <v>120</v>
      </c>
      <c r="E14" s="5" t="s">
        <v>79</v>
      </c>
      <c r="F14" s="12"/>
      <c r="G14" s="12"/>
      <c r="H14" s="13" t="str">
        <f aca="false">IF(OR(COUNTBLANK($H$15:$H$19)&gt;0,COUNTIF($H$15:$H$19,"unbearbeitet")=COUNTA($H$15:$H$19)),"Bitte Teilanforderungen ausfüllen",IF(COUNTIF($H$15:$H$19,"zu klären")&gt;0,"zu klären",IF(COUNTIF($H$15:$H$19,"entbehrlich")=COUNTA($H$15:$H$19),"entbehrlich",IF(COUNTIF($H$15:$H$19,"verwiesen")=COUNTA($H$15:$H$19),"verwiesen",IF(COUNTIF($H$15:$H$19,"nein")+COUNTIF($H$15:$H$19,"entbehrlich")=COUNTA($H$15:$H$19),"nein",IF(COUNTIF($H$15:$H$19,"ja")+COUNTIF($H$15:$H$19,"entbehrlich")+COUNTIF($H$15:$H$19,"verwiesen")=COUNTA($H$15:$H$19),"ja","teilweise"))))))</f>
        <v>Bitte Teilanforderungen ausfüllen</v>
      </c>
      <c r="I14" s="12"/>
      <c r="J14" s="12"/>
      <c r="K14" s="12"/>
      <c r="L14" s="12"/>
      <c r="M14" s="12"/>
      <c r="N14" s="5"/>
      <c r="O14" s="12"/>
      <c r="P14" s="5" t="s">
        <v>4042</v>
      </c>
      <c r="Q14" s="12"/>
      <c r="R14" s="12" t="s">
        <v>4043</v>
      </c>
      <c r="S14" s="5" t="s">
        <v>4044</v>
      </c>
      <c r="T14" s="5" t="s">
        <v>306</v>
      </c>
      <c r="U14" s="12" t="n">
        <v>4</v>
      </c>
      <c r="V14" s="12" t="n">
        <v>1</v>
      </c>
      <c r="W14" s="12" t="n">
        <v>1</v>
      </c>
      <c r="X14" s="12" t="n">
        <v>1</v>
      </c>
      <c r="Y14" s="12" t="n">
        <v>0</v>
      </c>
    </row>
    <row r="15" customFormat="false" ht="135.75" hidden="false" customHeight="true" outlineLevel="0" collapsed="false">
      <c r="A15" s="12" t="s">
        <v>4040</v>
      </c>
      <c r="B15" s="5" t="s">
        <v>4041</v>
      </c>
      <c r="C15" s="12" t="s">
        <v>4040</v>
      </c>
      <c r="D15" s="12" t="s">
        <v>120</v>
      </c>
      <c r="E15" s="5" t="s">
        <v>4045</v>
      </c>
      <c r="F15" s="14"/>
      <c r="G15" s="14"/>
      <c r="H15" s="14" t="s">
        <v>87</v>
      </c>
      <c r="I15" s="14"/>
      <c r="J15" s="14"/>
      <c r="K15" s="14"/>
      <c r="L15" s="15"/>
      <c r="M15" s="12"/>
      <c r="N15" s="5"/>
      <c r="O15" s="12"/>
      <c r="P15" s="5" t="s">
        <v>4042</v>
      </c>
      <c r="Q15" s="12"/>
      <c r="R15" s="12" t="s">
        <v>4043</v>
      </c>
      <c r="S15" s="5" t="s">
        <v>4044</v>
      </c>
      <c r="T15" s="5" t="s">
        <v>306</v>
      </c>
      <c r="U15" s="12" t="n">
        <v>4</v>
      </c>
      <c r="V15" s="12" t="n">
        <v>1</v>
      </c>
      <c r="W15" s="12" t="n">
        <v>1</v>
      </c>
      <c r="X15" s="12" t="n">
        <v>1</v>
      </c>
      <c r="Y15" s="12" t="n">
        <v>0</v>
      </c>
    </row>
    <row r="16" customFormat="false" ht="95.25" hidden="false" customHeight="true" outlineLevel="0" collapsed="false">
      <c r="A16" s="12" t="s">
        <v>4040</v>
      </c>
      <c r="B16" s="5" t="s">
        <v>4041</v>
      </c>
      <c r="C16" s="12" t="s">
        <v>4046</v>
      </c>
      <c r="D16" s="12" t="s">
        <v>120</v>
      </c>
      <c r="E16" s="5" t="s">
        <v>4047</v>
      </c>
      <c r="F16" s="14"/>
      <c r="G16" s="14"/>
      <c r="H16" s="14" t="s">
        <v>87</v>
      </c>
      <c r="I16" s="14"/>
      <c r="J16" s="14"/>
      <c r="K16" s="14"/>
      <c r="L16" s="15"/>
      <c r="M16" s="12"/>
      <c r="N16" s="5"/>
      <c r="O16" s="12"/>
      <c r="P16" s="5" t="s">
        <v>4048</v>
      </c>
      <c r="Q16" s="12"/>
      <c r="R16" s="12" t="s">
        <v>4043</v>
      </c>
      <c r="S16" s="5" t="s">
        <v>4049</v>
      </c>
      <c r="T16" s="5" t="s">
        <v>306</v>
      </c>
      <c r="U16" s="12" t="n">
        <v>4</v>
      </c>
      <c r="V16" s="12" t="n">
        <v>1</v>
      </c>
      <c r="W16" s="12" t="n">
        <v>1</v>
      </c>
      <c r="X16" s="12" t="n">
        <v>1</v>
      </c>
      <c r="Y16" s="12" t="n">
        <v>0</v>
      </c>
    </row>
    <row r="17" customFormat="false" ht="135.75" hidden="false" customHeight="true" outlineLevel="0" collapsed="false">
      <c r="A17" s="12" t="s">
        <v>4040</v>
      </c>
      <c r="B17" s="5" t="s">
        <v>4041</v>
      </c>
      <c r="C17" s="12" t="s">
        <v>4050</v>
      </c>
      <c r="D17" s="12" t="s">
        <v>120</v>
      </c>
      <c r="E17" s="5" t="s">
        <v>4051</v>
      </c>
      <c r="F17" s="14"/>
      <c r="G17" s="14"/>
      <c r="H17" s="14" t="s">
        <v>87</v>
      </c>
      <c r="I17" s="14"/>
      <c r="J17" s="14"/>
      <c r="K17" s="14"/>
      <c r="L17" s="15"/>
      <c r="M17" s="12"/>
      <c r="N17" s="5"/>
      <c r="O17" s="12"/>
      <c r="P17" s="5" t="s">
        <v>4052</v>
      </c>
      <c r="Q17" s="12"/>
      <c r="R17" s="12" t="s">
        <v>4043</v>
      </c>
      <c r="S17" s="5" t="s">
        <v>4053</v>
      </c>
      <c r="T17" s="5" t="s">
        <v>306</v>
      </c>
      <c r="U17" s="12" t="n">
        <v>4</v>
      </c>
      <c r="V17" s="12" t="n">
        <v>1</v>
      </c>
      <c r="W17" s="12" t="n">
        <v>1</v>
      </c>
      <c r="X17" s="12" t="n">
        <v>1</v>
      </c>
      <c r="Y17" s="12" t="n">
        <v>0</v>
      </c>
    </row>
    <row r="18" customFormat="false" ht="68.25" hidden="false" customHeight="true" outlineLevel="0" collapsed="false">
      <c r="A18" s="12" t="s">
        <v>4040</v>
      </c>
      <c r="B18" s="5" t="s">
        <v>4041</v>
      </c>
      <c r="C18" s="12" t="s">
        <v>4054</v>
      </c>
      <c r="D18" s="12" t="s">
        <v>160</v>
      </c>
      <c r="E18" s="5" t="s">
        <v>4055</v>
      </c>
      <c r="F18" s="14"/>
      <c r="G18" s="14"/>
      <c r="H18" s="14" t="s">
        <v>87</v>
      </c>
      <c r="I18" s="14"/>
      <c r="J18" s="14"/>
      <c r="K18" s="14"/>
      <c r="L18" s="15"/>
      <c r="M18" s="12"/>
      <c r="N18" s="5"/>
      <c r="O18" s="12"/>
      <c r="P18" s="5" t="s">
        <v>4056</v>
      </c>
      <c r="Q18" s="12"/>
      <c r="R18" s="12" t="s">
        <v>4043</v>
      </c>
      <c r="S18" s="5" t="s">
        <v>4057</v>
      </c>
      <c r="T18" s="5" t="s">
        <v>306</v>
      </c>
      <c r="U18" s="12" t="n">
        <v>5</v>
      </c>
      <c r="V18" s="12" t="n">
        <v>1</v>
      </c>
      <c r="W18" s="12" t="n">
        <v>1</v>
      </c>
      <c r="X18" s="12" t="n">
        <v>1</v>
      </c>
      <c r="Y18" s="12" t="n">
        <v>0</v>
      </c>
    </row>
    <row r="19" customFormat="false" ht="175.5" hidden="false" customHeight="true" outlineLevel="0" collapsed="false">
      <c r="A19" s="12" t="s">
        <v>4040</v>
      </c>
      <c r="B19" s="5" t="s">
        <v>4041</v>
      </c>
      <c r="C19" s="12" t="s">
        <v>4058</v>
      </c>
      <c r="D19" s="12" t="s">
        <v>160</v>
      </c>
      <c r="E19" s="5" t="s">
        <v>4059</v>
      </c>
      <c r="F19" s="14"/>
      <c r="G19" s="14"/>
      <c r="H19" s="14" t="s">
        <v>87</v>
      </c>
      <c r="I19" s="14"/>
      <c r="J19" s="14"/>
      <c r="K19" s="14"/>
      <c r="L19" s="15"/>
      <c r="M19" s="12" t="s">
        <v>74</v>
      </c>
      <c r="N19" s="5" t="s">
        <v>4060</v>
      </c>
      <c r="O19" s="12" t="s">
        <v>1169</v>
      </c>
      <c r="P19" s="5" t="s">
        <v>4061</v>
      </c>
      <c r="Q19" s="12"/>
      <c r="R19" s="12" t="s">
        <v>4043</v>
      </c>
      <c r="S19" s="5" t="s">
        <v>4062</v>
      </c>
      <c r="T19" s="5" t="s">
        <v>3160</v>
      </c>
      <c r="U19" s="12" t="n">
        <v>5</v>
      </c>
      <c r="V19" s="12" t="n">
        <v>0</v>
      </c>
      <c r="W19" s="12" t="n">
        <v>0</v>
      </c>
      <c r="X19" s="12" t="n">
        <v>2</v>
      </c>
      <c r="Y19" s="12" t="n">
        <v>0</v>
      </c>
    </row>
    <row r="20" customFormat="false" ht="216" hidden="false" customHeight="true" outlineLevel="0" collapsed="false">
      <c r="A20" s="10" t="s">
        <v>4063</v>
      </c>
      <c r="B20" s="11" t="s">
        <v>4064</v>
      </c>
      <c r="C20" s="12"/>
      <c r="D20" s="12" t="s">
        <v>120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t="s">
        <v>74</v>
      </c>
      <c r="N20" s="5"/>
      <c r="O20" s="12"/>
      <c r="P20" s="5" t="s">
        <v>4065</v>
      </c>
      <c r="Q20" s="12"/>
      <c r="R20" s="12" t="s">
        <v>4043</v>
      </c>
      <c r="S20" s="5" t="s">
        <v>4066</v>
      </c>
      <c r="T20" s="5" t="s">
        <v>306</v>
      </c>
      <c r="U20" s="12" t="n">
        <v>4</v>
      </c>
      <c r="V20" s="12" t="n">
        <v>1</v>
      </c>
      <c r="W20" s="12" t="n">
        <v>1</v>
      </c>
      <c r="X20" s="12" t="n">
        <v>2</v>
      </c>
      <c r="Y20" s="12" t="n">
        <v>0</v>
      </c>
    </row>
    <row r="21" customFormat="false" ht="216" hidden="false" customHeight="true" outlineLevel="0" collapsed="false">
      <c r="A21" s="12" t="s">
        <v>4063</v>
      </c>
      <c r="B21" s="5" t="s">
        <v>4064</v>
      </c>
      <c r="C21" s="12" t="s">
        <v>4063</v>
      </c>
      <c r="D21" s="12" t="s">
        <v>120</v>
      </c>
      <c r="E21" s="5" t="s">
        <v>4067</v>
      </c>
      <c r="F21" s="14"/>
      <c r="G21" s="14"/>
      <c r="H21" s="14" t="s">
        <v>87</v>
      </c>
      <c r="I21" s="14"/>
      <c r="J21" s="14"/>
      <c r="K21" s="14"/>
      <c r="L21" s="15"/>
      <c r="M21" s="12" t="s">
        <v>74</v>
      </c>
      <c r="N21" s="5"/>
      <c r="O21" s="12"/>
      <c r="P21" s="5" t="s">
        <v>4065</v>
      </c>
      <c r="Q21" s="12"/>
      <c r="R21" s="12" t="s">
        <v>4043</v>
      </c>
      <c r="S21" s="5" t="s">
        <v>4066</v>
      </c>
      <c r="T21" s="5" t="s">
        <v>306</v>
      </c>
      <c r="U21" s="12" t="n">
        <v>4</v>
      </c>
      <c r="V21" s="12" t="n">
        <v>1</v>
      </c>
      <c r="W21" s="12" t="n">
        <v>1</v>
      </c>
      <c r="X21" s="12" t="n">
        <v>2</v>
      </c>
      <c r="Y21" s="12" t="n">
        <v>0</v>
      </c>
    </row>
    <row r="22" customFormat="false" ht="162" hidden="false" customHeight="true" outlineLevel="0" collapsed="false">
      <c r="A22" s="10" t="s">
        <v>4068</v>
      </c>
      <c r="B22" s="11" t="s">
        <v>4069</v>
      </c>
      <c r="C22" s="12"/>
      <c r="D22" s="12" t="s">
        <v>160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t="s">
        <v>74</v>
      </c>
      <c r="N22" s="5"/>
      <c r="O22" s="12"/>
      <c r="P22" s="5" t="s">
        <v>4070</v>
      </c>
      <c r="Q22" s="12"/>
      <c r="R22" s="12" t="s">
        <v>4043</v>
      </c>
      <c r="S22" s="5" t="s">
        <v>4071</v>
      </c>
      <c r="T22" s="5" t="s">
        <v>306</v>
      </c>
      <c r="U22" s="12" t="n">
        <v>5</v>
      </c>
      <c r="V22" s="12" t="n">
        <v>1</v>
      </c>
      <c r="W22" s="12" t="n">
        <v>1</v>
      </c>
      <c r="X22" s="12" t="n">
        <v>2</v>
      </c>
      <c r="Y22" s="12" t="n">
        <v>0</v>
      </c>
    </row>
    <row r="23" customFormat="false" ht="162" hidden="false" customHeight="true" outlineLevel="0" collapsed="false">
      <c r="A23" s="12" t="s">
        <v>4068</v>
      </c>
      <c r="B23" s="5" t="s">
        <v>4069</v>
      </c>
      <c r="C23" s="12" t="s">
        <v>4068</v>
      </c>
      <c r="D23" s="12" t="s">
        <v>160</v>
      </c>
      <c r="E23" s="5" t="s">
        <v>4072</v>
      </c>
      <c r="F23" s="14"/>
      <c r="G23" s="14"/>
      <c r="H23" s="14" t="s">
        <v>87</v>
      </c>
      <c r="I23" s="14"/>
      <c r="J23" s="14"/>
      <c r="K23" s="14"/>
      <c r="L23" s="15"/>
      <c r="M23" s="12" t="s">
        <v>74</v>
      </c>
      <c r="N23" s="5"/>
      <c r="O23" s="12"/>
      <c r="P23" s="5" t="s">
        <v>4070</v>
      </c>
      <c r="Q23" s="12"/>
      <c r="R23" s="12" t="s">
        <v>4043</v>
      </c>
      <c r="S23" s="5" t="s">
        <v>4071</v>
      </c>
      <c r="T23" s="5" t="s">
        <v>306</v>
      </c>
      <c r="U23" s="12" t="n">
        <v>5</v>
      </c>
      <c r="V23" s="12" t="n">
        <v>1</v>
      </c>
      <c r="W23" s="12" t="n">
        <v>1</v>
      </c>
      <c r="X23" s="12" t="n">
        <v>2</v>
      </c>
      <c r="Y23" s="12" t="n">
        <v>0</v>
      </c>
    </row>
    <row r="24" customFormat="false" ht="95.25" hidden="false" customHeight="true" outlineLevel="0" collapsed="false">
      <c r="A24" s="10" t="s">
        <v>4073</v>
      </c>
      <c r="B24" s="11" t="s">
        <v>4074</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74</v>
      </c>
      <c r="N24" s="5"/>
      <c r="O24" s="12"/>
      <c r="P24" s="5" t="s">
        <v>4075</v>
      </c>
      <c r="Q24" s="12" t="s">
        <v>687</v>
      </c>
      <c r="R24" s="12" t="s">
        <v>4076</v>
      </c>
      <c r="S24" s="5" t="s">
        <v>4077</v>
      </c>
      <c r="T24" s="5" t="s">
        <v>4078</v>
      </c>
      <c r="U24" s="12" t="n">
        <v>4</v>
      </c>
      <c r="V24" s="12" t="n">
        <v>0</v>
      </c>
      <c r="W24" s="12" t="n">
        <v>0</v>
      </c>
      <c r="X24" s="12" t="n">
        <v>2</v>
      </c>
      <c r="Y24" s="12" t="n">
        <v>0</v>
      </c>
    </row>
    <row r="25" customFormat="false" ht="95.25" hidden="false" customHeight="true" outlineLevel="0" collapsed="false">
      <c r="A25" s="12" t="s">
        <v>4073</v>
      </c>
      <c r="B25" s="5" t="s">
        <v>4074</v>
      </c>
      <c r="C25" s="12" t="s">
        <v>4073</v>
      </c>
      <c r="D25" s="12" t="s">
        <v>120</v>
      </c>
      <c r="E25" s="5" t="s">
        <v>4079</v>
      </c>
      <c r="F25" s="14"/>
      <c r="G25" s="14"/>
      <c r="H25" s="14" t="s">
        <v>87</v>
      </c>
      <c r="I25" s="14"/>
      <c r="J25" s="14"/>
      <c r="K25" s="14"/>
      <c r="L25" s="15"/>
      <c r="M25" s="12" t="s">
        <v>74</v>
      </c>
      <c r="N25" s="5"/>
      <c r="O25" s="12"/>
      <c r="P25" s="5" t="s">
        <v>4075</v>
      </c>
      <c r="Q25" s="12" t="s">
        <v>687</v>
      </c>
      <c r="R25" s="12" t="s">
        <v>4076</v>
      </c>
      <c r="S25" s="5" t="s">
        <v>4077</v>
      </c>
      <c r="T25" s="5" t="s">
        <v>4078</v>
      </c>
      <c r="U25" s="12" t="n">
        <v>4</v>
      </c>
      <c r="V25" s="12" t="n">
        <v>0</v>
      </c>
      <c r="W25" s="12" t="n">
        <v>0</v>
      </c>
      <c r="X25" s="12" t="n">
        <v>2</v>
      </c>
      <c r="Y25" s="12" t="n">
        <v>0</v>
      </c>
    </row>
    <row r="26" customFormat="false" ht="175.5" hidden="false" customHeight="true" outlineLevel="0" collapsed="false">
      <c r="A26" s="10" t="s">
        <v>4080</v>
      </c>
      <c r="B26" s="11" t="s">
        <v>4081</v>
      </c>
      <c r="C26" s="12"/>
      <c r="D26" s="12" t="s">
        <v>160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t="s">
        <v>74</v>
      </c>
      <c r="N26" s="5" t="s">
        <v>4060</v>
      </c>
      <c r="O26" s="12" t="s">
        <v>1169</v>
      </c>
      <c r="P26" s="5" t="s">
        <v>4082</v>
      </c>
      <c r="Q26" s="12"/>
      <c r="R26" s="12" t="s">
        <v>4083</v>
      </c>
      <c r="S26" s="5" t="s">
        <v>4084</v>
      </c>
      <c r="T26" s="5" t="s">
        <v>306</v>
      </c>
      <c r="U26" s="12" t="n">
        <v>5</v>
      </c>
      <c r="V26" s="12" t="n">
        <v>1</v>
      </c>
      <c r="W26" s="12" t="n">
        <v>1</v>
      </c>
      <c r="X26" s="12" t="n">
        <v>2</v>
      </c>
      <c r="Y26" s="12" t="n">
        <v>0</v>
      </c>
    </row>
    <row r="27" customFormat="false" ht="175.5" hidden="false" customHeight="true" outlineLevel="0" collapsed="false">
      <c r="A27" s="12" t="s">
        <v>4080</v>
      </c>
      <c r="B27" s="5" t="s">
        <v>4081</v>
      </c>
      <c r="C27" s="12" t="s">
        <v>4080</v>
      </c>
      <c r="D27" s="12" t="s">
        <v>160</v>
      </c>
      <c r="E27" s="5" t="s">
        <v>4085</v>
      </c>
      <c r="F27" s="14"/>
      <c r="G27" s="14"/>
      <c r="H27" s="14" t="s">
        <v>87</v>
      </c>
      <c r="I27" s="14"/>
      <c r="J27" s="14"/>
      <c r="K27" s="14"/>
      <c r="L27" s="15"/>
      <c r="M27" s="12" t="s">
        <v>74</v>
      </c>
      <c r="N27" s="5" t="s">
        <v>4060</v>
      </c>
      <c r="O27" s="12" t="s">
        <v>1169</v>
      </c>
      <c r="P27" s="5" t="s">
        <v>4082</v>
      </c>
      <c r="Q27" s="12"/>
      <c r="R27" s="12" t="s">
        <v>4083</v>
      </c>
      <c r="S27" s="5" t="s">
        <v>4084</v>
      </c>
      <c r="T27" s="5" t="s">
        <v>306</v>
      </c>
      <c r="U27" s="12" t="n">
        <v>5</v>
      </c>
      <c r="V27" s="12" t="n">
        <v>1</v>
      </c>
      <c r="W27" s="12" t="n">
        <v>1</v>
      </c>
      <c r="X27" s="12" t="n">
        <v>2</v>
      </c>
      <c r="Y27" s="12" t="n">
        <v>0</v>
      </c>
    </row>
    <row r="28" customFormat="false" ht="243" hidden="false" customHeight="true" outlineLevel="0" collapsed="false">
      <c r="A28" s="10" t="s">
        <v>4086</v>
      </c>
      <c r="B28" s="11" t="s">
        <v>4087</v>
      </c>
      <c r="C28" s="12"/>
      <c r="D28" s="12" t="s">
        <v>120</v>
      </c>
      <c r="E28" s="5" t="s">
        <v>79</v>
      </c>
      <c r="F28" s="12"/>
      <c r="G28" s="12"/>
      <c r="H28" s="13" t="str">
        <f aca="false">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Bitte Teilanforderungen ausfüllen</v>
      </c>
      <c r="I28" s="12"/>
      <c r="J28" s="12"/>
      <c r="K28" s="12"/>
      <c r="L28" s="12"/>
      <c r="M28" s="12" t="s">
        <v>74</v>
      </c>
      <c r="N28" s="5" t="s">
        <v>4088</v>
      </c>
      <c r="O28" s="12" t="s">
        <v>524</v>
      </c>
      <c r="P28" s="5" t="s">
        <v>4089</v>
      </c>
      <c r="Q28" s="12"/>
      <c r="R28" s="12" t="s">
        <v>4043</v>
      </c>
      <c r="S28" s="5" t="s">
        <v>4090</v>
      </c>
      <c r="T28" s="5" t="s">
        <v>306</v>
      </c>
      <c r="U28" s="12" t="n">
        <v>4</v>
      </c>
      <c r="V28" s="12" t="n">
        <v>1</v>
      </c>
      <c r="W28" s="12" t="n">
        <v>1</v>
      </c>
      <c r="X28" s="12" t="n">
        <v>2</v>
      </c>
      <c r="Y28" s="12" t="n">
        <v>0</v>
      </c>
    </row>
    <row r="29" customFormat="false" ht="243" hidden="false" customHeight="true" outlineLevel="0" collapsed="false">
      <c r="A29" s="12" t="s">
        <v>4086</v>
      </c>
      <c r="B29" s="5" t="s">
        <v>4087</v>
      </c>
      <c r="C29" s="12" t="s">
        <v>4086</v>
      </c>
      <c r="D29" s="12" t="s">
        <v>120</v>
      </c>
      <c r="E29" s="5" t="s">
        <v>4091</v>
      </c>
      <c r="F29" s="14"/>
      <c r="G29" s="14"/>
      <c r="H29" s="14" t="s">
        <v>87</v>
      </c>
      <c r="I29" s="14"/>
      <c r="J29" s="14"/>
      <c r="K29" s="14"/>
      <c r="L29" s="15"/>
      <c r="M29" s="12" t="s">
        <v>74</v>
      </c>
      <c r="N29" s="5" t="s">
        <v>4088</v>
      </c>
      <c r="O29" s="12" t="s">
        <v>524</v>
      </c>
      <c r="P29" s="5" t="s">
        <v>4089</v>
      </c>
      <c r="Q29" s="12"/>
      <c r="R29" s="12" t="s">
        <v>4043</v>
      </c>
      <c r="S29" s="5" t="s">
        <v>4090</v>
      </c>
      <c r="T29" s="5" t="s">
        <v>306</v>
      </c>
      <c r="U29" s="12" t="n">
        <v>4</v>
      </c>
      <c r="V29" s="12" t="n">
        <v>1</v>
      </c>
      <c r="W29" s="12" t="n">
        <v>1</v>
      </c>
      <c r="X29" s="12" t="n">
        <v>2</v>
      </c>
      <c r="Y29" s="12" t="n">
        <v>0</v>
      </c>
    </row>
    <row r="30" customFormat="false" ht="108.75" hidden="false" customHeight="true" outlineLevel="0" collapsed="false">
      <c r="A30" s="10" t="s">
        <v>4092</v>
      </c>
      <c r="B30" s="11" t="s">
        <v>4093</v>
      </c>
      <c r="C30" s="12"/>
      <c r="D30" s="12" t="s">
        <v>120</v>
      </c>
      <c r="E30" s="5" t="s">
        <v>79</v>
      </c>
      <c r="F30" s="12"/>
      <c r="G30" s="12"/>
      <c r="H30" s="13" t="str">
        <f aca="false">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Bitte Teilanforderungen ausfüllen</v>
      </c>
      <c r="I30" s="12"/>
      <c r="J30" s="12"/>
      <c r="K30" s="12"/>
      <c r="L30" s="12"/>
      <c r="M30" s="12"/>
      <c r="N30" s="5" t="s">
        <v>4094</v>
      </c>
      <c r="O30" s="12" t="s">
        <v>524</v>
      </c>
      <c r="P30" s="5" t="s">
        <v>4095</v>
      </c>
      <c r="Q30" s="12"/>
      <c r="R30" s="12" t="s">
        <v>4043</v>
      </c>
      <c r="S30" s="5" t="s">
        <v>4096</v>
      </c>
      <c r="T30" s="5" t="s">
        <v>306</v>
      </c>
      <c r="U30" s="12" t="n">
        <v>4</v>
      </c>
      <c r="V30" s="12" t="n">
        <v>1</v>
      </c>
      <c r="W30" s="12" t="n">
        <v>1</v>
      </c>
      <c r="X30" s="12" t="n">
        <v>1</v>
      </c>
      <c r="Y30" s="12" t="n">
        <v>0</v>
      </c>
    </row>
    <row r="31" customFormat="false" ht="108.75" hidden="false" customHeight="true" outlineLevel="0" collapsed="false">
      <c r="A31" s="12" t="s">
        <v>4092</v>
      </c>
      <c r="B31" s="5" t="s">
        <v>4093</v>
      </c>
      <c r="C31" s="12" t="s">
        <v>4092</v>
      </c>
      <c r="D31" s="12" t="s">
        <v>120</v>
      </c>
      <c r="E31" s="5" t="s">
        <v>4097</v>
      </c>
      <c r="F31" s="14"/>
      <c r="G31" s="14"/>
      <c r="H31" s="14" t="s">
        <v>87</v>
      </c>
      <c r="I31" s="14"/>
      <c r="J31" s="14"/>
      <c r="K31" s="14"/>
      <c r="L31" s="15"/>
      <c r="M31" s="12"/>
      <c r="N31" s="5" t="s">
        <v>4094</v>
      </c>
      <c r="O31" s="12" t="s">
        <v>524</v>
      </c>
      <c r="P31" s="5" t="s">
        <v>4095</v>
      </c>
      <c r="Q31" s="12"/>
      <c r="R31" s="12" t="s">
        <v>4043</v>
      </c>
      <c r="S31" s="5" t="s">
        <v>4096</v>
      </c>
      <c r="T31" s="5" t="s">
        <v>306</v>
      </c>
      <c r="U31" s="12" t="n">
        <v>4</v>
      </c>
      <c r="V31" s="12" t="n">
        <v>1</v>
      </c>
      <c r="W31" s="12" t="n">
        <v>1</v>
      </c>
      <c r="X31" s="12" t="n">
        <v>1</v>
      </c>
      <c r="Y31" s="12" t="n">
        <v>0</v>
      </c>
    </row>
    <row r="32" customFormat="false" ht="162" hidden="false" customHeight="true" outlineLevel="0" collapsed="false">
      <c r="A32" s="10" t="s">
        <v>4098</v>
      </c>
      <c r="B32" s="11" t="s">
        <v>4099</v>
      </c>
      <c r="C32" s="12"/>
      <c r="D32" s="12" t="s">
        <v>120</v>
      </c>
      <c r="E32" s="5" t="s">
        <v>79</v>
      </c>
      <c r="F32" s="12"/>
      <c r="G32" s="12"/>
      <c r="H32" s="13" t="str">
        <f aca="false">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Bitte Teilanforderungen ausfüllen</v>
      </c>
      <c r="I32" s="12"/>
      <c r="J32" s="12"/>
      <c r="K32" s="12"/>
      <c r="L32" s="12"/>
      <c r="M32" s="12" t="s">
        <v>74</v>
      </c>
      <c r="N32" s="5"/>
      <c r="O32" s="12"/>
      <c r="P32" s="5" t="s">
        <v>4100</v>
      </c>
      <c r="Q32" s="12"/>
      <c r="R32" s="12" t="s">
        <v>4101</v>
      </c>
      <c r="S32" s="5" t="s">
        <v>4102</v>
      </c>
      <c r="T32" s="5" t="s">
        <v>4103</v>
      </c>
      <c r="U32" s="12" t="n">
        <v>2</v>
      </c>
      <c r="V32" s="12" t="n">
        <v>1</v>
      </c>
      <c r="W32" s="12" t="n">
        <v>1</v>
      </c>
      <c r="X32" s="12" t="n">
        <v>2</v>
      </c>
      <c r="Y32" s="12" t="n">
        <v>1</v>
      </c>
    </row>
    <row r="33" customFormat="false" ht="162" hidden="false" customHeight="true" outlineLevel="0" collapsed="false">
      <c r="A33" s="12" t="s">
        <v>4098</v>
      </c>
      <c r="B33" s="5" t="s">
        <v>4099</v>
      </c>
      <c r="C33" s="12" t="s">
        <v>4098</v>
      </c>
      <c r="D33" s="12" t="s">
        <v>120</v>
      </c>
      <c r="E33" s="5" t="s">
        <v>4104</v>
      </c>
      <c r="F33" s="14"/>
      <c r="G33" s="14"/>
      <c r="H33" s="14" t="s">
        <v>87</v>
      </c>
      <c r="I33" s="14"/>
      <c r="J33" s="14"/>
      <c r="K33" s="14"/>
      <c r="L33" s="15"/>
      <c r="M33" s="12" t="s">
        <v>74</v>
      </c>
      <c r="N33" s="5"/>
      <c r="O33" s="12"/>
      <c r="P33" s="5" t="s">
        <v>4100</v>
      </c>
      <c r="Q33" s="12"/>
      <c r="R33" s="12" t="s">
        <v>4101</v>
      </c>
      <c r="S33" s="5" t="s">
        <v>4102</v>
      </c>
      <c r="T33" s="5" t="s">
        <v>4103</v>
      </c>
      <c r="U33" s="12" t="n">
        <v>2</v>
      </c>
      <c r="V33" s="12" t="n">
        <v>1</v>
      </c>
      <c r="W33" s="12" t="n">
        <v>1</v>
      </c>
      <c r="X33" s="12" t="n">
        <v>2</v>
      </c>
      <c r="Y33" s="12" t="n">
        <v>1</v>
      </c>
    </row>
    <row r="34" customFormat="false" ht="95.25" hidden="false" customHeight="true" outlineLevel="0" collapsed="false">
      <c r="A34" s="10" t="s">
        <v>4105</v>
      </c>
      <c r="B34" s="11" t="s">
        <v>4106</v>
      </c>
      <c r="C34" s="12"/>
      <c r="D34" s="12" t="s">
        <v>120</v>
      </c>
      <c r="E34" s="5" t="s">
        <v>79</v>
      </c>
      <c r="F34" s="12"/>
      <c r="G34" s="12"/>
      <c r="H34" s="13" t="str">
        <f aca="false">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Bitte Teilanforderungen ausfüllen</v>
      </c>
      <c r="I34" s="12"/>
      <c r="J34" s="12"/>
      <c r="K34" s="12"/>
      <c r="L34" s="12"/>
      <c r="M34" s="12" t="s">
        <v>74</v>
      </c>
      <c r="N34" s="5"/>
      <c r="O34" s="12"/>
      <c r="P34" s="5" t="s">
        <v>4107</v>
      </c>
      <c r="Q34" s="12" t="s">
        <v>226</v>
      </c>
      <c r="R34" s="12" t="s">
        <v>4101</v>
      </c>
      <c r="S34" s="5" t="s">
        <v>4108</v>
      </c>
      <c r="T34" s="5" t="s">
        <v>4109</v>
      </c>
      <c r="U34" s="12" t="n">
        <v>3</v>
      </c>
      <c r="V34" s="12" t="n">
        <v>1</v>
      </c>
      <c r="W34" s="12" t="n">
        <v>1</v>
      </c>
      <c r="X34" s="12" t="n">
        <v>2</v>
      </c>
      <c r="Y34" s="12" t="n">
        <v>0</v>
      </c>
    </row>
    <row r="35" customFormat="false" ht="95.25" hidden="false" customHeight="true" outlineLevel="0" collapsed="false">
      <c r="A35" s="12" t="s">
        <v>4105</v>
      </c>
      <c r="B35" s="5" t="s">
        <v>4106</v>
      </c>
      <c r="C35" s="12" t="s">
        <v>4105</v>
      </c>
      <c r="D35" s="12" t="s">
        <v>120</v>
      </c>
      <c r="E35" s="5" t="s">
        <v>4110</v>
      </c>
      <c r="F35" s="14"/>
      <c r="G35" s="14"/>
      <c r="H35" s="14" t="s">
        <v>87</v>
      </c>
      <c r="I35" s="14"/>
      <c r="J35" s="14"/>
      <c r="K35" s="14"/>
      <c r="L35" s="15"/>
      <c r="M35" s="12" t="s">
        <v>74</v>
      </c>
      <c r="N35" s="5"/>
      <c r="O35" s="12"/>
      <c r="P35" s="5" t="s">
        <v>4107</v>
      </c>
      <c r="Q35" s="12" t="s">
        <v>226</v>
      </c>
      <c r="R35" s="12" t="s">
        <v>4101</v>
      </c>
      <c r="S35" s="5" t="s">
        <v>4108</v>
      </c>
      <c r="T35" s="5" t="s">
        <v>4109</v>
      </c>
      <c r="U35" s="12" t="n">
        <v>3</v>
      </c>
      <c r="V35" s="12" t="n">
        <v>1</v>
      </c>
      <c r="W35" s="12" t="n">
        <v>1</v>
      </c>
      <c r="X35" s="12" t="n">
        <v>2</v>
      </c>
      <c r="Y35" s="12" t="n">
        <v>0</v>
      </c>
    </row>
    <row r="36" customFormat="false" ht="95.25" hidden="false" customHeight="true" outlineLevel="0" collapsed="false">
      <c r="A36" s="10" t="s">
        <v>4111</v>
      </c>
      <c r="B36" s="11" t="s">
        <v>4112</v>
      </c>
      <c r="C36" s="12"/>
      <c r="D36" s="12" t="s">
        <v>120</v>
      </c>
      <c r="E36" s="5" t="s">
        <v>79</v>
      </c>
      <c r="F36" s="12"/>
      <c r="G36" s="12"/>
      <c r="H36" s="13" t="str">
        <f aca="false">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2"/>
      <c r="J36" s="12"/>
      <c r="K36" s="12"/>
      <c r="L36" s="12"/>
      <c r="M36" s="12" t="s">
        <v>74</v>
      </c>
      <c r="N36" s="5"/>
      <c r="O36" s="12"/>
      <c r="P36" s="5" t="s">
        <v>4113</v>
      </c>
      <c r="Q36" s="12" t="s">
        <v>460</v>
      </c>
      <c r="R36" s="12" t="s">
        <v>4101</v>
      </c>
      <c r="S36" s="5" t="s">
        <v>4108</v>
      </c>
      <c r="T36" s="5" t="s">
        <v>4109</v>
      </c>
      <c r="U36" s="12" t="n">
        <v>3</v>
      </c>
      <c r="V36" s="12" t="n">
        <v>1</v>
      </c>
      <c r="W36" s="12" t="n">
        <v>1</v>
      </c>
      <c r="X36" s="12" t="n">
        <v>2</v>
      </c>
      <c r="Y36" s="12" t="n">
        <v>0</v>
      </c>
    </row>
    <row r="37" customFormat="false" ht="95.25" hidden="false" customHeight="true" outlineLevel="0" collapsed="false">
      <c r="A37" s="12" t="s">
        <v>4111</v>
      </c>
      <c r="B37" s="5" t="s">
        <v>4112</v>
      </c>
      <c r="C37" s="12" t="s">
        <v>4111</v>
      </c>
      <c r="D37" s="12" t="s">
        <v>120</v>
      </c>
      <c r="E37" s="5" t="s">
        <v>4114</v>
      </c>
      <c r="F37" s="14"/>
      <c r="G37" s="14"/>
      <c r="H37" s="14" t="s">
        <v>87</v>
      </c>
      <c r="I37" s="14"/>
      <c r="J37" s="14"/>
      <c r="K37" s="14"/>
      <c r="L37" s="15"/>
      <c r="M37" s="12" t="s">
        <v>74</v>
      </c>
      <c r="N37" s="5"/>
      <c r="O37" s="12"/>
      <c r="P37" s="5" t="s">
        <v>4113</v>
      </c>
      <c r="Q37" s="12" t="s">
        <v>460</v>
      </c>
      <c r="R37" s="12" t="s">
        <v>4101</v>
      </c>
      <c r="S37" s="5" t="s">
        <v>4108</v>
      </c>
      <c r="T37" s="5" t="s">
        <v>4109</v>
      </c>
      <c r="U37" s="12" t="n">
        <v>3</v>
      </c>
      <c r="V37" s="12" t="n">
        <v>1</v>
      </c>
      <c r="W37" s="12" t="n">
        <v>1</v>
      </c>
      <c r="X37" s="12" t="n">
        <v>2</v>
      </c>
      <c r="Y37" s="12" t="n">
        <v>0</v>
      </c>
    </row>
    <row r="38" customFormat="false" ht="216" hidden="false" customHeight="true" outlineLevel="0" collapsed="false">
      <c r="A38" s="10" t="s">
        <v>4115</v>
      </c>
      <c r="B38" s="11" t="s">
        <v>4116</v>
      </c>
      <c r="C38" s="12"/>
      <c r="D38" s="12" t="s">
        <v>120</v>
      </c>
      <c r="E38" s="5" t="s">
        <v>79</v>
      </c>
      <c r="F38" s="12"/>
      <c r="G38" s="12"/>
      <c r="H38" s="13" t="str">
        <f aca="false">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2"/>
      <c r="J38" s="12"/>
      <c r="K38" s="12"/>
      <c r="L38" s="12"/>
      <c r="M38" s="12" t="s">
        <v>74</v>
      </c>
      <c r="N38" s="5"/>
      <c r="O38" s="12"/>
      <c r="P38" s="5" t="s">
        <v>4117</v>
      </c>
      <c r="Q38" s="12" t="s">
        <v>644</v>
      </c>
      <c r="R38" s="12" t="s">
        <v>4101</v>
      </c>
      <c r="S38" s="5" t="s">
        <v>4118</v>
      </c>
      <c r="T38" s="5" t="s">
        <v>4119</v>
      </c>
      <c r="U38" s="12" t="n">
        <v>3</v>
      </c>
      <c r="V38" s="12" t="n">
        <v>1</v>
      </c>
      <c r="W38" s="12" t="n">
        <v>1</v>
      </c>
      <c r="X38" s="12" t="n">
        <v>2</v>
      </c>
      <c r="Y38" s="12" t="n">
        <v>0</v>
      </c>
    </row>
    <row r="39" customFormat="false" ht="216" hidden="false" customHeight="true" outlineLevel="0" collapsed="false">
      <c r="A39" s="12" t="s">
        <v>4115</v>
      </c>
      <c r="B39" s="5" t="s">
        <v>4116</v>
      </c>
      <c r="C39" s="12" t="s">
        <v>4115</v>
      </c>
      <c r="D39" s="12" t="s">
        <v>120</v>
      </c>
      <c r="E39" s="5" t="s">
        <v>4120</v>
      </c>
      <c r="F39" s="14"/>
      <c r="G39" s="14"/>
      <c r="H39" s="14" t="s">
        <v>87</v>
      </c>
      <c r="I39" s="14"/>
      <c r="J39" s="14"/>
      <c r="K39" s="14"/>
      <c r="L39" s="15"/>
      <c r="M39" s="12" t="s">
        <v>74</v>
      </c>
      <c r="N39" s="5"/>
      <c r="O39" s="12"/>
      <c r="P39" s="5" t="s">
        <v>4117</v>
      </c>
      <c r="Q39" s="12" t="s">
        <v>644</v>
      </c>
      <c r="R39" s="12" t="s">
        <v>4101</v>
      </c>
      <c r="S39" s="5" t="s">
        <v>4118</v>
      </c>
      <c r="T39" s="5" t="s">
        <v>4119</v>
      </c>
      <c r="U39" s="12" t="n">
        <v>3</v>
      </c>
      <c r="V39" s="12" t="n">
        <v>1</v>
      </c>
      <c r="W39" s="12" t="n">
        <v>1</v>
      </c>
      <c r="X39" s="12" t="n">
        <v>2</v>
      </c>
      <c r="Y39" s="12" t="n">
        <v>0</v>
      </c>
    </row>
    <row r="40" customFormat="false" ht="175.5" hidden="false" customHeight="true" outlineLevel="0" collapsed="false">
      <c r="A40" s="10" t="s">
        <v>4121</v>
      </c>
      <c r="B40" s="11" t="s">
        <v>4122</v>
      </c>
      <c r="C40" s="12"/>
      <c r="D40" s="12" t="s">
        <v>120</v>
      </c>
      <c r="E40" s="5" t="s">
        <v>79</v>
      </c>
      <c r="F40" s="12"/>
      <c r="G40" s="12"/>
      <c r="H40" s="13" t="str">
        <f aca="false">IF(OR(COUNTBLANK($H$41:$H$43)&gt;0,COUNTIF($H$41:$H$43,"unbearbeitet")=COUNTA($H$41:$H$43)),"Bitte Teilanforderungen ausfüllen",IF(COUNTIF($H$41:$H$43,"zu klären")&gt;0,"zu klären",IF(COUNTIF($H$41:$H$43,"entbehrlich")=COUNTA($H$41:$H$43),"entbehrlich",IF(COUNTIF($H$41:$H$43,"verwiesen")=COUNTA($H$41:$H$43),"verwiesen",IF(COUNTIF($H$41:$H$43,"nein")+COUNTIF($H$41:$H$43,"entbehrlich")=COUNTA($H$41:$H$43),"nein",IF(COUNTIF($H$41:$H$43,"ja")+COUNTIF($H$41:$H$43,"entbehrlich")+COUNTIF($H$41:$H$43,"verwiesen")=COUNTA($H$41:$H$43),"ja","teilweise"))))))</f>
        <v>Bitte Teilanforderungen ausfüllen</v>
      </c>
      <c r="I40" s="12"/>
      <c r="J40" s="12"/>
      <c r="K40" s="12"/>
      <c r="L40" s="12"/>
      <c r="M40" s="12" t="s">
        <v>74</v>
      </c>
      <c r="N40" s="5"/>
      <c r="O40" s="12"/>
      <c r="P40" s="5" t="s">
        <v>4123</v>
      </c>
      <c r="Q40" s="12" t="s">
        <v>644</v>
      </c>
      <c r="R40" s="12" t="s">
        <v>4101</v>
      </c>
      <c r="S40" s="5" t="s">
        <v>4124</v>
      </c>
      <c r="T40" s="5" t="s">
        <v>4119</v>
      </c>
      <c r="U40" s="12" t="n">
        <v>4</v>
      </c>
      <c r="V40" s="12" t="n">
        <v>1</v>
      </c>
      <c r="W40" s="12" t="n">
        <v>1</v>
      </c>
      <c r="X40" s="12" t="n">
        <v>2</v>
      </c>
      <c r="Y40" s="12" t="n">
        <v>0</v>
      </c>
    </row>
    <row r="41" customFormat="false" ht="175.5" hidden="false" customHeight="true" outlineLevel="0" collapsed="false">
      <c r="A41" s="12" t="s">
        <v>4121</v>
      </c>
      <c r="B41" s="5" t="s">
        <v>4122</v>
      </c>
      <c r="C41" s="12" t="s">
        <v>4121</v>
      </c>
      <c r="D41" s="12" t="s">
        <v>120</v>
      </c>
      <c r="E41" s="5" t="s">
        <v>4125</v>
      </c>
      <c r="F41" s="14"/>
      <c r="G41" s="14"/>
      <c r="H41" s="14" t="s">
        <v>87</v>
      </c>
      <c r="I41" s="14"/>
      <c r="J41" s="14"/>
      <c r="K41" s="14"/>
      <c r="L41" s="15"/>
      <c r="M41" s="12" t="s">
        <v>74</v>
      </c>
      <c r="N41" s="5"/>
      <c r="O41" s="12"/>
      <c r="P41" s="5" t="s">
        <v>4123</v>
      </c>
      <c r="Q41" s="12" t="s">
        <v>644</v>
      </c>
      <c r="R41" s="12" t="s">
        <v>4101</v>
      </c>
      <c r="S41" s="5" t="s">
        <v>4124</v>
      </c>
      <c r="T41" s="5" t="s">
        <v>4119</v>
      </c>
      <c r="U41" s="12" t="n">
        <v>4</v>
      </c>
      <c r="V41" s="12" t="n">
        <v>1</v>
      </c>
      <c r="W41" s="12" t="n">
        <v>1</v>
      </c>
      <c r="X41" s="12" t="n">
        <v>2</v>
      </c>
      <c r="Y41" s="12" t="n">
        <v>0</v>
      </c>
    </row>
    <row r="42" customFormat="false" ht="108.75" hidden="false" customHeight="true" outlineLevel="0" collapsed="false">
      <c r="A42" s="12" t="s">
        <v>4121</v>
      </c>
      <c r="B42" s="5" t="s">
        <v>4122</v>
      </c>
      <c r="C42" s="12" t="s">
        <v>4126</v>
      </c>
      <c r="D42" s="12" t="s">
        <v>120</v>
      </c>
      <c r="E42" s="5" t="s">
        <v>4127</v>
      </c>
      <c r="F42" s="14"/>
      <c r="G42" s="14"/>
      <c r="H42" s="14" t="s">
        <v>87</v>
      </c>
      <c r="I42" s="14"/>
      <c r="J42" s="14"/>
      <c r="K42" s="14"/>
      <c r="L42" s="15"/>
      <c r="M42" s="12" t="s">
        <v>74</v>
      </c>
      <c r="N42" s="5"/>
      <c r="O42" s="12"/>
      <c r="P42" s="5" t="s">
        <v>4128</v>
      </c>
      <c r="Q42" s="12" t="s">
        <v>644</v>
      </c>
      <c r="R42" s="12" t="s">
        <v>4101</v>
      </c>
      <c r="S42" s="5" t="s">
        <v>4129</v>
      </c>
      <c r="T42" s="5" t="s">
        <v>4109</v>
      </c>
      <c r="U42" s="12" t="n">
        <v>4</v>
      </c>
      <c r="V42" s="12" t="n">
        <v>1</v>
      </c>
      <c r="W42" s="12" t="n">
        <v>1</v>
      </c>
      <c r="X42" s="12" t="n">
        <v>2</v>
      </c>
      <c r="Y42" s="12" t="n">
        <v>0</v>
      </c>
    </row>
    <row r="43" customFormat="false" ht="162" hidden="false" customHeight="true" outlineLevel="0" collapsed="false">
      <c r="A43" s="12" t="s">
        <v>4121</v>
      </c>
      <c r="B43" s="5" t="s">
        <v>4122</v>
      </c>
      <c r="C43" s="12" t="s">
        <v>4130</v>
      </c>
      <c r="D43" s="12" t="s">
        <v>120</v>
      </c>
      <c r="E43" s="5" t="s">
        <v>4131</v>
      </c>
      <c r="F43" s="14"/>
      <c r="G43" s="14"/>
      <c r="H43" s="14" t="s">
        <v>87</v>
      </c>
      <c r="I43" s="14"/>
      <c r="J43" s="14"/>
      <c r="K43" s="14"/>
      <c r="L43" s="15"/>
      <c r="M43" s="12" t="s">
        <v>74</v>
      </c>
      <c r="N43" s="5"/>
      <c r="O43" s="12"/>
      <c r="P43" s="5" t="s">
        <v>4132</v>
      </c>
      <c r="Q43" s="12" t="s">
        <v>644</v>
      </c>
      <c r="R43" s="12" t="s">
        <v>4101</v>
      </c>
      <c r="S43" s="5" t="s">
        <v>4133</v>
      </c>
      <c r="T43" s="5" t="s">
        <v>4134</v>
      </c>
      <c r="U43" s="12" t="n">
        <v>4</v>
      </c>
      <c r="V43" s="12" t="n">
        <v>1</v>
      </c>
      <c r="W43" s="12" t="n">
        <v>1</v>
      </c>
      <c r="X43" s="12" t="n">
        <v>2</v>
      </c>
      <c r="Y43" s="12" t="n">
        <v>1</v>
      </c>
    </row>
    <row r="44" customFormat="false" ht="175.5" hidden="false" customHeight="true" outlineLevel="0" collapsed="false">
      <c r="A44" s="10" t="s">
        <v>4135</v>
      </c>
      <c r="B44" s="11" t="s">
        <v>4136</v>
      </c>
      <c r="C44" s="12"/>
      <c r="D44" s="12" t="s">
        <v>120</v>
      </c>
      <c r="E44" s="5" t="s">
        <v>79</v>
      </c>
      <c r="F44" s="12"/>
      <c r="G44" s="12"/>
      <c r="H44" s="13" t="str">
        <f aca="false">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2"/>
      <c r="J44" s="12"/>
      <c r="K44" s="12"/>
      <c r="L44" s="12"/>
      <c r="M44" s="12" t="s">
        <v>73</v>
      </c>
      <c r="N44" s="5"/>
      <c r="O44" s="12"/>
      <c r="P44" s="5" t="s">
        <v>4137</v>
      </c>
      <c r="Q44" s="12"/>
      <c r="R44" s="12" t="s">
        <v>4101</v>
      </c>
      <c r="S44" s="5" t="s">
        <v>4138</v>
      </c>
      <c r="T44" s="5" t="s">
        <v>4109</v>
      </c>
      <c r="U44" s="12" t="n">
        <v>2</v>
      </c>
      <c r="V44" s="12" t="n">
        <v>1</v>
      </c>
      <c r="W44" s="12" t="n">
        <v>2</v>
      </c>
      <c r="X44" s="12" t="n">
        <v>1</v>
      </c>
      <c r="Y44" s="12" t="n">
        <v>0</v>
      </c>
    </row>
    <row r="45" customFormat="false" ht="175.5" hidden="false" customHeight="true" outlineLevel="0" collapsed="false">
      <c r="A45" s="12" t="s">
        <v>4135</v>
      </c>
      <c r="B45" s="5" t="s">
        <v>4136</v>
      </c>
      <c r="C45" s="12" t="s">
        <v>4135</v>
      </c>
      <c r="D45" s="12" t="s">
        <v>120</v>
      </c>
      <c r="E45" s="5" t="s">
        <v>4139</v>
      </c>
      <c r="F45" s="14"/>
      <c r="G45" s="14"/>
      <c r="H45" s="14" t="s">
        <v>87</v>
      </c>
      <c r="I45" s="14"/>
      <c r="J45" s="14"/>
      <c r="K45" s="14"/>
      <c r="L45" s="15"/>
      <c r="M45" s="12" t="s">
        <v>73</v>
      </c>
      <c r="N45" s="5"/>
      <c r="O45" s="12"/>
      <c r="P45" s="5" t="s">
        <v>4137</v>
      </c>
      <c r="Q45" s="12"/>
      <c r="R45" s="12" t="s">
        <v>4101</v>
      </c>
      <c r="S45" s="5" t="s">
        <v>4138</v>
      </c>
      <c r="T45" s="5" t="s">
        <v>4109</v>
      </c>
      <c r="U45" s="12" t="n">
        <v>2</v>
      </c>
      <c r="V45" s="12" t="n">
        <v>1</v>
      </c>
      <c r="W45" s="12" t="n">
        <v>2</v>
      </c>
      <c r="X45" s="12" t="n">
        <v>1</v>
      </c>
      <c r="Y45" s="12" t="n">
        <v>0</v>
      </c>
    </row>
    <row r="46" customFormat="false" ht="81.75" hidden="false" customHeight="true" outlineLevel="0" collapsed="false">
      <c r="A46" s="10" t="s">
        <v>4140</v>
      </c>
      <c r="B46" s="11" t="s">
        <v>4141</v>
      </c>
      <c r="C46" s="12"/>
      <c r="D46" s="12" t="s">
        <v>120</v>
      </c>
      <c r="E46" s="5" t="s">
        <v>79</v>
      </c>
      <c r="F46" s="12"/>
      <c r="G46" s="12"/>
      <c r="H46" s="13" t="str">
        <f aca="false">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2"/>
      <c r="J46" s="12"/>
      <c r="K46" s="12"/>
      <c r="L46" s="12"/>
      <c r="M46" s="12" t="s">
        <v>74</v>
      </c>
      <c r="N46" s="5"/>
      <c r="O46" s="12"/>
      <c r="P46" s="5" t="s">
        <v>4142</v>
      </c>
      <c r="Q46" s="12"/>
      <c r="R46" s="12" t="s">
        <v>4101</v>
      </c>
      <c r="S46" s="5" t="s">
        <v>4143</v>
      </c>
      <c r="T46" s="5" t="s">
        <v>4119</v>
      </c>
      <c r="U46" s="12" t="n">
        <v>3</v>
      </c>
      <c r="V46" s="12" t="n">
        <v>1</v>
      </c>
      <c r="W46" s="12" t="n">
        <v>1</v>
      </c>
      <c r="X46" s="12" t="n">
        <v>2</v>
      </c>
      <c r="Y46" s="12" t="n">
        <v>0</v>
      </c>
    </row>
    <row r="47" customFormat="false" ht="81.75" hidden="false" customHeight="true" outlineLevel="0" collapsed="false">
      <c r="A47" s="12" t="s">
        <v>4140</v>
      </c>
      <c r="B47" s="5" t="s">
        <v>4141</v>
      </c>
      <c r="C47" s="12" t="s">
        <v>4140</v>
      </c>
      <c r="D47" s="12" t="s">
        <v>120</v>
      </c>
      <c r="E47" s="5" t="s">
        <v>4144</v>
      </c>
      <c r="F47" s="14"/>
      <c r="G47" s="14"/>
      <c r="H47" s="14" t="s">
        <v>87</v>
      </c>
      <c r="I47" s="14"/>
      <c r="J47" s="14"/>
      <c r="K47" s="14"/>
      <c r="L47" s="15"/>
      <c r="M47" s="12" t="s">
        <v>74</v>
      </c>
      <c r="N47" s="5"/>
      <c r="O47" s="12"/>
      <c r="P47" s="5" t="s">
        <v>4142</v>
      </c>
      <c r="Q47" s="12"/>
      <c r="R47" s="12" t="s">
        <v>4101</v>
      </c>
      <c r="S47" s="5" t="s">
        <v>4143</v>
      </c>
      <c r="T47" s="5" t="s">
        <v>4119</v>
      </c>
      <c r="U47" s="12" t="n">
        <v>3</v>
      </c>
      <c r="V47" s="12" t="n">
        <v>1</v>
      </c>
      <c r="W47" s="12" t="n">
        <v>1</v>
      </c>
      <c r="X47" s="12" t="n">
        <v>2</v>
      </c>
      <c r="Y47" s="12" t="n">
        <v>0</v>
      </c>
    </row>
    <row r="48" customFormat="false" ht="189" hidden="false" customHeight="true" outlineLevel="0" collapsed="false">
      <c r="A48" s="10" t="s">
        <v>4145</v>
      </c>
      <c r="B48" s="11" t="s">
        <v>4146</v>
      </c>
      <c r="C48" s="12"/>
      <c r="D48" s="12" t="s">
        <v>120</v>
      </c>
      <c r="E48" s="5" t="s">
        <v>79</v>
      </c>
      <c r="F48" s="12"/>
      <c r="G48" s="12"/>
      <c r="H48" s="13" t="str">
        <f aca="false">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2"/>
      <c r="J48" s="12"/>
      <c r="K48" s="12"/>
      <c r="L48" s="12"/>
      <c r="M48" s="12" t="s">
        <v>72</v>
      </c>
      <c r="N48" s="5"/>
      <c r="O48" s="12"/>
      <c r="P48" s="5" t="s">
        <v>4147</v>
      </c>
      <c r="Q48" s="12"/>
      <c r="R48" s="12" t="s">
        <v>4101</v>
      </c>
      <c r="S48" s="5" t="s">
        <v>4118</v>
      </c>
      <c r="T48" s="5" t="s">
        <v>4148</v>
      </c>
      <c r="U48" s="12" t="n">
        <v>3</v>
      </c>
      <c r="V48" s="12" t="n">
        <v>2</v>
      </c>
      <c r="W48" s="12" t="n">
        <v>1</v>
      </c>
      <c r="X48" s="12" t="n">
        <v>1</v>
      </c>
      <c r="Y48" s="12" t="n">
        <v>0</v>
      </c>
    </row>
    <row r="49" customFormat="false" ht="189" hidden="false" customHeight="true" outlineLevel="0" collapsed="false">
      <c r="A49" s="12" t="s">
        <v>4145</v>
      </c>
      <c r="B49" s="5" t="s">
        <v>4146</v>
      </c>
      <c r="C49" s="12" t="s">
        <v>4145</v>
      </c>
      <c r="D49" s="12" t="s">
        <v>120</v>
      </c>
      <c r="E49" s="5" t="s">
        <v>4149</v>
      </c>
      <c r="F49" s="14"/>
      <c r="G49" s="14"/>
      <c r="H49" s="14" t="s">
        <v>87</v>
      </c>
      <c r="I49" s="14"/>
      <c r="J49" s="14"/>
      <c r="K49" s="14"/>
      <c r="L49" s="15"/>
      <c r="M49" s="12" t="s">
        <v>72</v>
      </c>
      <c r="N49" s="5"/>
      <c r="O49" s="12"/>
      <c r="P49" s="5" t="s">
        <v>4147</v>
      </c>
      <c r="Q49" s="12"/>
      <c r="R49" s="12" t="s">
        <v>4101</v>
      </c>
      <c r="S49" s="5" t="s">
        <v>4118</v>
      </c>
      <c r="T49" s="5" t="s">
        <v>4148</v>
      </c>
      <c r="U49" s="12" t="n">
        <v>3</v>
      </c>
      <c r="V49" s="12" t="n">
        <v>2</v>
      </c>
      <c r="W49" s="12" t="n">
        <v>1</v>
      </c>
      <c r="X49" s="12" t="n">
        <v>1</v>
      </c>
      <c r="Y49" s="12" t="n">
        <v>0</v>
      </c>
    </row>
    <row r="50" customFormat="false" ht="229.5" hidden="false" customHeight="true" outlineLevel="0" collapsed="false">
      <c r="A50" s="10" t="s">
        <v>4150</v>
      </c>
      <c r="B50" s="11" t="s">
        <v>4151</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t="s">
        <v>73</v>
      </c>
      <c r="N50" s="5"/>
      <c r="O50" s="12"/>
      <c r="P50" s="5" t="s">
        <v>4152</v>
      </c>
      <c r="Q50" s="12"/>
      <c r="R50" s="12" t="s">
        <v>4101</v>
      </c>
      <c r="S50" s="5" t="s">
        <v>4153</v>
      </c>
      <c r="T50" s="5" t="s">
        <v>4109</v>
      </c>
      <c r="U50" s="12" t="n">
        <v>3</v>
      </c>
      <c r="V50" s="12" t="n">
        <v>1</v>
      </c>
      <c r="W50" s="12" t="n">
        <v>2</v>
      </c>
      <c r="X50" s="12" t="n">
        <v>1</v>
      </c>
      <c r="Y50" s="12" t="n">
        <v>0</v>
      </c>
    </row>
    <row r="51" customFormat="false" ht="229.5" hidden="false" customHeight="true" outlineLevel="0" collapsed="false">
      <c r="A51" s="12" t="s">
        <v>4150</v>
      </c>
      <c r="B51" s="5" t="s">
        <v>4151</v>
      </c>
      <c r="C51" s="12" t="s">
        <v>4150</v>
      </c>
      <c r="D51" s="12" t="s">
        <v>120</v>
      </c>
      <c r="E51" s="5" t="s">
        <v>4154</v>
      </c>
      <c r="F51" s="14"/>
      <c r="G51" s="14"/>
      <c r="H51" s="14" t="s">
        <v>87</v>
      </c>
      <c r="I51" s="14"/>
      <c r="J51" s="14"/>
      <c r="K51" s="14"/>
      <c r="L51" s="15"/>
      <c r="M51" s="12" t="s">
        <v>73</v>
      </c>
      <c r="N51" s="5"/>
      <c r="O51" s="12"/>
      <c r="P51" s="5" t="s">
        <v>4152</v>
      </c>
      <c r="Q51" s="12"/>
      <c r="R51" s="12" t="s">
        <v>4101</v>
      </c>
      <c r="S51" s="5" t="s">
        <v>4153</v>
      </c>
      <c r="T51" s="5" t="s">
        <v>4109</v>
      </c>
      <c r="U51" s="12" t="n">
        <v>3</v>
      </c>
      <c r="V51" s="12" t="n">
        <v>1</v>
      </c>
      <c r="W51" s="12" t="n">
        <v>2</v>
      </c>
      <c r="X51" s="12" t="n">
        <v>1</v>
      </c>
      <c r="Y51" s="12" t="n">
        <v>0</v>
      </c>
    </row>
    <row r="52" customFormat="false" ht="309.75" hidden="false" customHeight="true" outlineLevel="0" collapsed="false">
      <c r="A52" s="10" t="s">
        <v>4155</v>
      </c>
      <c r="B52" s="11" t="s">
        <v>4156</v>
      </c>
      <c r="C52" s="12"/>
      <c r="D52" s="12" t="s">
        <v>120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t="s">
        <v>74</v>
      </c>
      <c r="N52" s="5"/>
      <c r="O52" s="12"/>
      <c r="P52" s="5" t="s">
        <v>4157</v>
      </c>
      <c r="Q52" s="12"/>
      <c r="R52" s="12" t="s">
        <v>4101</v>
      </c>
      <c r="S52" s="5" t="s">
        <v>4158</v>
      </c>
      <c r="T52" s="5" t="s">
        <v>4159</v>
      </c>
      <c r="U52" s="12" t="n">
        <v>3</v>
      </c>
      <c r="V52" s="12" t="n">
        <v>1</v>
      </c>
      <c r="W52" s="12" t="n">
        <v>1</v>
      </c>
      <c r="X52" s="12" t="n">
        <v>2</v>
      </c>
      <c r="Y52" s="12" t="n">
        <v>0</v>
      </c>
    </row>
    <row r="53" customFormat="false" ht="309.75" hidden="false" customHeight="true" outlineLevel="0" collapsed="false">
      <c r="A53" s="12" t="s">
        <v>4155</v>
      </c>
      <c r="B53" s="5" t="s">
        <v>4156</v>
      </c>
      <c r="C53" s="12" t="s">
        <v>4155</v>
      </c>
      <c r="D53" s="12" t="s">
        <v>120</v>
      </c>
      <c r="E53" s="5" t="s">
        <v>4160</v>
      </c>
      <c r="F53" s="14"/>
      <c r="G53" s="14"/>
      <c r="H53" s="14" t="s">
        <v>87</v>
      </c>
      <c r="I53" s="14"/>
      <c r="J53" s="14"/>
      <c r="K53" s="14"/>
      <c r="L53" s="15"/>
      <c r="M53" s="12" t="s">
        <v>74</v>
      </c>
      <c r="N53" s="5"/>
      <c r="O53" s="12"/>
      <c r="P53" s="5" t="s">
        <v>4157</v>
      </c>
      <c r="Q53" s="12"/>
      <c r="R53" s="12" t="s">
        <v>4101</v>
      </c>
      <c r="S53" s="5" t="s">
        <v>4158</v>
      </c>
      <c r="T53" s="5" t="s">
        <v>4159</v>
      </c>
      <c r="U53" s="12" t="n">
        <v>3</v>
      </c>
      <c r="V53" s="12" t="n">
        <v>1</v>
      </c>
      <c r="W53" s="12" t="n">
        <v>1</v>
      </c>
      <c r="X53" s="12" t="n">
        <v>2</v>
      </c>
      <c r="Y53" s="12" t="n">
        <v>0</v>
      </c>
    </row>
    <row r="54" customFormat="false" ht="108.75" hidden="false" customHeight="true" outlineLevel="0" collapsed="false">
      <c r="A54" s="10" t="s">
        <v>4161</v>
      </c>
      <c r="B54" s="11" t="s">
        <v>3049</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73</v>
      </c>
      <c r="N54" s="5"/>
      <c r="O54" s="12"/>
      <c r="P54" s="5" t="s">
        <v>4162</v>
      </c>
      <c r="Q54" s="12"/>
      <c r="R54" s="12" t="s">
        <v>4101</v>
      </c>
      <c r="S54" s="5" t="s">
        <v>4163</v>
      </c>
      <c r="T54" s="5" t="s">
        <v>4119</v>
      </c>
      <c r="U54" s="12" t="n">
        <v>4</v>
      </c>
      <c r="V54" s="12" t="n">
        <v>1</v>
      </c>
      <c r="W54" s="12" t="n">
        <v>2</v>
      </c>
      <c r="X54" s="12" t="n">
        <v>1</v>
      </c>
      <c r="Y54" s="12" t="n">
        <v>0</v>
      </c>
    </row>
    <row r="55" customFormat="false" ht="108.75" hidden="false" customHeight="true" outlineLevel="0" collapsed="false">
      <c r="A55" s="12" t="s">
        <v>4161</v>
      </c>
      <c r="B55" s="5" t="s">
        <v>3049</v>
      </c>
      <c r="C55" s="12" t="s">
        <v>4161</v>
      </c>
      <c r="D55" s="12" t="s">
        <v>120</v>
      </c>
      <c r="E55" s="5" t="s">
        <v>4164</v>
      </c>
      <c r="F55" s="14"/>
      <c r="G55" s="14"/>
      <c r="H55" s="14" t="s">
        <v>87</v>
      </c>
      <c r="I55" s="14"/>
      <c r="J55" s="14"/>
      <c r="K55" s="14"/>
      <c r="L55" s="15"/>
      <c r="M55" s="12" t="s">
        <v>73</v>
      </c>
      <c r="N55" s="5"/>
      <c r="O55" s="12"/>
      <c r="P55" s="5" t="s">
        <v>4162</v>
      </c>
      <c r="Q55" s="12"/>
      <c r="R55" s="12" t="s">
        <v>4101</v>
      </c>
      <c r="S55" s="5" t="s">
        <v>4163</v>
      </c>
      <c r="T55" s="5" t="s">
        <v>4119</v>
      </c>
      <c r="U55" s="12" t="n">
        <v>4</v>
      </c>
      <c r="V55" s="12" t="n">
        <v>1</v>
      </c>
      <c r="W55" s="12" t="n">
        <v>2</v>
      </c>
      <c r="X55" s="12" t="n">
        <v>1</v>
      </c>
      <c r="Y55" s="12" t="n">
        <v>0</v>
      </c>
    </row>
    <row r="56" customFormat="false" ht="81.75" hidden="false" customHeight="true" outlineLevel="0" collapsed="false">
      <c r="A56" s="10" t="s">
        <v>4165</v>
      </c>
      <c r="B56" s="11" t="s">
        <v>4166</v>
      </c>
      <c r="C56" s="12"/>
      <c r="D56" s="12" t="s">
        <v>160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t="s">
        <v>74</v>
      </c>
      <c r="N56" s="5"/>
      <c r="O56" s="12"/>
      <c r="P56" s="5" t="s">
        <v>4167</v>
      </c>
      <c r="Q56" s="12"/>
      <c r="R56" s="12" t="s">
        <v>4101</v>
      </c>
      <c r="S56" s="5" t="s">
        <v>4168</v>
      </c>
      <c r="T56" s="5" t="s">
        <v>2303</v>
      </c>
      <c r="U56" s="12" t="n">
        <v>5</v>
      </c>
      <c r="V56" s="12" t="n">
        <v>1</v>
      </c>
      <c r="W56" s="12" t="n">
        <v>1</v>
      </c>
      <c r="X56" s="12" t="n">
        <v>2</v>
      </c>
      <c r="Y56" s="12" t="n">
        <v>0</v>
      </c>
    </row>
    <row r="57" customFormat="false" ht="81.75" hidden="false" customHeight="true" outlineLevel="0" collapsed="false">
      <c r="A57" s="12" t="s">
        <v>4165</v>
      </c>
      <c r="B57" s="5" t="s">
        <v>4166</v>
      </c>
      <c r="C57" s="12" t="s">
        <v>4165</v>
      </c>
      <c r="D57" s="12" t="s">
        <v>160</v>
      </c>
      <c r="E57" s="5" t="s">
        <v>4169</v>
      </c>
      <c r="F57" s="14"/>
      <c r="G57" s="14"/>
      <c r="H57" s="14" t="s">
        <v>87</v>
      </c>
      <c r="I57" s="14"/>
      <c r="J57" s="14"/>
      <c r="K57" s="14"/>
      <c r="L57" s="15"/>
      <c r="M57" s="12" t="s">
        <v>74</v>
      </c>
      <c r="N57" s="5"/>
      <c r="O57" s="12"/>
      <c r="P57" s="5" t="s">
        <v>4167</v>
      </c>
      <c r="Q57" s="12"/>
      <c r="R57" s="12" t="s">
        <v>4101</v>
      </c>
      <c r="S57" s="5" t="s">
        <v>4168</v>
      </c>
      <c r="T57" s="5" t="s">
        <v>2303</v>
      </c>
      <c r="U57" s="12" t="n">
        <v>5</v>
      </c>
      <c r="V57" s="12" t="n">
        <v>1</v>
      </c>
      <c r="W57" s="12" t="n">
        <v>1</v>
      </c>
      <c r="X57" s="12" t="n">
        <v>2</v>
      </c>
      <c r="Y57" s="12" t="n">
        <v>0</v>
      </c>
    </row>
    <row r="58" customFormat="false" ht="135.75" hidden="false" customHeight="true" outlineLevel="0" collapsed="false">
      <c r="A58" s="10" t="s">
        <v>4170</v>
      </c>
      <c r="B58" s="11" t="s">
        <v>4171</v>
      </c>
      <c r="C58" s="12"/>
      <c r="D58" s="12" t="s">
        <v>120</v>
      </c>
      <c r="E58" s="5" t="s">
        <v>79</v>
      </c>
      <c r="F58" s="12"/>
      <c r="G58" s="12"/>
      <c r="H58" s="13" t="str">
        <f aca="false">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Bitte Teilanforderungen ausfüllen</v>
      </c>
      <c r="I58" s="12"/>
      <c r="J58" s="12"/>
      <c r="K58" s="12"/>
      <c r="L58" s="12"/>
      <c r="M58" s="12" t="s">
        <v>74</v>
      </c>
      <c r="N58" s="5"/>
      <c r="O58" s="12"/>
      <c r="P58" s="5" t="s">
        <v>4172</v>
      </c>
      <c r="Q58" s="12" t="s">
        <v>1403</v>
      </c>
      <c r="R58" s="12" t="s">
        <v>4101</v>
      </c>
      <c r="S58" s="5" t="s">
        <v>4173</v>
      </c>
      <c r="T58" s="5" t="s">
        <v>4109</v>
      </c>
      <c r="U58" s="12" t="n">
        <v>3</v>
      </c>
      <c r="V58" s="12" t="n">
        <v>1</v>
      </c>
      <c r="W58" s="12" t="n">
        <v>1</v>
      </c>
      <c r="X58" s="12" t="n">
        <v>2</v>
      </c>
      <c r="Y58" s="12" t="n">
        <v>0</v>
      </c>
    </row>
    <row r="59" customFormat="false" ht="135.75" hidden="false" customHeight="true" outlineLevel="0" collapsed="false">
      <c r="A59" s="12" t="s">
        <v>4170</v>
      </c>
      <c r="B59" s="5" t="s">
        <v>4171</v>
      </c>
      <c r="C59" s="12" t="s">
        <v>4170</v>
      </c>
      <c r="D59" s="12" t="s">
        <v>120</v>
      </c>
      <c r="E59" s="5" t="s">
        <v>4174</v>
      </c>
      <c r="F59" s="14"/>
      <c r="G59" s="14"/>
      <c r="H59" s="14" t="s">
        <v>87</v>
      </c>
      <c r="I59" s="14"/>
      <c r="J59" s="14"/>
      <c r="K59" s="14"/>
      <c r="L59" s="15"/>
      <c r="M59" s="12" t="s">
        <v>74</v>
      </c>
      <c r="N59" s="5"/>
      <c r="O59" s="12"/>
      <c r="P59" s="5" t="s">
        <v>4172</v>
      </c>
      <c r="Q59" s="12" t="s">
        <v>1403</v>
      </c>
      <c r="R59" s="12" t="s">
        <v>4101</v>
      </c>
      <c r="S59" s="5" t="s">
        <v>4173</v>
      </c>
      <c r="T59" s="5" t="s">
        <v>4109</v>
      </c>
      <c r="U59" s="12" t="n">
        <v>3</v>
      </c>
      <c r="V59" s="12" t="n">
        <v>1</v>
      </c>
      <c r="W59" s="12" t="n">
        <v>1</v>
      </c>
      <c r="X59" s="12" t="n">
        <v>2</v>
      </c>
      <c r="Y59" s="12" t="n">
        <v>0</v>
      </c>
    </row>
    <row r="60" customFormat="false" ht="270" hidden="false" customHeight="true" outlineLevel="0" collapsed="false">
      <c r="A60" s="10" t="s">
        <v>4175</v>
      </c>
      <c r="B60" s="11" t="s">
        <v>4176</v>
      </c>
      <c r="C60" s="12"/>
      <c r="D60" s="12" t="s">
        <v>120</v>
      </c>
      <c r="E60" s="5" t="s">
        <v>79</v>
      </c>
      <c r="F60" s="12"/>
      <c r="G60" s="12"/>
      <c r="H60" s="13" t="str">
        <f aca="false">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Bitte Teilanforderungen ausfüllen</v>
      </c>
      <c r="I60" s="12"/>
      <c r="J60" s="12"/>
      <c r="K60" s="12"/>
      <c r="L60" s="12"/>
      <c r="M60" s="12" t="s">
        <v>74</v>
      </c>
      <c r="N60" s="5"/>
      <c r="O60" s="12"/>
      <c r="P60" s="5" t="s">
        <v>4177</v>
      </c>
      <c r="Q60" s="12" t="s">
        <v>644</v>
      </c>
      <c r="R60" s="12" t="s">
        <v>4101</v>
      </c>
      <c r="S60" s="5" t="s">
        <v>4178</v>
      </c>
      <c r="T60" s="5" t="s">
        <v>4179</v>
      </c>
      <c r="U60" s="12" t="n">
        <v>3</v>
      </c>
      <c r="V60" s="12" t="n">
        <v>1</v>
      </c>
      <c r="W60" s="12" t="n">
        <v>1</v>
      </c>
      <c r="X60" s="12" t="n">
        <v>2</v>
      </c>
      <c r="Y60" s="12" t="n">
        <v>0</v>
      </c>
    </row>
    <row r="61" customFormat="false" ht="270" hidden="false" customHeight="true" outlineLevel="0" collapsed="false">
      <c r="A61" s="12" t="s">
        <v>4175</v>
      </c>
      <c r="B61" s="5" t="s">
        <v>4176</v>
      </c>
      <c r="C61" s="12" t="s">
        <v>4175</v>
      </c>
      <c r="D61" s="12" t="s">
        <v>120</v>
      </c>
      <c r="E61" s="5" t="s">
        <v>4180</v>
      </c>
      <c r="F61" s="14"/>
      <c r="G61" s="14"/>
      <c r="H61" s="14" t="s">
        <v>87</v>
      </c>
      <c r="I61" s="14"/>
      <c r="J61" s="14"/>
      <c r="K61" s="14"/>
      <c r="L61" s="15"/>
      <c r="M61" s="12" t="s">
        <v>74</v>
      </c>
      <c r="N61" s="5"/>
      <c r="O61" s="12"/>
      <c r="P61" s="5" t="s">
        <v>4177</v>
      </c>
      <c r="Q61" s="12" t="s">
        <v>644</v>
      </c>
      <c r="R61" s="12" t="s">
        <v>4101</v>
      </c>
      <c r="S61" s="5" t="s">
        <v>4178</v>
      </c>
      <c r="T61" s="5" t="s">
        <v>4179</v>
      </c>
      <c r="U61" s="12" t="n">
        <v>3</v>
      </c>
      <c r="V61" s="12" t="n">
        <v>1</v>
      </c>
      <c r="W61" s="12" t="n">
        <v>1</v>
      </c>
      <c r="X61" s="12" t="n">
        <v>2</v>
      </c>
      <c r="Y61" s="12" t="n">
        <v>0</v>
      </c>
    </row>
    <row r="62" customFormat="false" ht="175.5" hidden="false" customHeight="true" outlineLevel="0" collapsed="false">
      <c r="A62" s="10" t="s">
        <v>4181</v>
      </c>
      <c r="B62" s="11" t="s">
        <v>4182</v>
      </c>
      <c r="C62" s="12"/>
      <c r="D62" s="12" t="s">
        <v>120</v>
      </c>
      <c r="E62" s="5" t="s">
        <v>79</v>
      </c>
      <c r="F62" s="12"/>
      <c r="G62" s="12"/>
      <c r="H62" s="13" t="str">
        <f aca="false">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Bitte Teilanforderungen ausfüllen</v>
      </c>
      <c r="I62" s="12"/>
      <c r="J62" s="12"/>
      <c r="K62" s="12"/>
      <c r="L62" s="12"/>
      <c r="M62" s="12"/>
      <c r="N62" s="5"/>
      <c r="O62" s="12"/>
      <c r="P62" s="5" t="s">
        <v>4183</v>
      </c>
      <c r="Q62" s="12"/>
      <c r="R62" s="12" t="s">
        <v>4101</v>
      </c>
      <c r="S62" s="5" t="s">
        <v>4184</v>
      </c>
      <c r="T62" s="5" t="s">
        <v>4109</v>
      </c>
      <c r="U62" s="12" t="n">
        <v>2</v>
      </c>
      <c r="V62" s="12" t="n">
        <v>1</v>
      </c>
      <c r="W62" s="12" t="n">
        <v>1</v>
      </c>
      <c r="X62" s="12" t="n">
        <v>1</v>
      </c>
      <c r="Y62" s="12" t="n">
        <v>0</v>
      </c>
    </row>
    <row r="63" customFormat="false" ht="175.5" hidden="false" customHeight="true" outlineLevel="0" collapsed="false">
      <c r="A63" s="12" t="s">
        <v>4181</v>
      </c>
      <c r="B63" s="5" t="s">
        <v>4182</v>
      </c>
      <c r="C63" s="12" t="s">
        <v>4181</v>
      </c>
      <c r="D63" s="12" t="s">
        <v>120</v>
      </c>
      <c r="E63" s="5" t="s">
        <v>4185</v>
      </c>
      <c r="F63" s="14"/>
      <c r="G63" s="14"/>
      <c r="H63" s="14" t="s">
        <v>87</v>
      </c>
      <c r="I63" s="14"/>
      <c r="J63" s="14"/>
      <c r="K63" s="14"/>
      <c r="L63" s="15"/>
      <c r="M63" s="12"/>
      <c r="N63" s="5"/>
      <c r="O63" s="12"/>
      <c r="P63" s="5" t="s">
        <v>4183</v>
      </c>
      <c r="Q63" s="12"/>
      <c r="R63" s="12" t="s">
        <v>4101</v>
      </c>
      <c r="S63" s="5" t="s">
        <v>4184</v>
      </c>
      <c r="T63" s="5" t="s">
        <v>4109</v>
      </c>
      <c r="U63" s="12" t="n">
        <v>2</v>
      </c>
      <c r="V63" s="12" t="n">
        <v>1</v>
      </c>
      <c r="W63" s="12" t="n">
        <v>1</v>
      </c>
      <c r="X63" s="12" t="n">
        <v>1</v>
      </c>
      <c r="Y63" s="12" t="n">
        <v>0</v>
      </c>
    </row>
    <row r="64" customFormat="false" ht="95.25" hidden="false" customHeight="true" outlineLevel="0" collapsed="false">
      <c r="A64" s="10" t="s">
        <v>4186</v>
      </c>
      <c r="B64" s="11" t="s">
        <v>4187</v>
      </c>
      <c r="C64" s="12"/>
      <c r="D64" s="12" t="s">
        <v>120</v>
      </c>
      <c r="E64" s="5" t="s">
        <v>79</v>
      </c>
      <c r="F64" s="12"/>
      <c r="G64" s="12"/>
      <c r="H64" s="13" t="str">
        <f aca="false">IF(OR(COUNTBLANK($H$65:$H$66)&gt;0,COUNTIF($H$65:$H$66,"unbearbeitet")=COUNTA($H$65:$H$66)),"Bitte Teilanforderungen ausfüllen",IF(COUNTIF($H$65:$H$66,"zu klären")&gt;0,"zu klären",IF(COUNTIF($H$65:$H$66,"entbehrlich")=COUNTA($H$65:$H$66),"entbehrlich",IF(COUNTIF($H$65:$H$66,"verwiesen")=COUNTA($H$65:$H$66),"verwiesen",IF(COUNTIF($H$65:$H$66,"nein")+COUNTIF($H$65:$H$66,"entbehrlich")=COUNTA($H$65:$H$66),"nein",IF(COUNTIF($H$65:$H$66,"ja")+COUNTIF($H$65:$H$66,"entbehrlich")+COUNTIF($H$65:$H$66,"verwiesen")=COUNTA($H$65:$H$66),"ja","teilweise"))))))</f>
        <v>Bitte Teilanforderungen ausfüllen</v>
      </c>
      <c r="I64" s="12"/>
      <c r="J64" s="12"/>
      <c r="K64" s="12"/>
      <c r="L64" s="12"/>
      <c r="M64" s="12" t="s">
        <v>73</v>
      </c>
      <c r="N64" s="5"/>
      <c r="O64" s="12"/>
      <c r="P64" s="5" t="s">
        <v>4188</v>
      </c>
      <c r="Q64" s="12" t="s">
        <v>644</v>
      </c>
      <c r="R64" s="12" t="s">
        <v>4101</v>
      </c>
      <c r="S64" s="5" t="s">
        <v>4189</v>
      </c>
      <c r="T64" s="5" t="s">
        <v>4119</v>
      </c>
      <c r="U64" s="12" t="n">
        <v>3</v>
      </c>
      <c r="V64" s="12" t="n">
        <v>1</v>
      </c>
      <c r="W64" s="12" t="n">
        <v>2</v>
      </c>
      <c r="X64" s="12" t="n">
        <v>1</v>
      </c>
      <c r="Y64" s="12" t="n">
        <v>0</v>
      </c>
    </row>
    <row r="65" customFormat="false" ht="95.25" hidden="false" customHeight="true" outlineLevel="0" collapsed="false">
      <c r="A65" s="12" t="s">
        <v>4186</v>
      </c>
      <c r="B65" s="5" t="s">
        <v>4187</v>
      </c>
      <c r="C65" s="12" t="s">
        <v>4186</v>
      </c>
      <c r="D65" s="12" t="s">
        <v>120</v>
      </c>
      <c r="E65" s="5" t="s">
        <v>4190</v>
      </c>
      <c r="F65" s="14"/>
      <c r="G65" s="14"/>
      <c r="H65" s="14" t="s">
        <v>87</v>
      </c>
      <c r="I65" s="14"/>
      <c r="J65" s="14"/>
      <c r="K65" s="14"/>
      <c r="L65" s="15"/>
      <c r="M65" s="12" t="s">
        <v>73</v>
      </c>
      <c r="N65" s="5"/>
      <c r="O65" s="12"/>
      <c r="P65" s="5" t="s">
        <v>4188</v>
      </c>
      <c r="Q65" s="12" t="s">
        <v>644</v>
      </c>
      <c r="R65" s="12" t="s">
        <v>4101</v>
      </c>
      <c r="S65" s="5" t="s">
        <v>4189</v>
      </c>
      <c r="T65" s="5" t="s">
        <v>4119</v>
      </c>
      <c r="U65" s="12" t="n">
        <v>3</v>
      </c>
      <c r="V65" s="12" t="n">
        <v>1</v>
      </c>
      <c r="W65" s="12" t="n">
        <v>2</v>
      </c>
      <c r="X65" s="12" t="n">
        <v>1</v>
      </c>
      <c r="Y65" s="12" t="n">
        <v>0</v>
      </c>
    </row>
    <row r="66" customFormat="false" ht="471" hidden="false" customHeight="true" outlineLevel="0" collapsed="false">
      <c r="A66" s="12" t="s">
        <v>4186</v>
      </c>
      <c r="B66" s="5" t="s">
        <v>4187</v>
      </c>
      <c r="C66" s="12" t="s">
        <v>4191</v>
      </c>
      <c r="D66" s="12" t="s">
        <v>120</v>
      </c>
      <c r="E66" s="5" t="s">
        <v>4192</v>
      </c>
      <c r="F66" s="14"/>
      <c r="G66" s="14"/>
      <c r="H66" s="14" t="s">
        <v>87</v>
      </c>
      <c r="I66" s="14"/>
      <c r="J66" s="14"/>
      <c r="K66" s="14"/>
      <c r="L66" s="15"/>
      <c r="M66" s="12" t="s">
        <v>73</v>
      </c>
      <c r="N66" s="5"/>
      <c r="O66" s="12"/>
      <c r="P66" s="5" t="s">
        <v>4193</v>
      </c>
      <c r="Q66" s="12" t="s">
        <v>644</v>
      </c>
      <c r="R66" s="12" t="s">
        <v>4101</v>
      </c>
      <c r="S66" s="5" t="s">
        <v>4194</v>
      </c>
      <c r="T66" s="5" t="s">
        <v>4109</v>
      </c>
      <c r="U66" s="12" t="n">
        <v>3</v>
      </c>
      <c r="V66" s="12" t="n">
        <v>1</v>
      </c>
      <c r="W66" s="12" t="n">
        <v>2</v>
      </c>
      <c r="X66" s="12" t="n">
        <v>1</v>
      </c>
      <c r="Y66" s="12" t="n">
        <v>0</v>
      </c>
    </row>
    <row r="67" customFormat="false" ht="108.75" hidden="false" customHeight="true" outlineLevel="0" collapsed="false">
      <c r="A67" s="10" t="s">
        <v>4195</v>
      </c>
      <c r="B67" s="11" t="s">
        <v>4196</v>
      </c>
      <c r="C67" s="12"/>
      <c r="D67" s="12" t="s">
        <v>160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t="s">
        <v>73</v>
      </c>
      <c r="N67" s="5"/>
      <c r="O67" s="12"/>
      <c r="P67" s="5" t="s">
        <v>4197</v>
      </c>
      <c r="Q67" s="12" t="s">
        <v>460</v>
      </c>
      <c r="R67" s="12" t="s">
        <v>4101</v>
      </c>
      <c r="S67" s="5" t="s">
        <v>4198</v>
      </c>
      <c r="T67" s="5" t="s">
        <v>4109</v>
      </c>
      <c r="U67" s="12" t="n">
        <v>5</v>
      </c>
      <c r="V67" s="12" t="n">
        <v>1</v>
      </c>
      <c r="W67" s="12" t="n">
        <v>2</v>
      </c>
      <c r="X67" s="12" t="n">
        <v>1</v>
      </c>
      <c r="Y67" s="12" t="n">
        <v>0</v>
      </c>
    </row>
    <row r="68" customFormat="false" ht="108.75" hidden="false" customHeight="true" outlineLevel="0" collapsed="false">
      <c r="A68" s="12" t="s">
        <v>4195</v>
      </c>
      <c r="B68" s="5" t="s">
        <v>4196</v>
      </c>
      <c r="C68" s="12" t="s">
        <v>4195</v>
      </c>
      <c r="D68" s="12" t="s">
        <v>160</v>
      </c>
      <c r="E68" s="5" t="s">
        <v>4199</v>
      </c>
      <c r="F68" s="14"/>
      <c r="G68" s="14"/>
      <c r="H68" s="14" t="s">
        <v>87</v>
      </c>
      <c r="I68" s="14"/>
      <c r="J68" s="14"/>
      <c r="K68" s="14"/>
      <c r="L68" s="15"/>
      <c r="M68" s="12" t="s">
        <v>73</v>
      </c>
      <c r="N68" s="5"/>
      <c r="O68" s="12"/>
      <c r="P68" s="5" t="s">
        <v>4197</v>
      </c>
      <c r="Q68" s="12" t="s">
        <v>460</v>
      </c>
      <c r="R68" s="12" t="s">
        <v>4101</v>
      </c>
      <c r="S68" s="5" t="s">
        <v>4198</v>
      </c>
      <c r="T68" s="5" t="s">
        <v>4109</v>
      </c>
      <c r="U68" s="12" t="n">
        <v>5</v>
      </c>
      <c r="V68" s="12" t="n">
        <v>1</v>
      </c>
      <c r="W68" s="12" t="n">
        <v>2</v>
      </c>
      <c r="X68" s="12" t="n">
        <v>1</v>
      </c>
      <c r="Y68" s="12" t="n">
        <v>0</v>
      </c>
    </row>
  </sheetData>
  <autoFilter ref="A6:Y6"/>
  <conditionalFormatting sqref="H7:H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1 H13 H15:H19 H21 H23 H25 H27 H29 H31 H33 H35 H37 H39 H41:H43 H45 H47 H49 H51 H53 H55 H57 H59 H61 H63 H65:H66 H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600</v>
      </c>
      <c r="B3" s="7" t="s">
        <v>601</v>
      </c>
    </row>
    <row r="4" customFormat="false" ht="15" hidden="false" customHeight="true" outlineLevel="0" collapsed="false">
      <c r="A4" s="4" t="s">
        <v>50</v>
      </c>
      <c r="B4" s="8" t="str">
        <f aca="false">IF(Praktiken!D16="","",Praktiken!D16)</f>
        <v/>
      </c>
    </row>
    <row r="5" customFormat="false" ht="15" hidden="false" customHeight="true" outlineLevel="0" collapsed="false">
      <c r="A5" s="4" t="s">
        <v>51</v>
      </c>
      <c r="B5" s="8" t="str">
        <f aca="false">IF(Praktiken!S16="","",Praktiken!S16)</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54.75" hidden="false" customHeight="true" outlineLevel="0" collapsed="false">
      <c r="A7" s="10" t="s">
        <v>4200</v>
      </c>
      <c r="B7" s="11" t="s">
        <v>77</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4201</v>
      </c>
      <c r="Q7" s="12"/>
      <c r="R7" s="12"/>
      <c r="S7" s="5" t="s">
        <v>4202</v>
      </c>
      <c r="T7" s="5"/>
      <c r="U7" s="12" t="n">
        <v>0</v>
      </c>
      <c r="V7" s="12"/>
      <c r="W7" s="12"/>
      <c r="X7" s="12"/>
      <c r="Y7" s="12"/>
    </row>
    <row r="8" customFormat="false" ht="54.75" hidden="false" customHeight="true" outlineLevel="0" collapsed="false">
      <c r="A8" s="12" t="s">
        <v>4200</v>
      </c>
      <c r="B8" s="5" t="s">
        <v>77</v>
      </c>
      <c r="C8" s="12" t="s">
        <v>4200</v>
      </c>
      <c r="D8" s="12" t="s">
        <v>78</v>
      </c>
      <c r="E8" s="5" t="s">
        <v>4203</v>
      </c>
      <c r="F8" s="14"/>
      <c r="G8" s="14"/>
      <c r="H8" s="14" t="s">
        <v>87</v>
      </c>
      <c r="I8" s="14"/>
      <c r="J8" s="14"/>
      <c r="K8" s="14"/>
      <c r="L8" s="15"/>
      <c r="M8" s="12"/>
      <c r="N8" s="5"/>
      <c r="O8" s="12"/>
      <c r="P8" s="5" t="s">
        <v>4201</v>
      </c>
      <c r="Q8" s="12"/>
      <c r="R8" s="12"/>
      <c r="S8" s="5" t="s">
        <v>4202</v>
      </c>
      <c r="T8" s="5"/>
      <c r="U8" s="12" t="n">
        <v>0</v>
      </c>
      <c r="V8" s="12"/>
      <c r="W8" s="12"/>
      <c r="X8" s="12"/>
      <c r="Y8" s="12"/>
    </row>
    <row r="9" customFormat="false" ht="175.5" hidden="false" customHeight="true" outlineLevel="0" collapsed="false">
      <c r="A9" s="10" t="s">
        <v>4204</v>
      </c>
      <c r="B9" s="11" t="s">
        <v>4205</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4206</v>
      </c>
      <c r="Q9" s="12"/>
      <c r="R9" s="12"/>
      <c r="S9" s="5" t="s">
        <v>4207</v>
      </c>
      <c r="T9" s="5"/>
      <c r="U9" s="12" t="n">
        <v>0</v>
      </c>
      <c r="V9" s="12"/>
      <c r="W9" s="12"/>
      <c r="X9" s="12"/>
      <c r="Y9" s="12"/>
    </row>
    <row r="10" customFormat="false" ht="175.5" hidden="false" customHeight="true" outlineLevel="0" collapsed="false">
      <c r="A10" s="12" t="s">
        <v>4204</v>
      </c>
      <c r="B10" s="5" t="s">
        <v>4205</v>
      </c>
      <c r="C10" s="12" t="s">
        <v>4204</v>
      </c>
      <c r="D10" s="12" t="s">
        <v>78</v>
      </c>
      <c r="E10" s="5" t="s">
        <v>4208</v>
      </c>
      <c r="F10" s="14"/>
      <c r="G10" s="14"/>
      <c r="H10" s="14" t="s">
        <v>87</v>
      </c>
      <c r="I10" s="14"/>
      <c r="J10" s="14"/>
      <c r="K10" s="14"/>
      <c r="L10" s="15"/>
      <c r="M10" s="12"/>
      <c r="N10" s="5"/>
      <c r="O10" s="12"/>
      <c r="P10" s="5" t="s">
        <v>4206</v>
      </c>
      <c r="Q10" s="12"/>
      <c r="R10" s="12"/>
      <c r="S10" s="5" t="s">
        <v>4207</v>
      </c>
      <c r="T10" s="5"/>
      <c r="U10" s="12" t="n">
        <v>0</v>
      </c>
      <c r="V10" s="12"/>
      <c r="W10" s="12"/>
      <c r="X10" s="12"/>
      <c r="Y10" s="12"/>
    </row>
    <row r="11" customFormat="false" ht="202.5" hidden="false" customHeight="true" outlineLevel="0" collapsed="false">
      <c r="A11" s="10" t="s">
        <v>4209</v>
      </c>
      <c r="B11" s="11" t="s">
        <v>4210</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4211</v>
      </c>
      <c r="Q11" s="12"/>
      <c r="R11" s="12"/>
      <c r="S11" s="5" t="s">
        <v>4212</v>
      </c>
      <c r="T11" s="5"/>
      <c r="U11" s="12" t="n">
        <v>0</v>
      </c>
      <c r="V11" s="12"/>
      <c r="W11" s="12"/>
      <c r="X11" s="12"/>
      <c r="Y11" s="12"/>
    </row>
    <row r="12" customFormat="false" ht="202.5" hidden="false" customHeight="true" outlineLevel="0" collapsed="false">
      <c r="A12" s="12" t="s">
        <v>4209</v>
      </c>
      <c r="B12" s="5" t="s">
        <v>4210</v>
      </c>
      <c r="C12" s="12" t="s">
        <v>4209</v>
      </c>
      <c r="D12" s="12" t="s">
        <v>78</v>
      </c>
      <c r="E12" s="5" t="s">
        <v>4213</v>
      </c>
      <c r="F12" s="14"/>
      <c r="G12" s="14"/>
      <c r="H12" s="14" t="s">
        <v>87</v>
      </c>
      <c r="I12" s="14"/>
      <c r="J12" s="14"/>
      <c r="K12" s="14"/>
      <c r="L12" s="15"/>
      <c r="M12" s="12"/>
      <c r="N12" s="5"/>
      <c r="O12" s="12"/>
      <c r="P12" s="5" t="s">
        <v>4211</v>
      </c>
      <c r="Q12" s="12"/>
      <c r="R12" s="12"/>
      <c r="S12" s="5" t="s">
        <v>4212</v>
      </c>
      <c r="T12" s="5"/>
      <c r="U12" s="12" t="n">
        <v>0</v>
      </c>
      <c r="V12" s="12"/>
      <c r="W12" s="12"/>
      <c r="X12" s="12"/>
      <c r="Y12" s="12"/>
    </row>
    <row r="13" customFormat="false" ht="108.75" hidden="false" customHeight="true" outlineLevel="0" collapsed="false">
      <c r="A13" s="10" t="s">
        <v>4214</v>
      </c>
      <c r="B13" s="11" t="s">
        <v>4215</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4216</v>
      </c>
      <c r="Q13" s="12"/>
      <c r="R13" s="12"/>
      <c r="S13" s="5" t="s">
        <v>4217</v>
      </c>
      <c r="T13" s="5"/>
      <c r="U13" s="12" t="n">
        <v>2</v>
      </c>
      <c r="V13" s="12"/>
      <c r="W13" s="12"/>
      <c r="X13" s="12"/>
      <c r="Y13" s="12"/>
    </row>
    <row r="14" customFormat="false" ht="108.75" hidden="false" customHeight="true" outlineLevel="0" collapsed="false">
      <c r="A14" s="12" t="s">
        <v>4214</v>
      </c>
      <c r="B14" s="5" t="s">
        <v>4215</v>
      </c>
      <c r="C14" s="12" t="s">
        <v>4214</v>
      </c>
      <c r="D14" s="12" t="s">
        <v>120</v>
      </c>
      <c r="E14" s="5" t="s">
        <v>4218</v>
      </c>
      <c r="F14" s="14"/>
      <c r="G14" s="14"/>
      <c r="H14" s="14" t="s">
        <v>87</v>
      </c>
      <c r="I14" s="14"/>
      <c r="J14" s="14"/>
      <c r="K14" s="14"/>
      <c r="L14" s="15"/>
      <c r="M14" s="12"/>
      <c r="N14" s="5"/>
      <c r="O14" s="12"/>
      <c r="P14" s="5" t="s">
        <v>4216</v>
      </c>
      <c r="Q14" s="12"/>
      <c r="R14" s="12"/>
      <c r="S14" s="5" t="s">
        <v>4217</v>
      </c>
      <c r="T14" s="5"/>
      <c r="U14" s="12" t="n">
        <v>2</v>
      </c>
      <c r="V14" s="12"/>
      <c r="W14" s="12"/>
      <c r="X14" s="12"/>
      <c r="Y14" s="12"/>
    </row>
    <row r="15" customFormat="false" ht="95.25" hidden="false" customHeight="true" outlineLevel="0" collapsed="false">
      <c r="A15" s="10" t="s">
        <v>4219</v>
      </c>
      <c r="B15" s="11" t="s">
        <v>4220</v>
      </c>
      <c r="C15" s="12"/>
      <c r="D15" s="12" t="s">
        <v>78</v>
      </c>
      <c r="E15" s="5" t="s">
        <v>79</v>
      </c>
      <c r="F15" s="12"/>
      <c r="G15" s="12"/>
      <c r="H15" s="13" t="str">
        <f aca="false">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Bitte Teilanforderungen ausfüllen</v>
      </c>
      <c r="I15" s="12"/>
      <c r="J15" s="12"/>
      <c r="K15" s="12"/>
      <c r="L15" s="12"/>
      <c r="M15" s="12"/>
      <c r="N15" s="5"/>
      <c r="O15" s="12"/>
      <c r="P15" s="5" t="s">
        <v>4221</v>
      </c>
      <c r="Q15" s="12"/>
      <c r="R15" s="12"/>
      <c r="S15" s="5" t="s">
        <v>4222</v>
      </c>
      <c r="T15" s="5"/>
      <c r="U15" s="12" t="n">
        <v>0</v>
      </c>
      <c r="V15" s="12"/>
      <c r="W15" s="12"/>
      <c r="X15" s="12"/>
      <c r="Y15" s="12"/>
    </row>
    <row r="16" customFormat="false" ht="377.25" hidden="false" customHeight="true" outlineLevel="0" collapsed="false">
      <c r="A16" s="12" t="s">
        <v>4219</v>
      </c>
      <c r="B16" s="5" t="s">
        <v>4220</v>
      </c>
      <c r="C16" s="12" t="s">
        <v>4223</v>
      </c>
      <c r="D16" s="12" t="s">
        <v>120</v>
      </c>
      <c r="E16" s="5" t="s">
        <v>4224</v>
      </c>
      <c r="F16" s="14"/>
      <c r="G16" s="14"/>
      <c r="H16" s="14" t="s">
        <v>87</v>
      </c>
      <c r="I16" s="14"/>
      <c r="J16" s="14"/>
      <c r="K16" s="14"/>
      <c r="L16" s="15"/>
      <c r="M16" s="12"/>
      <c r="N16" s="5"/>
      <c r="O16" s="12"/>
      <c r="P16" s="5" t="s">
        <v>4225</v>
      </c>
      <c r="Q16" s="12"/>
      <c r="R16" s="12"/>
      <c r="S16" s="5" t="s">
        <v>4226</v>
      </c>
      <c r="T16" s="5"/>
      <c r="U16" s="12" t="n">
        <v>3</v>
      </c>
      <c r="V16" s="12"/>
      <c r="W16" s="12"/>
      <c r="X16" s="12"/>
      <c r="Y16" s="12"/>
    </row>
    <row r="17" customFormat="false" ht="162" hidden="false" customHeight="true" outlineLevel="0" collapsed="false">
      <c r="A17" s="12" t="s">
        <v>4219</v>
      </c>
      <c r="B17" s="5" t="s">
        <v>4220</v>
      </c>
      <c r="C17" s="12" t="s">
        <v>4227</v>
      </c>
      <c r="D17" s="12" t="s">
        <v>78</v>
      </c>
      <c r="E17" s="5" t="s">
        <v>4228</v>
      </c>
      <c r="F17" s="14"/>
      <c r="G17" s="14"/>
      <c r="H17" s="14" t="s">
        <v>87</v>
      </c>
      <c r="I17" s="14"/>
      <c r="J17" s="14"/>
      <c r="K17" s="14"/>
      <c r="L17" s="15"/>
      <c r="M17" s="12"/>
      <c r="N17" s="5"/>
      <c r="O17" s="12"/>
      <c r="P17" s="5" t="s">
        <v>4229</v>
      </c>
      <c r="Q17" s="12"/>
      <c r="R17" s="12"/>
      <c r="S17" s="5" t="s">
        <v>4230</v>
      </c>
      <c r="T17" s="5"/>
      <c r="U17" s="12" t="n">
        <v>0</v>
      </c>
      <c r="V17" s="12"/>
      <c r="W17" s="12"/>
      <c r="X17" s="12"/>
      <c r="Y17" s="12"/>
    </row>
    <row r="18" customFormat="false" ht="81.75" hidden="false" customHeight="true" outlineLevel="0" collapsed="false">
      <c r="A18" s="12" t="s">
        <v>4219</v>
      </c>
      <c r="B18" s="5" t="s">
        <v>4220</v>
      </c>
      <c r="C18" s="12" t="s">
        <v>4231</v>
      </c>
      <c r="D18" s="12" t="s">
        <v>78</v>
      </c>
      <c r="E18" s="5" t="s">
        <v>4232</v>
      </c>
      <c r="F18" s="14"/>
      <c r="G18" s="14"/>
      <c r="H18" s="14" t="s">
        <v>87</v>
      </c>
      <c r="I18" s="14"/>
      <c r="J18" s="14"/>
      <c r="K18" s="14"/>
      <c r="L18" s="15"/>
      <c r="M18" s="12"/>
      <c r="N18" s="5"/>
      <c r="O18" s="12"/>
      <c r="P18" s="5" t="s">
        <v>4233</v>
      </c>
      <c r="Q18" s="12"/>
      <c r="R18" s="12"/>
      <c r="S18" s="5" t="s">
        <v>4234</v>
      </c>
      <c r="T18" s="5"/>
      <c r="U18" s="12" t="n">
        <v>0</v>
      </c>
      <c r="V18" s="12"/>
      <c r="W18" s="12"/>
      <c r="X18" s="12"/>
      <c r="Y18" s="12"/>
    </row>
    <row r="19" customFormat="false" ht="95.25" hidden="false" customHeight="true" outlineLevel="0" collapsed="false">
      <c r="A19" s="12" t="s">
        <v>4219</v>
      </c>
      <c r="B19" s="5" t="s">
        <v>4220</v>
      </c>
      <c r="C19" s="12" t="s">
        <v>4235</v>
      </c>
      <c r="D19" s="12" t="s">
        <v>78</v>
      </c>
      <c r="E19" s="5" t="s">
        <v>4236</v>
      </c>
      <c r="F19" s="14"/>
      <c r="G19" s="14"/>
      <c r="H19" s="14" t="s">
        <v>87</v>
      </c>
      <c r="I19" s="14"/>
      <c r="J19" s="14"/>
      <c r="K19" s="14"/>
      <c r="L19" s="15"/>
      <c r="M19" s="12"/>
      <c r="N19" s="5"/>
      <c r="O19" s="12"/>
      <c r="P19" s="5" t="s">
        <v>4237</v>
      </c>
      <c r="Q19" s="12"/>
      <c r="R19" s="12"/>
      <c r="S19" s="5" t="s">
        <v>4238</v>
      </c>
      <c r="T19" s="5"/>
      <c r="U19" s="12" t="n">
        <v>0</v>
      </c>
      <c r="V19" s="12"/>
      <c r="W19" s="12"/>
      <c r="X19" s="12"/>
      <c r="Y19" s="12"/>
    </row>
    <row r="20" customFormat="false" ht="122.25" hidden="false" customHeight="true" outlineLevel="0" collapsed="false">
      <c r="A20" s="10" t="s">
        <v>4239</v>
      </c>
      <c r="B20" s="11" t="s">
        <v>4240</v>
      </c>
      <c r="C20" s="12"/>
      <c r="D20" s="12" t="s">
        <v>78</v>
      </c>
      <c r="E20" s="5" t="s">
        <v>79</v>
      </c>
      <c r="F20" s="12"/>
      <c r="G20" s="12"/>
      <c r="H20" s="13" t="str">
        <f aca="false">IF(OR(COUNTBLANK($H$21:$H$22)&gt;0,COUNTIF($H$21:$H$22,"unbearbeitet")=COUNTA($H$21:$H$22)),"Bitte Teilanforderungen ausfüllen",IF(COUNTIF($H$21:$H$22,"zu klären")&gt;0,"zu klären",IF(COUNTIF($H$21:$H$22,"entbehrlich")=COUNTA($H$21:$H$22),"entbehrlich",IF(COUNTIF($H$21:$H$22,"verwiesen")=COUNTA($H$21:$H$22),"verwiesen",IF(COUNTIF($H$21:$H$22,"nein")+COUNTIF($H$21:$H$22,"entbehrlich")=COUNTA($H$21:$H$22),"nein",IF(COUNTIF($H$21:$H$22,"ja")+COUNTIF($H$21:$H$22,"entbehrlich")+COUNTIF($H$21:$H$22,"verwiesen")=COUNTA($H$21:$H$22),"ja","teilweise"))))))</f>
        <v>Bitte Teilanforderungen ausfüllen</v>
      </c>
      <c r="I20" s="12"/>
      <c r="J20" s="12"/>
      <c r="K20" s="12"/>
      <c r="L20" s="12"/>
      <c r="M20" s="12"/>
      <c r="N20" s="5"/>
      <c r="O20" s="12"/>
      <c r="P20" s="5" t="s">
        <v>4241</v>
      </c>
      <c r="Q20" s="12"/>
      <c r="R20" s="12" t="s">
        <v>4242</v>
      </c>
      <c r="S20" s="5" t="s">
        <v>4243</v>
      </c>
      <c r="T20" s="5"/>
      <c r="U20" s="12" t="n">
        <v>0</v>
      </c>
      <c r="V20" s="12"/>
      <c r="W20" s="12"/>
      <c r="X20" s="12"/>
      <c r="Y20" s="12"/>
    </row>
    <row r="21" customFormat="false" ht="41.25" hidden="false" customHeight="true" outlineLevel="0" collapsed="false">
      <c r="A21" s="12" t="s">
        <v>4239</v>
      </c>
      <c r="B21" s="5" t="s">
        <v>4240</v>
      </c>
      <c r="C21" s="12" t="s">
        <v>4244</v>
      </c>
      <c r="D21" s="12" t="s">
        <v>120</v>
      </c>
      <c r="E21" s="5" t="s">
        <v>4245</v>
      </c>
      <c r="F21" s="14"/>
      <c r="G21" s="14"/>
      <c r="H21" s="14" t="s">
        <v>87</v>
      </c>
      <c r="I21" s="14"/>
      <c r="J21" s="14"/>
      <c r="K21" s="14"/>
      <c r="L21" s="15"/>
      <c r="M21" s="12"/>
      <c r="N21" s="5"/>
      <c r="O21" s="12"/>
      <c r="P21" s="5" t="s">
        <v>4246</v>
      </c>
      <c r="Q21" s="12"/>
      <c r="R21" s="12" t="s">
        <v>4242</v>
      </c>
      <c r="S21" s="5" t="s">
        <v>4247</v>
      </c>
      <c r="T21" s="5"/>
      <c r="U21" s="12" t="n">
        <v>3</v>
      </c>
      <c r="V21" s="12"/>
      <c r="W21" s="12"/>
      <c r="X21" s="12"/>
      <c r="Y21" s="12"/>
    </row>
    <row r="22" customFormat="false" ht="122.25" hidden="false" customHeight="true" outlineLevel="0" collapsed="false">
      <c r="A22" s="12" t="s">
        <v>4239</v>
      </c>
      <c r="B22" s="5" t="s">
        <v>4240</v>
      </c>
      <c r="C22" s="12" t="s">
        <v>4248</v>
      </c>
      <c r="D22" s="12" t="s">
        <v>78</v>
      </c>
      <c r="E22" s="5" t="s">
        <v>4249</v>
      </c>
      <c r="F22" s="14"/>
      <c r="G22" s="14"/>
      <c r="H22" s="14" t="s">
        <v>87</v>
      </c>
      <c r="I22" s="14"/>
      <c r="J22" s="14"/>
      <c r="K22" s="14"/>
      <c r="L22" s="15"/>
      <c r="M22" s="12"/>
      <c r="N22" s="5"/>
      <c r="O22" s="12"/>
      <c r="P22" s="5" t="s">
        <v>4250</v>
      </c>
      <c r="Q22" s="12"/>
      <c r="R22" s="12" t="s">
        <v>4242</v>
      </c>
      <c r="S22" s="5" t="s">
        <v>4251</v>
      </c>
      <c r="T22" s="5"/>
      <c r="U22" s="12" t="n">
        <v>0</v>
      </c>
      <c r="V22" s="12"/>
      <c r="W22" s="12"/>
      <c r="X22" s="12"/>
      <c r="Y22" s="12"/>
    </row>
    <row r="23" customFormat="false" ht="122.25" hidden="false" customHeight="true" outlineLevel="0" collapsed="false">
      <c r="A23" s="10" t="s">
        <v>4252</v>
      </c>
      <c r="B23" s="11" t="s">
        <v>4253</v>
      </c>
      <c r="C23" s="12"/>
      <c r="D23" s="12" t="s">
        <v>78</v>
      </c>
      <c r="E23" s="5" t="s">
        <v>79</v>
      </c>
      <c r="F23" s="12"/>
      <c r="G23" s="12"/>
      <c r="H23" s="13" t="str">
        <f aca="false">IF(OR(COUNTBLANK($H$24:$H$32)&gt;0,COUNTIF($H$24:$H$32,"unbearbeitet")=COUNTA($H$24:$H$32)),"Bitte Teilanforderungen ausfüllen",IF(COUNTIF($H$24:$H$32,"zu klären")&gt;0,"zu klären",IF(COUNTIF($H$24:$H$32,"entbehrlich")=COUNTA($H$24:$H$32),"entbehrlich",IF(COUNTIF($H$24:$H$32,"verwiesen")=COUNTA($H$24:$H$32),"verwiesen",IF(COUNTIF($H$24:$H$32,"nein")+COUNTIF($H$24:$H$32,"entbehrlich")=COUNTA($H$24:$H$32),"nein",IF(COUNTIF($H$24:$H$32,"ja")+COUNTIF($H$24:$H$32,"entbehrlich")+COUNTIF($H$24:$H$32,"verwiesen")=COUNTA($H$24:$H$32),"ja","teilweise"))))))</f>
        <v>Bitte Teilanforderungen ausfüllen</v>
      </c>
      <c r="I23" s="12"/>
      <c r="J23" s="12"/>
      <c r="K23" s="12"/>
      <c r="L23" s="12"/>
      <c r="M23" s="12"/>
      <c r="N23" s="5"/>
      <c r="O23" s="12"/>
      <c r="P23" s="5" t="s">
        <v>4254</v>
      </c>
      <c r="Q23" s="12"/>
      <c r="R23" s="12" t="s">
        <v>2698</v>
      </c>
      <c r="S23" s="5" t="s">
        <v>4255</v>
      </c>
      <c r="T23" s="5"/>
      <c r="U23" s="12" t="n">
        <v>0</v>
      </c>
      <c r="V23" s="12"/>
      <c r="W23" s="12"/>
      <c r="X23" s="12"/>
      <c r="Y23" s="12"/>
    </row>
    <row r="24" customFormat="false" ht="95.25" hidden="false" customHeight="true" outlineLevel="0" collapsed="false">
      <c r="A24" s="12" t="s">
        <v>4252</v>
      </c>
      <c r="B24" s="5" t="s">
        <v>4253</v>
      </c>
      <c r="C24" s="12" t="s">
        <v>4256</v>
      </c>
      <c r="D24" s="12" t="s">
        <v>120</v>
      </c>
      <c r="E24" s="5" t="s">
        <v>4257</v>
      </c>
      <c r="F24" s="14"/>
      <c r="G24" s="14"/>
      <c r="H24" s="14" t="s">
        <v>87</v>
      </c>
      <c r="I24" s="14"/>
      <c r="J24" s="14"/>
      <c r="K24" s="14"/>
      <c r="L24" s="15"/>
      <c r="M24" s="12"/>
      <c r="N24" s="5"/>
      <c r="O24" s="12"/>
      <c r="P24" s="5" t="s">
        <v>4258</v>
      </c>
      <c r="Q24" s="12"/>
      <c r="R24" s="12" t="s">
        <v>2698</v>
      </c>
      <c r="S24" s="5" t="s">
        <v>4259</v>
      </c>
      <c r="T24" s="5"/>
      <c r="U24" s="12" t="n">
        <v>1</v>
      </c>
      <c r="V24" s="12"/>
      <c r="W24" s="12"/>
      <c r="X24" s="12"/>
      <c r="Y24" s="12"/>
    </row>
    <row r="25" customFormat="false" ht="108.75" hidden="false" customHeight="true" outlineLevel="0" collapsed="false">
      <c r="A25" s="12" t="s">
        <v>4252</v>
      </c>
      <c r="B25" s="5" t="s">
        <v>4253</v>
      </c>
      <c r="C25" s="12" t="s">
        <v>4260</v>
      </c>
      <c r="D25" s="12" t="s">
        <v>120</v>
      </c>
      <c r="E25" s="5" t="s">
        <v>4261</v>
      </c>
      <c r="F25" s="14"/>
      <c r="G25" s="14"/>
      <c r="H25" s="14" t="s">
        <v>87</v>
      </c>
      <c r="I25" s="14"/>
      <c r="J25" s="14"/>
      <c r="K25" s="14"/>
      <c r="L25" s="15"/>
      <c r="M25" s="12"/>
      <c r="N25" s="5"/>
      <c r="O25" s="12"/>
      <c r="P25" s="5" t="s">
        <v>4262</v>
      </c>
      <c r="Q25" s="12"/>
      <c r="R25" s="12" t="s">
        <v>2698</v>
      </c>
      <c r="S25" s="5" t="s">
        <v>4263</v>
      </c>
      <c r="T25" s="5"/>
      <c r="U25" s="12" t="n">
        <v>1</v>
      </c>
      <c r="V25" s="12"/>
      <c r="W25" s="12"/>
      <c r="X25" s="12"/>
      <c r="Y25" s="12"/>
    </row>
    <row r="26" customFormat="false" ht="108.75" hidden="false" customHeight="true" outlineLevel="0" collapsed="false">
      <c r="A26" s="12" t="s">
        <v>4252</v>
      </c>
      <c r="B26" s="5" t="s">
        <v>4253</v>
      </c>
      <c r="C26" s="12" t="s">
        <v>4264</v>
      </c>
      <c r="D26" s="12" t="s">
        <v>120</v>
      </c>
      <c r="E26" s="5" t="s">
        <v>4265</v>
      </c>
      <c r="F26" s="14"/>
      <c r="G26" s="14"/>
      <c r="H26" s="14" t="s">
        <v>87</v>
      </c>
      <c r="I26" s="14"/>
      <c r="J26" s="14"/>
      <c r="K26" s="14"/>
      <c r="L26" s="15"/>
      <c r="M26" s="12"/>
      <c r="N26" s="5"/>
      <c r="O26" s="12"/>
      <c r="P26" s="5" t="s">
        <v>4266</v>
      </c>
      <c r="Q26" s="12"/>
      <c r="R26" s="12" t="s">
        <v>2698</v>
      </c>
      <c r="S26" s="5" t="s">
        <v>4267</v>
      </c>
      <c r="T26" s="5"/>
      <c r="U26" s="12" t="n">
        <v>1</v>
      </c>
      <c r="V26" s="12"/>
      <c r="W26" s="12"/>
      <c r="X26" s="12"/>
      <c r="Y26" s="12"/>
    </row>
    <row r="27" customFormat="false" ht="95.25" hidden="false" customHeight="true" outlineLevel="0" collapsed="false">
      <c r="A27" s="12" t="s">
        <v>4252</v>
      </c>
      <c r="B27" s="5" t="s">
        <v>4253</v>
      </c>
      <c r="C27" s="12" t="s">
        <v>4268</v>
      </c>
      <c r="D27" s="12" t="s">
        <v>120</v>
      </c>
      <c r="E27" s="5" t="s">
        <v>4269</v>
      </c>
      <c r="F27" s="14"/>
      <c r="G27" s="14"/>
      <c r="H27" s="14" t="s">
        <v>87</v>
      </c>
      <c r="I27" s="14"/>
      <c r="J27" s="14"/>
      <c r="K27" s="14"/>
      <c r="L27" s="15"/>
      <c r="M27" s="12"/>
      <c r="N27" s="5"/>
      <c r="O27" s="12"/>
      <c r="P27" s="5" t="s">
        <v>4270</v>
      </c>
      <c r="Q27" s="12"/>
      <c r="R27" s="12" t="s">
        <v>2698</v>
      </c>
      <c r="S27" s="5" t="s">
        <v>4271</v>
      </c>
      <c r="T27" s="5"/>
      <c r="U27" s="12" t="n">
        <v>1</v>
      </c>
      <c r="V27" s="12"/>
      <c r="W27" s="12"/>
      <c r="X27" s="12"/>
      <c r="Y27" s="12"/>
    </row>
    <row r="28" customFormat="false" ht="122.25" hidden="false" customHeight="true" outlineLevel="0" collapsed="false">
      <c r="A28" s="12" t="s">
        <v>4252</v>
      </c>
      <c r="B28" s="5" t="s">
        <v>4253</v>
      </c>
      <c r="C28" s="12" t="s">
        <v>4272</v>
      </c>
      <c r="D28" s="12" t="s">
        <v>120</v>
      </c>
      <c r="E28" s="5" t="s">
        <v>4273</v>
      </c>
      <c r="F28" s="14"/>
      <c r="G28" s="14"/>
      <c r="H28" s="14" t="s">
        <v>87</v>
      </c>
      <c r="I28" s="14"/>
      <c r="J28" s="14"/>
      <c r="K28" s="14"/>
      <c r="L28" s="15"/>
      <c r="M28" s="12"/>
      <c r="N28" s="5"/>
      <c r="O28" s="12"/>
      <c r="P28" s="5" t="s">
        <v>4274</v>
      </c>
      <c r="Q28" s="12"/>
      <c r="R28" s="12" t="s">
        <v>2698</v>
      </c>
      <c r="S28" s="5" t="s">
        <v>4275</v>
      </c>
      <c r="T28" s="5"/>
      <c r="U28" s="12" t="n">
        <v>1</v>
      </c>
      <c r="V28" s="12"/>
      <c r="W28" s="12"/>
      <c r="X28" s="12"/>
      <c r="Y28" s="12"/>
    </row>
    <row r="29" customFormat="false" ht="149.25" hidden="false" customHeight="true" outlineLevel="0" collapsed="false">
      <c r="A29" s="12" t="s">
        <v>4252</v>
      </c>
      <c r="B29" s="5" t="s">
        <v>4253</v>
      </c>
      <c r="C29" s="12" t="s">
        <v>4276</v>
      </c>
      <c r="D29" s="12" t="s">
        <v>120</v>
      </c>
      <c r="E29" s="5" t="s">
        <v>4277</v>
      </c>
      <c r="F29" s="14"/>
      <c r="G29" s="14"/>
      <c r="H29" s="14" t="s">
        <v>87</v>
      </c>
      <c r="I29" s="14"/>
      <c r="J29" s="14"/>
      <c r="K29" s="14"/>
      <c r="L29" s="15"/>
      <c r="M29" s="12"/>
      <c r="N29" s="5"/>
      <c r="O29" s="12"/>
      <c r="P29" s="5" t="s">
        <v>4278</v>
      </c>
      <c r="Q29" s="12"/>
      <c r="R29" s="12" t="s">
        <v>2698</v>
      </c>
      <c r="S29" s="5" t="s">
        <v>4279</v>
      </c>
      <c r="T29" s="5"/>
      <c r="U29" s="12" t="n">
        <v>1</v>
      </c>
      <c r="V29" s="12"/>
      <c r="W29" s="12"/>
      <c r="X29" s="12"/>
      <c r="Y29" s="12"/>
    </row>
    <row r="30" customFormat="false" ht="122.25" hidden="false" customHeight="true" outlineLevel="0" collapsed="false">
      <c r="A30" s="12" t="s">
        <v>4252</v>
      </c>
      <c r="B30" s="5" t="s">
        <v>4253</v>
      </c>
      <c r="C30" s="12" t="s">
        <v>4280</v>
      </c>
      <c r="D30" s="12" t="s">
        <v>120</v>
      </c>
      <c r="E30" s="5" t="s">
        <v>4281</v>
      </c>
      <c r="F30" s="14"/>
      <c r="G30" s="14"/>
      <c r="H30" s="14" t="s">
        <v>87</v>
      </c>
      <c r="I30" s="14"/>
      <c r="J30" s="14"/>
      <c r="K30" s="14"/>
      <c r="L30" s="15"/>
      <c r="M30" s="12"/>
      <c r="N30" s="5"/>
      <c r="O30" s="12"/>
      <c r="P30" s="5" t="s">
        <v>4282</v>
      </c>
      <c r="Q30" s="12"/>
      <c r="R30" s="12" t="s">
        <v>2698</v>
      </c>
      <c r="S30" s="5" t="s">
        <v>4283</v>
      </c>
      <c r="T30" s="5"/>
      <c r="U30" s="12" t="n">
        <v>1</v>
      </c>
      <c r="V30" s="12"/>
      <c r="W30" s="12"/>
      <c r="X30" s="12"/>
      <c r="Y30" s="12"/>
    </row>
    <row r="31" customFormat="false" ht="175.5" hidden="false" customHeight="true" outlineLevel="0" collapsed="false">
      <c r="A31" s="12" t="s">
        <v>4252</v>
      </c>
      <c r="B31" s="5" t="s">
        <v>4253</v>
      </c>
      <c r="C31" s="12" t="s">
        <v>4284</v>
      </c>
      <c r="D31" s="12" t="s">
        <v>120</v>
      </c>
      <c r="E31" s="5" t="s">
        <v>4285</v>
      </c>
      <c r="F31" s="14"/>
      <c r="G31" s="14"/>
      <c r="H31" s="14" t="s">
        <v>87</v>
      </c>
      <c r="I31" s="14"/>
      <c r="J31" s="14"/>
      <c r="K31" s="14"/>
      <c r="L31" s="15"/>
      <c r="M31" s="12"/>
      <c r="N31" s="5"/>
      <c r="O31" s="12"/>
      <c r="P31" s="5" t="s">
        <v>4286</v>
      </c>
      <c r="Q31" s="12"/>
      <c r="R31" s="12" t="s">
        <v>2698</v>
      </c>
      <c r="S31" s="5" t="s">
        <v>4287</v>
      </c>
      <c r="T31" s="5"/>
      <c r="U31" s="12" t="n">
        <v>1</v>
      </c>
      <c r="V31" s="12"/>
      <c r="W31" s="12"/>
      <c r="X31" s="12"/>
      <c r="Y31" s="12"/>
    </row>
    <row r="32" customFormat="false" ht="108.75" hidden="false" customHeight="true" outlineLevel="0" collapsed="false">
      <c r="A32" s="12" t="s">
        <v>4252</v>
      </c>
      <c r="B32" s="5" t="s">
        <v>4253</v>
      </c>
      <c r="C32" s="12" t="s">
        <v>4288</v>
      </c>
      <c r="D32" s="12" t="s">
        <v>78</v>
      </c>
      <c r="E32" s="5" t="s">
        <v>4289</v>
      </c>
      <c r="F32" s="14"/>
      <c r="G32" s="14"/>
      <c r="H32" s="14" t="s">
        <v>87</v>
      </c>
      <c r="I32" s="14"/>
      <c r="J32" s="14"/>
      <c r="K32" s="14"/>
      <c r="L32" s="15"/>
      <c r="M32" s="12"/>
      <c r="N32" s="5"/>
      <c r="O32" s="12"/>
      <c r="P32" s="5" t="s">
        <v>4290</v>
      </c>
      <c r="Q32" s="12"/>
      <c r="R32" s="12" t="s">
        <v>2698</v>
      </c>
      <c r="S32" s="5" t="s">
        <v>4291</v>
      </c>
      <c r="T32" s="5"/>
      <c r="U32" s="12" t="n">
        <v>0</v>
      </c>
      <c r="V32" s="12"/>
      <c r="W32" s="12"/>
      <c r="X32" s="12"/>
      <c r="Y32" s="12"/>
    </row>
    <row r="33" customFormat="false" ht="297" hidden="false" customHeight="true" outlineLevel="0" collapsed="false">
      <c r="A33" s="10" t="s">
        <v>4292</v>
      </c>
      <c r="B33" s="11" t="s">
        <v>4293</v>
      </c>
      <c r="C33" s="12"/>
      <c r="D33" s="12" t="s">
        <v>78</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4294</v>
      </c>
      <c r="Q33" s="12"/>
      <c r="R33" s="12"/>
      <c r="S33" s="5" t="s">
        <v>4295</v>
      </c>
      <c r="T33" s="5"/>
      <c r="U33" s="12" t="n">
        <v>0</v>
      </c>
      <c r="V33" s="12"/>
      <c r="W33" s="12"/>
      <c r="X33" s="12"/>
      <c r="Y33" s="12"/>
    </row>
    <row r="34" customFormat="false" ht="297" hidden="false" customHeight="true" outlineLevel="0" collapsed="false">
      <c r="A34" s="12" t="s">
        <v>4292</v>
      </c>
      <c r="B34" s="5" t="s">
        <v>4293</v>
      </c>
      <c r="C34" s="12" t="s">
        <v>4292</v>
      </c>
      <c r="D34" s="12" t="s">
        <v>78</v>
      </c>
      <c r="E34" s="5" t="s">
        <v>4296</v>
      </c>
      <c r="F34" s="14"/>
      <c r="G34" s="14"/>
      <c r="H34" s="14" t="s">
        <v>87</v>
      </c>
      <c r="I34" s="14"/>
      <c r="J34" s="14"/>
      <c r="K34" s="14"/>
      <c r="L34" s="15"/>
      <c r="M34" s="12"/>
      <c r="N34" s="5"/>
      <c r="O34" s="12"/>
      <c r="P34" s="5" t="s">
        <v>4294</v>
      </c>
      <c r="Q34" s="12"/>
      <c r="R34" s="12"/>
      <c r="S34" s="5" t="s">
        <v>4295</v>
      </c>
      <c r="T34" s="5"/>
      <c r="U34" s="12" t="n">
        <v>0</v>
      </c>
      <c r="V34" s="12"/>
      <c r="W34" s="12"/>
      <c r="X34" s="12"/>
      <c r="Y34" s="12"/>
    </row>
    <row r="35" customFormat="false" ht="229.5" hidden="false" customHeight="true" outlineLevel="0" collapsed="false">
      <c r="A35" s="10" t="s">
        <v>4297</v>
      </c>
      <c r="B35" s="11" t="s">
        <v>4298</v>
      </c>
      <c r="C35" s="12"/>
      <c r="D35" s="12" t="s">
        <v>78</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4299</v>
      </c>
      <c r="Q35" s="12"/>
      <c r="R35" s="12"/>
      <c r="S35" s="5" t="s">
        <v>4300</v>
      </c>
      <c r="T35" s="5"/>
      <c r="U35" s="12" t="n">
        <v>0</v>
      </c>
      <c r="V35" s="12"/>
      <c r="W35" s="12"/>
      <c r="X35" s="12"/>
      <c r="Y35" s="12"/>
    </row>
    <row r="36" customFormat="false" ht="229.5" hidden="false" customHeight="true" outlineLevel="0" collapsed="false">
      <c r="A36" s="12" t="s">
        <v>4297</v>
      </c>
      <c r="B36" s="5" t="s">
        <v>4298</v>
      </c>
      <c r="C36" s="12" t="s">
        <v>4297</v>
      </c>
      <c r="D36" s="12" t="s">
        <v>78</v>
      </c>
      <c r="E36" s="5" t="s">
        <v>4301</v>
      </c>
      <c r="F36" s="14"/>
      <c r="G36" s="14"/>
      <c r="H36" s="14" t="s">
        <v>87</v>
      </c>
      <c r="I36" s="14"/>
      <c r="J36" s="14"/>
      <c r="K36" s="14"/>
      <c r="L36" s="15"/>
      <c r="M36" s="12"/>
      <c r="N36" s="5"/>
      <c r="O36" s="12"/>
      <c r="P36" s="5" t="s">
        <v>4299</v>
      </c>
      <c r="Q36" s="12"/>
      <c r="R36" s="12"/>
      <c r="S36" s="5" t="s">
        <v>4300</v>
      </c>
      <c r="T36" s="5"/>
      <c r="U36" s="12" t="n">
        <v>0</v>
      </c>
      <c r="V36" s="12"/>
      <c r="W36" s="12"/>
      <c r="X36" s="12"/>
      <c r="Y36" s="12"/>
    </row>
  </sheetData>
  <autoFilter ref="A6:Y6"/>
  <conditionalFormatting sqref="H7:H3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H19 H21:H22 H24:H32 H34 H3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602</v>
      </c>
      <c r="B3" s="7" t="s">
        <v>603</v>
      </c>
    </row>
    <row r="4" customFormat="false" ht="15" hidden="false" customHeight="true" outlineLevel="0" collapsed="false">
      <c r="A4" s="4" t="s">
        <v>50</v>
      </c>
      <c r="B4" s="8" t="str">
        <f aca="false">IF(Praktiken!D17="","",Praktiken!D17)</f>
        <v/>
      </c>
    </row>
    <row r="5" customFormat="false" ht="15" hidden="false" customHeight="true" outlineLevel="0" collapsed="false">
      <c r="A5" s="4" t="s">
        <v>51</v>
      </c>
      <c r="B5" s="8" t="str">
        <f aca="false">IF(Praktiken!S17="","",Praktiken!S17)</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81.75" hidden="false" customHeight="true" outlineLevel="0" collapsed="false">
      <c r="A7" s="10" t="s">
        <v>4302</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4303</v>
      </c>
      <c r="O7" s="12" t="s">
        <v>524</v>
      </c>
      <c r="P7" s="5" t="s">
        <v>4304</v>
      </c>
      <c r="Q7" s="12"/>
      <c r="R7" s="12" t="s">
        <v>4305</v>
      </c>
      <c r="S7" s="5" t="s">
        <v>4306</v>
      </c>
      <c r="T7" s="5" t="s">
        <v>306</v>
      </c>
      <c r="U7" s="12" t="n">
        <v>0</v>
      </c>
      <c r="V7" s="12" t="n">
        <v>1</v>
      </c>
      <c r="W7" s="12" t="n">
        <v>1</v>
      </c>
      <c r="X7" s="12" t="n">
        <v>1</v>
      </c>
      <c r="Y7" s="12" t="n">
        <v>0</v>
      </c>
    </row>
    <row r="8" customFormat="false" ht="216" hidden="false" customHeight="true" outlineLevel="0" collapsed="false">
      <c r="A8" s="12" t="s">
        <v>4302</v>
      </c>
      <c r="B8" s="5" t="s">
        <v>77</v>
      </c>
      <c r="C8" s="12" t="s">
        <v>4307</v>
      </c>
      <c r="D8" s="12" t="s">
        <v>78</v>
      </c>
      <c r="E8" s="5" t="s">
        <v>4308</v>
      </c>
      <c r="F8" s="14"/>
      <c r="G8" s="14"/>
      <c r="H8" s="14" t="s">
        <v>87</v>
      </c>
      <c r="I8" s="14"/>
      <c r="J8" s="14"/>
      <c r="K8" s="14"/>
      <c r="L8" s="15"/>
      <c r="M8" s="12"/>
      <c r="N8" s="5"/>
      <c r="O8" s="12"/>
      <c r="P8" s="5" t="s">
        <v>624</v>
      </c>
      <c r="Q8" s="12"/>
      <c r="R8" s="12" t="s">
        <v>92</v>
      </c>
      <c r="S8" s="5" t="s">
        <v>93</v>
      </c>
      <c r="T8" s="5" t="s">
        <v>625</v>
      </c>
      <c r="U8" s="12" t="n">
        <v>0</v>
      </c>
      <c r="V8" s="12" t="n">
        <v>1</v>
      </c>
      <c r="W8" s="12" t="n">
        <v>1</v>
      </c>
      <c r="X8" s="12" t="n">
        <v>1</v>
      </c>
      <c r="Y8" s="12" t="n">
        <v>1</v>
      </c>
    </row>
    <row r="9" customFormat="false" ht="336.75" hidden="false" customHeight="true" outlineLevel="0" collapsed="false">
      <c r="A9" s="12" t="s">
        <v>4302</v>
      </c>
      <c r="B9" s="5" t="s">
        <v>77</v>
      </c>
      <c r="C9" s="12" t="s">
        <v>4309</v>
      </c>
      <c r="D9" s="12" t="s">
        <v>78</v>
      </c>
      <c r="E9" s="5" t="s">
        <v>4310</v>
      </c>
      <c r="F9" s="14"/>
      <c r="G9" s="14"/>
      <c r="H9" s="14" t="s">
        <v>87</v>
      </c>
      <c r="I9" s="14"/>
      <c r="J9" s="14"/>
      <c r="K9" s="14"/>
      <c r="L9" s="15"/>
      <c r="M9" s="12"/>
      <c r="N9" s="5"/>
      <c r="O9" s="12"/>
      <c r="P9" s="5" t="s">
        <v>628</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4302</v>
      </c>
      <c r="B10" s="5" t="s">
        <v>77</v>
      </c>
      <c r="C10" s="12" t="s">
        <v>4311</v>
      </c>
      <c r="D10" s="12" t="s">
        <v>78</v>
      </c>
      <c r="E10" s="5" t="s">
        <v>4312</v>
      </c>
      <c r="F10" s="14"/>
      <c r="G10" s="14"/>
      <c r="H10" s="14" t="s">
        <v>87</v>
      </c>
      <c r="I10" s="14"/>
      <c r="J10" s="14"/>
      <c r="K10" s="14"/>
      <c r="L10" s="15"/>
      <c r="M10" s="12" t="s">
        <v>73</v>
      </c>
      <c r="N10" s="5" t="s">
        <v>4313</v>
      </c>
      <c r="O10" s="12" t="s">
        <v>524</v>
      </c>
      <c r="P10" s="5" t="s">
        <v>631</v>
      </c>
      <c r="Q10" s="12"/>
      <c r="R10" s="12" t="s">
        <v>92</v>
      </c>
      <c r="S10" s="5" t="s">
        <v>108</v>
      </c>
      <c r="T10" s="5" t="s">
        <v>102</v>
      </c>
      <c r="U10" s="12" t="n">
        <v>0</v>
      </c>
      <c r="V10" s="12" t="n">
        <v>1</v>
      </c>
      <c r="W10" s="12" t="n">
        <v>2</v>
      </c>
      <c r="X10" s="12" t="n">
        <v>1</v>
      </c>
      <c r="Y10" s="12" t="n">
        <v>0</v>
      </c>
    </row>
    <row r="11" customFormat="false" ht="189" hidden="false" customHeight="true" outlineLevel="0" collapsed="false">
      <c r="A11" s="10" t="s">
        <v>4314</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2855</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4314</v>
      </c>
      <c r="B12" s="5" t="s">
        <v>111</v>
      </c>
      <c r="C12" s="12" t="s">
        <v>4314</v>
      </c>
      <c r="D12" s="12" t="s">
        <v>78</v>
      </c>
      <c r="E12" s="5" t="s">
        <v>4315</v>
      </c>
      <c r="F12" s="14"/>
      <c r="G12" s="14"/>
      <c r="H12" s="14" t="s">
        <v>87</v>
      </c>
      <c r="I12" s="14"/>
      <c r="J12" s="14"/>
      <c r="K12" s="14"/>
      <c r="L12" s="15"/>
      <c r="M12" s="12"/>
      <c r="N12" s="5"/>
      <c r="O12" s="12"/>
      <c r="P12" s="5" t="s">
        <v>2855</v>
      </c>
      <c r="Q12" s="12"/>
      <c r="R12" s="12" t="s">
        <v>115</v>
      </c>
      <c r="S12" s="5" t="s">
        <v>93</v>
      </c>
      <c r="T12" s="5" t="s">
        <v>306</v>
      </c>
      <c r="U12" s="12" t="n">
        <v>0</v>
      </c>
      <c r="V12" s="12" t="n">
        <v>1</v>
      </c>
      <c r="W12" s="12" t="n">
        <v>1</v>
      </c>
      <c r="X12" s="12" t="n">
        <v>1</v>
      </c>
      <c r="Y12" s="12" t="n">
        <v>0</v>
      </c>
    </row>
    <row r="13" customFormat="false" ht="81.75" hidden="false" customHeight="true" outlineLevel="0" collapsed="false">
      <c r="A13" s="10" t="s">
        <v>4316</v>
      </c>
      <c r="B13" s="11" t="s">
        <v>4317</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4318</v>
      </c>
      <c r="Q13" s="12"/>
      <c r="R13" s="12" t="s">
        <v>100</v>
      </c>
      <c r="S13" s="5" t="s">
        <v>4319</v>
      </c>
      <c r="T13" s="5" t="s">
        <v>4320</v>
      </c>
      <c r="U13" s="12" t="n">
        <v>2</v>
      </c>
      <c r="V13" s="12" t="n">
        <v>1</v>
      </c>
      <c r="W13" s="12" t="n">
        <v>1</v>
      </c>
      <c r="X13" s="12" t="n">
        <v>1</v>
      </c>
      <c r="Y13" s="12" t="n">
        <v>0</v>
      </c>
    </row>
    <row r="14" customFormat="false" ht="81.75" hidden="false" customHeight="true" outlineLevel="0" collapsed="false">
      <c r="A14" s="12" t="s">
        <v>4316</v>
      </c>
      <c r="B14" s="5" t="s">
        <v>4317</v>
      </c>
      <c r="C14" s="12" t="s">
        <v>4316</v>
      </c>
      <c r="D14" s="12" t="s">
        <v>120</v>
      </c>
      <c r="E14" s="5" t="s">
        <v>4321</v>
      </c>
      <c r="F14" s="14"/>
      <c r="G14" s="14"/>
      <c r="H14" s="14" t="s">
        <v>87</v>
      </c>
      <c r="I14" s="14"/>
      <c r="J14" s="14"/>
      <c r="K14" s="14"/>
      <c r="L14" s="15"/>
      <c r="M14" s="12"/>
      <c r="N14" s="5"/>
      <c r="O14" s="12"/>
      <c r="P14" s="5" t="s">
        <v>4318</v>
      </c>
      <c r="Q14" s="12"/>
      <c r="R14" s="12" t="s">
        <v>100</v>
      </c>
      <c r="S14" s="5" t="s">
        <v>4319</v>
      </c>
      <c r="T14" s="5" t="s">
        <v>4320</v>
      </c>
      <c r="U14" s="12" t="n">
        <v>2</v>
      </c>
      <c r="V14" s="12" t="n">
        <v>1</v>
      </c>
      <c r="W14" s="12" t="n">
        <v>1</v>
      </c>
      <c r="X14" s="12" t="n">
        <v>1</v>
      </c>
      <c r="Y14" s="12" t="n">
        <v>0</v>
      </c>
    </row>
    <row r="15" customFormat="false" ht="54.75" hidden="false" customHeight="true" outlineLevel="0" collapsed="false">
      <c r="A15" s="10" t="s">
        <v>4322</v>
      </c>
      <c r="B15" s="11" t="s">
        <v>4323</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4324</v>
      </c>
      <c r="Q15" s="12"/>
      <c r="R15" s="12" t="s">
        <v>100</v>
      </c>
      <c r="S15" s="5" t="s">
        <v>4325</v>
      </c>
      <c r="T15" s="5" t="s">
        <v>4320</v>
      </c>
      <c r="U15" s="12" t="n">
        <v>2</v>
      </c>
      <c r="V15" s="12" t="n">
        <v>1</v>
      </c>
      <c r="W15" s="12" t="n">
        <v>1</v>
      </c>
      <c r="X15" s="12" t="n">
        <v>1</v>
      </c>
      <c r="Y15" s="12" t="n">
        <v>0</v>
      </c>
    </row>
    <row r="16" customFormat="false" ht="54.75" hidden="false" customHeight="true" outlineLevel="0" collapsed="false">
      <c r="A16" s="12" t="s">
        <v>4322</v>
      </c>
      <c r="B16" s="5" t="s">
        <v>4323</v>
      </c>
      <c r="C16" s="12" t="s">
        <v>4322</v>
      </c>
      <c r="D16" s="12" t="s">
        <v>120</v>
      </c>
      <c r="E16" s="5" t="s">
        <v>4326</v>
      </c>
      <c r="F16" s="14"/>
      <c r="G16" s="14"/>
      <c r="H16" s="14" t="s">
        <v>87</v>
      </c>
      <c r="I16" s="14"/>
      <c r="J16" s="14"/>
      <c r="K16" s="14"/>
      <c r="L16" s="15"/>
      <c r="M16" s="12"/>
      <c r="N16" s="5"/>
      <c r="O16" s="12"/>
      <c r="P16" s="5" t="s">
        <v>4324</v>
      </c>
      <c r="Q16" s="12"/>
      <c r="R16" s="12" t="s">
        <v>100</v>
      </c>
      <c r="S16" s="5" t="s">
        <v>4325</v>
      </c>
      <c r="T16" s="5" t="s">
        <v>4320</v>
      </c>
      <c r="U16" s="12" t="n">
        <v>2</v>
      </c>
      <c r="V16" s="12" t="n">
        <v>1</v>
      </c>
      <c r="W16" s="12" t="n">
        <v>1</v>
      </c>
      <c r="X16" s="12" t="n">
        <v>1</v>
      </c>
      <c r="Y16" s="12" t="n">
        <v>0</v>
      </c>
    </row>
    <row r="17" customFormat="false" ht="135.75" hidden="false" customHeight="true" outlineLevel="0" collapsed="false">
      <c r="A17" s="10" t="s">
        <v>4327</v>
      </c>
      <c r="B17" s="11" t="s">
        <v>4328</v>
      </c>
      <c r="C17" s="12"/>
      <c r="D17" s="12" t="s">
        <v>120</v>
      </c>
      <c r="E17" s="5" t="s">
        <v>79</v>
      </c>
      <c r="F17" s="12"/>
      <c r="G17" s="12"/>
      <c r="H17" s="13" t="str">
        <f aca="false">IF(OR(COUNTBLANK($H$18:$H$22)&gt;0,COUNTIF($H$18:$H$22,"unbearbeitet")=COUNTA($H$18:$H$22)),"Bitte Teilanforderungen ausfüllen",IF(COUNTIF($H$18:$H$22,"zu klären")&gt;0,"zu klären",IF(COUNTIF($H$18:$H$22,"entbehrlich")=COUNTA($H$18:$H$22),"entbehrlich",IF(COUNTIF($H$18:$H$22,"verwiesen")=COUNTA($H$18:$H$22),"verwiesen",IF(COUNTIF($H$18:$H$22,"nein")+COUNTIF($H$18:$H$22,"entbehrlich")=COUNTA($H$18:$H$22),"nein",IF(COUNTIF($H$18:$H$22,"ja")+COUNTIF($H$18:$H$22,"entbehrlich")+COUNTIF($H$18:$H$22,"verwiesen")=COUNTA($H$18:$H$22),"ja","teilweise"))))))</f>
        <v>Bitte Teilanforderungen ausfüllen</v>
      </c>
      <c r="I17" s="12"/>
      <c r="J17" s="12"/>
      <c r="K17" s="12"/>
      <c r="L17" s="12"/>
      <c r="M17" s="12" t="s">
        <v>72</v>
      </c>
      <c r="N17" s="5"/>
      <c r="O17" s="12"/>
      <c r="P17" s="5" t="s">
        <v>4329</v>
      </c>
      <c r="Q17" s="12"/>
      <c r="R17" s="12" t="s">
        <v>100</v>
      </c>
      <c r="S17" s="5" t="s">
        <v>4330</v>
      </c>
      <c r="T17" s="5" t="s">
        <v>4320</v>
      </c>
      <c r="U17" s="12" t="n">
        <v>3</v>
      </c>
      <c r="V17" s="12" t="n">
        <v>2</v>
      </c>
      <c r="W17" s="12" t="n">
        <v>1</v>
      </c>
      <c r="X17" s="12" t="n">
        <v>1</v>
      </c>
      <c r="Y17" s="12" t="n">
        <v>0</v>
      </c>
    </row>
    <row r="18" customFormat="false" ht="135.75" hidden="false" customHeight="true" outlineLevel="0" collapsed="false">
      <c r="A18" s="12" t="s">
        <v>4327</v>
      </c>
      <c r="B18" s="5" t="s">
        <v>4328</v>
      </c>
      <c r="C18" s="12" t="s">
        <v>4327</v>
      </c>
      <c r="D18" s="12" t="s">
        <v>120</v>
      </c>
      <c r="E18" s="5" t="s">
        <v>4331</v>
      </c>
      <c r="F18" s="14"/>
      <c r="G18" s="14"/>
      <c r="H18" s="14" t="s">
        <v>87</v>
      </c>
      <c r="I18" s="14"/>
      <c r="J18" s="14"/>
      <c r="K18" s="14"/>
      <c r="L18" s="15"/>
      <c r="M18" s="12" t="s">
        <v>72</v>
      </c>
      <c r="N18" s="5"/>
      <c r="O18" s="12"/>
      <c r="P18" s="5" t="s">
        <v>4329</v>
      </c>
      <c r="Q18" s="12"/>
      <c r="R18" s="12" t="s">
        <v>100</v>
      </c>
      <c r="S18" s="5" t="s">
        <v>4330</v>
      </c>
      <c r="T18" s="5" t="s">
        <v>4320</v>
      </c>
      <c r="U18" s="12" t="n">
        <v>3</v>
      </c>
      <c r="V18" s="12" t="n">
        <v>2</v>
      </c>
      <c r="W18" s="12" t="n">
        <v>1</v>
      </c>
      <c r="X18" s="12" t="n">
        <v>1</v>
      </c>
      <c r="Y18" s="12" t="n">
        <v>0</v>
      </c>
    </row>
    <row r="19" customFormat="false" ht="81.75" hidden="false" customHeight="true" outlineLevel="0" collapsed="false">
      <c r="A19" s="12" t="s">
        <v>4327</v>
      </c>
      <c r="B19" s="5" t="s">
        <v>4328</v>
      </c>
      <c r="C19" s="12" t="s">
        <v>4332</v>
      </c>
      <c r="D19" s="12" t="s">
        <v>120</v>
      </c>
      <c r="E19" s="5" t="s">
        <v>4333</v>
      </c>
      <c r="F19" s="14"/>
      <c r="G19" s="14"/>
      <c r="H19" s="14" t="s">
        <v>87</v>
      </c>
      <c r="I19" s="14"/>
      <c r="J19" s="14"/>
      <c r="K19" s="14"/>
      <c r="L19" s="15"/>
      <c r="M19" s="12" t="s">
        <v>73</v>
      </c>
      <c r="N19" s="5"/>
      <c r="O19" s="12"/>
      <c r="P19" s="5" t="s">
        <v>4334</v>
      </c>
      <c r="Q19" s="12"/>
      <c r="R19" s="12" t="s">
        <v>100</v>
      </c>
      <c r="S19" s="5" t="s">
        <v>4335</v>
      </c>
      <c r="T19" s="5" t="s">
        <v>4320</v>
      </c>
      <c r="U19" s="12" t="n">
        <v>4</v>
      </c>
      <c r="V19" s="12" t="n">
        <v>1</v>
      </c>
      <c r="W19" s="12" t="n">
        <v>2</v>
      </c>
      <c r="X19" s="12" t="n">
        <v>1</v>
      </c>
      <c r="Y19" s="12" t="n">
        <v>0</v>
      </c>
    </row>
    <row r="20" customFormat="false" ht="270" hidden="false" customHeight="true" outlineLevel="0" collapsed="false">
      <c r="A20" s="12" t="s">
        <v>4327</v>
      </c>
      <c r="B20" s="5" t="s">
        <v>4328</v>
      </c>
      <c r="C20" s="12" t="s">
        <v>4336</v>
      </c>
      <c r="D20" s="12" t="s">
        <v>120</v>
      </c>
      <c r="E20" s="5" t="s">
        <v>4337</v>
      </c>
      <c r="F20" s="14"/>
      <c r="G20" s="14"/>
      <c r="H20" s="14" t="s">
        <v>87</v>
      </c>
      <c r="I20" s="14"/>
      <c r="J20" s="14"/>
      <c r="K20" s="14"/>
      <c r="L20" s="15"/>
      <c r="M20" s="12" t="s">
        <v>73</v>
      </c>
      <c r="N20" s="5"/>
      <c r="O20" s="12"/>
      <c r="P20" s="5" t="s">
        <v>4338</v>
      </c>
      <c r="Q20" s="12"/>
      <c r="R20" s="12" t="s">
        <v>100</v>
      </c>
      <c r="S20" s="5" t="s">
        <v>4339</v>
      </c>
      <c r="T20" s="5" t="s">
        <v>4320</v>
      </c>
      <c r="U20" s="12" t="n">
        <v>4</v>
      </c>
      <c r="V20" s="12" t="n">
        <v>1</v>
      </c>
      <c r="W20" s="12" t="n">
        <v>2</v>
      </c>
      <c r="X20" s="12" t="n">
        <v>1</v>
      </c>
      <c r="Y20" s="12" t="n">
        <v>0</v>
      </c>
    </row>
    <row r="21" customFormat="false" ht="54.75" hidden="false" customHeight="true" outlineLevel="0" collapsed="false">
      <c r="A21" s="12" t="s">
        <v>4327</v>
      </c>
      <c r="B21" s="5" t="s">
        <v>4328</v>
      </c>
      <c r="C21" s="12" t="s">
        <v>4340</v>
      </c>
      <c r="D21" s="12" t="s">
        <v>120</v>
      </c>
      <c r="E21" s="5" t="s">
        <v>4341</v>
      </c>
      <c r="F21" s="14"/>
      <c r="G21" s="14"/>
      <c r="H21" s="14" t="s">
        <v>87</v>
      </c>
      <c r="I21" s="14"/>
      <c r="J21" s="14"/>
      <c r="K21" s="14"/>
      <c r="L21" s="15"/>
      <c r="M21" s="12"/>
      <c r="N21" s="5"/>
      <c r="O21" s="12"/>
      <c r="P21" s="5" t="s">
        <v>4342</v>
      </c>
      <c r="Q21" s="12"/>
      <c r="R21" s="12" t="s">
        <v>100</v>
      </c>
      <c r="S21" s="5" t="s">
        <v>4343</v>
      </c>
      <c r="T21" s="5" t="s">
        <v>4320</v>
      </c>
      <c r="U21" s="12" t="n">
        <v>3</v>
      </c>
      <c r="V21" s="12" t="n">
        <v>1</v>
      </c>
      <c r="W21" s="12" t="n">
        <v>1</v>
      </c>
      <c r="X21" s="12" t="n">
        <v>1</v>
      </c>
      <c r="Y21" s="12" t="n">
        <v>0</v>
      </c>
    </row>
    <row r="22" customFormat="false" ht="68.25" hidden="false" customHeight="true" outlineLevel="0" collapsed="false">
      <c r="A22" s="12" t="s">
        <v>4327</v>
      </c>
      <c r="B22" s="5" t="s">
        <v>4328</v>
      </c>
      <c r="C22" s="12" t="s">
        <v>4344</v>
      </c>
      <c r="D22" s="12" t="s">
        <v>120</v>
      </c>
      <c r="E22" s="5" t="s">
        <v>4345</v>
      </c>
      <c r="F22" s="14"/>
      <c r="G22" s="14"/>
      <c r="H22" s="14" t="s">
        <v>87</v>
      </c>
      <c r="I22" s="14"/>
      <c r="J22" s="14"/>
      <c r="K22" s="14"/>
      <c r="L22" s="15"/>
      <c r="M22" s="12" t="s">
        <v>73</v>
      </c>
      <c r="N22" s="5"/>
      <c r="O22" s="12"/>
      <c r="P22" s="5" t="s">
        <v>4346</v>
      </c>
      <c r="Q22" s="12"/>
      <c r="R22" s="12" t="s">
        <v>100</v>
      </c>
      <c r="S22" s="5" t="s">
        <v>4347</v>
      </c>
      <c r="T22" s="5" t="s">
        <v>4348</v>
      </c>
      <c r="U22" s="12" t="n">
        <v>4</v>
      </c>
      <c r="V22" s="12" t="n">
        <v>1</v>
      </c>
      <c r="W22" s="12" t="n">
        <v>2</v>
      </c>
      <c r="X22" s="12" t="n">
        <v>1</v>
      </c>
      <c r="Y22" s="12" t="n">
        <v>0</v>
      </c>
    </row>
    <row r="23" customFormat="false" ht="95.25" hidden="false" customHeight="true" outlineLevel="0" collapsed="false">
      <c r="A23" s="10" t="s">
        <v>4349</v>
      </c>
      <c r="B23" s="11" t="s">
        <v>4350</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4351</v>
      </c>
      <c r="Q23" s="12"/>
      <c r="R23" s="12" t="s">
        <v>100</v>
      </c>
      <c r="S23" s="5" t="s">
        <v>4352</v>
      </c>
      <c r="T23" s="5" t="s">
        <v>4320</v>
      </c>
      <c r="U23" s="12" t="n">
        <v>2</v>
      </c>
      <c r="V23" s="12" t="n">
        <v>1</v>
      </c>
      <c r="W23" s="12" t="n">
        <v>1</v>
      </c>
      <c r="X23" s="12" t="n">
        <v>1</v>
      </c>
      <c r="Y23" s="12" t="n">
        <v>0</v>
      </c>
    </row>
    <row r="24" customFormat="false" ht="95.25" hidden="false" customHeight="true" outlineLevel="0" collapsed="false">
      <c r="A24" s="12" t="s">
        <v>4349</v>
      </c>
      <c r="B24" s="5" t="s">
        <v>4350</v>
      </c>
      <c r="C24" s="12" t="s">
        <v>4349</v>
      </c>
      <c r="D24" s="12" t="s">
        <v>120</v>
      </c>
      <c r="E24" s="5" t="s">
        <v>4353</v>
      </c>
      <c r="F24" s="14"/>
      <c r="G24" s="14"/>
      <c r="H24" s="14" t="s">
        <v>87</v>
      </c>
      <c r="I24" s="14"/>
      <c r="J24" s="14"/>
      <c r="K24" s="14"/>
      <c r="L24" s="15"/>
      <c r="M24" s="12"/>
      <c r="N24" s="5"/>
      <c r="O24" s="12"/>
      <c r="P24" s="5" t="s">
        <v>4351</v>
      </c>
      <c r="Q24" s="12"/>
      <c r="R24" s="12" t="s">
        <v>100</v>
      </c>
      <c r="S24" s="5" t="s">
        <v>4352</v>
      </c>
      <c r="T24" s="5" t="s">
        <v>4320</v>
      </c>
      <c r="U24" s="12" t="n">
        <v>2</v>
      </c>
      <c r="V24" s="12" t="n">
        <v>1</v>
      </c>
      <c r="W24" s="12" t="n">
        <v>1</v>
      </c>
      <c r="X24" s="12" t="n">
        <v>1</v>
      </c>
      <c r="Y24" s="12" t="n">
        <v>0</v>
      </c>
    </row>
    <row r="25" customFormat="false" ht="377.25" hidden="false" customHeight="true" outlineLevel="0" collapsed="false">
      <c r="A25" s="10" t="s">
        <v>4354</v>
      </c>
      <c r="B25" s="11" t="s">
        <v>4355</v>
      </c>
      <c r="C25" s="12"/>
      <c r="D25" s="12" t="s">
        <v>120</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t="s">
        <v>72</v>
      </c>
      <c r="N25" s="5"/>
      <c r="O25" s="12"/>
      <c r="P25" s="5" t="s">
        <v>4356</v>
      </c>
      <c r="Q25" s="12" t="s">
        <v>836</v>
      </c>
      <c r="R25" s="12" t="s">
        <v>4357</v>
      </c>
      <c r="S25" s="5" t="s">
        <v>4358</v>
      </c>
      <c r="T25" s="5" t="s">
        <v>4359</v>
      </c>
      <c r="U25" s="12" t="n">
        <v>2</v>
      </c>
      <c r="V25" s="12" t="n">
        <v>2</v>
      </c>
      <c r="W25" s="12" t="n">
        <v>1</v>
      </c>
      <c r="X25" s="12" t="n">
        <v>1</v>
      </c>
      <c r="Y25" s="12" t="n">
        <v>0</v>
      </c>
    </row>
    <row r="26" customFormat="false" ht="377.25" hidden="false" customHeight="true" outlineLevel="0" collapsed="false">
      <c r="A26" s="12" t="s">
        <v>4354</v>
      </c>
      <c r="B26" s="5" t="s">
        <v>4355</v>
      </c>
      <c r="C26" s="12" t="s">
        <v>4354</v>
      </c>
      <c r="D26" s="12" t="s">
        <v>120</v>
      </c>
      <c r="E26" s="5" t="s">
        <v>4360</v>
      </c>
      <c r="F26" s="14"/>
      <c r="G26" s="14"/>
      <c r="H26" s="14" t="s">
        <v>87</v>
      </c>
      <c r="I26" s="14"/>
      <c r="J26" s="14"/>
      <c r="K26" s="14"/>
      <c r="L26" s="15"/>
      <c r="M26" s="12" t="s">
        <v>72</v>
      </c>
      <c r="N26" s="5"/>
      <c r="O26" s="12"/>
      <c r="P26" s="5" t="s">
        <v>4356</v>
      </c>
      <c r="Q26" s="12" t="s">
        <v>836</v>
      </c>
      <c r="R26" s="12" t="s">
        <v>4357</v>
      </c>
      <c r="S26" s="5" t="s">
        <v>4358</v>
      </c>
      <c r="T26" s="5" t="s">
        <v>4359</v>
      </c>
      <c r="U26" s="12" t="n">
        <v>2</v>
      </c>
      <c r="V26" s="12" t="n">
        <v>2</v>
      </c>
      <c r="W26" s="12" t="n">
        <v>1</v>
      </c>
      <c r="X26" s="12" t="n">
        <v>1</v>
      </c>
      <c r="Y26" s="12" t="n">
        <v>0</v>
      </c>
    </row>
    <row r="27" customFormat="false" ht="162" hidden="false" customHeight="true" outlineLevel="0" collapsed="false">
      <c r="A27" s="10" t="s">
        <v>4361</v>
      </c>
      <c r="B27" s="11" t="s">
        <v>4362</v>
      </c>
      <c r="C27" s="12"/>
      <c r="D27" s="12" t="s">
        <v>120</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t="s">
        <v>73</v>
      </c>
      <c r="N27" s="5"/>
      <c r="O27" s="12"/>
      <c r="P27" s="5" t="s">
        <v>4363</v>
      </c>
      <c r="Q27" s="12" t="s">
        <v>836</v>
      </c>
      <c r="R27" s="12" t="s">
        <v>688</v>
      </c>
      <c r="S27" s="5" t="s">
        <v>4364</v>
      </c>
      <c r="T27" s="5" t="s">
        <v>4359</v>
      </c>
      <c r="U27" s="12" t="n">
        <v>2</v>
      </c>
      <c r="V27" s="12" t="n">
        <v>1</v>
      </c>
      <c r="W27" s="12" t="n">
        <v>2</v>
      </c>
      <c r="X27" s="12" t="n">
        <v>1</v>
      </c>
      <c r="Y27" s="12" t="n">
        <v>0</v>
      </c>
    </row>
    <row r="28" customFormat="false" ht="162" hidden="false" customHeight="true" outlineLevel="0" collapsed="false">
      <c r="A28" s="12" t="s">
        <v>4361</v>
      </c>
      <c r="B28" s="5" t="s">
        <v>4362</v>
      </c>
      <c r="C28" s="12" t="s">
        <v>4361</v>
      </c>
      <c r="D28" s="12" t="s">
        <v>120</v>
      </c>
      <c r="E28" s="5" t="s">
        <v>4365</v>
      </c>
      <c r="F28" s="14"/>
      <c r="G28" s="14"/>
      <c r="H28" s="14" t="s">
        <v>87</v>
      </c>
      <c r="I28" s="14"/>
      <c r="J28" s="14"/>
      <c r="K28" s="14"/>
      <c r="L28" s="15"/>
      <c r="M28" s="12" t="s">
        <v>73</v>
      </c>
      <c r="N28" s="5"/>
      <c r="O28" s="12"/>
      <c r="P28" s="5" t="s">
        <v>4363</v>
      </c>
      <c r="Q28" s="12" t="s">
        <v>836</v>
      </c>
      <c r="R28" s="12" t="s">
        <v>688</v>
      </c>
      <c r="S28" s="5" t="s">
        <v>4364</v>
      </c>
      <c r="T28" s="5" t="s">
        <v>4359</v>
      </c>
      <c r="U28" s="12" t="n">
        <v>2</v>
      </c>
      <c r="V28" s="12" t="n">
        <v>1</v>
      </c>
      <c r="W28" s="12" t="n">
        <v>2</v>
      </c>
      <c r="X28" s="12" t="n">
        <v>1</v>
      </c>
      <c r="Y28" s="12" t="n">
        <v>0</v>
      </c>
    </row>
    <row r="29" customFormat="false" ht="175.5" hidden="false" customHeight="true" outlineLevel="0" collapsed="false">
      <c r="A29" s="10" t="s">
        <v>4366</v>
      </c>
      <c r="B29" s="11" t="s">
        <v>4367</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t="s">
        <v>72</v>
      </c>
      <c r="N29" s="5"/>
      <c r="O29" s="12"/>
      <c r="P29" s="5" t="s">
        <v>4368</v>
      </c>
      <c r="Q29" s="12" t="s">
        <v>836</v>
      </c>
      <c r="R29" s="12" t="s">
        <v>688</v>
      </c>
      <c r="S29" s="5" t="s">
        <v>4369</v>
      </c>
      <c r="T29" s="5" t="s">
        <v>4359</v>
      </c>
      <c r="U29" s="12" t="n">
        <v>2</v>
      </c>
      <c r="V29" s="12" t="n">
        <v>2</v>
      </c>
      <c r="W29" s="12" t="n">
        <v>1</v>
      </c>
      <c r="X29" s="12" t="n">
        <v>1</v>
      </c>
      <c r="Y29" s="12" t="n">
        <v>0</v>
      </c>
    </row>
    <row r="30" customFormat="false" ht="175.5" hidden="false" customHeight="true" outlineLevel="0" collapsed="false">
      <c r="A30" s="12" t="s">
        <v>4366</v>
      </c>
      <c r="B30" s="5" t="s">
        <v>4367</v>
      </c>
      <c r="C30" s="12" t="s">
        <v>4366</v>
      </c>
      <c r="D30" s="12" t="s">
        <v>120</v>
      </c>
      <c r="E30" s="5" t="s">
        <v>4370</v>
      </c>
      <c r="F30" s="14"/>
      <c r="G30" s="14"/>
      <c r="H30" s="14" t="s">
        <v>87</v>
      </c>
      <c r="I30" s="14"/>
      <c r="J30" s="14"/>
      <c r="K30" s="14"/>
      <c r="L30" s="15"/>
      <c r="M30" s="12" t="s">
        <v>72</v>
      </c>
      <c r="N30" s="5"/>
      <c r="O30" s="12"/>
      <c r="P30" s="5" t="s">
        <v>4368</v>
      </c>
      <c r="Q30" s="12" t="s">
        <v>836</v>
      </c>
      <c r="R30" s="12" t="s">
        <v>688</v>
      </c>
      <c r="S30" s="5" t="s">
        <v>4369</v>
      </c>
      <c r="T30" s="5" t="s">
        <v>4359</v>
      </c>
      <c r="U30" s="12" t="n">
        <v>2</v>
      </c>
      <c r="V30" s="12" t="n">
        <v>2</v>
      </c>
      <c r="W30" s="12" t="n">
        <v>1</v>
      </c>
      <c r="X30" s="12" t="n">
        <v>1</v>
      </c>
      <c r="Y30" s="12" t="n">
        <v>0</v>
      </c>
    </row>
    <row r="31" customFormat="false" ht="377.25" hidden="false" customHeight="true" outlineLevel="0" collapsed="false">
      <c r="A31" s="10" t="s">
        <v>4371</v>
      </c>
      <c r="B31" s="11" t="s">
        <v>4372</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t="s">
        <v>73</v>
      </c>
      <c r="N31" s="5"/>
      <c r="O31" s="12"/>
      <c r="P31" s="5" t="s">
        <v>4373</v>
      </c>
      <c r="Q31" s="12"/>
      <c r="R31" s="12" t="s">
        <v>4305</v>
      </c>
      <c r="S31" s="5" t="s">
        <v>4372</v>
      </c>
      <c r="T31" s="5" t="s">
        <v>4359</v>
      </c>
      <c r="U31" s="12" t="n">
        <v>3</v>
      </c>
      <c r="V31" s="12" t="n">
        <v>1</v>
      </c>
      <c r="W31" s="12" t="n">
        <v>2</v>
      </c>
      <c r="X31" s="12" t="n">
        <v>1</v>
      </c>
      <c r="Y31" s="12" t="n">
        <v>0</v>
      </c>
    </row>
    <row r="32" customFormat="false" ht="377.25" hidden="false" customHeight="true" outlineLevel="0" collapsed="false">
      <c r="A32" s="12" t="s">
        <v>4371</v>
      </c>
      <c r="B32" s="5" t="s">
        <v>4372</v>
      </c>
      <c r="C32" s="12" t="s">
        <v>4371</v>
      </c>
      <c r="D32" s="12" t="s">
        <v>120</v>
      </c>
      <c r="E32" s="5" t="s">
        <v>4374</v>
      </c>
      <c r="F32" s="14"/>
      <c r="G32" s="14"/>
      <c r="H32" s="14" t="s">
        <v>87</v>
      </c>
      <c r="I32" s="14"/>
      <c r="J32" s="14"/>
      <c r="K32" s="14"/>
      <c r="L32" s="15"/>
      <c r="M32" s="12" t="s">
        <v>73</v>
      </c>
      <c r="N32" s="5"/>
      <c r="O32" s="12"/>
      <c r="P32" s="5" t="s">
        <v>4373</v>
      </c>
      <c r="Q32" s="12"/>
      <c r="R32" s="12" t="s">
        <v>4305</v>
      </c>
      <c r="S32" s="5" t="s">
        <v>4372</v>
      </c>
      <c r="T32" s="5" t="s">
        <v>4359</v>
      </c>
      <c r="U32" s="12" t="n">
        <v>3</v>
      </c>
      <c r="V32" s="12" t="n">
        <v>1</v>
      </c>
      <c r="W32" s="12" t="n">
        <v>2</v>
      </c>
      <c r="X32" s="12" t="n">
        <v>1</v>
      </c>
      <c r="Y32" s="12" t="n">
        <v>0</v>
      </c>
    </row>
    <row r="33" customFormat="false" ht="95.25" hidden="false" customHeight="true" outlineLevel="0" collapsed="false">
      <c r="A33" s="10" t="s">
        <v>4375</v>
      </c>
      <c r="B33" s="11" t="s">
        <v>4376</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4377</v>
      </c>
      <c r="Q33" s="12"/>
      <c r="R33" s="12" t="s">
        <v>4305</v>
      </c>
      <c r="S33" s="5" t="s">
        <v>4378</v>
      </c>
      <c r="T33" s="5" t="s">
        <v>4359</v>
      </c>
      <c r="U33" s="12" t="n">
        <v>2</v>
      </c>
      <c r="V33" s="12" t="n">
        <v>1</v>
      </c>
      <c r="W33" s="12" t="n">
        <v>1</v>
      </c>
      <c r="X33" s="12" t="n">
        <v>1</v>
      </c>
      <c r="Y33" s="12" t="n">
        <v>0</v>
      </c>
    </row>
    <row r="34" customFormat="false" ht="95.25" hidden="false" customHeight="true" outlineLevel="0" collapsed="false">
      <c r="A34" s="12" t="s">
        <v>4375</v>
      </c>
      <c r="B34" s="5" t="s">
        <v>4376</v>
      </c>
      <c r="C34" s="12" t="s">
        <v>4375</v>
      </c>
      <c r="D34" s="12" t="s">
        <v>120</v>
      </c>
      <c r="E34" s="5" t="s">
        <v>4379</v>
      </c>
      <c r="F34" s="14"/>
      <c r="G34" s="14"/>
      <c r="H34" s="14" t="s">
        <v>87</v>
      </c>
      <c r="I34" s="14"/>
      <c r="J34" s="14"/>
      <c r="K34" s="14"/>
      <c r="L34" s="15"/>
      <c r="M34" s="12"/>
      <c r="N34" s="5"/>
      <c r="O34" s="12"/>
      <c r="P34" s="5" t="s">
        <v>4377</v>
      </c>
      <c r="Q34" s="12"/>
      <c r="R34" s="12" t="s">
        <v>4305</v>
      </c>
      <c r="S34" s="5" t="s">
        <v>4378</v>
      </c>
      <c r="T34" s="5" t="s">
        <v>4359</v>
      </c>
      <c r="U34" s="12" t="n">
        <v>2</v>
      </c>
      <c r="V34" s="12" t="n">
        <v>1</v>
      </c>
      <c r="W34" s="12" t="n">
        <v>1</v>
      </c>
      <c r="X34" s="12" t="n">
        <v>1</v>
      </c>
      <c r="Y34" s="12" t="n">
        <v>0</v>
      </c>
    </row>
    <row r="35" customFormat="false" ht="68.25" hidden="false" customHeight="true" outlineLevel="0" collapsed="false">
      <c r="A35" s="10" t="s">
        <v>4380</v>
      </c>
      <c r="B35" s="11" t="s">
        <v>4381</v>
      </c>
      <c r="C35" s="12"/>
      <c r="D35" s="12" t="s">
        <v>120</v>
      </c>
      <c r="E35" s="5" t="s">
        <v>79</v>
      </c>
      <c r="F35" s="12"/>
      <c r="G35" s="12"/>
      <c r="H35" s="13" t="str">
        <f aca="false">IF(OR(COUNTBLANK($H$36:$H$37)&gt;0,COUNTIF($H$36:$H$37,"unbearbeitet")=COUNTA($H$36:$H$37)),"Bitte Teilanforderungen ausfüllen",IF(COUNTIF($H$36:$H$37,"zu klären")&gt;0,"zu klären",IF(COUNTIF($H$36:$H$37,"entbehrlich")=COUNTA($H$36:$H$37),"entbehrlich",IF(COUNTIF($H$36:$H$37,"verwiesen")=COUNTA($H$36:$H$37),"verwiesen",IF(COUNTIF($H$36:$H$37,"nein")+COUNTIF($H$36:$H$37,"entbehrlich")=COUNTA($H$36:$H$37),"nein",IF(COUNTIF($H$36:$H$37,"ja")+COUNTIF($H$36:$H$37,"entbehrlich")+COUNTIF($H$36:$H$37,"verwiesen")=COUNTA($H$36:$H$37),"ja","teilweise"))))))</f>
        <v>Bitte Teilanforderungen ausfüllen</v>
      </c>
      <c r="I35" s="12"/>
      <c r="J35" s="12"/>
      <c r="K35" s="12"/>
      <c r="L35" s="12"/>
      <c r="M35" s="12"/>
      <c r="N35" s="5"/>
      <c r="O35" s="12"/>
      <c r="P35" s="5" t="s">
        <v>4382</v>
      </c>
      <c r="Q35" s="12"/>
      <c r="R35" s="12" t="s">
        <v>4305</v>
      </c>
      <c r="S35" s="5" t="s">
        <v>4383</v>
      </c>
      <c r="T35" s="5" t="s">
        <v>4359</v>
      </c>
      <c r="U35" s="12" t="n">
        <v>2</v>
      </c>
      <c r="V35" s="12" t="n">
        <v>1</v>
      </c>
      <c r="W35" s="12" t="n">
        <v>1</v>
      </c>
      <c r="X35" s="12" t="n">
        <v>1</v>
      </c>
      <c r="Y35" s="12" t="n">
        <v>0</v>
      </c>
    </row>
    <row r="36" customFormat="false" ht="68.25" hidden="false" customHeight="true" outlineLevel="0" collapsed="false">
      <c r="A36" s="12" t="s">
        <v>4380</v>
      </c>
      <c r="B36" s="5" t="s">
        <v>4381</v>
      </c>
      <c r="C36" s="12" t="s">
        <v>4380</v>
      </c>
      <c r="D36" s="12" t="s">
        <v>120</v>
      </c>
      <c r="E36" s="5" t="s">
        <v>4384</v>
      </c>
      <c r="F36" s="14"/>
      <c r="G36" s="14"/>
      <c r="H36" s="14" t="s">
        <v>87</v>
      </c>
      <c r="I36" s="14"/>
      <c r="J36" s="14"/>
      <c r="K36" s="14"/>
      <c r="L36" s="15"/>
      <c r="M36" s="12"/>
      <c r="N36" s="5"/>
      <c r="O36" s="12"/>
      <c r="P36" s="5" t="s">
        <v>4382</v>
      </c>
      <c r="Q36" s="12"/>
      <c r="R36" s="12" t="s">
        <v>4305</v>
      </c>
      <c r="S36" s="5" t="s">
        <v>4383</v>
      </c>
      <c r="T36" s="5" t="s">
        <v>4359</v>
      </c>
      <c r="U36" s="12" t="n">
        <v>2</v>
      </c>
      <c r="V36" s="12" t="n">
        <v>1</v>
      </c>
      <c r="W36" s="12" t="n">
        <v>1</v>
      </c>
      <c r="X36" s="12" t="n">
        <v>1</v>
      </c>
      <c r="Y36" s="12" t="n">
        <v>0</v>
      </c>
    </row>
    <row r="37" customFormat="false" ht="283.5" hidden="false" customHeight="true" outlineLevel="0" collapsed="false">
      <c r="A37" s="12" t="s">
        <v>4380</v>
      </c>
      <c r="B37" s="5" t="s">
        <v>4381</v>
      </c>
      <c r="C37" s="12" t="s">
        <v>4385</v>
      </c>
      <c r="D37" s="12" t="s">
        <v>160</v>
      </c>
      <c r="E37" s="5" t="s">
        <v>4386</v>
      </c>
      <c r="F37" s="14"/>
      <c r="G37" s="14"/>
      <c r="H37" s="14" t="s">
        <v>87</v>
      </c>
      <c r="I37" s="14"/>
      <c r="J37" s="14"/>
      <c r="K37" s="14"/>
      <c r="L37" s="15"/>
      <c r="M37" s="12"/>
      <c r="N37" s="5" t="s">
        <v>4387</v>
      </c>
      <c r="O37" s="12" t="s">
        <v>524</v>
      </c>
      <c r="P37" s="5" t="s">
        <v>4388</v>
      </c>
      <c r="Q37" s="12"/>
      <c r="R37" s="12" t="s">
        <v>4305</v>
      </c>
      <c r="S37" s="5" t="s">
        <v>4389</v>
      </c>
      <c r="T37" s="5" t="s">
        <v>4359</v>
      </c>
      <c r="U37" s="12" t="n">
        <v>5</v>
      </c>
      <c r="V37" s="12" t="n">
        <v>1</v>
      </c>
      <c r="W37" s="12" t="n">
        <v>1</v>
      </c>
      <c r="X37" s="12" t="n">
        <v>1</v>
      </c>
      <c r="Y37" s="12" t="n">
        <v>0</v>
      </c>
    </row>
    <row r="38" customFormat="false" ht="336.75" hidden="false" customHeight="true" outlineLevel="0" collapsed="false">
      <c r="A38" s="10" t="s">
        <v>4390</v>
      </c>
      <c r="B38" s="11" t="s">
        <v>4391</v>
      </c>
      <c r="C38" s="12"/>
      <c r="D38" s="12" t="s">
        <v>120</v>
      </c>
      <c r="E38" s="5" t="s">
        <v>79</v>
      </c>
      <c r="F38" s="12"/>
      <c r="G38" s="12"/>
      <c r="H38" s="13" t="str">
        <f aca="false">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2"/>
      <c r="J38" s="12"/>
      <c r="K38" s="12"/>
      <c r="L38" s="12"/>
      <c r="M38" s="12"/>
      <c r="N38" s="5" t="s">
        <v>4392</v>
      </c>
      <c r="O38" s="12" t="s">
        <v>661</v>
      </c>
      <c r="P38" s="5" t="s">
        <v>4393</v>
      </c>
      <c r="Q38" s="12" t="s">
        <v>836</v>
      </c>
      <c r="R38" s="12" t="s">
        <v>4305</v>
      </c>
      <c r="S38" s="5" t="s">
        <v>4394</v>
      </c>
      <c r="T38" s="5" t="s">
        <v>4359</v>
      </c>
      <c r="U38" s="12" t="n">
        <v>2</v>
      </c>
      <c r="V38" s="12" t="n">
        <v>1</v>
      </c>
      <c r="W38" s="12" t="n">
        <v>1</v>
      </c>
      <c r="X38" s="12" t="n">
        <v>1</v>
      </c>
      <c r="Y38" s="12" t="n">
        <v>0</v>
      </c>
    </row>
    <row r="39" customFormat="false" ht="336.75" hidden="false" customHeight="true" outlineLevel="0" collapsed="false">
      <c r="A39" s="12" t="s">
        <v>4390</v>
      </c>
      <c r="B39" s="5" t="s">
        <v>4391</v>
      </c>
      <c r="C39" s="12" t="s">
        <v>4390</v>
      </c>
      <c r="D39" s="12" t="s">
        <v>120</v>
      </c>
      <c r="E39" s="5" t="s">
        <v>4395</v>
      </c>
      <c r="F39" s="14"/>
      <c r="G39" s="14"/>
      <c r="H39" s="14" t="s">
        <v>87</v>
      </c>
      <c r="I39" s="14"/>
      <c r="J39" s="14"/>
      <c r="K39" s="14"/>
      <c r="L39" s="15"/>
      <c r="M39" s="12"/>
      <c r="N39" s="5" t="s">
        <v>4392</v>
      </c>
      <c r="O39" s="12" t="s">
        <v>661</v>
      </c>
      <c r="P39" s="5" t="s">
        <v>4393</v>
      </c>
      <c r="Q39" s="12" t="s">
        <v>836</v>
      </c>
      <c r="R39" s="12" t="s">
        <v>4305</v>
      </c>
      <c r="S39" s="5" t="s">
        <v>4394</v>
      </c>
      <c r="T39" s="5" t="s">
        <v>4359</v>
      </c>
      <c r="U39" s="12" t="n">
        <v>2</v>
      </c>
      <c r="V39" s="12" t="n">
        <v>1</v>
      </c>
      <c r="W39" s="12" t="n">
        <v>1</v>
      </c>
      <c r="X39" s="12" t="n">
        <v>1</v>
      </c>
      <c r="Y39" s="12" t="n">
        <v>0</v>
      </c>
    </row>
    <row r="40" customFormat="false" ht="81.75" hidden="false" customHeight="true" outlineLevel="0" collapsed="false">
      <c r="A40" s="10" t="s">
        <v>4396</v>
      </c>
      <c r="B40" s="11" t="s">
        <v>4397</v>
      </c>
      <c r="C40" s="12"/>
      <c r="D40" s="12" t="s">
        <v>120</v>
      </c>
      <c r="E40" s="5" t="s">
        <v>79</v>
      </c>
      <c r="F40" s="12"/>
      <c r="G40" s="12"/>
      <c r="H40" s="13" t="str">
        <f aca="false">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Bitte Teilanforderungen ausfüllen</v>
      </c>
      <c r="I40" s="12"/>
      <c r="J40" s="12"/>
      <c r="K40" s="12"/>
      <c r="L40" s="12"/>
      <c r="M40" s="12"/>
      <c r="N40" s="5"/>
      <c r="O40" s="12"/>
      <c r="P40" s="5" t="s">
        <v>4398</v>
      </c>
      <c r="Q40" s="12" t="s">
        <v>836</v>
      </c>
      <c r="R40" s="12" t="s">
        <v>4076</v>
      </c>
      <c r="S40" s="5" t="s">
        <v>4399</v>
      </c>
      <c r="T40" s="5" t="s">
        <v>306</v>
      </c>
      <c r="U40" s="12" t="n">
        <v>2</v>
      </c>
      <c r="V40" s="12" t="n">
        <v>1</v>
      </c>
      <c r="W40" s="12" t="n">
        <v>1</v>
      </c>
      <c r="X40" s="12" t="n">
        <v>1</v>
      </c>
      <c r="Y40" s="12" t="n">
        <v>0</v>
      </c>
    </row>
    <row r="41" customFormat="false" ht="81.75" hidden="false" customHeight="true" outlineLevel="0" collapsed="false">
      <c r="A41" s="12" t="s">
        <v>4396</v>
      </c>
      <c r="B41" s="5" t="s">
        <v>4397</v>
      </c>
      <c r="C41" s="12" t="s">
        <v>4396</v>
      </c>
      <c r="D41" s="12" t="s">
        <v>120</v>
      </c>
      <c r="E41" s="5" t="s">
        <v>4400</v>
      </c>
      <c r="F41" s="14"/>
      <c r="G41" s="14"/>
      <c r="H41" s="14" t="s">
        <v>87</v>
      </c>
      <c r="I41" s="14"/>
      <c r="J41" s="14"/>
      <c r="K41" s="14"/>
      <c r="L41" s="15"/>
      <c r="M41" s="12"/>
      <c r="N41" s="5"/>
      <c r="O41" s="12"/>
      <c r="P41" s="5" t="s">
        <v>4398</v>
      </c>
      <c r="Q41" s="12" t="s">
        <v>836</v>
      </c>
      <c r="R41" s="12" t="s">
        <v>4076</v>
      </c>
      <c r="S41" s="5" t="s">
        <v>4399</v>
      </c>
      <c r="T41" s="5" t="s">
        <v>306</v>
      </c>
      <c r="U41" s="12" t="n">
        <v>2</v>
      </c>
      <c r="V41" s="12" t="n">
        <v>1</v>
      </c>
      <c r="W41" s="12" t="n">
        <v>1</v>
      </c>
      <c r="X41" s="12" t="n">
        <v>1</v>
      </c>
      <c r="Y41" s="12" t="n">
        <v>0</v>
      </c>
    </row>
    <row r="42" customFormat="false" ht="323.25" hidden="false" customHeight="true" outlineLevel="0" collapsed="false">
      <c r="A42" s="10" t="s">
        <v>4401</v>
      </c>
      <c r="B42" s="11" t="s">
        <v>4402</v>
      </c>
      <c r="C42" s="12"/>
      <c r="D42" s="12" t="s">
        <v>120</v>
      </c>
      <c r="E42" s="5" t="s">
        <v>79</v>
      </c>
      <c r="F42" s="12"/>
      <c r="G42" s="12"/>
      <c r="H42" s="13" t="str">
        <f aca="false">IF(OR(COUNTBLANK($H$43:$H$44)&gt;0,COUNTIF($H$43:$H$44,"unbearbeitet")=COUNTA($H$43:$H$44)),"Bitte Teilanforderungen ausfüllen",IF(COUNTIF($H$43:$H$44,"zu klären")&gt;0,"zu klären",IF(COUNTIF($H$43:$H$44,"entbehrlich")=COUNTA($H$43:$H$44),"entbehrlich",IF(COUNTIF($H$43:$H$44,"verwiesen")=COUNTA($H$43:$H$44),"verwiesen",IF(COUNTIF($H$43:$H$44,"nein")+COUNTIF($H$43:$H$44,"entbehrlich")=COUNTA($H$43:$H$44),"nein",IF(COUNTIF($H$43:$H$44,"ja")+COUNTIF($H$43:$H$44,"entbehrlich")+COUNTIF($H$43:$H$44,"verwiesen")=COUNTA($H$43:$H$44),"ja","teilweise"))))))</f>
        <v>Bitte Teilanforderungen ausfüllen</v>
      </c>
      <c r="I42" s="12"/>
      <c r="J42" s="12"/>
      <c r="K42" s="12"/>
      <c r="L42" s="12"/>
      <c r="M42" s="12"/>
      <c r="N42" s="5"/>
      <c r="O42" s="12"/>
      <c r="P42" s="5" t="s">
        <v>4403</v>
      </c>
      <c r="Q42" s="12" t="s">
        <v>687</v>
      </c>
      <c r="R42" s="12" t="s">
        <v>4076</v>
      </c>
      <c r="S42" s="5" t="s">
        <v>4404</v>
      </c>
      <c r="T42" s="5" t="s">
        <v>4405</v>
      </c>
      <c r="U42" s="12" t="n">
        <v>2</v>
      </c>
      <c r="V42" s="12" t="n">
        <v>1</v>
      </c>
      <c r="W42" s="12" t="n">
        <v>1</v>
      </c>
      <c r="X42" s="12" t="n">
        <v>1</v>
      </c>
      <c r="Y42" s="12" t="n">
        <v>0</v>
      </c>
    </row>
    <row r="43" customFormat="false" ht="323.25" hidden="false" customHeight="true" outlineLevel="0" collapsed="false">
      <c r="A43" s="12" t="s">
        <v>4401</v>
      </c>
      <c r="B43" s="5" t="s">
        <v>4402</v>
      </c>
      <c r="C43" s="12" t="s">
        <v>4401</v>
      </c>
      <c r="D43" s="12" t="s">
        <v>120</v>
      </c>
      <c r="E43" s="5" t="s">
        <v>4406</v>
      </c>
      <c r="F43" s="14"/>
      <c r="G43" s="14"/>
      <c r="H43" s="14" t="s">
        <v>87</v>
      </c>
      <c r="I43" s="14"/>
      <c r="J43" s="14"/>
      <c r="K43" s="14"/>
      <c r="L43" s="15"/>
      <c r="M43" s="12"/>
      <c r="N43" s="5"/>
      <c r="O43" s="12"/>
      <c r="P43" s="5" t="s">
        <v>4403</v>
      </c>
      <c r="Q43" s="12" t="s">
        <v>687</v>
      </c>
      <c r="R43" s="12" t="s">
        <v>4076</v>
      </c>
      <c r="S43" s="5" t="s">
        <v>4404</v>
      </c>
      <c r="T43" s="5" t="s">
        <v>4405</v>
      </c>
      <c r="U43" s="12" t="n">
        <v>2</v>
      </c>
      <c r="V43" s="12" t="n">
        <v>1</v>
      </c>
      <c r="W43" s="12" t="n">
        <v>1</v>
      </c>
      <c r="X43" s="12" t="n">
        <v>1</v>
      </c>
      <c r="Y43" s="12" t="n">
        <v>0</v>
      </c>
    </row>
    <row r="44" customFormat="false" ht="135.75" hidden="false" customHeight="true" outlineLevel="0" collapsed="false">
      <c r="A44" s="12" t="s">
        <v>4401</v>
      </c>
      <c r="B44" s="5" t="s">
        <v>4402</v>
      </c>
      <c r="C44" s="12" t="s">
        <v>4407</v>
      </c>
      <c r="D44" s="12" t="s">
        <v>120</v>
      </c>
      <c r="E44" s="5" t="s">
        <v>4408</v>
      </c>
      <c r="F44" s="14"/>
      <c r="G44" s="14"/>
      <c r="H44" s="14" t="s">
        <v>87</v>
      </c>
      <c r="I44" s="14"/>
      <c r="J44" s="14"/>
      <c r="K44" s="14"/>
      <c r="L44" s="15"/>
      <c r="M44" s="12"/>
      <c r="N44" s="5" t="s">
        <v>4409</v>
      </c>
      <c r="O44" s="12" t="s">
        <v>1169</v>
      </c>
      <c r="P44" s="5" t="s">
        <v>4410</v>
      </c>
      <c r="Q44" s="12" t="s">
        <v>759</v>
      </c>
      <c r="R44" s="12" t="s">
        <v>4076</v>
      </c>
      <c r="S44" s="5" t="s">
        <v>4411</v>
      </c>
      <c r="T44" s="5" t="s">
        <v>306</v>
      </c>
      <c r="U44" s="12" t="n">
        <v>2</v>
      </c>
      <c r="V44" s="12" t="n">
        <v>1</v>
      </c>
      <c r="W44" s="12" t="n">
        <v>1</v>
      </c>
      <c r="X44" s="12" t="n">
        <v>1</v>
      </c>
      <c r="Y44" s="12" t="n">
        <v>0</v>
      </c>
    </row>
    <row r="45" customFormat="false" ht="135.75" hidden="false" customHeight="true" outlineLevel="0" collapsed="false">
      <c r="A45" s="10" t="s">
        <v>4412</v>
      </c>
      <c r="B45" s="11" t="s">
        <v>4413</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4414</v>
      </c>
      <c r="Q45" s="12"/>
      <c r="R45" s="12" t="s">
        <v>4305</v>
      </c>
      <c r="S45" s="5" t="s">
        <v>4415</v>
      </c>
      <c r="T45" s="5" t="s">
        <v>306</v>
      </c>
      <c r="U45" s="12" t="n">
        <v>3</v>
      </c>
      <c r="V45" s="12" t="n">
        <v>1</v>
      </c>
      <c r="W45" s="12" t="n">
        <v>1</v>
      </c>
      <c r="X45" s="12" t="n">
        <v>1</v>
      </c>
      <c r="Y45" s="12" t="n">
        <v>0</v>
      </c>
    </row>
    <row r="46" customFormat="false" ht="135.75" hidden="false" customHeight="true" outlineLevel="0" collapsed="false">
      <c r="A46" s="12" t="s">
        <v>4412</v>
      </c>
      <c r="B46" s="5" t="s">
        <v>4413</v>
      </c>
      <c r="C46" s="12" t="s">
        <v>4412</v>
      </c>
      <c r="D46" s="12" t="s">
        <v>120</v>
      </c>
      <c r="E46" s="5" t="s">
        <v>4416</v>
      </c>
      <c r="F46" s="14"/>
      <c r="G46" s="14"/>
      <c r="H46" s="14" t="s">
        <v>87</v>
      </c>
      <c r="I46" s="14"/>
      <c r="J46" s="14"/>
      <c r="K46" s="14"/>
      <c r="L46" s="15"/>
      <c r="M46" s="12"/>
      <c r="N46" s="5"/>
      <c r="O46" s="12"/>
      <c r="P46" s="5" t="s">
        <v>4414</v>
      </c>
      <c r="Q46" s="12"/>
      <c r="R46" s="12" t="s">
        <v>4305</v>
      </c>
      <c r="S46" s="5" t="s">
        <v>4415</v>
      </c>
      <c r="T46" s="5" t="s">
        <v>306</v>
      </c>
      <c r="U46" s="12" t="n">
        <v>3</v>
      </c>
      <c r="V46" s="12" t="n">
        <v>1</v>
      </c>
      <c r="W46" s="12" t="n">
        <v>1</v>
      </c>
      <c r="X46" s="12" t="n">
        <v>1</v>
      </c>
      <c r="Y46" s="12" t="n">
        <v>0</v>
      </c>
    </row>
    <row r="47" customFormat="false" ht="202.5" hidden="false" customHeight="true" outlineLevel="0" collapsed="false">
      <c r="A47" s="10" t="s">
        <v>4417</v>
      </c>
      <c r="B47" s="11" t="s">
        <v>4418</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4419</v>
      </c>
      <c r="Q47" s="12"/>
      <c r="R47" s="12" t="s">
        <v>4305</v>
      </c>
      <c r="S47" s="5" t="s">
        <v>4420</v>
      </c>
      <c r="T47" s="5" t="s">
        <v>306</v>
      </c>
      <c r="U47" s="12" t="n">
        <v>5</v>
      </c>
      <c r="V47" s="12" t="n">
        <v>1</v>
      </c>
      <c r="W47" s="12" t="n">
        <v>1</v>
      </c>
      <c r="X47" s="12" t="n">
        <v>1</v>
      </c>
      <c r="Y47" s="12" t="n">
        <v>0</v>
      </c>
    </row>
    <row r="48" customFormat="false" ht="202.5" hidden="false" customHeight="true" outlineLevel="0" collapsed="false">
      <c r="A48" s="12" t="s">
        <v>4417</v>
      </c>
      <c r="B48" s="5" t="s">
        <v>4418</v>
      </c>
      <c r="C48" s="12" t="s">
        <v>4417</v>
      </c>
      <c r="D48" s="12" t="s">
        <v>120</v>
      </c>
      <c r="E48" s="5" t="s">
        <v>4421</v>
      </c>
      <c r="F48" s="14"/>
      <c r="G48" s="14"/>
      <c r="H48" s="14" t="s">
        <v>87</v>
      </c>
      <c r="I48" s="14"/>
      <c r="J48" s="14"/>
      <c r="K48" s="14"/>
      <c r="L48" s="15"/>
      <c r="M48" s="12"/>
      <c r="N48" s="5"/>
      <c r="O48" s="12"/>
      <c r="P48" s="5" t="s">
        <v>4419</v>
      </c>
      <c r="Q48" s="12"/>
      <c r="R48" s="12" t="s">
        <v>4305</v>
      </c>
      <c r="S48" s="5" t="s">
        <v>4420</v>
      </c>
      <c r="T48" s="5" t="s">
        <v>306</v>
      </c>
      <c r="U48" s="12" t="n">
        <v>5</v>
      </c>
      <c r="V48" s="12" t="n">
        <v>1</v>
      </c>
      <c r="W48" s="12" t="n">
        <v>1</v>
      </c>
      <c r="X48" s="12" t="n">
        <v>1</v>
      </c>
      <c r="Y48" s="12" t="n">
        <v>0</v>
      </c>
    </row>
    <row r="49" customFormat="false" ht="444.75" hidden="false" customHeight="true" outlineLevel="0" collapsed="false">
      <c r="A49" s="10" t="s">
        <v>4422</v>
      </c>
      <c r="B49" s="11" t="s">
        <v>4423</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72</v>
      </c>
      <c r="N49" s="5"/>
      <c r="O49" s="12"/>
      <c r="P49" s="5" t="s">
        <v>4424</v>
      </c>
      <c r="Q49" s="12"/>
      <c r="R49" s="12" t="s">
        <v>4305</v>
      </c>
      <c r="S49" s="5" t="s">
        <v>4425</v>
      </c>
      <c r="T49" s="5" t="s">
        <v>306</v>
      </c>
      <c r="U49" s="12" t="n">
        <v>4</v>
      </c>
      <c r="V49" s="12" t="n">
        <v>2</v>
      </c>
      <c r="W49" s="12" t="n">
        <v>1</v>
      </c>
      <c r="X49" s="12" t="n">
        <v>1</v>
      </c>
      <c r="Y49" s="12" t="n">
        <v>0</v>
      </c>
    </row>
    <row r="50" customFormat="false" ht="444.75" hidden="false" customHeight="true" outlineLevel="0" collapsed="false">
      <c r="A50" s="12" t="s">
        <v>4422</v>
      </c>
      <c r="B50" s="5" t="s">
        <v>4423</v>
      </c>
      <c r="C50" s="12" t="s">
        <v>4422</v>
      </c>
      <c r="D50" s="12" t="s">
        <v>120</v>
      </c>
      <c r="E50" s="5" t="s">
        <v>4426</v>
      </c>
      <c r="F50" s="14"/>
      <c r="G50" s="14"/>
      <c r="H50" s="14" t="s">
        <v>87</v>
      </c>
      <c r="I50" s="14"/>
      <c r="J50" s="14"/>
      <c r="K50" s="14"/>
      <c r="L50" s="15"/>
      <c r="M50" s="12" t="s">
        <v>72</v>
      </c>
      <c r="N50" s="5"/>
      <c r="O50" s="12"/>
      <c r="P50" s="5" t="s">
        <v>4424</v>
      </c>
      <c r="Q50" s="12"/>
      <c r="R50" s="12" t="s">
        <v>4305</v>
      </c>
      <c r="S50" s="5" t="s">
        <v>4425</v>
      </c>
      <c r="T50" s="5" t="s">
        <v>306</v>
      </c>
      <c r="U50" s="12" t="n">
        <v>4</v>
      </c>
      <c r="V50" s="12" t="n">
        <v>2</v>
      </c>
      <c r="W50" s="12" t="n">
        <v>1</v>
      </c>
      <c r="X50" s="12" t="n">
        <v>1</v>
      </c>
      <c r="Y50" s="12" t="n">
        <v>0</v>
      </c>
    </row>
    <row r="51" customFormat="false" ht="122.25" hidden="false" customHeight="true" outlineLevel="0" collapsed="false">
      <c r="A51" s="10" t="s">
        <v>4427</v>
      </c>
      <c r="B51" s="11" t="s">
        <v>4428</v>
      </c>
      <c r="C51" s="12"/>
      <c r="D51" s="12" t="s">
        <v>120</v>
      </c>
      <c r="E51" s="5" t="s">
        <v>79</v>
      </c>
      <c r="F51" s="12"/>
      <c r="G51" s="12"/>
      <c r="H51" s="13" t="str">
        <f aca="false">IF(OR(COUNTBLANK($H$52:$H$54)&gt;0,COUNTIF($H$52:$H$54,"unbearbeitet")=COUNTA($H$52:$H$54)),"Bitte Teilanforderungen ausfüllen",IF(COUNTIF($H$52:$H$54,"zu klären")&gt;0,"zu klären",IF(COUNTIF($H$52:$H$54,"entbehrlich")=COUNTA($H$52:$H$54),"entbehrlich",IF(COUNTIF($H$52:$H$54,"verwiesen")=COUNTA($H$52:$H$54),"verwiesen",IF(COUNTIF($H$52:$H$54,"nein")+COUNTIF($H$52:$H$54,"entbehrlich")=COUNTA($H$52:$H$54),"nein",IF(COUNTIF($H$52:$H$54,"ja")+COUNTIF($H$52:$H$54,"entbehrlich")+COUNTIF($H$52:$H$54,"verwiesen")=COUNTA($H$52:$H$54),"ja","teilweise"))))))</f>
        <v>Bitte Teilanforderungen ausfüllen</v>
      </c>
      <c r="I51" s="12"/>
      <c r="J51" s="12"/>
      <c r="K51" s="12"/>
      <c r="L51" s="12"/>
      <c r="M51" s="12" t="s">
        <v>72</v>
      </c>
      <c r="N51" s="5" t="s">
        <v>4429</v>
      </c>
      <c r="O51" s="12" t="s">
        <v>524</v>
      </c>
      <c r="P51" s="5" t="s">
        <v>4430</v>
      </c>
      <c r="Q51" s="12" t="s">
        <v>687</v>
      </c>
      <c r="R51" s="12" t="s">
        <v>4305</v>
      </c>
      <c r="S51" s="5" t="s">
        <v>4431</v>
      </c>
      <c r="T51" s="5" t="s">
        <v>306</v>
      </c>
      <c r="U51" s="12" t="n">
        <v>2</v>
      </c>
      <c r="V51" s="12" t="n">
        <v>2</v>
      </c>
      <c r="W51" s="12" t="n">
        <v>1</v>
      </c>
      <c r="X51" s="12" t="n">
        <v>1</v>
      </c>
      <c r="Y51" s="12" t="n">
        <v>0</v>
      </c>
    </row>
    <row r="52" customFormat="false" ht="122.25" hidden="false" customHeight="true" outlineLevel="0" collapsed="false">
      <c r="A52" s="12" t="s">
        <v>4427</v>
      </c>
      <c r="B52" s="5" t="s">
        <v>4428</v>
      </c>
      <c r="C52" s="12" t="s">
        <v>4427</v>
      </c>
      <c r="D52" s="12" t="s">
        <v>120</v>
      </c>
      <c r="E52" s="5" t="s">
        <v>4432</v>
      </c>
      <c r="F52" s="14"/>
      <c r="G52" s="14"/>
      <c r="H52" s="14" t="s">
        <v>87</v>
      </c>
      <c r="I52" s="14"/>
      <c r="J52" s="14"/>
      <c r="K52" s="14"/>
      <c r="L52" s="15"/>
      <c r="M52" s="12" t="s">
        <v>72</v>
      </c>
      <c r="N52" s="5" t="s">
        <v>4429</v>
      </c>
      <c r="O52" s="12" t="s">
        <v>524</v>
      </c>
      <c r="P52" s="5" t="s">
        <v>4430</v>
      </c>
      <c r="Q52" s="12" t="s">
        <v>687</v>
      </c>
      <c r="R52" s="12" t="s">
        <v>4305</v>
      </c>
      <c r="S52" s="5" t="s">
        <v>4431</v>
      </c>
      <c r="T52" s="5" t="s">
        <v>306</v>
      </c>
      <c r="U52" s="12" t="n">
        <v>2</v>
      </c>
      <c r="V52" s="12" t="n">
        <v>2</v>
      </c>
      <c r="W52" s="12" t="n">
        <v>1</v>
      </c>
      <c r="X52" s="12" t="n">
        <v>1</v>
      </c>
      <c r="Y52" s="12" t="n">
        <v>0</v>
      </c>
    </row>
    <row r="53" customFormat="false" ht="270" hidden="false" customHeight="true" outlineLevel="0" collapsed="false">
      <c r="A53" s="12" t="s">
        <v>4427</v>
      </c>
      <c r="B53" s="5" t="s">
        <v>4428</v>
      </c>
      <c r="C53" s="12" t="s">
        <v>4433</v>
      </c>
      <c r="D53" s="12" t="s">
        <v>120</v>
      </c>
      <c r="E53" s="5" t="s">
        <v>4434</v>
      </c>
      <c r="F53" s="14"/>
      <c r="G53" s="14"/>
      <c r="H53" s="14" t="s">
        <v>87</v>
      </c>
      <c r="I53" s="14"/>
      <c r="J53" s="14"/>
      <c r="K53" s="14"/>
      <c r="L53" s="15"/>
      <c r="M53" s="12" t="s">
        <v>73</v>
      </c>
      <c r="N53" s="5" t="s">
        <v>973</v>
      </c>
      <c r="O53" s="12" t="s">
        <v>524</v>
      </c>
      <c r="P53" s="5" t="s">
        <v>4435</v>
      </c>
      <c r="Q53" s="12" t="s">
        <v>687</v>
      </c>
      <c r="R53" s="12" t="s">
        <v>4305</v>
      </c>
      <c r="S53" s="5" t="s">
        <v>4436</v>
      </c>
      <c r="T53" s="5" t="s">
        <v>306</v>
      </c>
      <c r="U53" s="12" t="n">
        <v>2</v>
      </c>
      <c r="V53" s="12" t="n">
        <v>1</v>
      </c>
      <c r="W53" s="12" t="n">
        <v>2</v>
      </c>
      <c r="X53" s="12" t="n">
        <v>1</v>
      </c>
      <c r="Y53" s="12" t="n">
        <v>0</v>
      </c>
    </row>
    <row r="54" customFormat="false" ht="95.25" hidden="false" customHeight="true" outlineLevel="0" collapsed="false">
      <c r="A54" s="12" t="s">
        <v>4427</v>
      </c>
      <c r="B54" s="5" t="s">
        <v>4428</v>
      </c>
      <c r="C54" s="12" t="s">
        <v>4437</v>
      </c>
      <c r="D54" s="12" t="s">
        <v>120</v>
      </c>
      <c r="E54" s="5" t="s">
        <v>4438</v>
      </c>
      <c r="F54" s="14"/>
      <c r="G54" s="14"/>
      <c r="H54" s="14" t="s">
        <v>87</v>
      </c>
      <c r="I54" s="14"/>
      <c r="J54" s="14"/>
      <c r="K54" s="14"/>
      <c r="L54" s="15"/>
      <c r="M54" s="12"/>
      <c r="N54" s="5" t="s">
        <v>4439</v>
      </c>
      <c r="O54" s="12" t="s">
        <v>524</v>
      </c>
      <c r="P54" s="5" t="s">
        <v>4440</v>
      </c>
      <c r="Q54" s="12" t="s">
        <v>836</v>
      </c>
      <c r="R54" s="12" t="s">
        <v>4305</v>
      </c>
      <c r="S54" s="5" t="s">
        <v>4441</v>
      </c>
      <c r="T54" s="5" t="s">
        <v>306</v>
      </c>
      <c r="U54" s="12" t="n">
        <v>2</v>
      </c>
      <c r="V54" s="12" t="n">
        <v>1</v>
      </c>
      <c r="W54" s="12" t="n">
        <v>1</v>
      </c>
      <c r="X54" s="12" t="n">
        <v>1</v>
      </c>
      <c r="Y54" s="12" t="n">
        <v>0</v>
      </c>
    </row>
  </sheetData>
  <autoFilter ref="A6:Y6"/>
  <conditionalFormatting sqref="H7:H54">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H22 H24 H26 H28 H30 H32 H34 H36:H37 H39 H41 H43:H44 H46 H48 H50 H52:H54"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604</v>
      </c>
      <c r="B3" s="7" t="s">
        <v>605</v>
      </c>
    </row>
    <row r="4" customFormat="false" ht="15" hidden="false" customHeight="true" outlineLevel="0" collapsed="false">
      <c r="A4" s="4" t="s">
        <v>50</v>
      </c>
      <c r="B4" s="8" t="str">
        <f aca="false">IF(Praktiken!D18="","",Praktiken!D18)</f>
        <v/>
      </c>
    </row>
    <row r="5" customFormat="false" ht="15" hidden="false" customHeight="true" outlineLevel="0" collapsed="false">
      <c r="A5" s="4" t="s">
        <v>51</v>
      </c>
      <c r="B5" s="8" t="str">
        <f aca="false">IF(Praktiken!S18="","",Praktiken!S18)</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4442</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4443</v>
      </c>
      <c r="O7" s="12" t="s">
        <v>217</v>
      </c>
      <c r="P7" s="5" t="s">
        <v>4444</v>
      </c>
      <c r="Q7" s="12"/>
      <c r="R7" s="12" t="s">
        <v>4445</v>
      </c>
      <c r="S7" s="5" t="s">
        <v>4446</v>
      </c>
      <c r="T7" s="5" t="s">
        <v>306</v>
      </c>
      <c r="U7" s="12" t="n">
        <v>0</v>
      </c>
      <c r="V7" s="12" t="n">
        <v>1</v>
      </c>
      <c r="W7" s="12" t="n">
        <v>1</v>
      </c>
      <c r="X7" s="12" t="n">
        <v>1</v>
      </c>
      <c r="Y7" s="12" t="n">
        <v>0</v>
      </c>
    </row>
    <row r="8" customFormat="false" ht="216" hidden="false" customHeight="true" outlineLevel="0" collapsed="false">
      <c r="A8" s="12" t="s">
        <v>4442</v>
      </c>
      <c r="B8" s="5" t="s">
        <v>77</v>
      </c>
      <c r="C8" s="12" t="s">
        <v>4447</v>
      </c>
      <c r="D8" s="12" t="s">
        <v>78</v>
      </c>
      <c r="E8" s="5" t="s">
        <v>4448</v>
      </c>
      <c r="F8" s="14"/>
      <c r="G8" s="14"/>
      <c r="H8" s="14" t="s">
        <v>87</v>
      </c>
      <c r="I8" s="14"/>
      <c r="J8" s="14"/>
      <c r="K8" s="14"/>
      <c r="L8" s="15"/>
      <c r="M8" s="12" t="s">
        <v>74</v>
      </c>
      <c r="N8" s="5"/>
      <c r="O8" s="12"/>
      <c r="P8" s="5" t="s">
        <v>624</v>
      </c>
      <c r="Q8" s="12"/>
      <c r="R8" s="12" t="s">
        <v>92</v>
      </c>
      <c r="S8" s="5" t="s">
        <v>93</v>
      </c>
      <c r="T8" s="5" t="s">
        <v>625</v>
      </c>
      <c r="U8" s="12" t="n">
        <v>0</v>
      </c>
      <c r="V8" s="12" t="n">
        <v>1</v>
      </c>
      <c r="W8" s="12" t="n">
        <v>1</v>
      </c>
      <c r="X8" s="12" t="n">
        <v>2</v>
      </c>
      <c r="Y8" s="12" t="n">
        <v>1</v>
      </c>
    </row>
    <row r="9" customFormat="false" ht="336.75" hidden="false" customHeight="true" outlineLevel="0" collapsed="false">
      <c r="A9" s="12" t="s">
        <v>4442</v>
      </c>
      <c r="B9" s="5" t="s">
        <v>77</v>
      </c>
      <c r="C9" s="12" t="s">
        <v>4449</v>
      </c>
      <c r="D9" s="12" t="s">
        <v>78</v>
      </c>
      <c r="E9" s="5" t="s">
        <v>4450</v>
      </c>
      <c r="F9" s="14"/>
      <c r="G9" s="14"/>
      <c r="H9" s="14" t="s">
        <v>87</v>
      </c>
      <c r="I9" s="14"/>
      <c r="J9" s="14"/>
      <c r="K9" s="14"/>
      <c r="L9" s="15"/>
      <c r="M9" s="12"/>
      <c r="N9" s="5" t="s">
        <v>4451</v>
      </c>
      <c r="O9" s="12" t="s">
        <v>303</v>
      </c>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4442</v>
      </c>
      <c r="B10" s="5" t="s">
        <v>77</v>
      </c>
      <c r="C10" s="12" t="s">
        <v>4452</v>
      </c>
      <c r="D10" s="12" t="s">
        <v>78</v>
      </c>
      <c r="E10" s="5" t="s">
        <v>4453</v>
      </c>
      <c r="F10" s="14"/>
      <c r="G10" s="14"/>
      <c r="H10" s="14" t="s">
        <v>87</v>
      </c>
      <c r="I10" s="14"/>
      <c r="J10" s="14"/>
      <c r="K10" s="14"/>
      <c r="L10" s="15"/>
      <c r="M10" s="12" t="s">
        <v>73</v>
      </c>
      <c r="N10" s="5"/>
      <c r="O10" s="12"/>
      <c r="P10" s="5" t="s">
        <v>1386</v>
      </c>
      <c r="Q10" s="12"/>
      <c r="R10" s="12" t="s">
        <v>92</v>
      </c>
      <c r="S10" s="5" t="s">
        <v>108</v>
      </c>
      <c r="T10" s="5" t="s">
        <v>102</v>
      </c>
      <c r="U10" s="12" t="n">
        <v>0</v>
      </c>
      <c r="V10" s="12" t="n">
        <v>1</v>
      </c>
      <c r="W10" s="12" t="n">
        <v>2</v>
      </c>
      <c r="X10" s="12" t="n">
        <v>1</v>
      </c>
      <c r="Y10" s="12" t="n">
        <v>0</v>
      </c>
    </row>
    <row r="11" customFormat="false" ht="189" hidden="false" customHeight="true" outlineLevel="0" collapsed="false">
      <c r="A11" s="10" t="s">
        <v>4454</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t="s">
        <v>4455</v>
      </c>
      <c r="O11" s="12" t="s">
        <v>264</v>
      </c>
      <c r="P11" s="5" t="s">
        <v>2855</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4454</v>
      </c>
      <c r="B12" s="5" t="s">
        <v>111</v>
      </c>
      <c r="C12" s="12" t="s">
        <v>4454</v>
      </c>
      <c r="D12" s="12" t="s">
        <v>78</v>
      </c>
      <c r="E12" s="5" t="s">
        <v>4456</v>
      </c>
      <c r="F12" s="14"/>
      <c r="G12" s="14"/>
      <c r="H12" s="14" t="s">
        <v>87</v>
      </c>
      <c r="I12" s="14"/>
      <c r="J12" s="14"/>
      <c r="K12" s="14"/>
      <c r="L12" s="15"/>
      <c r="M12" s="12"/>
      <c r="N12" s="5" t="s">
        <v>4455</v>
      </c>
      <c r="O12" s="12" t="s">
        <v>264</v>
      </c>
      <c r="P12" s="5" t="s">
        <v>2855</v>
      </c>
      <c r="Q12" s="12"/>
      <c r="R12" s="12" t="s">
        <v>115</v>
      </c>
      <c r="S12" s="5" t="s">
        <v>93</v>
      </c>
      <c r="T12" s="5" t="s">
        <v>306</v>
      </c>
      <c r="U12" s="12" t="n">
        <v>0</v>
      </c>
      <c r="V12" s="12" t="n">
        <v>1</v>
      </c>
      <c r="W12" s="12" t="n">
        <v>1</v>
      </c>
      <c r="X12" s="12" t="n">
        <v>1</v>
      </c>
      <c r="Y12" s="12" t="n">
        <v>0</v>
      </c>
    </row>
    <row r="13" customFormat="false" ht="189" hidden="false" customHeight="true" outlineLevel="0" collapsed="false">
      <c r="A13" s="10" t="s">
        <v>4457</v>
      </c>
      <c r="B13" s="11" t="s">
        <v>4458</v>
      </c>
      <c r="C13" s="12"/>
      <c r="D13" s="12" t="s">
        <v>160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4459</v>
      </c>
      <c r="Q13" s="12"/>
      <c r="R13" s="12" t="s">
        <v>4083</v>
      </c>
      <c r="S13" s="5" t="s">
        <v>4460</v>
      </c>
      <c r="T13" s="5" t="s">
        <v>306</v>
      </c>
      <c r="U13" s="12" t="n">
        <v>5</v>
      </c>
      <c r="V13" s="12" t="n">
        <v>1</v>
      </c>
      <c r="W13" s="12" t="n">
        <v>1</v>
      </c>
      <c r="X13" s="12" t="n">
        <v>1</v>
      </c>
      <c r="Y13" s="12" t="n">
        <v>0</v>
      </c>
    </row>
    <row r="14" customFormat="false" ht="189" hidden="false" customHeight="true" outlineLevel="0" collapsed="false">
      <c r="A14" s="12" t="s">
        <v>4457</v>
      </c>
      <c r="B14" s="5" t="s">
        <v>4458</v>
      </c>
      <c r="C14" s="12" t="s">
        <v>4457</v>
      </c>
      <c r="D14" s="12" t="s">
        <v>160</v>
      </c>
      <c r="E14" s="5" t="s">
        <v>4461</v>
      </c>
      <c r="F14" s="14"/>
      <c r="G14" s="14"/>
      <c r="H14" s="14" t="s">
        <v>87</v>
      </c>
      <c r="I14" s="14"/>
      <c r="J14" s="14"/>
      <c r="K14" s="14"/>
      <c r="L14" s="15"/>
      <c r="M14" s="12"/>
      <c r="N14" s="5"/>
      <c r="O14" s="12"/>
      <c r="P14" s="5" t="s">
        <v>4459</v>
      </c>
      <c r="Q14" s="12"/>
      <c r="R14" s="12" t="s">
        <v>4083</v>
      </c>
      <c r="S14" s="5" t="s">
        <v>4460</v>
      </c>
      <c r="T14" s="5" t="s">
        <v>306</v>
      </c>
      <c r="U14" s="12" t="n">
        <v>5</v>
      </c>
      <c r="V14" s="12" t="n">
        <v>1</v>
      </c>
      <c r="W14" s="12" t="n">
        <v>1</v>
      </c>
      <c r="X14" s="12" t="n">
        <v>1</v>
      </c>
      <c r="Y14" s="12" t="n">
        <v>0</v>
      </c>
    </row>
    <row r="15" customFormat="false" ht="189" hidden="false" customHeight="true" outlineLevel="0" collapsed="false">
      <c r="A15" s="10" t="s">
        <v>4462</v>
      </c>
      <c r="B15" s="11" t="s">
        <v>4463</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4464</v>
      </c>
      <c r="Q15" s="12"/>
      <c r="R15" s="12" t="s">
        <v>4465</v>
      </c>
      <c r="S15" s="5" t="s">
        <v>4466</v>
      </c>
      <c r="T15" s="5" t="s">
        <v>4467</v>
      </c>
      <c r="U15" s="12" t="n">
        <v>2</v>
      </c>
      <c r="V15" s="12" t="n">
        <v>1</v>
      </c>
      <c r="W15" s="12" t="n">
        <v>1</v>
      </c>
      <c r="X15" s="12" t="n">
        <v>1</v>
      </c>
      <c r="Y15" s="12" t="n">
        <v>0</v>
      </c>
    </row>
    <row r="16" customFormat="false" ht="189" hidden="false" customHeight="true" outlineLevel="0" collapsed="false">
      <c r="A16" s="12" t="s">
        <v>4462</v>
      </c>
      <c r="B16" s="5" t="s">
        <v>4463</v>
      </c>
      <c r="C16" s="12" t="s">
        <v>4462</v>
      </c>
      <c r="D16" s="12" t="s">
        <v>120</v>
      </c>
      <c r="E16" s="5" t="s">
        <v>4468</v>
      </c>
      <c r="F16" s="14"/>
      <c r="G16" s="14"/>
      <c r="H16" s="14" t="s">
        <v>87</v>
      </c>
      <c r="I16" s="14"/>
      <c r="J16" s="14"/>
      <c r="K16" s="14"/>
      <c r="L16" s="15"/>
      <c r="M16" s="12"/>
      <c r="N16" s="5"/>
      <c r="O16" s="12"/>
      <c r="P16" s="5" t="s">
        <v>4464</v>
      </c>
      <c r="Q16" s="12"/>
      <c r="R16" s="12" t="s">
        <v>4465</v>
      </c>
      <c r="S16" s="5" t="s">
        <v>4466</v>
      </c>
      <c r="T16" s="5" t="s">
        <v>4467</v>
      </c>
      <c r="U16" s="12" t="n">
        <v>2</v>
      </c>
      <c r="V16" s="12" t="n">
        <v>1</v>
      </c>
      <c r="W16" s="12" t="n">
        <v>1</v>
      </c>
      <c r="X16" s="12" t="n">
        <v>1</v>
      </c>
      <c r="Y16" s="12" t="n">
        <v>0</v>
      </c>
    </row>
    <row r="17" customFormat="false" ht="68.25" hidden="false" customHeight="true" outlineLevel="0" collapsed="false">
      <c r="A17" s="10" t="s">
        <v>4469</v>
      </c>
      <c r="B17" s="11" t="s">
        <v>4470</v>
      </c>
      <c r="C17" s="12"/>
      <c r="D17" s="12" t="s">
        <v>160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73</v>
      </c>
      <c r="N17" s="5"/>
      <c r="O17" s="12"/>
      <c r="P17" s="5" t="s">
        <v>4471</v>
      </c>
      <c r="Q17" s="12"/>
      <c r="R17" s="12" t="s">
        <v>282</v>
      </c>
      <c r="S17" s="5" t="s">
        <v>4472</v>
      </c>
      <c r="T17" s="5" t="s">
        <v>4467</v>
      </c>
      <c r="U17" s="12" t="n">
        <v>4</v>
      </c>
      <c r="V17" s="12" t="n">
        <v>1</v>
      </c>
      <c r="W17" s="12" t="n">
        <v>2</v>
      </c>
      <c r="X17" s="12" t="n">
        <v>1</v>
      </c>
      <c r="Y17" s="12" t="n">
        <v>0</v>
      </c>
    </row>
    <row r="18" customFormat="false" ht="68.25" hidden="false" customHeight="true" outlineLevel="0" collapsed="false">
      <c r="A18" s="12" t="s">
        <v>4469</v>
      </c>
      <c r="B18" s="5" t="s">
        <v>4470</v>
      </c>
      <c r="C18" s="12" t="s">
        <v>4469</v>
      </c>
      <c r="D18" s="12" t="s">
        <v>160</v>
      </c>
      <c r="E18" s="5" t="s">
        <v>4473</v>
      </c>
      <c r="F18" s="14"/>
      <c r="G18" s="14"/>
      <c r="H18" s="14" t="s">
        <v>87</v>
      </c>
      <c r="I18" s="14"/>
      <c r="J18" s="14"/>
      <c r="K18" s="14"/>
      <c r="L18" s="15"/>
      <c r="M18" s="12" t="s">
        <v>73</v>
      </c>
      <c r="N18" s="5"/>
      <c r="O18" s="12"/>
      <c r="P18" s="5" t="s">
        <v>4471</v>
      </c>
      <c r="Q18" s="12"/>
      <c r="R18" s="12" t="s">
        <v>282</v>
      </c>
      <c r="S18" s="5" t="s">
        <v>4472</v>
      </c>
      <c r="T18" s="5" t="s">
        <v>4467</v>
      </c>
      <c r="U18" s="12" t="n">
        <v>4</v>
      </c>
      <c r="V18" s="12" t="n">
        <v>1</v>
      </c>
      <c r="W18" s="12" t="n">
        <v>2</v>
      </c>
      <c r="X18" s="12" t="n">
        <v>1</v>
      </c>
      <c r="Y18" s="12" t="n">
        <v>0</v>
      </c>
    </row>
    <row r="19" customFormat="false" ht="243" hidden="false" customHeight="true" outlineLevel="0" collapsed="false">
      <c r="A19" s="10" t="s">
        <v>4474</v>
      </c>
      <c r="B19" s="11" t="s">
        <v>4475</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t="s">
        <v>4476</v>
      </c>
      <c r="O19" s="12" t="s">
        <v>1169</v>
      </c>
      <c r="P19" s="5" t="s">
        <v>4477</v>
      </c>
      <c r="Q19" s="12"/>
      <c r="R19" s="12" t="s">
        <v>4465</v>
      </c>
      <c r="S19" s="5" t="s">
        <v>4478</v>
      </c>
      <c r="T19" s="5" t="s">
        <v>4479</v>
      </c>
      <c r="U19" s="12" t="n">
        <v>3</v>
      </c>
      <c r="V19" s="12" t="n">
        <v>1</v>
      </c>
      <c r="W19" s="12" t="n">
        <v>1</v>
      </c>
      <c r="X19" s="12" t="n">
        <v>1</v>
      </c>
      <c r="Y19" s="12" t="n">
        <v>1</v>
      </c>
    </row>
    <row r="20" customFormat="false" ht="243" hidden="false" customHeight="true" outlineLevel="0" collapsed="false">
      <c r="A20" s="12" t="s">
        <v>4474</v>
      </c>
      <c r="B20" s="5" t="s">
        <v>4475</v>
      </c>
      <c r="C20" s="12" t="s">
        <v>4474</v>
      </c>
      <c r="D20" s="12" t="s">
        <v>120</v>
      </c>
      <c r="E20" s="5" t="s">
        <v>4480</v>
      </c>
      <c r="F20" s="14"/>
      <c r="G20" s="14"/>
      <c r="H20" s="14" t="s">
        <v>87</v>
      </c>
      <c r="I20" s="14"/>
      <c r="J20" s="14"/>
      <c r="K20" s="14"/>
      <c r="L20" s="15"/>
      <c r="M20" s="12"/>
      <c r="N20" s="5" t="s">
        <v>4476</v>
      </c>
      <c r="O20" s="12" t="s">
        <v>1169</v>
      </c>
      <c r="P20" s="5" t="s">
        <v>4477</v>
      </c>
      <c r="Q20" s="12"/>
      <c r="R20" s="12" t="s">
        <v>4465</v>
      </c>
      <c r="S20" s="5" t="s">
        <v>4478</v>
      </c>
      <c r="T20" s="5" t="s">
        <v>4479</v>
      </c>
      <c r="U20" s="12" t="n">
        <v>3</v>
      </c>
      <c r="V20" s="12" t="n">
        <v>1</v>
      </c>
      <c r="W20" s="12" t="n">
        <v>1</v>
      </c>
      <c r="X20" s="12" t="n">
        <v>1</v>
      </c>
      <c r="Y20" s="12" t="n">
        <v>1</v>
      </c>
    </row>
    <row r="21" customFormat="false" ht="229.5" hidden="false" customHeight="true" outlineLevel="0" collapsed="false">
      <c r="A21" s="10" t="s">
        <v>4481</v>
      </c>
      <c r="B21" s="11" t="s">
        <v>4482</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4483</v>
      </c>
      <c r="Q21" s="12"/>
      <c r="R21" s="12" t="s">
        <v>4465</v>
      </c>
      <c r="S21" s="5" t="s">
        <v>4484</v>
      </c>
      <c r="T21" s="5" t="s">
        <v>4467</v>
      </c>
      <c r="U21" s="12" t="n">
        <v>3</v>
      </c>
      <c r="V21" s="12" t="n">
        <v>1</v>
      </c>
      <c r="W21" s="12" t="n">
        <v>1</v>
      </c>
      <c r="X21" s="12" t="n">
        <v>1</v>
      </c>
      <c r="Y21" s="12" t="n">
        <v>0</v>
      </c>
    </row>
    <row r="22" customFormat="false" ht="229.5" hidden="false" customHeight="true" outlineLevel="0" collapsed="false">
      <c r="A22" s="12" t="s">
        <v>4481</v>
      </c>
      <c r="B22" s="5" t="s">
        <v>4482</v>
      </c>
      <c r="C22" s="12" t="s">
        <v>4481</v>
      </c>
      <c r="D22" s="12" t="s">
        <v>120</v>
      </c>
      <c r="E22" s="5" t="s">
        <v>4485</v>
      </c>
      <c r="F22" s="14"/>
      <c r="G22" s="14"/>
      <c r="H22" s="14" t="s">
        <v>87</v>
      </c>
      <c r="I22" s="14"/>
      <c r="J22" s="14"/>
      <c r="K22" s="14"/>
      <c r="L22" s="15"/>
      <c r="M22" s="12"/>
      <c r="N22" s="5"/>
      <c r="O22" s="12"/>
      <c r="P22" s="5" t="s">
        <v>4483</v>
      </c>
      <c r="Q22" s="12"/>
      <c r="R22" s="12" t="s">
        <v>4465</v>
      </c>
      <c r="S22" s="5" t="s">
        <v>4484</v>
      </c>
      <c r="T22" s="5" t="s">
        <v>4467</v>
      </c>
      <c r="U22" s="12" t="n">
        <v>3</v>
      </c>
      <c r="V22" s="12" t="n">
        <v>1</v>
      </c>
      <c r="W22" s="12" t="n">
        <v>1</v>
      </c>
      <c r="X22" s="12" t="n">
        <v>1</v>
      </c>
      <c r="Y22" s="12" t="n">
        <v>0</v>
      </c>
    </row>
    <row r="23" customFormat="false" ht="175.5" hidden="false" customHeight="true" outlineLevel="0" collapsed="false">
      <c r="A23" s="10" t="s">
        <v>4486</v>
      </c>
      <c r="B23" s="11" t="s">
        <v>4487</v>
      </c>
      <c r="C23" s="12"/>
      <c r="D23" s="12" t="s">
        <v>160</v>
      </c>
      <c r="E23" s="5" t="s">
        <v>79</v>
      </c>
      <c r="F23" s="12"/>
      <c r="G23" s="12"/>
      <c r="H23" s="13" t="str">
        <f aca="false">IF(OR(COUNTBLANK($H$24:$H$27)&gt;0,COUNTIF($H$24:$H$27,"unbearbeitet")=COUNTA($H$24:$H$27)),"Bitte Teilanforderungen ausfüllen",IF(COUNTIF($H$24:$H$27,"zu klären")&gt;0,"zu klären",IF(COUNTIF($H$24:$H$27,"entbehrlich")=COUNTA($H$24:$H$27),"entbehrlich",IF(COUNTIF($H$24:$H$27,"verwiesen")=COUNTA($H$24:$H$27),"verwiesen",IF(COUNTIF($H$24:$H$27,"nein")+COUNTIF($H$24:$H$27,"entbehrlich")=COUNTA($H$24:$H$27),"nein",IF(COUNTIF($H$24:$H$27,"ja")+COUNTIF($H$24:$H$27,"entbehrlich")+COUNTIF($H$24:$H$27,"verwiesen")=COUNTA($H$24:$H$27),"ja","teilweise"))))))</f>
        <v>Bitte Teilanforderungen ausfüllen</v>
      </c>
      <c r="I23" s="12"/>
      <c r="J23" s="12"/>
      <c r="K23" s="12"/>
      <c r="L23" s="12"/>
      <c r="M23" s="12"/>
      <c r="N23" s="5"/>
      <c r="O23" s="12"/>
      <c r="P23" s="5" t="s">
        <v>4488</v>
      </c>
      <c r="Q23" s="12"/>
      <c r="R23" s="12" t="s">
        <v>4465</v>
      </c>
      <c r="S23" s="5" t="s">
        <v>4489</v>
      </c>
      <c r="T23" s="5" t="s">
        <v>4490</v>
      </c>
      <c r="U23" s="12" t="n">
        <v>3</v>
      </c>
      <c r="V23" s="12" t="n">
        <v>1</v>
      </c>
      <c r="W23" s="12" t="n">
        <v>1</v>
      </c>
      <c r="X23" s="12" t="n">
        <v>1</v>
      </c>
      <c r="Y23" s="12" t="n">
        <v>0</v>
      </c>
    </row>
    <row r="24" customFormat="false" ht="175.5" hidden="false" customHeight="true" outlineLevel="0" collapsed="false">
      <c r="A24" s="12" t="s">
        <v>4486</v>
      </c>
      <c r="B24" s="5" t="s">
        <v>4487</v>
      </c>
      <c r="C24" s="12" t="s">
        <v>4486</v>
      </c>
      <c r="D24" s="12" t="s">
        <v>160</v>
      </c>
      <c r="E24" s="5" t="s">
        <v>4491</v>
      </c>
      <c r="F24" s="14"/>
      <c r="G24" s="14"/>
      <c r="H24" s="14" t="s">
        <v>87</v>
      </c>
      <c r="I24" s="14"/>
      <c r="J24" s="14"/>
      <c r="K24" s="14"/>
      <c r="L24" s="15"/>
      <c r="M24" s="12"/>
      <c r="N24" s="5"/>
      <c r="O24" s="12"/>
      <c r="P24" s="5" t="s">
        <v>4488</v>
      </c>
      <c r="Q24" s="12"/>
      <c r="R24" s="12" t="s">
        <v>4465</v>
      </c>
      <c r="S24" s="5" t="s">
        <v>4489</v>
      </c>
      <c r="T24" s="5" t="s">
        <v>4490</v>
      </c>
      <c r="U24" s="12" t="n">
        <v>3</v>
      </c>
      <c r="V24" s="12" t="n">
        <v>1</v>
      </c>
      <c r="W24" s="12" t="n">
        <v>1</v>
      </c>
      <c r="X24" s="12" t="n">
        <v>1</v>
      </c>
      <c r="Y24" s="12" t="n">
        <v>0</v>
      </c>
    </row>
    <row r="25" customFormat="false" ht="149.25" hidden="false" customHeight="true" outlineLevel="0" collapsed="false">
      <c r="A25" s="12" t="s">
        <v>4486</v>
      </c>
      <c r="B25" s="5" t="s">
        <v>4487</v>
      </c>
      <c r="C25" s="12" t="s">
        <v>4492</v>
      </c>
      <c r="D25" s="12" t="s">
        <v>120</v>
      </c>
      <c r="E25" s="5" t="s">
        <v>4493</v>
      </c>
      <c r="F25" s="14"/>
      <c r="G25" s="14"/>
      <c r="H25" s="14" t="s">
        <v>87</v>
      </c>
      <c r="I25" s="14"/>
      <c r="J25" s="14"/>
      <c r="K25" s="14"/>
      <c r="L25" s="15"/>
      <c r="M25" s="12" t="s">
        <v>73</v>
      </c>
      <c r="N25" s="5" t="s">
        <v>4494</v>
      </c>
      <c r="O25" s="12" t="s">
        <v>272</v>
      </c>
      <c r="P25" s="5" t="s">
        <v>4495</v>
      </c>
      <c r="Q25" s="12"/>
      <c r="R25" s="12" t="s">
        <v>4465</v>
      </c>
      <c r="S25" s="5" t="s">
        <v>4496</v>
      </c>
      <c r="T25" s="5" t="s">
        <v>4497</v>
      </c>
      <c r="U25" s="12" t="n">
        <v>3</v>
      </c>
      <c r="V25" s="12" t="n">
        <v>1</v>
      </c>
      <c r="W25" s="12" t="n">
        <v>2</v>
      </c>
      <c r="X25" s="12" t="n">
        <v>1</v>
      </c>
      <c r="Y25" s="12" t="n">
        <v>0</v>
      </c>
    </row>
    <row r="26" customFormat="false" ht="135.75" hidden="false" customHeight="true" outlineLevel="0" collapsed="false">
      <c r="A26" s="12" t="s">
        <v>4486</v>
      </c>
      <c r="B26" s="5" t="s">
        <v>4487</v>
      </c>
      <c r="C26" s="12" t="s">
        <v>4498</v>
      </c>
      <c r="D26" s="12" t="s">
        <v>160</v>
      </c>
      <c r="E26" s="5" t="s">
        <v>4499</v>
      </c>
      <c r="F26" s="14"/>
      <c r="G26" s="14"/>
      <c r="H26" s="14" t="s">
        <v>87</v>
      </c>
      <c r="I26" s="14"/>
      <c r="J26" s="14"/>
      <c r="K26" s="14"/>
      <c r="L26" s="15"/>
      <c r="M26" s="12" t="s">
        <v>73</v>
      </c>
      <c r="N26" s="5"/>
      <c r="O26" s="12"/>
      <c r="P26" s="5" t="s">
        <v>4500</v>
      </c>
      <c r="Q26" s="12"/>
      <c r="R26" s="12" t="s">
        <v>4465</v>
      </c>
      <c r="S26" s="5" t="s">
        <v>4501</v>
      </c>
      <c r="T26" s="5" t="s">
        <v>4497</v>
      </c>
      <c r="U26" s="12" t="n">
        <v>5</v>
      </c>
      <c r="V26" s="12" t="n">
        <v>1</v>
      </c>
      <c r="W26" s="12" t="n">
        <v>2</v>
      </c>
      <c r="X26" s="12" t="n">
        <v>1</v>
      </c>
      <c r="Y26" s="12" t="n">
        <v>0</v>
      </c>
    </row>
    <row r="27" customFormat="false" ht="81.75" hidden="false" customHeight="true" outlineLevel="0" collapsed="false">
      <c r="A27" s="12" t="s">
        <v>4486</v>
      </c>
      <c r="B27" s="5" t="s">
        <v>4487</v>
      </c>
      <c r="C27" s="12" t="s">
        <v>4502</v>
      </c>
      <c r="D27" s="12" t="s">
        <v>160</v>
      </c>
      <c r="E27" s="5" t="s">
        <v>4503</v>
      </c>
      <c r="F27" s="14"/>
      <c r="G27" s="14"/>
      <c r="H27" s="14" t="s">
        <v>87</v>
      </c>
      <c r="I27" s="14"/>
      <c r="J27" s="14"/>
      <c r="K27" s="14"/>
      <c r="L27" s="15"/>
      <c r="M27" s="12"/>
      <c r="N27" s="5"/>
      <c r="O27" s="12"/>
      <c r="P27" s="5" t="s">
        <v>4504</v>
      </c>
      <c r="Q27" s="12"/>
      <c r="R27" s="12" t="s">
        <v>1393</v>
      </c>
      <c r="S27" s="5" t="s">
        <v>4505</v>
      </c>
      <c r="T27" s="5" t="s">
        <v>4497</v>
      </c>
      <c r="U27" s="12" t="n">
        <v>5</v>
      </c>
      <c r="V27" s="12" t="n">
        <v>1</v>
      </c>
      <c r="W27" s="12" t="n">
        <v>1</v>
      </c>
      <c r="X27" s="12" t="n">
        <v>1</v>
      </c>
      <c r="Y27" s="12" t="n">
        <v>0</v>
      </c>
    </row>
    <row r="28" customFormat="false" ht="175.5" hidden="false" customHeight="true" outlineLevel="0" collapsed="false">
      <c r="A28" s="10" t="s">
        <v>4506</v>
      </c>
      <c r="B28" s="11" t="s">
        <v>4507</v>
      </c>
      <c r="C28" s="12"/>
      <c r="D28" s="12" t="s">
        <v>120</v>
      </c>
      <c r="E28" s="5" t="s">
        <v>79</v>
      </c>
      <c r="F28" s="12"/>
      <c r="G28" s="12"/>
      <c r="H28" s="13" t="str">
        <f aca="false">IF(OR(COUNTBLANK($H$29:$H$35)&gt;0,COUNTIF($H$29:$H$35,"unbearbeitet")=COUNTA($H$29:$H$35)),"Bitte Teilanforderungen ausfüllen",IF(COUNTIF($H$29:$H$35,"zu klären")&gt;0,"zu klären",IF(COUNTIF($H$29:$H$35,"entbehrlich")=COUNTA($H$29:$H$35),"entbehrlich",IF(COUNTIF($H$29:$H$35,"verwiesen")=COUNTA($H$29:$H$35),"verwiesen",IF(COUNTIF($H$29:$H$35,"nein")+COUNTIF($H$29:$H$35,"entbehrlich")=COUNTA($H$29:$H$35),"nein",IF(COUNTIF($H$29:$H$35,"ja")+COUNTIF($H$29:$H$35,"entbehrlich")+COUNTIF($H$29:$H$35,"verwiesen")=COUNTA($H$29:$H$35),"ja","teilweise"))))))</f>
        <v>Bitte Teilanforderungen ausfüllen</v>
      </c>
      <c r="I28" s="12"/>
      <c r="J28" s="12"/>
      <c r="K28" s="12"/>
      <c r="L28" s="12"/>
      <c r="M28" s="12"/>
      <c r="N28" s="5" t="s">
        <v>4508</v>
      </c>
      <c r="O28" s="12" t="s">
        <v>272</v>
      </c>
      <c r="P28" s="5" t="s">
        <v>4509</v>
      </c>
      <c r="Q28" s="12"/>
      <c r="R28" s="12" t="s">
        <v>688</v>
      </c>
      <c r="S28" s="5" t="s">
        <v>4510</v>
      </c>
      <c r="T28" s="5" t="s">
        <v>4467</v>
      </c>
      <c r="U28" s="12" t="n">
        <v>2</v>
      </c>
      <c r="V28" s="12" t="n">
        <v>1</v>
      </c>
      <c r="W28" s="12" t="n">
        <v>1</v>
      </c>
      <c r="X28" s="12" t="n">
        <v>1</v>
      </c>
      <c r="Y28" s="12" t="n">
        <v>0</v>
      </c>
    </row>
    <row r="29" customFormat="false" ht="175.5" hidden="false" customHeight="true" outlineLevel="0" collapsed="false">
      <c r="A29" s="12" t="s">
        <v>4506</v>
      </c>
      <c r="B29" s="5" t="s">
        <v>4507</v>
      </c>
      <c r="C29" s="12" t="s">
        <v>4506</v>
      </c>
      <c r="D29" s="12" t="s">
        <v>120</v>
      </c>
      <c r="E29" s="5" t="s">
        <v>4511</v>
      </c>
      <c r="F29" s="14"/>
      <c r="G29" s="14"/>
      <c r="H29" s="14" t="s">
        <v>87</v>
      </c>
      <c r="I29" s="14"/>
      <c r="J29" s="14"/>
      <c r="K29" s="14"/>
      <c r="L29" s="15"/>
      <c r="M29" s="12"/>
      <c r="N29" s="5" t="s">
        <v>4508</v>
      </c>
      <c r="O29" s="12" t="s">
        <v>272</v>
      </c>
      <c r="P29" s="5" t="s">
        <v>4509</v>
      </c>
      <c r="Q29" s="12"/>
      <c r="R29" s="12" t="s">
        <v>688</v>
      </c>
      <c r="S29" s="5" t="s">
        <v>4510</v>
      </c>
      <c r="T29" s="5" t="s">
        <v>4467</v>
      </c>
      <c r="U29" s="12" t="n">
        <v>2</v>
      </c>
      <c r="V29" s="12" t="n">
        <v>1</v>
      </c>
      <c r="W29" s="12" t="n">
        <v>1</v>
      </c>
      <c r="X29" s="12" t="n">
        <v>1</v>
      </c>
      <c r="Y29" s="12" t="n">
        <v>0</v>
      </c>
    </row>
    <row r="30" customFormat="false" ht="68.25" hidden="false" customHeight="true" outlineLevel="0" collapsed="false">
      <c r="A30" s="12" t="s">
        <v>4506</v>
      </c>
      <c r="B30" s="5" t="s">
        <v>4507</v>
      </c>
      <c r="C30" s="12" t="s">
        <v>4512</v>
      </c>
      <c r="D30" s="12" t="s">
        <v>120</v>
      </c>
      <c r="E30" s="5" t="s">
        <v>4513</v>
      </c>
      <c r="F30" s="14"/>
      <c r="G30" s="14"/>
      <c r="H30" s="14" t="s">
        <v>87</v>
      </c>
      <c r="I30" s="14"/>
      <c r="J30" s="14"/>
      <c r="K30" s="14"/>
      <c r="L30" s="15"/>
      <c r="M30" s="12"/>
      <c r="N30" s="5"/>
      <c r="O30" s="12"/>
      <c r="P30" s="5"/>
      <c r="Q30" s="12"/>
      <c r="R30" s="12" t="s">
        <v>4465</v>
      </c>
      <c r="S30" s="5" t="s">
        <v>4514</v>
      </c>
      <c r="T30" s="5" t="s">
        <v>4515</v>
      </c>
      <c r="U30" s="12" t="n">
        <v>3</v>
      </c>
      <c r="V30" s="12" t="n">
        <v>1</v>
      </c>
      <c r="W30" s="12" t="n">
        <v>1</v>
      </c>
      <c r="X30" s="12" t="n">
        <v>1</v>
      </c>
      <c r="Y30" s="12" t="n">
        <v>0</v>
      </c>
    </row>
    <row r="31" customFormat="false" ht="149.25" hidden="false" customHeight="true" outlineLevel="0" collapsed="false">
      <c r="A31" s="12" t="s">
        <v>4506</v>
      </c>
      <c r="B31" s="5" t="s">
        <v>4507</v>
      </c>
      <c r="C31" s="12" t="s">
        <v>4516</v>
      </c>
      <c r="D31" s="12" t="s">
        <v>120</v>
      </c>
      <c r="E31" s="5" t="s">
        <v>4517</v>
      </c>
      <c r="F31" s="14"/>
      <c r="G31" s="14"/>
      <c r="H31" s="14" t="s">
        <v>87</v>
      </c>
      <c r="I31" s="14"/>
      <c r="J31" s="14"/>
      <c r="K31" s="14"/>
      <c r="L31" s="15"/>
      <c r="M31" s="12"/>
      <c r="N31" s="5" t="s">
        <v>4518</v>
      </c>
      <c r="O31" s="12" t="s">
        <v>272</v>
      </c>
      <c r="P31" s="5" t="s">
        <v>4519</v>
      </c>
      <c r="Q31" s="12"/>
      <c r="R31" s="12" t="s">
        <v>4465</v>
      </c>
      <c r="S31" s="5" t="s">
        <v>4520</v>
      </c>
      <c r="T31" s="5" t="s">
        <v>4497</v>
      </c>
      <c r="U31" s="12" t="n">
        <v>3</v>
      </c>
      <c r="V31" s="12" t="n">
        <v>1</v>
      </c>
      <c r="W31" s="12" t="n">
        <v>1</v>
      </c>
      <c r="X31" s="12" t="n">
        <v>1</v>
      </c>
      <c r="Y31" s="12" t="n">
        <v>0</v>
      </c>
    </row>
    <row r="32" customFormat="false" ht="41.25" hidden="false" customHeight="true" outlineLevel="0" collapsed="false">
      <c r="A32" s="12" t="s">
        <v>4506</v>
      </c>
      <c r="B32" s="5" t="s">
        <v>4507</v>
      </c>
      <c r="C32" s="12" t="s">
        <v>4521</v>
      </c>
      <c r="D32" s="12" t="s">
        <v>120</v>
      </c>
      <c r="E32" s="5" t="s">
        <v>4522</v>
      </c>
      <c r="F32" s="14"/>
      <c r="G32" s="14"/>
      <c r="H32" s="14" t="s">
        <v>87</v>
      </c>
      <c r="I32" s="14"/>
      <c r="J32" s="14"/>
      <c r="K32" s="14"/>
      <c r="L32" s="15"/>
      <c r="M32" s="12"/>
      <c r="N32" s="5"/>
      <c r="O32" s="12"/>
      <c r="P32" s="5"/>
      <c r="Q32" s="12"/>
      <c r="R32" s="12" t="s">
        <v>4465</v>
      </c>
      <c r="S32" s="5" t="s">
        <v>4523</v>
      </c>
      <c r="T32" s="5" t="s">
        <v>4497</v>
      </c>
      <c r="U32" s="12" t="n">
        <v>3</v>
      </c>
      <c r="V32" s="12" t="n">
        <v>1</v>
      </c>
      <c r="W32" s="12" t="n">
        <v>1</v>
      </c>
      <c r="X32" s="12" t="n">
        <v>1</v>
      </c>
      <c r="Y32" s="12" t="n">
        <v>0</v>
      </c>
    </row>
    <row r="33" customFormat="false" ht="81.75" hidden="false" customHeight="true" outlineLevel="0" collapsed="false">
      <c r="A33" s="12" t="s">
        <v>4506</v>
      </c>
      <c r="B33" s="5" t="s">
        <v>4507</v>
      </c>
      <c r="C33" s="12" t="s">
        <v>4524</v>
      </c>
      <c r="D33" s="12" t="s">
        <v>120</v>
      </c>
      <c r="E33" s="5" t="s">
        <v>4525</v>
      </c>
      <c r="F33" s="14"/>
      <c r="G33" s="14"/>
      <c r="H33" s="14" t="s">
        <v>87</v>
      </c>
      <c r="I33" s="14"/>
      <c r="J33" s="14"/>
      <c r="K33" s="14"/>
      <c r="L33" s="15"/>
      <c r="M33" s="12"/>
      <c r="N33" s="5" t="s">
        <v>4451</v>
      </c>
      <c r="O33" s="12" t="s">
        <v>524</v>
      </c>
      <c r="P33" s="5" t="s">
        <v>4526</v>
      </c>
      <c r="Q33" s="12"/>
      <c r="R33" s="12" t="s">
        <v>4465</v>
      </c>
      <c r="S33" s="5" t="s">
        <v>4527</v>
      </c>
      <c r="T33" s="5" t="s">
        <v>4467</v>
      </c>
      <c r="U33" s="12" t="n">
        <v>3</v>
      </c>
      <c r="V33" s="12" t="n">
        <v>1</v>
      </c>
      <c r="W33" s="12" t="n">
        <v>1</v>
      </c>
      <c r="X33" s="12" t="n">
        <v>1</v>
      </c>
      <c r="Y33" s="12" t="n">
        <v>0</v>
      </c>
    </row>
    <row r="34" customFormat="false" ht="68.25" hidden="false" customHeight="true" outlineLevel="0" collapsed="false">
      <c r="A34" s="12" t="s">
        <v>4506</v>
      </c>
      <c r="B34" s="5" t="s">
        <v>4507</v>
      </c>
      <c r="C34" s="12" t="s">
        <v>4528</v>
      </c>
      <c r="D34" s="12" t="s">
        <v>160</v>
      </c>
      <c r="E34" s="5" t="s">
        <v>4529</v>
      </c>
      <c r="F34" s="14"/>
      <c r="G34" s="14"/>
      <c r="H34" s="14" t="s">
        <v>87</v>
      </c>
      <c r="I34" s="14"/>
      <c r="J34" s="14"/>
      <c r="K34" s="14"/>
      <c r="L34" s="15"/>
      <c r="M34" s="12"/>
      <c r="N34" s="5"/>
      <c r="O34" s="12"/>
      <c r="P34" s="5" t="s">
        <v>4530</v>
      </c>
      <c r="Q34" s="12"/>
      <c r="R34" s="12" t="s">
        <v>4465</v>
      </c>
      <c r="S34" s="5" t="s">
        <v>4531</v>
      </c>
      <c r="T34" s="5" t="s">
        <v>4497</v>
      </c>
      <c r="U34" s="12" t="n">
        <v>5</v>
      </c>
      <c r="V34" s="12" t="n">
        <v>1</v>
      </c>
      <c r="W34" s="12" t="n">
        <v>1</v>
      </c>
      <c r="X34" s="12" t="n">
        <v>1</v>
      </c>
      <c r="Y34" s="12" t="n">
        <v>0</v>
      </c>
    </row>
    <row r="35" customFormat="false" ht="336.75" hidden="false" customHeight="true" outlineLevel="0" collapsed="false">
      <c r="A35" s="12" t="s">
        <v>4506</v>
      </c>
      <c r="B35" s="5" t="s">
        <v>4507</v>
      </c>
      <c r="C35" s="12" t="s">
        <v>4532</v>
      </c>
      <c r="D35" s="12" t="s">
        <v>120</v>
      </c>
      <c r="E35" s="5" t="s">
        <v>4533</v>
      </c>
      <c r="F35" s="14"/>
      <c r="G35" s="14"/>
      <c r="H35" s="14" t="s">
        <v>87</v>
      </c>
      <c r="I35" s="14"/>
      <c r="J35" s="14"/>
      <c r="K35" s="14"/>
      <c r="L35" s="15"/>
      <c r="M35" s="12"/>
      <c r="N35" s="5"/>
      <c r="O35" s="12"/>
      <c r="P35" s="5" t="s">
        <v>4534</v>
      </c>
      <c r="Q35" s="12"/>
      <c r="R35" s="12" t="s">
        <v>4465</v>
      </c>
      <c r="S35" s="5" t="s">
        <v>4535</v>
      </c>
      <c r="T35" s="5" t="s">
        <v>4467</v>
      </c>
      <c r="U35" s="12" t="n">
        <v>4</v>
      </c>
      <c r="V35" s="12" t="n">
        <v>1</v>
      </c>
      <c r="W35" s="12" t="n">
        <v>1</v>
      </c>
      <c r="X35" s="12" t="n">
        <v>1</v>
      </c>
      <c r="Y35" s="12" t="n">
        <v>0</v>
      </c>
    </row>
    <row r="36" customFormat="false" ht="377.25" hidden="false" customHeight="true" outlineLevel="0" collapsed="false">
      <c r="A36" s="10" t="s">
        <v>4536</v>
      </c>
      <c r="B36" s="11" t="s">
        <v>4537</v>
      </c>
      <c r="C36" s="12"/>
      <c r="D36" s="12" t="s">
        <v>120</v>
      </c>
      <c r="E36" s="5" t="s">
        <v>79</v>
      </c>
      <c r="F36" s="12"/>
      <c r="G36" s="12"/>
      <c r="H36" s="13" t="str">
        <f aca="false">IF(OR(COUNTBLANK($H$37:$H$38)&gt;0,COUNTIF($H$37:$H$38,"unbearbeitet")=COUNTA($H$37:$H$38)),"Bitte Teilanforderungen ausfüllen",IF(COUNTIF($H$37:$H$38,"zu klären")&gt;0,"zu klären",IF(COUNTIF($H$37:$H$38,"entbehrlich")=COUNTA($H$37:$H$38),"entbehrlich",IF(COUNTIF($H$37:$H$38,"verwiesen")=COUNTA($H$37:$H$38),"verwiesen",IF(COUNTIF($H$37:$H$38,"nein")+COUNTIF($H$37:$H$38,"entbehrlich")=COUNTA($H$37:$H$38),"nein",IF(COUNTIF($H$37:$H$38,"ja")+COUNTIF($H$37:$H$38,"entbehrlich")+COUNTIF($H$37:$H$38,"verwiesen")=COUNTA($H$37:$H$38),"ja","teilweise"))))))</f>
        <v>Bitte Teilanforderungen ausfüllen</v>
      </c>
      <c r="I36" s="12"/>
      <c r="J36" s="12"/>
      <c r="K36" s="12"/>
      <c r="L36" s="12"/>
      <c r="M36" s="12"/>
      <c r="N36" s="5"/>
      <c r="O36" s="12"/>
      <c r="P36" s="5" t="s">
        <v>4538</v>
      </c>
      <c r="Q36" s="12"/>
      <c r="R36" s="12" t="s">
        <v>4465</v>
      </c>
      <c r="S36" s="5" t="s">
        <v>4539</v>
      </c>
      <c r="T36" s="5" t="s">
        <v>306</v>
      </c>
      <c r="U36" s="12" t="n">
        <v>3</v>
      </c>
      <c r="V36" s="12" t="n">
        <v>1</v>
      </c>
      <c r="W36" s="12" t="n">
        <v>1</v>
      </c>
      <c r="X36" s="12" t="n">
        <v>1</v>
      </c>
      <c r="Y36" s="12" t="n">
        <v>0</v>
      </c>
    </row>
    <row r="37" customFormat="false" ht="377.25" hidden="false" customHeight="true" outlineLevel="0" collapsed="false">
      <c r="A37" s="12" t="s">
        <v>4536</v>
      </c>
      <c r="B37" s="5" t="s">
        <v>4537</v>
      </c>
      <c r="C37" s="12" t="s">
        <v>4536</v>
      </c>
      <c r="D37" s="12" t="s">
        <v>120</v>
      </c>
      <c r="E37" s="5" t="s">
        <v>4540</v>
      </c>
      <c r="F37" s="14"/>
      <c r="G37" s="14"/>
      <c r="H37" s="14" t="s">
        <v>87</v>
      </c>
      <c r="I37" s="14"/>
      <c r="J37" s="14"/>
      <c r="K37" s="14"/>
      <c r="L37" s="15"/>
      <c r="M37" s="12"/>
      <c r="N37" s="5"/>
      <c r="O37" s="12"/>
      <c r="P37" s="5" t="s">
        <v>4538</v>
      </c>
      <c r="Q37" s="12"/>
      <c r="R37" s="12" t="s">
        <v>4465</v>
      </c>
      <c r="S37" s="5" t="s">
        <v>4539</v>
      </c>
      <c r="T37" s="5" t="s">
        <v>306</v>
      </c>
      <c r="U37" s="12" t="n">
        <v>3</v>
      </c>
      <c r="V37" s="12" t="n">
        <v>1</v>
      </c>
      <c r="W37" s="12" t="n">
        <v>1</v>
      </c>
      <c r="X37" s="12" t="n">
        <v>1</v>
      </c>
      <c r="Y37" s="12" t="n">
        <v>0</v>
      </c>
    </row>
    <row r="38" customFormat="false" ht="256.5" hidden="false" customHeight="true" outlineLevel="0" collapsed="false">
      <c r="A38" s="12" t="s">
        <v>4536</v>
      </c>
      <c r="B38" s="5" t="s">
        <v>4537</v>
      </c>
      <c r="C38" s="12" t="s">
        <v>4541</v>
      </c>
      <c r="D38" s="12" t="s">
        <v>120</v>
      </c>
      <c r="E38" s="5" t="s">
        <v>4542</v>
      </c>
      <c r="F38" s="14"/>
      <c r="G38" s="14"/>
      <c r="H38" s="14" t="s">
        <v>87</v>
      </c>
      <c r="I38" s="14"/>
      <c r="J38" s="14"/>
      <c r="K38" s="14"/>
      <c r="L38" s="15"/>
      <c r="M38" s="12"/>
      <c r="N38" s="5"/>
      <c r="O38" s="12"/>
      <c r="P38" s="5" t="s">
        <v>4543</v>
      </c>
      <c r="Q38" s="12"/>
      <c r="R38" s="12" t="s">
        <v>4465</v>
      </c>
      <c r="S38" s="5" t="s">
        <v>4544</v>
      </c>
      <c r="T38" s="5" t="s">
        <v>306</v>
      </c>
      <c r="U38" s="12" t="n">
        <v>4</v>
      </c>
      <c r="V38" s="12" t="n">
        <v>1</v>
      </c>
      <c r="W38" s="12" t="n">
        <v>1</v>
      </c>
      <c r="X38" s="12" t="n">
        <v>1</v>
      </c>
      <c r="Y38" s="12" t="n">
        <v>0</v>
      </c>
    </row>
  </sheetData>
  <autoFilter ref="A6:Y6"/>
  <conditionalFormatting sqref="H7:H3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 H22 H24:H27 H29:H35 H37:H3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606</v>
      </c>
      <c r="B3" s="7" t="s">
        <v>607</v>
      </c>
    </row>
    <row r="4" customFormat="false" ht="15" hidden="false" customHeight="true" outlineLevel="0" collapsed="false">
      <c r="A4" s="4" t="s">
        <v>50</v>
      </c>
      <c r="B4" s="8" t="str">
        <f aca="false">IF(Praktiken!D19="","",Praktiken!D19)</f>
        <v/>
      </c>
    </row>
    <row r="5" customFormat="false" ht="15" hidden="false" customHeight="true" outlineLevel="0" collapsed="false">
      <c r="A5" s="4" t="s">
        <v>51</v>
      </c>
      <c r="B5" s="8" t="str">
        <f aca="false">IF(Praktiken!S19="","",Praktiken!S19)</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41.25" hidden="false" customHeight="true" outlineLevel="0" collapsed="false">
      <c r="A7" s="10" t="s">
        <v>4545</v>
      </c>
      <c r="B7" s="11" t="s">
        <v>2838</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4546</v>
      </c>
      <c r="Q7" s="12"/>
      <c r="R7" s="12" t="s">
        <v>4547</v>
      </c>
      <c r="S7" s="5" t="s">
        <v>4548</v>
      </c>
      <c r="T7" s="5"/>
      <c r="U7" s="12" t="n">
        <v>0</v>
      </c>
      <c r="V7" s="12"/>
      <c r="W7" s="12"/>
      <c r="X7" s="12"/>
      <c r="Y7" s="12"/>
    </row>
    <row r="8" customFormat="false" ht="41.25" hidden="false" customHeight="true" outlineLevel="0" collapsed="false">
      <c r="A8" s="12" t="s">
        <v>4545</v>
      </c>
      <c r="B8" s="5" t="s">
        <v>2838</v>
      </c>
      <c r="C8" s="12" t="s">
        <v>4545</v>
      </c>
      <c r="D8" s="12" t="s">
        <v>78</v>
      </c>
      <c r="E8" s="5" t="s">
        <v>4549</v>
      </c>
      <c r="F8" s="14"/>
      <c r="G8" s="14"/>
      <c r="H8" s="14" t="s">
        <v>87</v>
      </c>
      <c r="I8" s="14"/>
      <c r="J8" s="14"/>
      <c r="K8" s="14"/>
      <c r="L8" s="15"/>
      <c r="M8" s="12"/>
      <c r="N8" s="5"/>
      <c r="O8" s="12"/>
      <c r="P8" s="5" t="s">
        <v>4546</v>
      </c>
      <c r="Q8" s="12"/>
      <c r="R8" s="12" t="s">
        <v>4547</v>
      </c>
      <c r="S8" s="5" t="s">
        <v>4548</v>
      </c>
      <c r="T8" s="5"/>
      <c r="U8" s="12" t="n">
        <v>0</v>
      </c>
      <c r="V8" s="12"/>
      <c r="W8" s="12"/>
      <c r="X8" s="12"/>
      <c r="Y8" s="12"/>
    </row>
    <row r="9" customFormat="false" ht="41.25" hidden="false" customHeight="true" outlineLevel="0" collapsed="false">
      <c r="A9" s="10" t="s">
        <v>4550</v>
      </c>
      <c r="B9" s="11" t="s">
        <v>4551</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4552</v>
      </c>
      <c r="Q9" s="12"/>
      <c r="R9" s="12" t="s">
        <v>4547</v>
      </c>
      <c r="S9" s="5" t="s">
        <v>4553</v>
      </c>
      <c r="T9" s="5"/>
      <c r="U9" s="12" t="n">
        <v>0</v>
      </c>
      <c r="V9" s="12"/>
      <c r="W9" s="12"/>
      <c r="X9" s="12"/>
      <c r="Y9" s="12"/>
    </row>
    <row r="10" customFormat="false" ht="41.25" hidden="false" customHeight="true" outlineLevel="0" collapsed="false">
      <c r="A10" s="12" t="s">
        <v>4550</v>
      </c>
      <c r="B10" s="5" t="s">
        <v>4551</v>
      </c>
      <c r="C10" s="12" t="s">
        <v>4550</v>
      </c>
      <c r="D10" s="12" t="s">
        <v>78</v>
      </c>
      <c r="E10" s="5" t="s">
        <v>4554</v>
      </c>
      <c r="F10" s="14"/>
      <c r="G10" s="14"/>
      <c r="H10" s="14" t="s">
        <v>87</v>
      </c>
      <c r="I10" s="14"/>
      <c r="J10" s="14"/>
      <c r="K10" s="14"/>
      <c r="L10" s="15"/>
      <c r="M10" s="12"/>
      <c r="N10" s="5"/>
      <c r="O10" s="12"/>
      <c r="P10" s="5" t="s">
        <v>4552</v>
      </c>
      <c r="Q10" s="12"/>
      <c r="R10" s="12" t="s">
        <v>4547</v>
      </c>
      <c r="S10" s="5" t="s">
        <v>4553</v>
      </c>
      <c r="T10" s="5"/>
      <c r="U10" s="12" t="n">
        <v>0</v>
      </c>
      <c r="V10" s="12"/>
      <c r="W10" s="12"/>
      <c r="X10" s="12"/>
      <c r="Y10" s="12"/>
    </row>
    <row r="11" customFormat="false" ht="27.75" hidden="false" customHeight="true" outlineLevel="0" collapsed="false">
      <c r="A11" s="10" t="s">
        <v>4555</v>
      </c>
      <c r="B11" s="11" t="s">
        <v>4556</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4557</v>
      </c>
      <c r="Q11" s="12"/>
      <c r="R11" s="12" t="s">
        <v>4547</v>
      </c>
      <c r="S11" s="5" t="s">
        <v>4558</v>
      </c>
      <c r="T11" s="5"/>
      <c r="U11" s="12" t="n">
        <v>0</v>
      </c>
      <c r="V11" s="12"/>
      <c r="W11" s="12"/>
      <c r="X11" s="12"/>
      <c r="Y11" s="12"/>
    </row>
    <row r="12" customFormat="false" ht="27.75" hidden="false" customHeight="true" outlineLevel="0" collapsed="false">
      <c r="A12" s="12" t="s">
        <v>4555</v>
      </c>
      <c r="B12" s="5" t="s">
        <v>4556</v>
      </c>
      <c r="C12" s="12" t="s">
        <v>4555</v>
      </c>
      <c r="D12" s="12" t="s">
        <v>78</v>
      </c>
      <c r="E12" s="5" t="s">
        <v>4559</v>
      </c>
      <c r="F12" s="14"/>
      <c r="G12" s="14"/>
      <c r="H12" s="14" t="s">
        <v>87</v>
      </c>
      <c r="I12" s="14"/>
      <c r="J12" s="14"/>
      <c r="K12" s="14"/>
      <c r="L12" s="15"/>
      <c r="M12" s="12"/>
      <c r="N12" s="5"/>
      <c r="O12" s="12"/>
      <c r="P12" s="5" t="s">
        <v>4557</v>
      </c>
      <c r="Q12" s="12"/>
      <c r="R12" s="12" t="s">
        <v>4547</v>
      </c>
      <c r="S12" s="5" t="s">
        <v>4558</v>
      </c>
      <c r="T12" s="5"/>
      <c r="U12" s="12" t="n">
        <v>0</v>
      </c>
      <c r="V12" s="12"/>
      <c r="W12" s="12"/>
      <c r="X12" s="12"/>
      <c r="Y12" s="12"/>
    </row>
    <row r="13" customFormat="false" ht="149.25" hidden="false" customHeight="true" outlineLevel="0" collapsed="false">
      <c r="A13" s="10" t="s">
        <v>4560</v>
      </c>
      <c r="B13" s="11" t="s">
        <v>4561</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4562</v>
      </c>
      <c r="Q13" s="12"/>
      <c r="R13" s="12" t="s">
        <v>4563</v>
      </c>
      <c r="S13" s="5" t="s">
        <v>4564</v>
      </c>
      <c r="T13" s="5"/>
      <c r="U13" s="12" t="n">
        <v>0</v>
      </c>
      <c r="V13" s="12"/>
      <c r="W13" s="12"/>
      <c r="X13" s="12"/>
      <c r="Y13" s="12"/>
    </row>
    <row r="14" customFormat="false" ht="149.25" hidden="false" customHeight="true" outlineLevel="0" collapsed="false">
      <c r="A14" s="12" t="s">
        <v>4560</v>
      </c>
      <c r="B14" s="5" t="s">
        <v>4561</v>
      </c>
      <c r="C14" s="12" t="s">
        <v>4560</v>
      </c>
      <c r="D14" s="12" t="s">
        <v>78</v>
      </c>
      <c r="E14" s="5" t="s">
        <v>4565</v>
      </c>
      <c r="F14" s="14"/>
      <c r="G14" s="14"/>
      <c r="H14" s="14" t="s">
        <v>87</v>
      </c>
      <c r="I14" s="14"/>
      <c r="J14" s="14"/>
      <c r="K14" s="14"/>
      <c r="L14" s="15"/>
      <c r="M14" s="12"/>
      <c r="N14" s="5"/>
      <c r="O14" s="12"/>
      <c r="P14" s="5" t="s">
        <v>4562</v>
      </c>
      <c r="Q14" s="12"/>
      <c r="R14" s="12" t="s">
        <v>4563</v>
      </c>
      <c r="S14" s="5" t="s">
        <v>4564</v>
      </c>
      <c r="T14" s="5"/>
      <c r="U14" s="12" t="n">
        <v>0</v>
      </c>
      <c r="V14" s="12"/>
      <c r="W14" s="12"/>
      <c r="X14" s="12"/>
      <c r="Y14" s="12"/>
    </row>
  </sheetData>
  <autoFilter ref="A6:Y6"/>
  <conditionalFormatting sqref="H7:H14">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608</v>
      </c>
      <c r="B3" s="7" t="s">
        <v>609</v>
      </c>
    </row>
    <row r="4" customFormat="false" ht="15" hidden="false" customHeight="true" outlineLevel="0" collapsed="false">
      <c r="A4" s="4" t="s">
        <v>50</v>
      </c>
      <c r="B4" s="8" t="str">
        <f aca="false">IF(Praktiken!D20="","",Praktiken!D20)</f>
        <v/>
      </c>
    </row>
    <row r="5" customFormat="false" ht="15" hidden="false" customHeight="true" outlineLevel="0" collapsed="false">
      <c r="A5" s="4" t="s">
        <v>51</v>
      </c>
      <c r="B5" s="8" t="str">
        <f aca="false">IF(Praktiken!S20="","",Praktiken!S20)</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216" hidden="false" customHeight="true" outlineLevel="0" collapsed="false">
      <c r="A7" s="10" t="s">
        <v>4566</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t="s">
        <v>72</v>
      </c>
      <c r="N7" s="5" t="s">
        <v>4567</v>
      </c>
      <c r="O7" s="12" t="s">
        <v>524</v>
      </c>
      <c r="P7" s="5" t="s">
        <v>4568</v>
      </c>
      <c r="Q7" s="12"/>
      <c r="R7" s="12"/>
      <c r="S7" s="5" t="s">
        <v>4569</v>
      </c>
      <c r="T7" s="5" t="s">
        <v>306</v>
      </c>
      <c r="U7" s="12" t="n">
        <v>0</v>
      </c>
      <c r="V7" s="12" t="n">
        <v>2</v>
      </c>
      <c r="W7" s="12" t="n">
        <v>1</v>
      </c>
      <c r="X7" s="12" t="n">
        <v>1</v>
      </c>
      <c r="Y7" s="12" t="n">
        <v>0</v>
      </c>
    </row>
    <row r="8" customFormat="false" ht="216" hidden="false" customHeight="true" outlineLevel="0" collapsed="false">
      <c r="A8" s="12" t="s">
        <v>4566</v>
      </c>
      <c r="B8" s="5" t="s">
        <v>77</v>
      </c>
      <c r="C8" s="12" t="s">
        <v>4570</v>
      </c>
      <c r="D8" s="12" t="s">
        <v>78</v>
      </c>
      <c r="E8" s="5" t="s">
        <v>4571</v>
      </c>
      <c r="F8" s="14"/>
      <c r="G8" s="14"/>
      <c r="H8" s="14" t="s">
        <v>87</v>
      </c>
      <c r="I8" s="14"/>
      <c r="J8" s="14"/>
      <c r="K8" s="14"/>
      <c r="L8" s="15"/>
      <c r="M8" s="12" t="s">
        <v>74</v>
      </c>
      <c r="N8" s="5"/>
      <c r="O8" s="12"/>
      <c r="P8" s="5" t="s">
        <v>624</v>
      </c>
      <c r="Q8" s="12"/>
      <c r="R8" s="12" t="s">
        <v>92</v>
      </c>
      <c r="S8" s="5" t="s">
        <v>93</v>
      </c>
      <c r="T8" s="5" t="s">
        <v>625</v>
      </c>
      <c r="U8" s="12" t="n">
        <v>0</v>
      </c>
      <c r="V8" s="12" t="n">
        <v>1</v>
      </c>
      <c r="W8" s="12" t="n">
        <v>1</v>
      </c>
      <c r="X8" s="12" t="n">
        <v>2</v>
      </c>
      <c r="Y8" s="12" t="n">
        <v>1</v>
      </c>
    </row>
    <row r="9" customFormat="false" ht="336.75" hidden="false" customHeight="true" outlineLevel="0" collapsed="false">
      <c r="A9" s="12" t="s">
        <v>4566</v>
      </c>
      <c r="B9" s="5" t="s">
        <v>77</v>
      </c>
      <c r="C9" s="12" t="s">
        <v>4572</v>
      </c>
      <c r="D9" s="12" t="s">
        <v>78</v>
      </c>
      <c r="E9" s="5" t="s">
        <v>4573</v>
      </c>
      <c r="F9" s="14"/>
      <c r="G9" s="14"/>
      <c r="H9" s="14" t="s">
        <v>87</v>
      </c>
      <c r="I9" s="14"/>
      <c r="J9" s="14"/>
      <c r="K9" s="14"/>
      <c r="L9" s="15"/>
      <c r="M9" s="12"/>
      <c r="N9" s="5"/>
      <c r="O9" s="12"/>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4566</v>
      </c>
      <c r="B10" s="5" t="s">
        <v>77</v>
      </c>
      <c r="C10" s="12" t="s">
        <v>4574</v>
      </c>
      <c r="D10" s="12" t="s">
        <v>78</v>
      </c>
      <c r="E10" s="5" t="s">
        <v>4575</v>
      </c>
      <c r="F10" s="14"/>
      <c r="G10" s="14"/>
      <c r="H10" s="14" t="s">
        <v>87</v>
      </c>
      <c r="I10" s="14"/>
      <c r="J10" s="14"/>
      <c r="K10" s="14"/>
      <c r="L10" s="15"/>
      <c r="M10" s="12" t="s">
        <v>72</v>
      </c>
      <c r="N10" s="5"/>
      <c r="O10" s="12"/>
      <c r="P10" s="5" t="s">
        <v>1386</v>
      </c>
      <c r="Q10" s="12"/>
      <c r="R10" s="12" t="s">
        <v>92</v>
      </c>
      <c r="S10" s="5" t="s">
        <v>108</v>
      </c>
      <c r="T10" s="5" t="s">
        <v>102</v>
      </c>
      <c r="U10" s="12" t="n">
        <v>0</v>
      </c>
      <c r="V10" s="12" t="n">
        <v>2</v>
      </c>
      <c r="W10" s="12" t="n">
        <v>1</v>
      </c>
      <c r="X10" s="12" t="n">
        <v>1</v>
      </c>
      <c r="Y10" s="12" t="n">
        <v>0</v>
      </c>
    </row>
    <row r="11" customFormat="false" ht="68.25" hidden="false" customHeight="true" outlineLevel="0" collapsed="false">
      <c r="A11" s="10" t="s">
        <v>4576</v>
      </c>
      <c r="B11" s="11" t="s">
        <v>4577</v>
      </c>
      <c r="C11" s="12"/>
      <c r="D11" s="12" t="s">
        <v>120</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4578</v>
      </c>
      <c r="Q11" s="12"/>
      <c r="R11" s="12" t="s">
        <v>4083</v>
      </c>
      <c r="S11" s="5" t="s">
        <v>4579</v>
      </c>
      <c r="T11" s="5" t="s">
        <v>306</v>
      </c>
      <c r="U11" s="12" t="n">
        <v>3</v>
      </c>
      <c r="V11" s="12" t="n">
        <v>1</v>
      </c>
      <c r="W11" s="12" t="n">
        <v>1</v>
      </c>
      <c r="X11" s="12" t="n">
        <v>1</v>
      </c>
      <c r="Y11" s="12" t="n">
        <v>0</v>
      </c>
    </row>
    <row r="12" customFormat="false" ht="68.25" hidden="false" customHeight="true" outlineLevel="0" collapsed="false">
      <c r="A12" s="12" t="s">
        <v>4576</v>
      </c>
      <c r="B12" s="5" t="s">
        <v>4577</v>
      </c>
      <c r="C12" s="12" t="s">
        <v>4576</v>
      </c>
      <c r="D12" s="12" t="s">
        <v>120</v>
      </c>
      <c r="E12" s="5" t="s">
        <v>4580</v>
      </c>
      <c r="F12" s="14"/>
      <c r="G12" s="14"/>
      <c r="H12" s="14" t="s">
        <v>87</v>
      </c>
      <c r="I12" s="14"/>
      <c r="J12" s="14"/>
      <c r="K12" s="14"/>
      <c r="L12" s="15"/>
      <c r="M12" s="12"/>
      <c r="N12" s="5"/>
      <c r="O12" s="12"/>
      <c r="P12" s="5" t="s">
        <v>4578</v>
      </c>
      <c r="Q12" s="12"/>
      <c r="R12" s="12" t="s">
        <v>4083</v>
      </c>
      <c r="S12" s="5" t="s">
        <v>4579</v>
      </c>
      <c r="T12" s="5" t="s">
        <v>306</v>
      </c>
      <c r="U12" s="12" t="n">
        <v>3</v>
      </c>
      <c r="V12" s="12" t="n">
        <v>1</v>
      </c>
      <c r="W12" s="12" t="n">
        <v>1</v>
      </c>
      <c r="X12" s="12" t="n">
        <v>1</v>
      </c>
      <c r="Y12" s="12" t="n">
        <v>0</v>
      </c>
    </row>
    <row r="13" customFormat="false" ht="41.25" hidden="false" customHeight="true" outlineLevel="0" collapsed="false">
      <c r="A13" s="10" t="s">
        <v>4581</v>
      </c>
      <c r="B13" s="11" t="s">
        <v>4582</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4583</v>
      </c>
      <c r="Q13" s="12" t="s">
        <v>687</v>
      </c>
      <c r="R13" s="12" t="s">
        <v>4076</v>
      </c>
      <c r="S13" s="5" t="s">
        <v>4584</v>
      </c>
      <c r="T13" s="5" t="s">
        <v>4585</v>
      </c>
      <c r="U13" s="12" t="n">
        <v>1</v>
      </c>
      <c r="V13" s="12" t="n">
        <v>1</v>
      </c>
      <c r="W13" s="12" t="n">
        <v>1</v>
      </c>
      <c r="X13" s="12" t="n">
        <v>1</v>
      </c>
      <c r="Y13" s="12" t="n">
        <v>0</v>
      </c>
    </row>
    <row r="14" customFormat="false" ht="41.25" hidden="false" customHeight="true" outlineLevel="0" collapsed="false">
      <c r="A14" s="12" t="s">
        <v>4581</v>
      </c>
      <c r="B14" s="5" t="s">
        <v>4582</v>
      </c>
      <c r="C14" s="12" t="s">
        <v>4581</v>
      </c>
      <c r="D14" s="12" t="s">
        <v>120</v>
      </c>
      <c r="E14" s="5" t="s">
        <v>4586</v>
      </c>
      <c r="F14" s="14"/>
      <c r="G14" s="14"/>
      <c r="H14" s="14" t="s">
        <v>87</v>
      </c>
      <c r="I14" s="14"/>
      <c r="J14" s="14"/>
      <c r="K14" s="14"/>
      <c r="L14" s="15"/>
      <c r="M14" s="12"/>
      <c r="N14" s="5"/>
      <c r="O14" s="12"/>
      <c r="P14" s="5" t="s">
        <v>4583</v>
      </c>
      <c r="Q14" s="12" t="s">
        <v>687</v>
      </c>
      <c r="R14" s="12" t="s">
        <v>4076</v>
      </c>
      <c r="S14" s="5" t="s">
        <v>4584</v>
      </c>
      <c r="T14" s="5" t="s">
        <v>4585</v>
      </c>
      <c r="U14" s="12" t="n">
        <v>1</v>
      </c>
      <c r="V14" s="12" t="n">
        <v>1</v>
      </c>
      <c r="W14" s="12" t="n">
        <v>1</v>
      </c>
      <c r="X14" s="12" t="n">
        <v>1</v>
      </c>
      <c r="Y14" s="12" t="n">
        <v>0</v>
      </c>
    </row>
    <row r="15" customFormat="false" ht="68.25" hidden="false" customHeight="true" outlineLevel="0" collapsed="false">
      <c r="A15" s="10" t="s">
        <v>4587</v>
      </c>
      <c r="B15" s="11" t="s">
        <v>4588</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4589</v>
      </c>
      <c r="Q15" s="12" t="s">
        <v>687</v>
      </c>
      <c r="R15" s="12" t="s">
        <v>688</v>
      </c>
      <c r="S15" s="5" t="s">
        <v>4590</v>
      </c>
      <c r="T15" s="5" t="s">
        <v>4585</v>
      </c>
      <c r="U15" s="12" t="n">
        <v>2</v>
      </c>
      <c r="V15" s="12" t="n">
        <v>1</v>
      </c>
      <c r="W15" s="12" t="n">
        <v>1</v>
      </c>
      <c r="X15" s="12" t="n">
        <v>1</v>
      </c>
      <c r="Y15" s="12" t="n">
        <v>0</v>
      </c>
    </row>
    <row r="16" customFormat="false" ht="68.25" hidden="false" customHeight="true" outlineLevel="0" collapsed="false">
      <c r="A16" s="12" t="s">
        <v>4587</v>
      </c>
      <c r="B16" s="5" t="s">
        <v>4588</v>
      </c>
      <c r="C16" s="12" t="s">
        <v>4587</v>
      </c>
      <c r="D16" s="12" t="s">
        <v>120</v>
      </c>
      <c r="E16" s="5" t="s">
        <v>4591</v>
      </c>
      <c r="F16" s="14"/>
      <c r="G16" s="14"/>
      <c r="H16" s="14" t="s">
        <v>87</v>
      </c>
      <c r="I16" s="14"/>
      <c r="J16" s="14"/>
      <c r="K16" s="14"/>
      <c r="L16" s="15"/>
      <c r="M16" s="12"/>
      <c r="N16" s="5"/>
      <c r="O16" s="12"/>
      <c r="P16" s="5" t="s">
        <v>4589</v>
      </c>
      <c r="Q16" s="12" t="s">
        <v>687</v>
      </c>
      <c r="R16" s="12" t="s">
        <v>688</v>
      </c>
      <c r="S16" s="5" t="s">
        <v>4590</v>
      </c>
      <c r="T16" s="5" t="s">
        <v>4585</v>
      </c>
      <c r="U16" s="12" t="n">
        <v>2</v>
      </c>
      <c r="V16" s="12" t="n">
        <v>1</v>
      </c>
      <c r="W16" s="12" t="n">
        <v>1</v>
      </c>
      <c r="X16" s="12" t="n">
        <v>1</v>
      </c>
      <c r="Y16" s="12" t="n">
        <v>0</v>
      </c>
    </row>
    <row r="17" customFormat="false" ht="95.25" hidden="false" customHeight="true" outlineLevel="0" collapsed="false">
      <c r="A17" s="10" t="s">
        <v>4592</v>
      </c>
      <c r="B17" s="11" t="s">
        <v>4593</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72</v>
      </c>
      <c r="N17" s="5" t="s">
        <v>4594</v>
      </c>
      <c r="O17" s="12" t="s">
        <v>524</v>
      </c>
      <c r="P17" s="5" t="s">
        <v>4595</v>
      </c>
      <c r="Q17" s="12" t="s">
        <v>4596</v>
      </c>
      <c r="R17" s="12" t="s">
        <v>4076</v>
      </c>
      <c r="S17" s="5" t="s">
        <v>4597</v>
      </c>
      <c r="T17" s="5" t="s">
        <v>4585</v>
      </c>
      <c r="U17" s="12" t="n">
        <v>3</v>
      </c>
      <c r="V17" s="12" t="n">
        <v>2</v>
      </c>
      <c r="W17" s="12" t="n">
        <v>1</v>
      </c>
      <c r="X17" s="12" t="n">
        <v>1</v>
      </c>
      <c r="Y17" s="12" t="n">
        <v>0</v>
      </c>
    </row>
    <row r="18" customFormat="false" ht="95.25" hidden="false" customHeight="true" outlineLevel="0" collapsed="false">
      <c r="A18" s="12" t="s">
        <v>4592</v>
      </c>
      <c r="B18" s="5" t="s">
        <v>4593</v>
      </c>
      <c r="C18" s="12" t="s">
        <v>4592</v>
      </c>
      <c r="D18" s="12" t="s">
        <v>120</v>
      </c>
      <c r="E18" s="5" t="s">
        <v>4598</v>
      </c>
      <c r="F18" s="14"/>
      <c r="G18" s="14"/>
      <c r="H18" s="14" t="s">
        <v>87</v>
      </c>
      <c r="I18" s="14"/>
      <c r="J18" s="14"/>
      <c r="K18" s="14"/>
      <c r="L18" s="15"/>
      <c r="M18" s="12" t="s">
        <v>72</v>
      </c>
      <c r="N18" s="5" t="s">
        <v>4594</v>
      </c>
      <c r="O18" s="12" t="s">
        <v>524</v>
      </c>
      <c r="P18" s="5" t="s">
        <v>4595</v>
      </c>
      <c r="Q18" s="12" t="s">
        <v>4596</v>
      </c>
      <c r="R18" s="12" t="s">
        <v>4076</v>
      </c>
      <c r="S18" s="5" t="s">
        <v>4597</v>
      </c>
      <c r="T18" s="5" t="s">
        <v>4585</v>
      </c>
      <c r="U18" s="12" t="n">
        <v>3</v>
      </c>
      <c r="V18" s="12" t="n">
        <v>2</v>
      </c>
      <c r="W18" s="12" t="n">
        <v>1</v>
      </c>
      <c r="X18" s="12" t="n">
        <v>1</v>
      </c>
      <c r="Y18" s="12" t="n">
        <v>0</v>
      </c>
    </row>
    <row r="19" customFormat="false" ht="162" hidden="false" customHeight="true" outlineLevel="0" collapsed="false">
      <c r="A19" s="10" t="s">
        <v>4599</v>
      </c>
      <c r="B19" s="11" t="s">
        <v>4600</v>
      </c>
      <c r="C19" s="12"/>
      <c r="D19" s="12" t="s">
        <v>120</v>
      </c>
      <c r="E19" s="5" t="s">
        <v>79</v>
      </c>
      <c r="F19" s="12"/>
      <c r="G19" s="12"/>
      <c r="H19" s="13" t="str">
        <f aca="false">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2"/>
      <c r="J19" s="12"/>
      <c r="K19" s="12"/>
      <c r="L19" s="12"/>
      <c r="M19" s="12" t="s">
        <v>72</v>
      </c>
      <c r="N19" s="5"/>
      <c r="O19" s="12"/>
      <c r="P19" s="5" t="s">
        <v>4601</v>
      </c>
      <c r="Q19" s="12" t="s">
        <v>687</v>
      </c>
      <c r="R19" s="12" t="s">
        <v>688</v>
      </c>
      <c r="S19" s="5" t="s">
        <v>4602</v>
      </c>
      <c r="T19" s="5" t="s">
        <v>4585</v>
      </c>
      <c r="U19" s="12" t="n">
        <v>3</v>
      </c>
      <c r="V19" s="12" t="n">
        <v>2</v>
      </c>
      <c r="W19" s="12" t="n">
        <v>1</v>
      </c>
      <c r="X19" s="12" t="n">
        <v>1</v>
      </c>
      <c r="Y19" s="12" t="n">
        <v>0</v>
      </c>
    </row>
    <row r="20" customFormat="false" ht="162" hidden="false" customHeight="true" outlineLevel="0" collapsed="false">
      <c r="A20" s="12" t="s">
        <v>4599</v>
      </c>
      <c r="B20" s="5" t="s">
        <v>4600</v>
      </c>
      <c r="C20" s="12" t="s">
        <v>4599</v>
      </c>
      <c r="D20" s="12" t="s">
        <v>120</v>
      </c>
      <c r="E20" s="5" t="s">
        <v>4603</v>
      </c>
      <c r="F20" s="14"/>
      <c r="G20" s="14"/>
      <c r="H20" s="14" t="s">
        <v>87</v>
      </c>
      <c r="I20" s="14"/>
      <c r="J20" s="14"/>
      <c r="K20" s="14"/>
      <c r="L20" s="15"/>
      <c r="M20" s="12" t="s">
        <v>72</v>
      </c>
      <c r="N20" s="5"/>
      <c r="O20" s="12"/>
      <c r="P20" s="5" t="s">
        <v>4601</v>
      </c>
      <c r="Q20" s="12" t="s">
        <v>687</v>
      </c>
      <c r="R20" s="12" t="s">
        <v>688</v>
      </c>
      <c r="S20" s="5" t="s">
        <v>4602</v>
      </c>
      <c r="T20" s="5" t="s">
        <v>4585</v>
      </c>
      <c r="U20" s="12" t="n">
        <v>3</v>
      </c>
      <c r="V20" s="12" t="n">
        <v>2</v>
      </c>
      <c r="W20" s="12" t="n">
        <v>1</v>
      </c>
      <c r="X20" s="12" t="n">
        <v>1</v>
      </c>
      <c r="Y20" s="12" t="n">
        <v>0</v>
      </c>
    </row>
    <row r="21" customFormat="false" ht="81.75" hidden="false" customHeight="true" outlineLevel="0" collapsed="false">
      <c r="A21" s="12" t="s">
        <v>4599</v>
      </c>
      <c r="B21" s="5" t="s">
        <v>4600</v>
      </c>
      <c r="C21" s="12" t="s">
        <v>4604</v>
      </c>
      <c r="D21" s="12" t="s">
        <v>120</v>
      </c>
      <c r="E21" s="5" t="s">
        <v>4605</v>
      </c>
      <c r="F21" s="14"/>
      <c r="G21" s="14"/>
      <c r="H21" s="14" t="s">
        <v>87</v>
      </c>
      <c r="I21" s="14"/>
      <c r="J21" s="14"/>
      <c r="K21" s="14"/>
      <c r="L21" s="15"/>
      <c r="M21" s="12" t="s">
        <v>72</v>
      </c>
      <c r="N21" s="5"/>
      <c r="O21" s="12"/>
      <c r="P21" s="5" t="s">
        <v>4606</v>
      </c>
      <c r="Q21" s="12" t="s">
        <v>687</v>
      </c>
      <c r="R21" s="12" t="s">
        <v>688</v>
      </c>
      <c r="S21" s="5" t="s">
        <v>4607</v>
      </c>
      <c r="T21" s="5" t="s">
        <v>4585</v>
      </c>
      <c r="U21" s="12" t="n">
        <v>3</v>
      </c>
      <c r="V21" s="12" t="n">
        <v>2</v>
      </c>
      <c r="W21" s="12" t="n">
        <v>1</v>
      </c>
      <c r="X21" s="12" t="n">
        <v>1</v>
      </c>
      <c r="Y21" s="12" t="n">
        <v>0</v>
      </c>
    </row>
    <row r="22" customFormat="false" ht="41.25" hidden="false" customHeight="true" outlineLevel="0" collapsed="false">
      <c r="A22" s="10" t="s">
        <v>4608</v>
      </c>
      <c r="B22" s="11" t="s">
        <v>4609</v>
      </c>
      <c r="C22" s="12"/>
      <c r="D22" s="12" t="s">
        <v>120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c r="O22" s="12"/>
      <c r="P22" s="5" t="s">
        <v>4610</v>
      </c>
      <c r="Q22" s="12" t="s">
        <v>687</v>
      </c>
      <c r="R22" s="12" t="s">
        <v>4076</v>
      </c>
      <c r="S22" s="5" t="s">
        <v>4611</v>
      </c>
      <c r="T22" s="5" t="s">
        <v>4585</v>
      </c>
      <c r="U22" s="12" t="n">
        <v>2</v>
      </c>
      <c r="V22" s="12" t="n">
        <v>1</v>
      </c>
      <c r="W22" s="12" t="n">
        <v>1</v>
      </c>
      <c r="X22" s="12" t="n">
        <v>1</v>
      </c>
      <c r="Y22" s="12" t="n">
        <v>0</v>
      </c>
    </row>
    <row r="23" customFormat="false" ht="41.25" hidden="false" customHeight="true" outlineLevel="0" collapsed="false">
      <c r="A23" s="12" t="s">
        <v>4608</v>
      </c>
      <c r="B23" s="5" t="s">
        <v>4609</v>
      </c>
      <c r="C23" s="12" t="s">
        <v>4608</v>
      </c>
      <c r="D23" s="12" t="s">
        <v>120</v>
      </c>
      <c r="E23" s="5" t="s">
        <v>4612</v>
      </c>
      <c r="F23" s="14"/>
      <c r="G23" s="14"/>
      <c r="H23" s="14" t="s">
        <v>87</v>
      </c>
      <c r="I23" s="14"/>
      <c r="J23" s="14"/>
      <c r="K23" s="14"/>
      <c r="L23" s="15"/>
      <c r="M23" s="12"/>
      <c r="N23" s="5"/>
      <c r="O23" s="12"/>
      <c r="P23" s="5" t="s">
        <v>4610</v>
      </c>
      <c r="Q23" s="12" t="s">
        <v>687</v>
      </c>
      <c r="R23" s="12" t="s">
        <v>4076</v>
      </c>
      <c r="S23" s="5" t="s">
        <v>4611</v>
      </c>
      <c r="T23" s="5" t="s">
        <v>4585</v>
      </c>
      <c r="U23" s="12" t="n">
        <v>2</v>
      </c>
      <c r="V23" s="12" t="n">
        <v>1</v>
      </c>
      <c r="W23" s="12" t="n">
        <v>1</v>
      </c>
      <c r="X23" s="12" t="n">
        <v>1</v>
      </c>
      <c r="Y23" s="12" t="n">
        <v>0</v>
      </c>
    </row>
    <row r="24" customFormat="false" ht="189" hidden="false" customHeight="true" outlineLevel="0" collapsed="false">
      <c r="A24" s="10" t="s">
        <v>4613</v>
      </c>
      <c r="B24" s="11" t="s">
        <v>4614</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c r="N24" s="5" t="s">
        <v>4615</v>
      </c>
      <c r="O24" s="12" t="s">
        <v>524</v>
      </c>
      <c r="P24" s="5" t="s">
        <v>4616</v>
      </c>
      <c r="Q24" s="12" t="s">
        <v>687</v>
      </c>
      <c r="R24" s="12" t="s">
        <v>4076</v>
      </c>
      <c r="S24" s="5" t="s">
        <v>4617</v>
      </c>
      <c r="T24" s="5" t="s">
        <v>4585</v>
      </c>
      <c r="U24" s="12" t="n">
        <v>2</v>
      </c>
      <c r="V24" s="12" t="n">
        <v>1</v>
      </c>
      <c r="W24" s="12" t="n">
        <v>1</v>
      </c>
      <c r="X24" s="12" t="n">
        <v>1</v>
      </c>
      <c r="Y24" s="12" t="n">
        <v>0</v>
      </c>
    </row>
    <row r="25" customFormat="false" ht="189" hidden="false" customHeight="true" outlineLevel="0" collapsed="false">
      <c r="A25" s="12" t="s">
        <v>4613</v>
      </c>
      <c r="B25" s="5" t="s">
        <v>4614</v>
      </c>
      <c r="C25" s="12" t="s">
        <v>4613</v>
      </c>
      <c r="D25" s="12" t="s">
        <v>120</v>
      </c>
      <c r="E25" s="5" t="s">
        <v>4618</v>
      </c>
      <c r="F25" s="14"/>
      <c r="G25" s="14"/>
      <c r="H25" s="14" t="s">
        <v>87</v>
      </c>
      <c r="I25" s="14"/>
      <c r="J25" s="14"/>
      <c r="K25" s="14"/>
      <c r="L25" s="15"/>
      <c r="M25" s="12"/>
      <c r="N25" s="5" t="s">
        <v>4615</v>
      </c>
      <c r="O25" s="12" t="s">
        <v>524</v>
      </c>
      <c r="P25" s="5" t="s">
        <v>4616</v>
      </c>
      <c r="Q25" s="12" t="s">
        <v>687</v>
      </c>
      <c r="R25" s="12" t="s">
        <v>4076</v>
      </c>
      <c r="S25" s="5" t="s">
        <v>4617</v>
      </c>
      <c r="T25" s="5" t="s">
        <v>4585</v>
      </c>
      <c r="U25" s="12" t="n">
        <v>2</v>
      </c>
      <c r="V25" s="12" t="n">
        <v>1</v>
      </c>
      <c r="W25" s="12" t="n">
        <v>1</v>
      </c>
      <c r="X25" s="12" t="n">
        <v>1</v>
      </c>
      <c r="Y25" s="12" t="n">
        <v>0</v>
      </c>
    </row>
    <row r="26" customFormat="false" ht="108.75" hidden="false" customHeight="true" outlineLevel="0" collapsed="false">
      <c r="A26" s="10" t="s">
        <v>4619</v>
      </c>
      <c r="B26" s="11" t="s">
        <v>4620</v>
      </c>
      <c r="C26" s="12"/>
      <c r="D26" s="12" t="s">
        <v>120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t="s">
        <v>73</v>
      </c>
      <c r="N26" s="5"/>
      <c r="O26" s="12"/>
      <c r="P26" s="5" t="s">
        <v>4621</v>
      </c>
      <c r="Q26" s="12" t="s">
        <v>687</v>
      </c>
      <c r="R26" s="12" t="s">
        <v>4076</v>
      </c>
      <c r="S26" s="5" t="s">
        <v>4622</v>
      </c>
      <c r="T26" s="5" t="s">
        <v>4585</v>
      </c>
      <c r="U26" s="12" t="n">
        <v>1</v>
      </c>
      <c r="V26" s="12" t="n">
        <v>1</v>
      </c>
      <c r="W26" s="12" t="n">
        <v>2</v>
      </c>
      <c r="X26" s="12" t="n">
        <v>1</v>
      </c>
      <c r="Y26" s="12" t="n">
        <v>0</v>
      </c>
    </row>
    <row r="27" customFormat="false" ht="108.75" hidden="false" customHeight="true" outlineLevel="0" collapsed="false">
      <c r="A27" s="12" t="s">
        <v>4619</v>
      </c>
      <c r="B27" s="5" t="s">
        <v>4620</v>
      </c>
      <c r="C27" s="12" t="s">
        <v>4619</v>
      </c>
      <c r="D27" s="12" t="s">
        <v>120</v>
      </c>
      <c r="E27" s="5" t="s">
        <v>4623</v>
      </c>
      <c r="F27" s="14"/>
      <c r="G27" s="14"/>
      <c r="H27" s="14" t="s">
        <v>87</v>
      </c>
      <c r="I27" s="14"/>
      <c r="J27" s="14"/>
      <c r="K27" s="14"/>
      <c r="L27" s="15"/>
      <c r="M27" s="12" t="s">
        <v>73</v>
      </c>
      <c r="N27" s="5"/>
      <c r="O27" s="12"/>
      <c r="P27" s="5" t="s">
        <v>4621</v>
      </c>
      <c r="Q27" s="12" t="s">
        <v>687</v>
      </c>
      <c r="R27" s="12" t="s">
        <v>4076</v>
      </c>
      <c r="S27" s="5" t="s">
        <v>4622</v>
      </c>
      <c r="T27" s="5" t="s">
        <v>4585</v>
      </c>
      <c r="U27" s="12" t="n">
        <v>1</v>
      </c>
      <c r="V27" s="12" t="n">
        <v>1</v>
      </c>
      <c r="W27" s="12" t="n">
        <v>2</v>
      </c>
      <c r="X27" s="12" t="n">
        <v>1</v>
      </c>
      <c r="Y27" s="12" t="n">
        <v>0</v>
      </c>
    </row>
    <row r="28" customFormat="false" ht="270" hidden="false" customHeight="true" outlineLevel="0" collapsed="false">
      <c r="A28" s="10" t="s">
        <v>4624</v>
      </c>
      <c r="B28" s="11" t="s">
        <v>4625</v>
      </c>
      <c r="C28" s="12"/>
      <c r="D28" s="12" t="s">
        <v>120</v>
      </c>
      <c r="E28" s="5" t="s">
        <v>79</v>
      </c>
      <c r="F28" s="12"/>
      <c r="G28" s="12"/>
      <c r="H28" s="13" t="str">
        <f aca="false">IF(OR(COUNTBLANK($H$29:$H$30)&gt;0,COUNTIF($H$29:$H$30,"unbearbeitet")=COUNTA($H$29:$H$30)),"Bitte Teilanforderungen ausfüllen",IF(COUNTIF($H$29:$H$30,"zu klären")&gt;0,"zu klären",IF(COUNTIF($H$29:$H$30,"entbehrlich")=COUNTA($H$29:$H$30),"entbehrlich",IF(COUNTIF($H$29:$H$30,"verwiesen")=COUNTA($H$29:$H$30),"verwiesen",IF(COUNTIF($H$29:$H$30,"nein")+COUNTIF($H$29:$H$30,"entbehrlich")=COUNTA($H$29:$H$30),"nein",IF(COUNTIF($H$29:$H$30,"ja")+COUNTIF($H$29:$H$30,"entbehrlich")+COUNTIF($H$29:$H$30,"verwiesen")=COUNTA($H$29:$H$30),"ja","teilweise"))))))</f>
        <v>Bitte Teilanforderungen ausfüllen</v>
      </c>
      <c r="I28" s="12"/>
      <c r="J28" s="12"/>
      <c r="K28" s="12"/>
      <c r="L28" s="12"/>
      <c r="M28" s="12"/>
      <c r="N28" s="5"/>
      <c r="O28" s="12"/>
      <c r="P28" s="5" t="s">
        <v>4626</v>
      </c>
      <c r="Q28" s="12" t="s">
        <v>687</v>
      </c>
      <c r="R28" s="12" t="s">
        <v>688</v>
      </c>
      <c r="S28" s="5" t="s">
        <v>4627</v>
      </c>
      <c r="T28" s="5" t="s">
        <v>4585</v>
      </c>
      <c r="U28" s="12" t="n">
        <v>2</v>
      </c>
      <c r="V28" s="12" t="n">
        <v>1</v>
      </c>
      <c r="W28" s="12" t="n">
        <v>1</v>
      </c>
      <c r="X28" s="12" t="n">
        <v>1</v>
      </c>
      <c r="Y28" s="12" t="n">
        <v>0</v>
      </c>
    </row>
    <row r="29" customFormat="false" ht="270" hidden="false" customHeight="true" outlineLevel="0" collapsed="false">
      <c r="A29" s="12" t="s">
        <v>4624</v>
      </c>
      <c r="B29" s="5" t="s">
        <v>4625</v>
      </c>
      <c r="C29" s="12" t="s">
        <v>4624</v>
      </c>
      <c r="D29" s="12" t="s">
        <v>120</v>
      </c>
      <c r="E29" s="5" t="s">
        <v>4628</v>
      </c>
      <c r="F29" s="14"/>
      <c r="G29" s="14"/>
      <c r="H29" s="14" t="s">
        <v>87</v>
      </c>
      <c r="I29" s="14"/>
      <c r="J29" s="14"/>
      <c r="K29" s="14"/>
      <c r="L29" s="15"/>
      <c r="M29" s="12"/>
      <c r="N29" s="5"/>
      <c r="O29" s="12"/>
      <c r="P29" s="5" t="s">
        <v>4626</v>
      </c>
      <c r="Q29" s="12" t="s">
        <v>687</v>
      </c>
      <c r="R29" s="12" t="s">
        <v>688</v>
      </c>
      <c r="S29" s="5" t="s">
        <v>4627</v>
      </c>
      <c r="T29" s="5" t="s">
        <v>4585</v>
      </c>
      <c r="U29" s="12" t="n">
        <v>2</v>
      </c>
      <c r="V29" s="12" t="n">
        <v>1</v>
      </c>
      <c r="W29" s="12" t="n">
        <v>1</v>
      </c>
      <c r="X29" s="12" t="n">
        <v>1</v>
      </c>
      <c r="Y29" s="12" t="n">
        <v>0</v>
      </c>
    </row>
    <row r="30" customFormat="false" ht="68.25" hidden="false" customHeight="true" outlineLevel="0" collapsed="false">
      <c r="A30" s="12" t="s">
        <v>4624</v>
      </c>
      <c r="B30" s="5" t="s">
        <v>4625</v>
      </c>
      <c r="C30" s="12" t="s">
        <v>4629</v>
      </c>
      <c r="D30" s="12" t="s">
        <v>120</v>
      </c>
      <c r="E30" s="5" t="s">
        <v>4630</v>
      </c>
      <c r="F30" s="14"/>
      <c r="G30" s="14"/>
      <c r="H30" s="14" t="s">
        <v>87</v>
      </c>
      <c r="I30" s="14"/>
      <c r="J30" s="14"/>
      <c r="K30" s="14"/>
      <c r="L30" s="15"/>
      <c r="M30" s="12"/>
      <c r="N30" s="5"/>
      <c r="O30" s="12"/>
      <c r="P30" s="5" t="s">
        <v>4631</v>
      </c>
      <c r="Q30" s="12" t="s">
        <v>687</v>
      </c>
      <c r="R30" s="12" t="s">
        <v>4076</v>
      </c>
      <c r="S30" s="5" t="s">
        <v>4632</v>
      </c>
      <c r="T30" s="5" t="s">
        <v>4585</v>
      </c>
      <c r="U30" s="12" t="n">
        <v>2</v>
      </c>
      <c r="V30" s="12" t="n">
        <v>1</v>
      </c>
      <c r="W30" s="12" t="n">
        <v>1</v>
      </c>
      <c r="X30" s="12" t="n">
        <v>1</v>
      </c>
      <c r="Y30" s="12" t="n">
        <v>0</v>
      </c>
    </row>
    <row r="31" customFormat="false" ht="54.75" hidden="false" customHeight="true" outlineLevel="0" collapsed="false">
      <c r="A31" s="10" t="s">
        <v>4633</v>
      </c>
      <c r="B31" s="11" t="s">
        <v>4634</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c r="N31" s="5"/>
      <c r="O31" s="12"/>
      <c r="P31" s="5" t="s">
        <v>4635</v>
      </c>
      <c r="Q31" s="12" t="s">
        <v>687</v>
      </c>
      <c r="R31" s="12" t="s">
        <v>4076</v>
      </c>
      <c r="S31" s="5" t="s">
        <v>4636</v>
      </c>
      <c r="T31" s="5" t="s">
        <v>306</v>
      </c>
      <c r="U31" s="12" t="n">
        <v>2</v>
      </c>
      <c r="V31" s="12" t="n">
        <v>1</v>
      </c>
      <c r="W31" s="12" t="n">
        <v>1</v>
      </c>
      <c r="X31" s="12" t="n">
        <v>1</v>
      </c>
      <c r="Y31" s="12" t="n">
        <v>0</v>
      </c>
    </row>
    <row r="32" customFormat="false" ht="54.75" hidden="false" customHeight="true" outlineLevel="0" collapsed="false">
      <c r="A32" s="12" t="s">
        <v>4633</v>
      </c>
      <c r="B32" s="5" t="s">
        <v>4634</v>
      </c>
      <c r="C32" s="12" t="s">
        <v>4633</v>
      </c>
      <c r="D32" s="12" t="s">
        <v>120</v>
      </c>
      <c r="E32" s="5" t="s">
        <v>4637</v>
      </c>
      <c r="F32" s="14"/>
      <c r="G32" s="14"/>
      <c r="H32" s="14" t="s">
        <v>87</v>
      </c>
      <c r="I32" s="14"/>
      <c r="J32" s="14"/>
      <c r="K32" s="14"/>
      <c r="L32" s="15"/>
      <c r="M32" s="12"/>
      <c r="N32" s="5"/>
      <c r="O32" s="12"/>
      <c r="P32" s="5" t="s">
        <v>4635</v>
      </c>
      <c r="Q32" s="12" t="s">
        <v>687</v>
      </c>
      <c r="R32" s="12" t="s">
        <v>4076</v>
      </c>
      <c r="S32" s="5" t="s">
        <v>4636</v>
      </c>
      <c r="T32" s="5" t="s">
        <v>306</v>
      </c>
      <c r="U32" s="12" t="n">
        <v>2</v>
      </c>
      <c r="V32" s="12" t="n">
        <v>1</v>
      </c>
      <c r="W32" s="12" t="n">
        <v>1</v>
      </c>
      <c r="X32" s="12" t="n">
        <v>1</v>
      </c>
      <c r="Y32" s="12" t="n">
        <v>0</v>
      </c>
    </row>
    <row r="33" customFormat="false" ht="162" hidden="false" customHeight="true" outlineLevel="0" collapsed="false">
      <c r="A33" s="10" t="s">
        <v>4638</v>
      </c>
      <c r="B33" s="11" t="s">
        <v>4639</v>
      </c>
      <c r="C33" s="12"/>
      <c r="D33" s="12" t="s">
        <v>160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4640</v>
      </c>
      <c r="Q33" s="12" t="s">
        <v>687</v>
      </c>
      <c r="R33" s="12" t="s">
        <v>4076</v>
      </c>
      <c r="S33" s="5" t="s">
        <v>4641</v>
      </c>
      <c r="T33" s="5" t="s">
        <v>306</v>
      </c>
      <c r="U33" s="12" t="n">
        <v>5</v>
      </c>
      <c r="V33" s="12" t="n">
        <v>1</v>
      </c>
      <c r="W33" s="12" t="n">
        <v>1</v>
      </c>
      <c r="X33" s="12" t="n">
        <v>1</v>
      </c>
      <c r="Y33" s="12" t="n">
        <v>0</v>
      </c>
    </row>
    <row r="34" customFormat="false" ht="162" hidden="false" customHeight="true" outlineLevel="0" collapsed="false">
      <c r="A34" s="12" t="s">
        <v>4638</v>
      </c>
      <c r="B34" s="5" t="s">
        <v>4639</v>
      </c>
      <c r="C34" s="12" t="s">
        <v>4638</v>
      </c>
      <c r="D34" s="12" t="s">
        <v>160</v>
      </c>
      <c r="E34" s="5" t="s">
        <v>4642</v>
      </c>
      <c r="F34" s="14"/>
      <c r="G34" s="14"/>
      <c r="H34" s="14" t="s">
        <v>87</v>
      </c>
      <c r="I34" s="14"/>
      <c r="J34" s="14"/>
      <c r="K34" s="14"/>
      <c r="L34" s="15"/>
      <c r="M34" s="12"/>
      <c r="N34" s="5"/>
      <c r="O34" s="12"/>
      <c r="P34" s="5" t="s">
        <v>4640</v>
      </c>
      <c r="Q34" s="12" t="s">
        <v>687</v>
      </c>
      <c r="R34" s="12" t="s">
        <v>4076</v>
      </c>
      <c r="S34" s="5" t="s">
        <v>4641</v>
      </c>
      <c r="T34" s="5" t="s">
        <v>306</v>
      </c>
      <c r="U34" s="12" t="n">
        <v>5</v>
      </c>
      <c r="V34" s="12" t="n">
        <v>1</v>
      </c>
      <c r="W34" s="12" t="n">
        <v>1</v>
      </c>
      <c r="X34" s="12" t="n">
        <v>1</v>
      </c>
      <c r="Y34" s="12" t="n">
        <v>0</v>
      </c>
    </row>
    <row r="35" customFormat="false" ht="297" hidden="false" customHeight="true" outlineLevel="0" collapsed="false">
      <c r="A35" s="10" t="s">
        <v>4643</v>
      </c>
      <c r="B35" s="11" t="s">
        <v>4644</v>
      </c>
      <c r="C35" s="12"/>
      <c r="D35" s="12" t="s">
        <v>160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4645</v>
      </c>
      <c r="Q35" s="12" t="s">
        <v>687</v>
      </c>
      <c r="R35" s="12" t="s">
        <v>4076</v>
      </c>
      <c r="S35" s="5" t="s">
        <v>4646</v>
      </c>
      <c r="T35" s="5" t="s">
        <v>306</v>
      </c>
      <c r="U35" s="12" t="n">
        <v>5</v>
      </c>
      <c r="V35" s="12" t="n">
        <v>1</v>
      </c>
      <c r="W35" s="12" t="n">
        <v>1</v>
      </c>
      <c r="X35" s="12" t="n">
        <v>1</v>
      </c>
      <c r="Y35" s="12" t="n">
        <v>0</v>
      </c>
    </row>
    <row r="36" customFormat="false" ht="297" hidden="false" customHeight="true" outlineLevel="0" collapsed="false">
      <c r="A36" s="12" t="s">
        <v>4643</v>
      </c>
      <c r="B36" s="5" t="s">
        <v>4644</v>
      </c>
      <c r="C36" s="12" t="s">
        <v>4643</v>
      </c>
      <c r="D36" s="12" t="s">
        <v>160</v>
      </c>
      <c r="E36" s="5" t="s">
        <v>4647</v>
      </c>
      <c r="F36" s="14"/>
      <c r="G36" s="14"/>
      <c r="H36" s="14" t="s">
        <v>87</v>
      </c>
      <c r="I36" s="14"/>
      <c r="J36" s="14"/>
      <c r="K36" s="14"/>
      <c r="L36" s="15"/>
      <c r="M36" s="12"/>
      <c r="N36" s="5"/>
      <c r="O36" s="12"/>
      <c r="P36" s="5" t="s">
        <v>4645</v>
      </c>
      <c r="Q36" s="12" t="s">
        <v>687</v>
      </c>
      <c r="R36" s="12" t="s">
        <v>4076</v>
      </c>
      <c r="S36" s="5" t="s">
        <v>4646</v>
      </c>
      <c r="T36" s="5" t="s">
        <v>306</v>
      </c>
      <c r="U36" s="12" t="n">
        <v>5</v>
      </c>
      <c r="V36" s="12" t="n">
        <v>1</v>
      </c>
      <c r="W36" s="12" t="n">
        <v>1</v>
      </c>
      <c r="X36" s="12" t="n">
        <v>1</v>
      </c>
      <c r="Y36" s="12" t="n">
        <v>0</v>
      </c>
    </row>
    <row r="37" customFormat="false" ht="95.25" hidden="false" customHeight="true" outlineLevel="0" collapsed="false">
      <c r="A37" s="10" t="s">
        <v>4648</v>
      </c>
      <c r="B37" s="11" t="s">
        <v>4649</v>
      </c>
      <c r="C37" s="12"/>
      <c r="D37" s="12" t="s">
        <v>120</v>
      </c>
      <c r="E37" s="5" t="s">
        <v>79</v>
      </c>
      <c r="F37" s="12"/>
      <c r="G37" s="12"/>
      <c r="H37" s="13" t="str">
        <f aca="false">IF(OR(COUNTBLANK($H$38:$H$44)&gt;0,COUNTIF($H$38:$H$44,"unbearbeitet")=COUNTA($H$38:$H$44)),"Bitte Teilanforderungen ausfüllen",IF(COUNTIF($H$38:$H$44,"zu klären")&gt;0,"zu klären",IF(COUNTIF($H$38:$H$44,"entbehrlich")=COUNTA($H$38:$H$44),"entbehrlich",IF(COUNTIF($H$38:$H$44,"verwiesen")=COUNTA($H$38:$H$44),"verwiesen",IF(COUNTIF($H$38:$H$44,"nein")+COUNTIF($H$38:$H$44,"entbehrlich")=COUNTA($H$38:$H$44),"nein",IF(COUNTIF($H$38:$H$44,"ja")+COUNTIF($H$38:$H$44,"entbehrlich")+COUNTIF($H$38:$H$44,"verwiesen")=COUNTA($H$38:$H$44),"ja","teilweise"))))))</f>
        <v>Bitte Teilanforderungen ausfüllen</v>
      </c>
      <c r="I37" s="12"/>
      <c r="J37" s="12"/>
      <c r="K37" s="12"/>
      <c r="L37" s="12"/>
      <c r="M37" s="12" t="s">
        <v>72</v>
      </c>
      <c r="N37" s="5"/>
      <c r="O37" s="12"/>
      <c r="P37" s="5" t="s">
        <v>4650</v>
      </c>
      <c r="Q37" s="12" t="s">
        <v>687</v>
      </c>
      <c r="R37" s="12" t="s">
        <v>4076</v>
      </c>
      <c r="S37" s="5" t="s">
        <v>4651</v>
      </c>
      <c r="T37" s="5" t="s">
        <v>4652</v>
      </c>
      <c r="U37" s="12" t="n">
        <v>3</v>
      </c>
      <c r="V37" s="12" t="n">
        <v>2</v>
      </c>
      <c r="W37" s="12" t="n">
        <v>1</v>
      </c>
      <c r="X37" s="12" t="n">
        <v>1</v>
      </c>
      <c r="Y37" s="12" t="n">
        <v>0</v>
      </c>
    </row>
    <row r="38" customFormat="false" ht="95.25" hidden="false" customHeight="true" outlineLevel="0" collapsed="false">
      <c r="A38" s="12" t="s">
        <v>4648</v>
      </c>
      <c r="B38" s="5" t="s">
        <v>4649</v>
      </c>
      <c r="C38" s="12" t="s">
        <v>4648</v>
      </c>
      <c r="D38" s="12" t="s">
        <v>120</v>
      </c>
      <c r="E38" s="5" t="s">
        <v>4653</v>
      </c>
      <c r="F38" s="14"/>
      <c r="G38" s="14"/>
      <c r="H38" s="14" t="s">
        <v>87</v>
      </c>
      <c r="I38" s="14"/>
      <c r="J38" s="14"/>
      <c r="K38" s="14"/>
      <c r="L38" s="15"/>
      <c r="M38" s="12" t="s">
        <v>72</v>
      </c>
      <c r="N38" s="5"/>
      <c r="O38" s="12"/>
      <c r="P38" s="5" t="s">
        <v>4650</v>
      </c>
      <c r="Q38" s="12" t="s">
        <v>687</v>
      </c>
      <c r="R38" s="12" t="s">
        <v>4076</v>
      </c>
      <c r="S38" s="5" t="s">
        <v>4651</v>
      </c>
      <c r="T38" s="5" t="s">
        <v>4652</v>
      </c>
      <c r="U38" s="12" t="n">
        <v>3</v>
      </c>
      <c r="V38" s="12" t="n">
        <v>2</v>
      </c>
      <c r="W38" s="12" t="n">
        <v>1</v>
      </c>
      <c r="X38" s="12" t="n">
        <v>1</v>
      </c>
      <c r="Y38" s="12" t="n">
        <v>0</v>
      </c>
    </row>
    <row r="39" customFormat="false" ht="135.75" hidden="false" customHeight="true" outlineLevel="0" collapsed="false">
      <c r="A39" s="12" t="s">
        <v>4648</v>
      </c>
      <c r="B39" s="5" t="s">
        <v>4649</v>
      </c>
      <c r="C39" s="12" t="s">
        <v>4654</v>
      </c>
      <c r="D39" s="12" t="s">
        <v>120</v>
      </c>
      <c r="E39" s="5" t="s">
        <v>4655</v>
      </c>
      <c r="F39" s="14"/>
      <c r="G39" s="14"/>
      <c r="H39" s="14" t="s">
        <v>87</v>
      </c>
      <c r="I39" s="14"/>
      <c r="J39" s="14"/>
      <c r="K39" s="14"/>
      <c r="L39" s="15"/>
      <c r="M39" s="12" t="s">
        <v>72</v>
      </c>
      <c r="N39" s="5"/>
      <c r="O39" s="12"/>
      <c r="P39" s="5" t="s">
        <v>4656</v>
      </c>
      <c r="Q39" s="12" t="s">
        <v>687</v>
      </c>
      <c r="R39" s="12" t="s">
        <v>4076</v>
      </c>
      <c r="S39" s="5" t="s">
        <v>4657</v>
      </c>
      <c r="T39" s="5" t="s">
        <v>4652</v>
      </c>
      <c r="U39" s="12" t="n">
        <v>3</v>
      </c>
      <c r="V39" s="12" t="n">
        <v>2</v>
      </c>
      <c r="W39" s="12" t="n">
        <v>1</v>
      </c>
      <c r="X39" s="12" t="n">
        <v>1</v>
      </c>
      <c r="Y39" s="12" t="n">
        <v>0</v>
      </c>
    </row>
    <row r="40" customFormat="false" ht="229.5" hidden="false" customHeight="true" outlineLevel="0" collapsed="false">
      <c r="A40" s="12" t="s">
        <v>4648</v>
      </c>
      <c r="B40" s="5" t="s">
        <v>4649</v>
      </c>
      <c r="C40" s="12" t="s">
        <v>4658</v>
      </c>
      <c r="D40" s="12" t="s">
        <v>120</v>
      </c>
      <c r="E40" s="5" t="s">
        <v>4659</v>
      </c>
      <c r="F40" s="14"/>
      <c r="G40" s="14"/>
      <c r="H40" s="14" t="s">
        <v>87</v>
      </c>
      <c r="I40" s="14"/>
      <c r="J40" s="14"/>
      <c r="K40" s="14"/>
      <c r="L40" s="15"/>
      <c r="M40" s="12" t="s">
        <v>72</v>
      </c>
      <c r="N40" s="5"/>
      <c r="O40" s="12"/>
      <c r="P40" s="5" t="s">
        <v>4660</v>
      </c>
      <c r="Q40" s="12" t="s">
        <v>687</v>
      </c>
      <c r="R40" s="12" t="s">
        <v>688</v>
      </c>
      <c r="S40" s="5" t="s">
        <v>1251</v>
      </c>
      <c r="T40" s="5" t="s">
        <v>4652</v>
      </c>
      <c r="U40" s="12" t="n">
        <v>3</v>
      </c>
      <c r="V40" s="12" t="n">
        <v>2</v>
      </c>
      <c r="W40" s="12" t="n">
        <v>1</v>
      </c>
      <c r="X40" s="12" t="n">
        <v>1</v>
      </c>
      <c r="Y40" s="12" t="n">
        <v>0</v>
      </c>
    </row>
    <row r="41" customFormat="false" ht="323.25" hidden="false" customHeight="true" outlineLevel="0" collapsed="false">
      <c r="A41" s="12" t="s">
        <v>4648</v>
      </c>
      <c r="B41" s="5" t="s">
        <v>4649</v>
      </c>
      <c r="C41" s="12" t="s">
        <v>4661</v>
      </c>
      <c r="D41" s="12" t="s">
        <v>120</v>
      </c>
      <c r="E41" s="5" t="s">
        <v>4662</v>
      </c>
      <c r="F41" s="14"/>
      <c r="G41" s="14"/>
      <c r="H41" s="14" t="s">
        <v>87</v>
      </c>
      <c r="I41" s="14"/>
      <c r="J41" s="14"/>
      <c r="K41" s="14"/>
      <c r="L41" s="15"/>
      <c r="M41" s="12" t="s">
        <v>72</v>
      </c>
      <c r="N41" s="5"/>
      <c r="O41" s="12"/>
      <c r="P41" s="5" t="s">
        <v>4663</v>
      </c>
      <c r="Q41" s="12" t="s">
        <v>687</v>
      </c>
      <c r="R41" s="12" t="s">
        <v>4076</v>
      </c>
      <c r="S41" s="5" t="s">
        <v>4664</v>
      </c>
      <c r="T41" s="5" t="s">
        <v>4652</v>
      </c>
      <c r="U41" s="12" t="n">
        <v>3</v>
      </c>
      <c r="V41" s="12" t="n">
        <v>2</v>
      </c>
      <c r="W41" s="12" t="n">
        <v>1</v>
      </c>
      <c r="X41" s="12" t="n">
        <v>1</v>
      </c>
      <c r="Y41" s="12" t="n">
        <v>0</v>
      </c>
    </row>
    <row r="42" customFormat="false" ht="149.25" hidden="false" customHeight="true" outlineLevel="0" collapsed="false">
      <c r="A42" s="12" t="s">
        <v>4648</v>
      </c>
      <c r="B42" s="5" t="s">
        <v>4649</v>
      </c>
      <c r="C42" s="12" t="s">
        <v>4665</v>
      </c>
      <c r="D42" s="12" t="s">
        <v>120</v>
      </c>
      <c r="E42" s="5" t="s">
        <v>4666</v>
      </c>
      <c r="F42" s="14"/>
      <c r="G42" s="14"/>
      <c r="H42" s="14" t="s">
        <v>87</v>
      </c>
      <c r="I42" s="14"/>
      <c r="J42" s="14"/>
      <c r="K42" s="14"/>
      <c r="L42" s="15"/>
      <c r="M42" s="12" t="s">
        <v>72</v>
      </c>
      <c r="N42" s="5"/>
      <c r="O42" s="12"/>
      <c r="P42" s="5" t="s">
        <v>4667</v>
      </c>
      <c r="Q42" s="12" t="s">
        <v>687</v>
      </c>
      <c r="R42" s="12" t="s">
        <v>688</v>
      </c>
      <c r="S42" s="5" t="s">
        <v>4668</v>
      </c>
      <c r="T42" s="5" t="s">
        <v>4652</v>
      </c>
      <c r="U42" s="12" t="n">
        <v>3</v>
      </c>
      <c r="V42" s="12" t="n">
        <v>2</v>
      </c>
      <c r="W42" s="12" t="n">
        <v>1</v>
      </c>
      <c r="X42" s="12" t="n">
        <v>1</v>
      </c>
      <c r="Y42" s="12" t="n">
        <v>0</v>
      </c>
    </row>
    <row r="43" customFormat="false" ht="54.75" hidden="false" customHeight="true" outlineLevel="0" collapsed="false">
      <c r="A43" s="12" t="s">
        <v>4648</v>
      </c>
      <c r="B43" s="5" t="s">
        <v>4649</v>
      </c>
      <c r="C43" s="12" t="s">
        <v>4669</v>
      </c>
      <c r="D43" s="12" t="s">
        <v>120</v>
      </c>
      <c r="E43" s="5" t="s">
        <v>4670</v>
      </c>
      <c r="F43" s="14"/>
      <c r="G43" s="14"/>
      <c r="H43" s="14" t="s">
        <v>87</v>
      </c>
      <c r="I43" s="14"/>
      <c r="J43" s="14"/>
      <c r="K43" s="14"/>
      <c r="L43" s="15"/>
      <c r="M43" s="12" t="s">
        <v>72</v>
      </c>
      <c r="N43" s="5" t="s">
        <v>4671</v>
      </c>
      <c r="O43" s="12" t="s">
        <v>524</v>
      </c>
      <c r="P43" s="5" t="s">
        <v>4672</v>
      </c>
      <c r="Q43" s="12" t="s">
        <v>687</v>
      </c>
      <c r="R43" s="12" t="s">
        <v>4076</v>
      </c>
      <c r="S43" s="5" t="s">
        <v>4673</v>
      </c>
      <c r="T43" s="5" t="s">
        <v>4652</v>
      </c>
      <c r="U43" s="12" t="n">
        <v>3</v>
      </c>
      <c r="V43" s="12" t="n">
        <v>2</v>
      </c>
      <c r="W43" s="12" t="n">
        <v>1</v>
      </c>
      <c r="X43" s="12" t="n">
        <v>1</v>
      </c>
      <c r="Y43" s="12" t="n">
        <v>0</v>
      </c>
    </row>
    <row r="44" customFormat="false" ht="54.75" hidden="false" customHeight="true" outlineLevel="0" collapsed="false">
      <c r="A44" s="12" t="s">
        <v>4648</v>
      </c>
      <c r="B44" s="5" t="s">
        <v>4649</v>
      </c>
      <c r="C44" s="12" t="s">
        <v>4674</v>
      </c>
      <c r="D44" s="12" t="s">
        <v>120</v>
      </c>
      <c r="E44" s="5" t="s">
        <v>4675</v>
      </c>
      <c r="F44" s="14"/>
      <c r="G44" s="14"/>
      <c r="H44" s="14" t="s">
        <v>87</v>
      </c>
      <c r="I44" s="14"/>
      <c r="J44" s="14"/>
      <c r="K44" s="14"/>
      <c r="L44" s="15"/>
      <c r="M44" s="12" t="s">
        <v>72</v>
      </c>
      <c r="N44" s="5"/>
      <c r="O44" s="12"/>
      <c r="P44" s="5" t="s">
        <v>4676</v>
      </c>
      <c r="Q44" s="12" t="s">
        <v>687</v>
      </c>
      <c r="R44" s="12" t="s">
        <v>688</v>
      </c>
      <c r="S44" s="5" t="s">
        <v>4677</v>
      </c>
      <c r="T44" s="5" t="s">
        <v>4652</v>
      </c>
      <c r="U44" s="12" t="n">
        <v>3</v>
      </c>
      <c r="V44" s="12" t="n">
        <v>2</v>
      </c>
      <c r="W44" s="12" t="n">
        <v>1</v>
      </c>
      <c r="X44" s="12" t="n">
        <v>1</v>
      </c>
      <c r="Y44" s="12" t="n">
        <v>0</v>
      </c>
    </row>
    <row r="45" customFormat="false" ht="54.75" hidden="false" customHeight="true" outlineLevel="0" collapsed="false">
      <c r="A45" s="10" t="s">
        <v>4678</v>
      </c>
      <c r="B45" s="11" t="s">
        <v>4679</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t="s">
        <v>72</v>
      </c>
      <c r="N45" s="5"/>
      <c r="O45" s="12"/>
      <c r="P45" s="5" t="s">
        <v>4680</v>
      </c>
      <c r="Q45" s="12" t="s">
        <v>687</v>
      </c>
      <c r="R45" s="12" t="s">
        <v>4076</v>
      </c>
      <c r="S45" s="5" t="s">
        <v>4681</v>
      </c>
      <c r="T45" s="5" t="s">
        <v>4652</v>
      </c>
      <c r="U45" s="12" t="n">
        <v>3</v>
      </c>
      <c r="V45" s="12" t="n">
        <v>2</v>
      </c>
      <c r="W45" s="12" t="n">
        <v>1</v>
      </c>
      <c r="X45" s="12" t="n">
        <v>1</v>
      </c>
      <c r="Y45" s="12" t="n">
        <v>0</v>
      </c>
    </row>
    <row r="46" customFormat="false" ht="54.75" hidden="false" customHeight="true" outlineLevel="0" collapsed="false">
      <c r="A46" s="12" t="s">
        <v>4678</v>
      </c>
      <c r="B46" s="5" t="s">
        <v>4679</v>
      </c>
      <c r="C46" s="12" t="s">
        <v>4678</v>
      </c>
      <c r="D46" s="12" t="s">
        <v>120</v>
      </c>
      <c r="E46" s="5" t="s">
        <v>4682</v>
      </c>
      <c r="F46" s="14"/>
      <c r="G46" s="14"/>
      <c r="H46" s="14" t="s">
        <v>87</v>
      </c>
      <c r="I46" s="14"/>
      <c r="J46" s="14"/>
      <c r="K46" s="14"/>
      <c r="L46" s="15"/>
      <c r="M46" s="12" t="s">
        <v>72</v>
      </c>
      <c r="N46" s="5"/>
      <c r="O46" s="12"/>
      <c r="P46" s="5" t="s">
        <v>4680</v>
      </c>
      <c r="Q46" s="12" t="s">
        <v>687</v>
      </c>
      <c r="R46" s="12" t="s">
        <v>4076</v>
      </c>
      <c r="S46" s="5" t="s">
        <v>4681</v>
      </c>
      <c r="T46" s="5" t="s">
        <v>4652</v>
      </c>
      <c r="U46" s="12" t="n">
        <v>3</v>
      </c>
      <c r="V46" s="12" t="n">
        <v>2</v>
      </c>
      <c r="W46" s="12" t="n">
        <v>1</v>
      </c>
      <c r="X46" s="12" t="n">
        <v>1</v>
      </c>
      <c r="Y46" s="12" t="n">
        <v>0</v>
      </c>
    </row>
    <row r="47" customFormat="false" ht="229.5" hidden="false" customHeight="true" outlineLevel="0" collapsed="false">
      <c r="A47" s="10" t="s">
        <v>4683</v>
      </c>
      <c r="B47" s="11" t="s">
        <v>4684</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t="s">
        <v>72</v>
      </c>
      <c r="N47" s="5"/>
      <c r="O47" s="12"/>
      <c r="P47" s="5" t="s">
        <v>4685</v>
      </c>
      <c r="Q47" s="12" t="s">
        <v>687</v>
      </c>
      <c r="R47" s="12" t="s">
        <v>4076</v>
      </c>
      <c r="S47" s="5" t="s">
        <v>4686</v>
      </c>
      <c r="T47" s="5" t="s">
        <v>4652</v>
      </c>
      <c r="U47" s="12" t="n">
        <v>2</v>
      </c>
      <c r="V47" s="12" t="n">
        <v>2</v>
      </c>
      <c r="W47" s="12" t="n">
        <v>1</v>
      </c>
      <c r="X47" s="12" t="n">
        <v>1</v>
      </c>
      <c r="Y47" s="12" t="n">
        <v>0</v>
      </c>
    </row>
    <row r="48" customFormat="false" ht="229.5" hidden="false" customHeight="true" outlineLevel="0" collapsed="false">
      <c r="A48" s="12" t="s">
        <v>4683</v>
      </c>
      <c r="B48" s="5" t="s">
        <v>4684</v>
      </c>
      <c r="C48" s="12" t="s">
        <v>4683</v>
      </c>
      <c r="D48" s="12" t="s">
        <v>120</v>
      </c>
      <c r="E48" s="5" t="s">
        <v>4687</v>
      </c>
      <c r="F48" s="14"/>
      <c r="G48" s="14"/>
      <c r="H48" s="14" t="s">
        <v>87</v>
      </c>
      <c r="I48" s="14"/>
      <c r="J48" s="14"/>
      <c r="K48" s="14"/>
      <c r="L48" s="15"/>
      <c r="M48" s="12" t="s">
        <v>72</v>
      </c>
      <c r="N48" s="5"/>
      <c r="O48" s="12"/>
      <c r="P48" s="5" t="s">
        <v>4685</v>
      </c>
      <c r="Q48" s="12" t="s">
        <v>687</v>
      </c>
      <c r="R48" s="12" t="s">
        <v>4076</v>
      </c>
      <c r="S48" s="5" t="s">
        <v>4686</v>
      </c>
      <c r="T48" s="5" t="s">
        <v>4652</v>
      </c>
      <c r="U48" s="12" t="n">
        <v>2</v>
      </c>
      <c r="V48" s="12" t="n">
        <v>2</v>
      </c>
      <c r="W48" s="12" t="n">
        <v>1</v>
      </c>
      <c r="X48" s="12" t="n">
        <v>1</v>
      </c>
      <c r="Y48" s="12" t="n">
        <v>0</v>
      </c>
    </row>
    <row r="49" customFormat="false" ht="68.25" hidden="false" customHeight="true" outlineLevel="0" collapsed="false">
      <c r="A49" s="10" t="s">
        <v>4688</v>
      </c>
      <c r="B49" s="11" t="s">
        <v>4689</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73</v>
      </c>
      <c r="N49" s="5"/>
      <c r="O49" s="12"/>
      <c r="P49" s="5" t="s">
        <v>4690</v>
      </c>
      <c r="Q49" s="12" t="s">
        <v>687</v>
      </c>
      <c r="R49" s="12" t="s">
        <v>4076</v>
      </c>
      <c r="S49" s="5" t="s">
        <v>4691</v>
      </c>
      <c r="T49" s="5" t="s">
        <v>4692</v>
      </c>
      <c r="U49" s="12" t="n">
        <v>3</v>
      </c>
      <c r="V49" s="12" t="n">
        <v>1</v>
      </c>
      <c r="W49" s="12" t="n">
        <v>2</v>
      </c>
      <c r="X49" s="12" t="n">
        <v>1</v>
      </c>
      <c r="Y49" s="12" t="n">
        <v>1</v>
      </c>
    </row>
    <row r="50" customFormat="false" ht="68.25" hidden="false" customHeight="true" outlineLevel="0" collapsed="false">
      <c r="A50" s="12" t="s">
        <v>4688</v>
      </c>
      <c r="B50" s="5" t="s">
        <v>4689</v>
      </c>
      <c r="C50" s="12" t="s">
        <v>4688</v>
      </c>
      <c r="D50" s="12" t="s">
        <v>120</v>
      </c>
      <c r="E50" s="5" t="s">
        <v>4693</v>
      </c>
      <c r="F50" s="14"/>
      <c r="G50" s="14"/>
      <c r="H50" s="14" t="s">
        <v>87</v>
      </c>
      <c r="I50" s="14"/>
      <c r="J50" s="14"/>
      <c r="K50" s="14"/>
      <c r="L50" s="15"/>
      <c r="M50" s="12" t="s">
        <v>73</v>
      </c>
      <c r="N50" s="5"/>
      <c r="O50" s="12"/>
      <c r="P50" s="5" t="s">
        <v>4690</v>
      </c>
      <c r="Q50" s="12" t="s">
        <v>687</v>
      </c>
      <c r="R50" s="12" t="s">
        <v>4076</v>
      </c>
      <c r="S50" s="5" t="s">
        <v>4691</v>
      </c>
      <c r="T50" s="5" t="s">
        <v>4692</v>
      </c>
      <c r="U50" s="12" t="n">
        <v>3</v>
      </c>
      <c r="V50" s="12" t="n">
        <v>1</v>
      </c>
      <c r="W50" s="12" t="n">
        <v>2</v>
      </c>
      <c r="X50" s="12" t="n">
        <v>1</v>
      </c>
      <c r="Y50" s="12" t="n">
        <v>1</v>
      </c>
    </row>
    <row r="51" customFormat="false" ht="162" hidden="false" customHeight="true" outlineLevel="0" collapsed="false">
      <c r="A51" s="10" t="s">
        <v>4694</v>
      </c>
      <c r="B51" s="11" t="s">
        <v>4695</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t="s">
        <v>72</v>
      </c>
      <c r="N51" s="5"/>
      <c r="O51" s="12"/>
      <c r="P51" s="5" t="s">
        <v>4696</v>
      </c>
      <c r="Q51" s="12" t="s">
        <v>4697</v>
      </c>
      <c r="R51" s="12" t="s">
        <v>4076</v>
      </c>
      <c r="S51" s="5" t="s">
        <v>4698</v>
      </c>
      <c r="T51" s="5" t="s">
        <v>4692</v>
      </c>
      <c r="U51" s="12" t="n">
        <v>2</v>
      </c>
      <c r="V51" s="12" t="n">
        <v>2</v>
      </c>
      <c r="W51" s="12" t="n">
        <v>1</v>
      </c>
      <c r="X51" s="12" t="n">
        <v>1</v>
      </c>
      <c r="Y51" s="12" t="n">
        <v>1</v>
      </c>
    </row>
    <row r="52" customFormat="false" ht="162" hidden="false" customHeight="true" outlineLevel="0" collapsed="false">
      <c r="A52" s="12" t="s">
        <v>4694</v>
      </c>
      <c r="B52" s="5" t="s">
        <v>4695</v>
      </c>
      <c r="C52" s="12" t="s">
        <v>4694</v>
      </c>
      <c r="D52" s="12" t="s">
        <v>120</v>
      </c>
      <c r="E52" s="5" t="s">
        <v>4699</v>
      </c>
      <c r="F52" s="14"/>
      <c r="G52" s="14"/>
      <c r="H52" s="14" t="s">
        <v>87</v>
      </c>
      <c r="I52" s="14"/>
      <c r="J52" s="14"/>
      <c r="K52" s="14"/>
      <c r="L52" s="15"/>
      <c r="M52" s="12" t="s">
        <v>72</v>
      </c>
      <c r="N52" s="5"/>
      <c r="O52" s="12"/>
      <c r="P52" s="5" t="s">
        <v>4696</v>
      </c>
      <c r="Q52" s="12" t="s">
        <v>4697</v>
      </c>
      <c r="R52" s="12" t="s">
        <v>4076</v>
      </c>
      <c r="S52" s="5" t="s">
        <v>4698</v>
      </c>
      <c r="T52" s="5" t="s">
        <v>4692</v>
      </c>
      <c r="U52" s="12" t="n">
        <v>2</v>
      </c>
      <c r="V52" s="12" t="n">
        <v>2</v>
      </c>
      <c r="W52" s="12" t="n">
        <v>1</v>
      </c>
      <c r="X52" s="12" t="n">
        <v>1</v>
      </c>
      <c r="Y52" s="12" t="n">
        <v>1</v>
      </c>
    </row>
    <row r="53" customFormat="false" ht="162" hidden="false" customHeight="true" outlineLevel="0" collapsed="false">
      <c r="A53" s="10" t="s">
        <v>4700</v>
      </c>
      <c r="B53" s="11" t="s">
        <v>4701</v>
      </c>
      <c r="C53" s="12"/>
      <c r="D53" s="12" t="s">
        <v>160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t="s">
        <v>72</v>
      </c>
      <c r="N53" s="5"/>
      <c r="O53" s="12"/>
      <c r="P53" s="5" t="s">
        <v>4702</v>
      </c>
      <c r="Q53" s="12" t="s">
        <v>687</v>
      </c>
      <c r="R53" s="12" t="s">
        <v>688</v>
      </c>
      <c r="S53" s="5" t="s">
        <v>4703</v>
      </c>
      <c r="T53" s="5" t="s">
        <v>4704</v>
      </c>
      <c r="U53" s="12" t="n">
        <v>5</v>
      </c>
      <c r="V53" s="12" t="n">
        <v>2</v>
      </c>
      <c r="W53" s="12" t="n">
        <v>1</v>
      </c>
      <c r="X53" s="12" t="n">
        <v>1</v>
      </c>
      <c r="Y53" s="12" t="n">
        <v>0</v>
      </c>
    </row>
    <row r="54" customFormat="false" ht="162" hidden="false" customHeight="true" outlineLevel="0" collapsed="false">
      <c r="A54" s="12" t="s">
        <v>4700</v>
      </c>
      <c r="B54" s="5" t="s">
        <v>4701</v>
      </c>
      <c r="C54" s="12" t="s">
        <v>4700</v>
      </c>
      <c r="D54" s="12" t="s">
        <v>160</v>
      </c>
      <c r="E54" s="5" t="s">
        <v>4705</v>
      </c>
      <c r="F54" s="14"/>
      <c r="G54" s="14"/>
      <c r="H54" s="14" t="s">
        <v>87</v>
      </c>
      <c r="I54" s="14"/>
      <c r="J54" s="14"/>
      <c r="K54" s="14"/>
      <c r="L54" s="15"/>
      <c r="M54" s="12" t="s">
        <v>72</v>
      </c>
      <c r="N54" s="5"/>
      <c r="O54" s="12"/>
      <c r="P54" s="5" t="s">
        <v>4702</v>
      </c>
      <c r="Q54" s="12" t="s">
        <v>687</v>
      </c>
      <c r="R54" s="12" t="s">
        <v>688</v>
      </c>
      <c r="S54" s="5" t="s">
        <v>4703</v>
      </c>
      <c r="T54" s="5" t="s">
        <v>4704</v>
      </c>
      <c r="U54" s="12" t="n">
        <v>5</v>
      </c>
      <c r="V54" s="12" t="n">
        <v>2</v>
      </c>
      <c r="W54" s="12" t="n">
        <v>1</v>
      </c>
      <c r="X54" s="12" t="n">
        <v>1</v>
      </c>
      <c r="Y54" s="12" t="n">
        <v>0</v>
      </c>
    </row>
    <row r="55" customFormat="false" ht="68.25" hidden="false" customHeight="true" outlineLevel="0" collapsed="false">
      <c r="A55" s="10" t="s">
        <v>4706</v>
      </c>
      <c r="B55" s="11" t="s">
        <v>4707</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t="s">
        <v>72</v>
      </c>
      <c r="N55" s="5"/>
      <c r="O55" s="12"/>
      <c r="P55" s="5" t="s">
        <v>4708</v>
      </c>
      <c r="Q55" s="12" t="s">
        <v>687</v>
      </c>
      <c r="R55" s="12" t="s">
        <v>4076</v>
      </c>
      <c r="S55" s="5" t="s">
        <v>4709</v>
      </c>
      <c r="T55" s="5" t="s">
        <v>4692</v>
      </c>
      <c r="U55" s="12" t="n">
        <v>2</v>
      </c>
      <c r="V55" s="12" t="n">
        <v>2</v>
      </c>
      <c r="W55" s="12" t="n">
        <v>1</v>
      </c>
      <c r="X55" s="12" t="n">
        <v>1</v>
      </c>
      <c r="Y55" s="12" t="n">
        <v>0</v>
      </c>
    </row>
    <row r="56" customFormat="false" ht="68.25" hidden="false" customHeight="true" outlineLevel="0" collapsed="false">
      <c r="A56" s="12" t="s">
        <v>4706</v>
      </c>
      <c r="B56" s="5" t="s">
        <v>4707</v>
      </c>
      <c r="C56" s="12" t="s">
        <v>4706</v>
      </c>
      <c r="D56" s="12" t="s">
        <v>120</v>
      </c>
      <c r="E56" s="5" t="s">
        <v>4710</v>
      </c>
      <c r="F56" s="14"/>
      <c r="G56" s="14"/>
      <c r="H56" s="14" t="s">
        <v>87</v>
      </c>
      <c r="I56" s="14"/>
      <c r="J56" s="14"/>
      <c r="K56" s="14"/>
      <c r="L56" s="15"/>
      <c r="M56" s="12" t="s">
        <v>72</v>
      </c>
      <c r="N56" s="5"/>
      <c r="O56" s="12"/>
      <c r="P56" s="5" t="s">
        <v>4708</v>
      </c>
      <c r="Q56" s="12" t="s">
        <v>687</v>
      </c>
      <c r="R56" s="12" t="s">
        <v>4076</v>
      </c>
      <c r="S56" s="5" t="s">
        <v>4709</v>
      </c>
      <c r="T56" s="5" t="s">
        <v>4692</v>
      </c>
      <c r="U56" s="12" t="n">
        <v>2</v>
      </c>
      <c r="V56" s="12" t="n">
        <v>2</v>
      </c>
      <c r="W56" s="12" t="n">
        <v>1</v>
      </c>
      <c r="X56" s="12" t="n">
        <v>1</v>
      </c>
      <c r="Y56" s="12" t="n">
        <v>0</v>
      </c>
    </row>
    <row r="57" customFormat="false" ht="216" hidden="false" customHeight="true" outlineLevel="0" collapsed="false">
      <c r="A57" s="10" t="s">
        <v>4711</v>
      </c>
      <c r="B57" s="11" t="s">
        <v>4712</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t="s">
        <v>72</v>
      </c>
      <c r="N57" s="5"/>
      <c r="O57" s="12"/>
      <c r="P57" s="5" t="s">
        <v>4713</v>
      </c>
      <c r="Q57" s="12" t="s">
        <v>687</v>
      </c>
      <c r="R57" s="12" t="s">
        <v>688</v>
      </c>
      <c r="S57" s="5" t="s">
        <v>4714</v>
      </c>
      <c r="T57" s="5" t="s">
        <v>4715</v>
      </c>
      <c r="U57" s="12" t="n">
        <v>2</v>
      </c>
      <c r="V57" s="12" t="n">
        <v>2</v>
      </c>
      <c r="W57" s="12" t="n">
        <v>1</v>
      </c>
      <c r="X57" s="12" t="n">
        <v>1</v>
      </c>
      <c r="Y57" s="12" t="n">
        <v>0</v>
      </c>
    </row>
    <row r="58" customFormat="false" ht="216" hidden="false" customHeight="true" outlineLevel="0" collapsed="false">
      <c r="A58" s="12" t="s">
        <v>4711</v>
      </c>
      <c r="B58" s="5" t="s">
        <v>4712</v>
      </c>
      <c r="C58" s="12" t="s">
        <v>4711</v>
      </c>
      <c r="D58" s="12" t="s">
        <v>120</v>
      </c>
      <c r="E58" s="5" t="s">
        <v>4716</v>
      </c>
      <c r="F58" s="14"/>
      <c r="G58" s="14"/>
      <c r="H58" s="14" t="s">
        <v>87</v>
      </c>
      <c r="I58" s="14"/>
      <c r="J58" s="14"/>
      <c r="K58" s="14"/>
      <c r="L58" s="15"/>
      <c r="M58" s="12" t="s">
        <v>72</v>
      </c>
      <c r="N58" s="5"/>
      <c r="O58" s="12"/>
      <c r="P58" s="5" t="s">
        <v>4713</v>
      </c>
      <c r="Q58" s="12" t="s">
        <v>687</v>
      </c>
      <c r="R58" s="12" t="s">
        <v>688</v>
      </c>
      <c r="S58" s="5" t="s">
        <v>4714</v>
      </c>
      <c r="T58" s="5" t="s">
        <v>4715</v>
      </c>
      <c r="U58" s="12" t="n">
        <v>2</v>
      </c>
      <c r="V58" s="12" t="n">
        <v>2</v>
      </c>
      <c r="W58" s="12" t="n">
        <v>1</v>
      </c>
      <c r="X58" s="12" t="n">
        <v>1</v>
      </c>
      <c r="Y58" s="12" t="n">
        <v>0</v>
      </c>
    </row>
    <row r="59" customFormat="false" ht="68.25" hidden="false" customHeight="true" outlineLevel="0" collapsed="false">
      <c r="A59" s="10" t="s">
        <v>4717</v>
      </c>
      <c r="B59" s="11" t="s">
        <v>4718</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72</v>
      </c>
      <c r="N59" s="5"/>
      <c r="O59" s="12"/>
      <c r="P59" s="5" t="s">
        <v>4719</v>
      </c>
      <c r="Q59" s="12" t="s">
        <v>687</v>
      </c>
      <c r="R59" s="12" t="s">
        <v>4076</v>
      </c>
      <c r="S59" s="5" t="s">
        <v>4720</v>
      </c>
      <c r="T59" s="5" t="s">
        <v>4692</v>
      </c>
      <c r="U59" s="12" t="n">
        <v>2</v>
      </c>
      <c r="V59" s="12" t="n">
        <v>2</v>
      </c>
      <c r="W59" s="12" t="n">
        <v>1</v>
      </c>
      <c r="X59" s="12" t="n">
        <v>1</v>
      </c>
      <c r="Y59" s="12" t="n">
        <v>0</v>
      </c>
    </row>
    <row r="60" customFormat="false" ht="68.25" hidden="false" customHeight="true" outlineLevel="0" collapsed="false">
      <c r="A60" s="12" t="s">
        <v>4717</v>
      </c>
      <c r="B60" s="5" t="s">
        <v>4718</v>
      </c>
      <c r="C60" s="12" t="s">
        <v>4717</v>
      </c>
      <c r="D60" s="12" t="s">
        <v>120</v>
      </c>
      <c r="E60" s="5" t="s">
        <v>4721</v>
      </c>
      <c r="F60" s="14"/>
      <c r="G60" s="14"/>
      <c r="H60" s="14" t="s">
        <v>87</v>
      </c>
      <c r="I60" s="14"/>
      <c r="J60" s="14"/>
      <c r="K60" s="14"/>
      <c r="L60" s="15"/>
      <c r="M60" s="12" t="s">
        <v>72</v>
      </c>
      <c r="N60" s="5"/>
      <c r="O60" s="12"/>
      <c r="P60" s="5" t="s">
        <v>4719</v>
      </c>
      <c r="Q60" s="12" t="s">
        <v>687</v>
      </c>
      <c r="R60" s="12" t="s">
        <v>4076</v>
      </c>
      <c r="S60" s="5" t="s">
        <v>4720</v>
      </c>
      <c r="T60" s="5" t="s">
        <v>4692</v>
      </c>
      <c r="U60" s="12" t="n">
        <v>2</v>
      </c>
      <c r="V60" s="12" t="n">
        <v>2</v>
      </c>
      <c r="W60" s="12" t="n">
        <v>1</v>
      </c>
      <c r="X60" s="12" t="n">
        <v>1</v>
      </c>
      <c r="Y60" s="12" t="n">
        <v>0</v>
      </c>
    </row>
    <row r="61" customFormat="false" ht="54.75" hidden="false" customHeight="true" outlineLevel="0" collapsed="false">
      <c r="A61" s="10" t="s">
        <v>4722</v>
      </c>
      <c r="B61" s="11" t="s">
        <v>4723</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c r="N61" s="5"/>
      <c r="O61" s="12"/>
      <c r="P61" s="5" t="s">
        <v>4724</v>
      </c>
      <c r="Q61" s="12" t="s">
        <v>687</v>
      </c>
      <c r="R61" s="12" t="s">
        <v>688</v>
      </c>
      <c r="S61" s="5" t="s">
        <v>4725</v>
      </c>
      <c r="T61" s="5" t="s">
        <v>306</v>
      </c>
      <c r="U61" s="12" t="n">
        <v>2</v>
      </c>
      <c r="V61" s="12" t="n">
        <v>1</v>
      </c>
      <c r="W61" s="12" t="n">
        <v>1</v>
      </c>
      <c r="X61" s="12" t="n">
        <v>1</v>
      </c>
      <c r="Y61" s="12" t="n">
        <v>0</v>
      </c>
    </row>
    <row r="62" customFormat="false" ht="54.75" hidden="false" customHeight="true" outlineLevel="0" collapsed="false">
      <c r="A62" s="12" t="s">
        <v>4722</v>
      </c>
      <c r="B62" s="5" t="s">
        <v>4723</v>
      </c>
      <c r="C62" s="12" t="s">
        <v>4722</v>
      </c>
      <c r="D62" s="12" t="s">
        <v>120</v>
      </c>
      <c r="E62" s="5" t="s">
        <v>4726</v>
      </c>
      <c r="F62" s="14"/>
      <c r="G62" s="14"/>
      <c r="H62" s="14" t="s">
        <v>87</v>
      </c>
      <c r="I62" s="14"/>
      <c r="J62" s="14"/>
      <c r="K62" s="14"/>
      <c r="L62" s="15"/>
      <c r="M62" s="12"/>
      <c r="N62" s="5"/>
      <c r="O62" s="12"/>
      <c r="P62" s="5" t="s">
        <v>4724</v>
      </c>
      <c r="Q62" s="12" t="s">
        <v>687</v>
      </c>
      <c r="R62" s="12" t="s">
        <v>688</v>
      </c>
      <c r="S62" s="5" t="s">
        <v>4725</v>
      </c>
      <c r="T62" s="5" t="s">
        <v>306</v>
      </c>
      <c r="U62" s="12" t="n">
        <v>2</v>
      </c>
      <c r="V62" s="12" t="n">
        <v>1</v>
      </c>
      <c r="W62" s="12" t="n">
        <v>1</v>
      </c>
      <c r="X62" s="12" t="n">
        <v>1</v>
      </c>
      <c r="Y62" s="12" t="n">
        <v>0</v>
      </c>
    </row>
    <row r="63" customFormat="false" ht="54.75" hidden="false" customHeight="true" outlineLevel="0" collapsed="false">
      <c r="A63" s="10" t="s">
        <v>4727</v>
      </c>
      <c r="B63" s="11" t="s">
        <v>4728</v>
      </c>
      <c r="C63" s="12"/>
      <c r="D63" s="12" t="s">
        <v>120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t="s">
        <v>72</v>
      </c>
      <c r="N63" s="5"/>
      <c r="O63" s="12"/>
      <c r="P63" s="5" t="s">
        <v>4729</v>
      </c>
      <c r="Q63" s="12" t="s">
        <v>687</v>
      </c>
      <c r="R63" s="12" t="s">
        <v>688</v>
      </c>
      <c r="S63" s="5" t="s">
        <v>4730</v>
      </c>
      <c r="T63" s="5" t="s">
        <v>306</v>
      </c>
      <c r="U63" s="12" t="n">
        <v>2</v>
      </c>
      <c r="V63" s="12" t="n">
        <v>2</v>
      </c>
      <c r="W63" s="12" t="n">
        <v>1</v>
      </c>
      <c r="X63" s="12" t="n">
        <v>1</v>
      </c>
      <c r="Y63" s="12" t="n">
        <v>0</v>
      </c>
    </row>
    <row r="64" customFormat="false" ht="54.75" hidden="false" customHeight="true" outlineLevel="0" collapsed="false">
      <c r="A64" s="12" t="s">
        <v>4727</v>
      </c>
      <c r="B64" s="5" t="s">
        <v>4728</v>
      </c>
      <c r="C64" s="12" t="s">
        <v>4727</v>
      </c>
      <c r="D64" s="12" t="s">
        <v>120</v>
      </c>
      <c r="E64" s="5" t="s">
        <v>4731</v>
      </c>
      <c r="F64" s="14"/>
      <c r="G64" s="14"/>
      <c r="H64" s="14" t="s">
        <v>87</v>
      </c>
      <c r="I64" s="14"/>
      <c r="J64" s="14"/>
      <c r="K64" s="14"/>
      <c r="L64" s="15"/>
      <c r="M64" s="12" t="s">
        <v>72</v>
      </c>
      <c r="N64" s="5"/>
      <c r="O64" s="12"/>
      <c r="P64" s="5" t="s">
        <v>4729</v>
      </c>
      <c r="Q64" s="12" t="s">
        <v>687</v>
      </c>
      <c r="R64" s="12" t="s">
        <v>688</v>
      </c>
      <c r="S64" s="5" t="s">
        <v>4730</v>
      </c>
      <c r="T64" s="5" t="s">
        <v>306</v>
      </c>
      <c r="U64" s="12" t="n">
        <v>2</v>
      </c>
      <c r="V64" s="12" t="n">
        <v>2</v>
      </c>
      <c r="W64" s="12" t="n">
        <v>1</v>
      </c>
      <c r="X64" s="12" t="n">
        <v>1</v>
      </c>
      <c r="Y64" s="12" t="n">
        <v>0</v>
      </c>
    </row>
    <row r="65" customFormat="false" ht="175.5" hidden="false" customHeight="true" outlineLevel="0" collapsed="false">
      <c r="A65" s="10" t="s">
        <v>4732</v>
      </c>
      <c r="B65" s="11" t="s">
        <v>4733</v>
      </c>
      <c r="C65" s="12"/>
      <c r="D65" s="12" t="s">
        <v>120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c r="N65" s="5" t="s">
        <v>4734</v>
      </c>
      <c r="O65" s="12" t="s">
        <v>661</v>
      </c>
      <c r="P65" s="5" t="s">
        <v>4735</v>
      </c>
      <c r="Q65" s="12" t="s">
        <v>687</v>
      </c>
      <c r="R65" s="12" t="s">
        <v>4076</v>
      </c>
      <c r="S65" s="5" t="s">
        <v>4736</v>
      </c>
      <c r="T65" s="5" t="s">
        <v>306</v>
      </c>
      <c r="U65" s="12" t="n">
        <v>2</v>
      </c>
      <c r="V65" s="12" t="n">
        <v>1</v>
      </c>
      <c r="W65" s="12" t="n">
        <v>1</v>
      </c>
      <c r="X65" s="12" t="n">
        <v>1</v>
      </c>
      <c r="Y65" s="12" t="n">
        <v>0</v>
      </c>
    </row>
    <row r="66" customFormat="false" ht="175.5" hidden="false" customHeight="true" outlineLevel="0" collapsed="false">
      <c r="A66" s="12" t="s">
        <v>4732</v>
      </c>
      <c r="B66" s="5" t="s">
        <v>4733</v>
      </c>
      <c r="C66" s="12" t="s">
        <v>4732</v>
      </c>
      <c r="D66" s="12" t="s">
        <v>120</v>
      </c>
      <c r="E66" s="5" t="s">
        <v>4737</v>
      </c>
      <c r="F66" s="14"/>
      <c r="G66" s="14"/>
      <c r="H66" s="14" t="s">
        <v>87</v>
      </c>
      <c r="I66" s="14"/>
      <c r="J66" s="14"/>
      <c r="K66" s="14"/>
      <c r="L66" s="15"/>
      <c r="M66" s="12"/>
      <c r="N66" s="5" t="s">
        <v>4734</v>
      </c>
      <c r="O66" s="12" t="s">
        <v>661</v>
      </c>
      <c r="P66" s="5" t="s">
        <v>4735</v>
      </c>
      <c r="Q66" s="12" t="s">
        <v>687</v>
      </c>
      <c r="R66" s="12" t="s">
        <v>4076</v>
      </c>
      <c r="S66" s="5" t="s">
        <v>4736</v>
      </c>
      <c r="T66" s="5" t="s">
        <v>306</v>
      </c>
      <c r="U66" s="12" t="n">
        <v>2</v>
      </c>
      <c r="V66" s="12" t="n">
        <v>1</v>
      </c>
      <c r="W66" s="12" t="n">
        <v>1</v>
      </c>
      <c r="X66" s="12" t="n">
        <v>1</v>
      </c>
      <c r="Y66" s="12" t="n">
        <v>0</v>
      </c>
    </row>
    <row r="67" customFormat="false" ht="68.25" hidden="false" customHeight="true" outlineLevel="0" collapsed="false">
      <c r="A67" s="10" t="s">
        <v>4738</v>
      </c>
      <c r="B67" s="11" t="s">
        <v>4739</v>
      </c>
      <c r="C67" s="12"/>
      <c r="D67" s="12" t="s">
        <v>120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c r="N67" s="5" t="s">
        <v>4740</v>
      </c>
      <c r="O67" s="12" t="s">
        <v>661</v>
      </c>
      <c r="P67" s="5" t="s">
        <v>4741</v>
      </c>
      <c r="Q67" s="12" t="s">
        <v>4742</v>
      </c>
      <c r="R67" s="12" t="s">
        <v>4076</v>
      </c>
      <c r="S67" s="5" t="s">
        <v>4743</v>
      </c>
      <c r="T67" s="5" t="s">
        <v>306</v>
      </c>
      <c r="U67" s="12" t="n">
        <v>3</v>
      </c>
      <c r="V67" s="12" t="n">
        <v>1</v>
      </c>
      <c r="W67" s="12" t="n">
        <v>1</v>
      </c>
      <c r="X67" s="12" t="n">
        <v>1</v>
      </c>
      <c r="Y67" s="12" t="n">
        <v>0</v>
      </c>
    </row>
    <row r="68" customFormat="false" ht="68.25" hidden="false" customHeight="true" outlineLevel="0" collapsed="false">
      <c r="A68" s="12" t="s">
        <v>4738</v>
      </c>
      <c r="B68" s="5" t="s">
        <v>4739</v>
      </c>
      <c r="C68" s="12" t="s">
        <v>4738</v>
      </c>
      <c r="D68" s="12" t="s">
        <v>120</v>
      </c>
      <c r="E68" s="5" t="s">
        <v>4744</v>
      </c>
      <c r="F68" s="14"/>
      <c r="G68" s="14"/>
      <c r="H68" s="14" t="s">
        <v>87</v>
      </c>
      <c r="I68" s="14"/>
      <c r="J68" s="14"/>
      <c r="K68" s="14"/>
      <c r="L68" s="15"/>
      <c r="M68" s="12"/>
      <c r="N68" s="5" t="s">
        <v>4740</v>
      </c>
      <c r="O68" s="12" t="s">
        <v>661</v>
      </c>
      <c r="P68" s="5" t="s">
        <v>4741</v>
      </c>
      <c r="Q68" s="12" t="s">
        <v>4742</v>
      </c>
      <c r="R68" s="12" t="s">
        <v>4076</v>
      </c>
      <c r="S68" s="5" t="s">
        <v>4743</v>
      </c>
      <c r="T68" s="5" t="s">
        <v>306</v>
      </c>
      <c r="U68" s="12" t="n">
        <v>3</v>
      </c>
      <c r="V68" s="12" t="n">
        <v>1</v>
      </c>
      <c r="W68" s="12" t="n">
        <v>1</v>
      </c>
      <c r="X68" s="12" t="n">
        <v>1</v>
      </c>
      <c r="Y68" s="12" t="n">
        <v>0</v>
      </c>
    </row>
    <row r="69" customFormat="false" ht="162" hidden="false" customHeight="true" outlineLevel="0" collapsed="false">
      <c r="A69" s="10" t="s">
        <v>4745</v>
      </c>
      <c r="B69" s="11" t="s">
        <v>4746</v>
      </c>
      <c r="C69" s="12"/>
      <c r="D69" s="12" t="s">
        <v>120</v>
      </c>
      <c r="E69" s="5" t="s">
        <v>79</v>
      </c>
      <c r="F69" s="12"/>
      <c r="G69" s="12"/>
      <c r="H69" s="13" t="str">
        <f aca="false">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Bitte Teilanforderungen ausfüllen</v>
      </c>
      <c r="I69" s="12"/>
      <c r="J69" s="12"/>
      <c r="K69" s="12"/>
      <c r="L69" s="12"/>
      <c r="M69" s="12" t="s">
        <v>72</v>
      </c>
      <c r="N69" s="5"/>
      <c r="O69" s="12"/>
      <c r="P69" s="5" t="s">
        <v>4747</v>
      </c>
      <c r="Q69" s="12" t="s">
        <v>4742</v>
      </c>
      <c r="R69" s="12" t="s">
        <v>4076</v>
      </c>
      <c r="S69" s="5" t="s">
        <v>4748</v>
      </c>
      <c r="T69" s="5" t="s">
        <v>306</v>
      </c>
      <c r="U69" s="12" t="n">
        <v>2</v>
      </c>
      <c r="V69" s="12" t="n">
        <v>2</v>
      </c>
      <c r="W69" s="12" t="n">
        <v>1</v>
      </c>
      <c r="X69" s="12" t="n">
        <v>1</v>
      </c>
      <c r="Y69" s="12" t="n">
        <v>0</v>
      </c>
    </row>
    <row r="70" customFormat="false" ht="162" hidden="false" customHeight="true" outlineLevel="0" collapsed="false">
      <c r="A70" s="12" t="s">
        <v>4745</v>
      </c>
      <c r="B70" s="5" t="s">
        <v>4746</v>
      </c>
      <c r="C70" s="12" t="s">
        <v>4745</v>
      </c>
      <c r="D70" s="12" t="s">
        <v>120</v>
      </c>
      <c r="E70" s="5" t="s">
        <v>4749</v>
      </c>
      <c r="F70" s="14"/>
      <c r="G70" s="14"/>
      <c r="H70" s="14" t="s">
        <v>87</v>
      </c>
      <c r="I70" s="14"/>
      <c r="J70" s="14"/>
      <c r="K70" s="14"/>
      <c r="L70" s="15"/>
      <c r="M70" s="12" t="s">
        <v>72</v>
      </c>
      <c r="N70" s="5"/>
      <c r="O70" s="12"/>
      <c r="P70" s="5" t="s">
        <v>4747</v>
      </c>
      <c r="Q70" s="12" t="s">
        <v>4742</v>
      </c>
      <c r="R70" s="12" t="s">
        <v>4076</v>
      </c>
      <c r="S70" s="5" t="s">
        <v>4748</v>
      </c>
      <c r="T70" s="5" t="s">
        <v>306</v>
      </c>
      <c r="U70" s="12" t="n">
        <v>2</v>
      </c>
      <c r="V70" s="12" t="n">
        <v>2</v>
      </c>
      <c r="W70" s="12" t="n">
        <v>1</v>
      </c>
      <c r="X70" s="12" t="n">
        <v>1</v>
      </c>
      <c r="Y70" s="12" t="n">
        <v>0</v>
      </c>
    </row>
    <row r="71" customFormat="false" ht="256.5" hidden="false" customHeight="true" outlineLevel="0" collapsed="false">
      <c r="A71" s="10" t="s">
        <v>4750</v>
      </c>
      <c r="B71" s="11" t="s">
        <v>4751</v>
      </c>
      <c r="C71" s="12"/>
      <c r="D71" s="12" t="s">
        <v>120</v>
      </c>
      <c r="E71" s="5" t="s">
        <v>79</v>
      </c>
      <c r="F71" s="12"/>
      <c r="G71" s="12"/>
      <c r="H71" s="13" t="str">
        <f aca="false">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2"/>
      <c r="J71" s="12"/>
      <c r="K71" s="12"/>
      <c r="L71" s="12"/>
      <c r="M71" s="12"/>
      <c r="N71" s="5"/>
      <c r="O71" s="12"/>
      <c r="P71" s="5" t="s">
        <v>4752</v>
      </c>
      <c r="Q71" s="12" t="s">
        <v>4742</v>
      </c>
      <c r="R71" s="12" t="s">
        <v>4076</v>
      </c>
      <c r="S71" s="5" t="s">
        <v>4753</v>
      </c>
      <c r="T71" s="5" t="s">
        <v>306</v>
      </c>
      <c r="U71" s="12" t="n">
        <v>2</v>
      </c>
      <c r="V71" s="12" t="n">
        <v>1</v>
      </c>
      <c r="W71" s="12" t="n">
        <v>1</v>
      </c>
      <c r="X71" s="12" t="n">
        <v>1</v>
      </c>
      <c r="Y71" s="12" t="n">
        <v>0</v>
      </c>
    </row>
    <row r="72" customFormat="false" ht="256.5" hidden="false" customHeight="true" outlineLevel="0" collapsed="false">
      <c r="A72" s="12" t="s">
        <v>4750</v>
      </c>
      <c r="B72" s="5" t="s">
        <v>4751</v>
      </c>
      <c r="C72" s="12" t="s">
        <v>4750</v>
      </c>
      <c r="D72" s="12" t="s">
        <v>120</v>
      </c>
      <c r="E72" s="5" t="s">
        <v>4754</v>
      </c>
      <c r="F72" s="14"/>
      <c r="G72" s="14"/>
      <c r="H72" s="14" t="s">
        <v>87</v>
      </c>
      <c r="I72" s="14"/>
      <c r="J72" s="14"/>
      <c r="K72" s="14"/>
      <c r="L72" s="15"/>
      <c r="M72" s="12"/>
      <c r="N72" s="5"/>
      <c r="O72" s="12"/>
      <c r="P72" s="5" t="s">
        <v>4752</v>
      </c>
      <c r="Q72" s="12" t="s">
        <v>4742</v>
      </c>
      <c r="R72" s="12" t="s">
        <v>4076</v>
      </c>
      <c r="S72" s="5" t="s">
        <v>4753</v>
      </c>
      <c r="T72" s="5" t="s">
        <v>306</v>
      </c>
      <c r="U72" s="12" t="n">
        <v>2</v>
      </c>
      <c r="V72" s="12" t="n">
        <v>1</v>
      </c>
      <c r="W72" s="12" t="n">
        <v>1</v>
      </c>
      <c r="X72" s="12" t="n">
        <v>1</v>
      </c>
      <c r="Y72" s="12" t="n">
        <v>0</v>
      </c>
    </row>
    <row r="73" customFormat="false" ht="162" hidden="false" customHeight="true" outlineLevel="0" collapsed="false">
      <c r="A73" s="10" t="s">
        <v>4755</v>
      </c>
      <c r="B73" s="11" t="s">
        <v>4756</v>
      </c>
      <c r="C73" s="12"/>
      <c r="D73" s="12" t="s">
        <v>120</v>
      </c>
      <c r="E73" s="5" t="s">
        <v>79</v>
      </c>
      <c r="F73" s="12"/>
      <c r="G73" s="12"/>
      <c r="H73" s="13" t="str">
        <f aca="false">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2"/>
      <c r="J73" s="12"/>
      <c r="K73" s="12"/>
      <c r="L73" s="12"/>
      <c r="M73" s="12" t="s">
        <v>72</v>
      </c>
      <c r="N73" s="5"/>
      <c r="O73" s="12"/>
      <c r="P73" s="5" t="s">
        <v>4757</v>
      </c>
      <c r="Q73" s="12" t="s">
        <v>4742</v>
      </c>
      <c r="R73" s="12" t="s">
        <v>4076</v>
      </c>
      <c r="S73" s="5" t="s">
        <v>4758</v>
      </c>
      <c r="T73" s="5" t="s">
        <v>306</v>
      </c>
      <c r="U73" s="12" t="n">
        <v>1</v>
      </c>
      <c r="V73" s="12" t="n">
        <v>2</v>
      </c>
      <c r="W73" s="12" t="n">
        <v>1</v>
      </c>
      <c r="X73" s="12" t="n">
        <v>1</v>
      </c>
      <c r="Y73" s="12" t="n">
        <v>0</v>
      </c>
    </row>
    <row r="74" customFormat="false" ht="162" hidden="false" customHeight="true" outlineLevel="0" collapsed="false">
      <c r="A74" s="12" t="s">
        <v>4755</v>
      </c>
      <c r="B74" s="5" t="s">
        <v>4756</v>
      </c>
      <c r="C74" s="12" t="s">
        <v>4755</v>
      </c>
      <c r="D74" s="12" t="s">
        <v>120</v>
      </c>
      <c r="E74" s="5" t="s">
        <v>4759</v>
      </c>
      <c r="F74" s="14"/>
      <c r="G74" s="14"/>
      <c r="H74" s="14" t="s">
        <v>87</v>
      </c>
      <c r="I74" s="14"/>
      <c r="J74" s="14"/>
      <c r="K74" s="14"/>
      <c r="L74" s="15"/>
      <c r="M74" s="12" t="s">
        <v>72</v>
      </c>
      <c r="N74" s="5"/>
      <c r="O74" s="12"/>
      <c r="P74" s="5" t="s">
        <v>4757</v>
      </c>
      <c r="Q74" s="12" t="s">
        <v>4742</v>
      </c>
      <c r="R74" s="12" t="s">
        <v>4076</v>
      </c>
      <c r="S74" s="5" t="s">
        <v>4758</v>
      </c>
      <c r="T74" s="5" t="s">
        <v>306</v>
      </c>
      <c r="U74" s="12" t="n">
        <v>1</v>
      </c>
      <c r="V74" s="12" t="n">
        <v>2</v>
      </c>
      <c r="W74" s="12" t="n">
        <v>1</v>
      </c>
      <c r="X74" s="12" t="n">
        <v>1</v>
      </c>
      <c r="Y74" s="12" t="n">
        <v>0</v>
      </c>
    </row>
    <row r="75" customFormat="false" ht="122.25" hidden="false" customHeight="true" outlineLevel="0" collapsed="false">
      <c r="A75" s="10" t="s">
        <v>4760</v>
      </c>
      <c r="B75" s="11" t="s">
        <v>4761</v>
      </c>
      <c r="C75" s="12"/>
      <c r="D75" s="12" t="s">
        <v>120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c r="N75" s="5"/>
      <c r="O75" s="12"/>
      <c r="P75" s="5" t="s">
        <v>4762</v>
      </c>
      <c r="Q75" s="12" t="s">
        <v>4742</v>
      </c>
      <c r="R75" s="12" t="s">
        <v>4076</v>
      </c>
      <c r="S75" s="5" t="s">
        <v>4763</v>
      </c>
      <c r="T75" s="5" t="s">
        <v>306</v>
      </c>
      <c r="U75" s="12" t="n">
        <v>1</v>
      </c>
      <c r="V75" s="12" t="n">
        <v>1</v>
      </c>
      <c r="W75" s="12" t="n">
        <v>1</v>
      </c>
      <c r="X75" s="12" t="n">
        <v>1</v>
      </c>
      <c r="Y75" s="12" t="n">
        <v>0</v>
      </c>
    </row>
    <row r="76" customFormat="false" ht="122.25" hidden="false" customHeight="true" outlineLevel="0" collapsed="false">
      <c r="A76" s="12" t="s">
        <v>4760</v>
      </c>
      <c r="B76" s="5" t="s">
        <v>4761</v>
      </c>
      <c r="C76" s="12" t="s">
        <v>4760</v>
      </c>
      <c r="D76" s="12" t="s">
        <v>120</v>
      </c>
      <c r="E76" s="5" t="s">
        <v>4764</v>
      </c>
      <c r="F76" s="14"/>
      <c r="G76" s="14"/>
      <c r="H76" s="14" t="s">
        <v>87</v>
      </c>
      <c r="I76" s="14"/>
      <c r="J76" s="14"/>
      <c r="K76" s="14"/>
      <c r="L76" s="15"/>
      <c r="M76" s="12"/>
      <c r="N76" s="5"/>
      <c r="O76" s="12"/>
      <c r="P76" s="5" t="s">
        <v>4762</v>
      </c>
      <c r="Q76" s="12" t="s">
        <v>4742</v>
      </c>
      <c r="R76" s="12" t="s">
        <v>4076</v>
      </c>
      <c r="S76" s="5" t="s">
        <v>4763</v>
      </c>
      <c r="T76" s="5" t="s">
        <v>306</v>
      </c>
      <c r="U76" s="12" t="n">
        <v>1</v>
      </c>
      <c r="V76" s="12" t="n">
        <v>1</v>
      </c>
      <c r="W76" s="12" t="n">
        <v>1</v>
      </c>
      <c r="X76" s="12" t="n">
        <v>1</v>
      </c>
      <c r="Y76" s="12" t="n">
        <v>0</v>
      </c>
    </row>
    <row r="77" customFormat="false" ht="162" hidden="false" customHeight="true" outlineLevel="0" collapsed="false">
      <c r="A77" s="10" t="s">
        <v>4765</v>
      </c>
      <c r="B77" s="11" t="s">
        <v>4766</v>
      </c>
      <c r="C77" s="12"/>
      <c r="D77" s="12" t="s">
        <v>120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c r="N77" s="5"/>
      <c r="O77" s="12"/>
      <c r="P77" s="5" t="s">
        <v>4767</v>
      </c>
      <c r="Q77" s="12" t="s">
        <v>4742</v>
      </c>
      <c r="R77" s="12" t="s">
        <v>4076</v>
      </c>
      <c r="S77" s="5" t="s">
        <v>4768</v>
      </c>
      <c r="T77" s="5" t="s">
        <v>306</v>
      </c>
      <c r="U77" s="12" t="n">
        <v>1</v>
      </c>
      <c r="V77" s="12" t="n">
        <v>1</v>
      </c>
      <c r="W77" s="12" t="n">
        <v>1</v>
      </c>
      <c r="X77" s="12" t="n">
        <v>1</v>
      </c>
      <c r="Y77" s="12" t="n">
        <v>0</v>
      </c>
    </row>
    <row r="78" customFormat="false" ht="162" hidden="false" customHeight="true" outlineLevel="0" collapsed="false">
      <c r="A78" s="12" t="s">
        <v>4765</v>
      </c>
      <c r="B78" s="5" t="s">
        <v>4766</v>
      </c>
      <c r="C78" s="12" t="s">
        <v>4765</v>
      </c>
      <c r="D78" s="12" t="s">
        <v>120</v>
      </c>
      <c r="E78" s="5" t="s">
        <v>4769</v>
      </c>
      <c r="F78" s="14"/>
      <c r="G78" s="14"/>
      <c r="H78" s="14" t="s">
        <v>87</v>
      </c>
      <c r="I78" s="14"/>
      <c r="J78" s="14"/>
      <c r="K78" s="14"/>
      <c r="L78" s="15"/>
      <c r="M78" s="12"/>
      <c r="N78" s="5"/>
      <c r="O78" s="12"/>
      <c r="P78" s="5" t="s">
        <v>4767</v>
      </c>
      <c r="Q78" s="12" t="s">
        <v>4742</v>
      </c>
      <c r="R78" s="12" t="s">
        <v>4076</v>
      </c>
      <c r="S78" s="5" t="s">
        <v>4768</v>
      </c>
      <c r="T78" s="5" t="s">
        <v>306</v>
      </c>
      <c r="U78" s="12" t="n">
        <v>1</v>
      </c>
      <c r="V78" s="12" t="n">
        <v>1</v>
      </c>
      <c r="W78" s="12" t="n">
        <v>1</v>
      </c>
      <c r="X78" s="12" t="n">
        <v>1</v>
      </c>
      <c r="Y78" s="12" t="n">
        <v>0</v>
      </c>
    </row>
    <row r="79" customFormat="false" ht="108.75" hidden="false" customHeight="true" outlineLevel="0" collapsed="false">
      <c r="A79" s="10" t="s">
        <v>4770</v>
      </c>
      <c r="B79" s="11" t="s">
        <v>4771</v>
      </c>
      <c r="C79" s="12"/>
      <c r="D79" s="12" t="s">
        <v>120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c r="N79" s="5"/>
      <c r="O79" s="12"/>
      <c r="P79" s="5" t="s">
        <v>4772</v>
      </c>
      <c r="Q79" s="12" t="s">
        <v>4773</v>
      </c>
      <c r="R79" s="12" t="s">
        <v>4076</v>
      </c>
      <c r="S79" s="5" t="s">
        <v>4774</v>
      </c>
      <c r="T79" s="5" t="s">
        <v>306</v>
      </c>
      <c r="U79" s="12" t="n">
        <v>1</v>
      </c>
      <c r="V79" s="12" t="n">
        <v>1</v>
      </c>
      <c r="W79" s="12" t="n">
        <v>1</v>
      </c>
      <c r="X79" s="12" t="n">
        <v>1</v>
      </c>
      <c r="Y79" s="12" t="n">
        <v>0</v>
      </c>
    </row>
    <row r="80" customFormat="false" ht="108.75" hidden="false" customHeight="true" outlineLevel="0" collapsed="false">
      <c r="A80" s="12" t="s">
        <v>4770</v>
      </c>
      <c r="B80" s="5" t="s">
        <v>4771</v>
      </c>
      <c r="C80" s="12" t="s">
        <v>4770</v>
      </c>
      <c r="D80" s="12" t="s">
        <v>120</v>
      </c>
      <c r="E80" s="5" t="s">
        <v>4775</v>
      </c>
      <c r="F80" s="14"/>
      <c r="G80" s="14"/>
      <c r="H80" s="14" t="s">
        <v>87</v>
      </c>
      <c r="I80" s="14"/>
      <c r="J80" s="14"/>
      <c r="K80" s="14"/>
      <c r="L80" s="15"/>
      <c r="M80" s="12"/>
      <c r="N80" s="5"/>
      <c r="O80" s="12"/>
      <c r="P80" s="5" t="s">
        <v>4772</v>
      </c>
      <c r="Q80" s="12" t="s">
        <v>4773</v>
      </c>
      <c r="R80" s="12" t="s">
        <v>4076</v>
      </c>
      <c r="S80" s="5" t="s">
        <v>4774</v>
      </c>
      <c r="T80" s="5" t="s">
        <v>306</v>
      </c>
      <c r="U80" s="12" t="n">
        <v>1</v>
      </c>
      <c r="V80" s="12" t="n">
        <v>1</v>
      </c>
      <c r="W80" s="12" t="n">
        <v>1</v>
      </c>
      <c r="X80" s="12" t="n">
        <v>1</v>
      </c>
      <c r="Y80" s="12" t="n">
        <v>0</v>
      </c>
    </row>
    <row r="81" customFormat="false" ht="175.5" hidden="false" customHeight="true" outlineLevel="0" collapsed="false">
      <c r="A81" s="10" t="s">
        <v>4776</v>
      </c>
      <c r="B81" s="11" t="s">
        <v>4777</v>
      </c>
      <c r="C81" s="12"/>
      <c r="D81" s="12" t="s">
        <v>120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c r="N81" s="5" t="s">
        <v>4778</v>
      </c>
      <c r="O81" s="12" t="s">
        <v>2211</v>
      </c>
      <c r="P81" s="5" t="s">
        <v>4779</v>
      </c>
      <c r="Q81" s="12" t="s">
        <v>4780</v>
      </c>
      <c r="R81" s="12" t="s">
        <v>4076</v>
      </c>
      <c r="S81" s="5" t="s">
        <v>4781</v>
      </c>
      <c r="T81" s="5" t="s">
        <v>306</v>
      </c>
      <c r="U81" s="12" t="n">
        <v>2</v>
      </c>
      <c r="V81" s="12" t="n">
        <v>1</v>
      </c>
      <c r="W81" s="12" t="n">
        <v>1</v>
      </c>
      <c r="X81" s="12" t="n">
        <v>1</v>
      </c>
      <c r="Y81" s="12" t="n">
        <v>0</v>
      </c>
    </row>
    <row r="82" customFormat="false" ht="175.5" hidden="false" customHeight="true" outlineLevel="0" collapsed="false">
      <c r="A82" s="12" t="s">
        <v>4776</v>
      </c>
      <c r="B82" s="5" t="s">
        <v>4777</v>
      </c>
      <c r="C82" s="12" t="s">
        <v>4776</v>
      </c>
      <c r="D82" s="12" t="s">
        <v>120</v>
      </c>
      <c r="E82" s="5" t="s">
        <v>4782</v>
      </c>
      <c r="F82" s="14"/>
      <c r="G82" s="14"/>
      <c r="H82" s="14" t="s">
        <v>87</v>
      </c>
      <c r="I82" s="14"/>
      <c r="J82" s="14"/>
      <c r="K82" s="14"/>
      <c r="L82" s="15"/>
      <c r="M82" s="12"/>
      <c r="N82" s="5" t="s">
        <v>4778</v>
      </c>
      <c r="O82" s="12" t="s">
        <v>2211</v>
      </c>
      <c r="P82" s="5" t="s">
        <v>4779</v>
      </c>
      <c r="Q82" s="12" t="s">
        <v>4780</v>
      </c>
      <c r="R82" s="12" t="s">
        <v>4076</v>
      </c>
      <c r="S82" s="5" t="s">
        <v>4781</v>
      </c>
      <c r="T82" s="5" t="s">
        <v>306</v>
      </c>
      <c r="U82" s="12" t="n">
        <v>2</v>
      </c>
      <c r="V82" s="12" t="n">
        <v>1</v>
      </c>
      <c r="W82" s="12" t="n">
        <v>1</v>
      </c>
      <c r="X82" s="12" t="n">
        <v>1</v>
      </c>
      <c r="Y82" s="12" t="n">
        <v>0</v>
      </c>
    </row>
    <row r="83" customFormat="false" ht="175.5" hidden="false" customHeight="true" outlineLevel="0" collapsed="false">
      <c r="A83" s="10" t="s">
        <v>4783</v>
      </c>
      <c r="B83" s="11" t="s">
        <v>4784</v>
      </c>
      <c r="C83" s="12"/>
      <c r="D83" s="12" t="s">
        <v>120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72</v>
      </c>
      <c r="N83" s="5"/>
      <c r="O83" s="12"/>
      <c r="P83" s="5" t="s">
        <v>4785</v>
      </c>
      <c r="Q83" s="12" t="s">
        <v>4786</v>
      </c>
      <c r="R83" s="12" t="s">
        <v>4076</v>
      </c>
      <c r="S83" s="5" t="s">
        <v>4787</v>
      </c>
      <c r="T83" s="5" t="s">
        <v>306</v>
      </c>
      <c r="U83" s="12" t="n">
        <v>4</v>
      </c>
      <c r="V83" s="12" t="n">
        <v>2</v>
      </c>
      <c r="W83" s="12" t="n">
        <v>1</v>
      </c>
      <c r="X83" s="12" t="n">
        <v>1</v>
      </c>
      <c r="Y83" s="12" t="n">
        <v>0</v>
      </c>
    </row>
    <row r="84" customFormat="false" ht="175.5" hidden="false" customHeight="true" outlineLevel="0" collapsed="false">
      <c r="A84" s="12" t="s">
        <v>4783</v>
      </c>
      <c r="B84" s="5" t="s">
        <v>4784</v>
      </c>
      <c r="C84" s="12" t="s">
        <v>4783</v>
      </c>
      <c r="D84" s="12" t="s">
        <v>120</v>
      </c>
      <c r="E84" s="5" t="s">
        <v>4788</v>
      </c>
      <c r="F84" s="14"/>
      <c r="G84" s="14"/>
      <c r="H84" s="14" t="s">
        <v>87</v>
      </c>
      <c r="I84" s="14"/>
      <c r="J84" s="14"/>
      <c r="K84" s="14"/>
      <c r="L84" s="15"/>
      <c r="M84" s="12" t="s">
        <v>72</v>
      </c>
      <c r="N84" s="5"/>
      <c r="O84" s="12"/>
      <c r="P84" s="5" t="s">
        <v>4785</v>
      </c>
      <c r="Q84" s="12" t="s">
        <v>4786</v>
      </c>
      <c r="R84" s="12" t="s">
        <v>4076</v>
      </c>
      <c r="S84" s="5" t="s">
        <v>4787</v>
      </c>
      <c r="T84" s="5" t="s">
        <v>306</v>
      </c>
      <c r="U84" s="12" t="n">
        <v>4</v>
      </c>
      <c r="V84" s="12" t="n">
        <v>2</v>
      </c>
      <c r="W84" s="12" t="n">
        <v>1</v>
      </c>
      <c r="X84" s="12" t="n">
        <v>1</v>
      </c>
      <c r="Y84" s="12" t="n">
        <v>0</v>
      </c>
    </row>
    <row r="85" customFormat="false" ht="68.25" hidden="false" customHeight="true" outlineLevel="0" collapsed="false">
      <c r="A85" s="10" t="s">
        <v>4789</v>
      </c>
      <c r="B85" s="11" t="s">
        <v>4790</v>
      </c>
      <c r="C85" s="12"/>
      <c r="D85" s="12" t="s">
        <v>120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t="s">
        <v>72</v>
      </c>
      <c r="N85" s="5"/>
      <c r="O85" s="12"/>
      <c r="P85" s="5" t="s">
        <v>4791</v>
      </c>
      <c r="Q85" s="12" t="s">
        <v>4792</v>
      </c>
      <c r="R85" s="12" t="s">
        <v>4076</v>
      </c>
      <c r="S85" s="5" t="s">
        <v>4793</v>
      </c>
      <c r="T85" s="5" t="s">
        <v>306</v>
      </c>
      <c r="U85" s="12" t="n">
        <v>2</v>
      </c>
      <c r="V85" s="12" t="n">
        <v>2</v>
      </c>
      <c r="W85" s="12" t="n">
        <v>1</v>
      </c>
      <c r="X85" s="12" t="n">
        <v>1</v>
      </c>
      <c r="Y85" s="12" t="n">
        <v>0</v>
      </c>
    </row>
    <row r="86" customFormat="false" ht="68.25" hidden="false" customHeight="true" outlineLevel="0" collapsed="false">
      <c r="A86" s="12" t="s">
        <v>4789</v>
      </c>
      <c r="B86" s="5" t="s">
        <v>4790</v>
      </c>
      <c r="C86" s="12" t="s">
        <v>4789</v>
      </c>
      <c r="D86" s="12" t="s">
        <v>120</v>
      </c>
      <c r="E86" s="5" t="s">
        <v>4794</v>
      </c>
      <c r="F86" s="14"/>
      <c r="G86" s="14"/>
      <c r="H86" s="14" t="s">
        <v>87</v>
      </c>
      <c r="I86" s="14"/>
      <c r="J86" s="14"/>
      <c r="K86" s="14"/>
      <c r="L86" s="15"/>
      <c r="M86" s="12" t="s">
        <v>72</v>
      </c>
      <c r="N86" s="5"/>
      <c r="O86" s="12"/>
      <c r="P86" s="5" t="s">
        <v>4791</v>
      </c>
      <c r="Q86" s="12" t="s">
        <v>4792</v>
      </c>
      <c r="R86" s="12" t="s">
        <v>4076</v>
      </c>
      <c r="S86" s="5" t="s">
        <v>4793</v>
      </c>
      <c r="T86" s="5" t="s">
        <v>306</v>
      </c>
      <c r="U86" s="12" t="n">
        <v>2</v>
      </c>
      <c r="V86" s="12" t="n">
        <v>2</v>
      </c>
      <c r="W86" s="12" t="n">
        <v>1</v>
      </c>
      <c r="X86" s="12" t="n">
        <v>1</v>
      </c>
      <c r="Y86" s="12" t="n">
        <v>0</v>
      </c>
    </row>
    <row r="87" customFormat="false" ht="95.25" hidden="false" customHeight="true" outlineLevel="0" collapsed="false">
      <c r="A87" s="10" t="s">
        <v>4795</v>
      </c>
      <c r="B87" s="11" t="s">
        <v>4796</v>
      </c>
      <c r="C87" s="12"/>
      <c r="D87" s="12" t="s">
        <v>120</v>
      </c>
      <c r="E87" s="5" t="s">
        <v>79</v>
      </c>
      <c r="F87" s="12"/>
      <c r="G87" s="12"/>
      <c r="H87" s="13" t="str">
        <f aca="false">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2"/>
      <c r="J87" s="12"/>
      <c r="K87" s="12"/>
      <c r="L87" s="12"/>
      <c r="M87" s="12" t="s">
        <v>72</v>
      </c>
      <c r="N87" s="5"/>
      <c r="O87" s="12"/>
      <c r="P87" s="5" t="s">
        <v>4797</v>
      </c>
      <c r="Q87" s="12" t="s">
        <v>4798</v>
      </c>
      <c r="R87" s="12" t="s">
        <v>4076</v>
      </c>
      <c r="S87" s="5" t="s">
        <v>4799</v>
      </c>
      <c r="T87" s="5" t="s">
        <v>306</v>
      </c>
      <c r="U87" s="12" t="n">
        <v>3</v>
      </c>
      <c r="V87" s="12" t="n">
        <v>2</v>
      </c>
      <c r="W87" s="12" t="n">
        <v>1</v>
      </c>
      <c r="X87" s="12" t="n">
        <v>1</v>
      </c>
      <c r="Y87" s="12" t="n">
        <v>0</v>
      </c>
    </row>
    <row r="88" customFormat="false" ht="95.25" hidden="false" customHeight="true" outlineLevel="0" collapsed="false">
      <c r="A88" s="12" t="s">
        <v>4795</v>
      </c>
      <c r="B88" s="5" t="s">
        <v>4796</v>
      </c>
      <c r="C88" s="12" t="s">
        <v>4795</v>
      </c>
      <c r="D88" s="12" t="s">
        <v>120</v>
      </c>
      <c r="E88" s="5" t="s">
        <v>4800</v>
      </c>
      <c r="F88" s="14"/>
      <c r="G88" s="14"/>
      <c r="H88" s="14" t="s">
        <v>87</v>
      </c>
      <c r="I88" s="14"/>
      <c r="J88" s="14"/>
      <c r="K88" s="14"/>
      <c r="L88" s="15"/>
      <c r="M88" s="12" t="s">
        <v>72</v>
      </c>
      <c r="N88" s="5"/>
      <c r="O88" s="12"/>
      <c r="P88" s="5" t="s">
        <v>4797</v>
      </c>
      <c r="Q88" s="12" t="s">
        <v>4798</v>
      </c>
      <c r="R88" s="12" t="s">
        <v>4076</v>
      </c>
      <c r="S88" s="5" t="s">
        <v>4799</v>
      </c>
      <c r="T88" s="5" t="s">
        <v>306</v>
      </c>
      <c r="U88" s="12" t="n">
        <v>3</v>
      </c>
      <c r="V88" s="12" t="n">
        <v>2</v>
      </c>
      <c r="W88" s="12" t="n">
        <v>1</v>
      </c>
      <c r="X88" s="12" t="n">
        <v>1</v>
      </c>
      <c r="Y88" s="12" t="n">
        <v>0</v>
      </c>
    </row>
    <row r="89" customFormat="false" ht="95.25" hidden="false" customHeight="true" outlineLevel="0" collapsed="false">
      <c r="A89" s="10" t="s">
        <v>4801</v>
      </c>
      <c r="B89" s="11" t="s">
        <v>4802</v>
      </c>
      <c r="C89" s="12"/>
      <c r="D89" s="12" t="s">
        <v>120</v>
      </c>
      <c r="E89" s="5" t="s">
        <v>79</v>
      </c>
      <c r="F89" s="12"/>
      <c r="G89" s="12"/>
      <c r="H89" s="13" t="str">
        <f aca="false">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Bitte Teilanforderungen ausfüllen</v>
      </c>
      <c r="I89" s="12"/>
      <c r="J89" s="12"/>
      <c r="K89" s="12"/>
      <c r="L89" s="12"/>
      <c r="M89" s="12" t="s">
        <v>72</v>
      </c>
      <c r="N89" s="5"/>
      <c r="O89" s="12"/>
      <c r="P89" s="5" t="s">
        <v>4803</v>
      </c>
      <c r="Q89" s="12" t="s">
        <v>4798</v>
      </c>
      <c r="R89" s="12" t="s">
        <v>4076</v>
      </c>
      <c r="S89" s="5" t="s">
        <v>4804</v>
      </c>
      <c r="T89" s="5" t="s">
        <v>306</v>
      </c>
      <c r="U89" s="12" t="n">
        <v>2</v>
      </c>
      <c r="V89" s="12" t="n">
        <v>2</v>
      </c>
      <c r="W89" s="12" t="n">
        <v>1</v>
      </c>
      <c r="X89" s="12" t="n">
        <v>1</v>
      </c>
      <c r="Y89" s="12" t="n">
        <v>0</v>
      </c>
    </row>
    <row r="90" customFormat="false" ht="95.25" hidden="false" customHeight="true" outlineLevel="0" collapsed="false">
      <c r="A90" s="12" t="s">
        <v>4801</v>
      </c>
      <c r="B90" s="5" t="s">
        <v>4802</v>
      </c>
      <c r="C90" s="12" t="s">
        <v>4801</v>
      </c>
      <c r="D90" s="12" t="s">
        <v>120</v>
      </c>
      <c r="E90" s="5" t="s">
        <v>4805</v>
      </c>
      <c r="F90" s="14"/>
      <c r="G90" s="14"/>
      <c r="H90" s="14" t="s">
        <v>87</v>
      </c>
      <c r="I90" s="14"/>
      <c r="J90" s="14"/>
      <c r="K90" s="14"/>
      <c r="L90" s="15"/>
      <c r="M90" s="12" t="s">
        <v>72</v>
      </c>
      <c r="N90" s="5"/>
      <c r="O90" s="12"/>
      <c r="P90" s="5" t="s">
        <v>4803</v>
      </c>
      <c r="Q90" s="12" t="s">
        <v>4798</v>
      </c>
      <c r="R90" s="12" t="s">
        <v>4076</v>
      </c>
      <c r="S90" s="5" t="s">
        <v>4804</v>
      </c>
      <c r="T90" s="5" t="s">
        <v>306</v>
      </c>
      <c r="U90" s="12" t="n">
        <v>2</v>
      </c>
      <c r="V90" s="12" t="n">
        <v>2</v>
      </c>
      <c r="W90" s="12" t="n">
        <v>1</v>
      </c>
      <c r="X90" s="12" t="n">
        <v>1</v>
      </c>
      <c r="Y90" s="12" t="n">
        <v>0</v>
      </c>
    </row>
    <row r="91" customFormat="false" ht="41.25" hidden="false" customHeight="true" outlineLevel="0" collapsed="false">
      <c r="A91" s="10" t="s">
        <v>4806</v>
      </c>
      <c r="B91" s="11" t="s">
        <v>4807</v>
      </c>
      <c r="C91" s="12"/>
      <c r="D91" s="12" t="s">
        <v>160</v>
      </c>
      <c r="E91" s="5" t="s">
        <v>79</v>
      </c>
      <c r="F91" s="12"/>
      <c r="G91" s="12"/>
      <c r="H91" s="13" t="str">
        <f aca="false">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2"/>
      <c r="J91" s="12"/>
      <c r="K91" s="12"/>
      <c r="L91" s="12"/>
      <c r="M91" s="12" t="s">
        <v>72</v>
      </c>
      <c r="N91" s="5"/>
      <c r="O91" s="12"/>
      <c r="P91" s="5" t="s">
        <v>4808</v>
      </c>
      <c r="Q91" s="12" t="s">
        <v>4798</v>
      </c>
      <c r="R91" s="12" t="s">
        <v>688</v>
      </c>
      <c r="S91" s="5" t="s">
        <v>4809</v>
      </c>
      <c r="T91" s="5" t="s">
        <v>306</v>
      </c>
      <c r="U91" s="12" t="n">
        <v>5</v>
      </c>
      <c r="V91" s="12" t="n">
        <v>2</v>
      </c>
      <c r="W91" s="12" t="n">
        <v>1</v>
      </c>
      <c r="X91" s="12" t="n">
        <v>1</v>
      </c>
      <c r="Y91" s="12" t="n">
        <v>0</v>
      </c>
    </row>
    <row r="92" customFormat="false" ht="41.25" hidden="false" customHeight="true" outlineLevel="0" collapsed="false">
      <c r="A92" s="12" t="s">
        <v>4806</v>
      </c>
      <c r="B92" s="5" t="s">
        <v>4807</v>
      </c>
      <c r="C92" s="12" t="s">
        <v>4806</v>
      </c>
      <c r="D92" s="12" t="s">
        <v>160</v>
      </c>
      <c r="E92" s="5" t="s">
        <v>4810</v>
      </c>
      <c r="F92" s="14"/>
      <c r="G92" s="14"/>
      <c r="H92" s="14" t="s">
        <v>87</v>
      </c>
      <c r="I92" s="14"/>
      <c r="J92" s="14"/>
      <c r="K92" s="14"/>
      <c r="L92" s="15"/>
      <c r="M92" s="12" t="s">
        <v>72</v>
      </c>
      <c r="N92" s="5"/>
      <c r="O92" s="12"/>
      <c r="P92" s="5" t="s">
        <v>4808</v>
      </c>
      <c r="Q92" s="12" t="s">
        <v>4798</v>
      </c>
      <c r="R92" s="12" t="s">
        <v>688</v>
      </c>
      <c r="S92" s="5" t="s">
        <v>4809</v>
      </c>
      <c r="T92" s="5" t="s">
        <v>306</v>
      </c>
      <c r="U92" s="12" t="n">
        <v>5</v>
      </c>
      <c r="V92" s="12" t="n">
        <v>2</v>
      </c>
      <c r="W92" s="12" t="n">
        <v>1</v>
      </c>
      <c r="X92" s="12" t="n">
        <v>1</v>
      </c>
      <c r="Y92" s="12" t="n">
        <v>0</v>
      </c>
    </row>
    <row r="93" customFormat="false" ht="243" hidden="false" customHeight="true" outlineLevel="0" collapsed="false">
      <c r="A93" s="10" t="s">
        <v>4811</v>
      </c>
      <c r="B93" s="11" t="s">
        <v>4812</v>
      </c>
      <c r="C93" s="12"/>
      <c r="D93" s="12" t="s">
        <v>120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t="s">
        <v>72</v>
      </c>
      <c r="N93" s="5"/>
      <c r="O93" s="12"/>
      <c r="P93" s="5" t="s">
        <v>4813</v>
      </c>
      <c r="Q93" s="12" t="s">
        <v>4814</v>
      </c>
      <c r="R93" s="12" t="s">
        <v>4076</v>
      </c>
      <c r="S93" s="5" t="s">
        <v>4815</v>
      </c>
      <c r="T93" s="5" t="s">
        <v>4405</v>
      </c>
      <c r="U93" s="12" t="n">
        <v>1</v>
      </c>
      <c r="V93" s="12" t="n">
        <v>2</v>
      </c>
      <c r="W93" s="12" t="n">
        <v>1</v>
      </c>
      <c r="X93" s="12" t="n">
        <v>1</v>
      </c>
      <c r="Y93" s="12" t="n">
        <v>0</v>
      </c>
    </row>
    <row r="94" customFormat="false" ht="243" hidden="false" customHeight="true" outlineLevel="0" collapsed="false">
      <c r="A94" s="12" t="s">
        <v>4811</v>
      </c>
      <c r="B94" s="5" t="s">
        <v>4812</v>
      </c>
      <c r="C94" s="12" t="s">
        <v>4811</v>
      </c>
      <c r="D94" s="12" t="s">
        <v>120</v>
      </c>
      <c r="E94" s="5" t="s">
        <v>4816</v>
      </c>
      <c r="F94" s="14"/>
      <c r="G94" s="14"/>
      <c r="H94" s="14" t="s">
        <v>87</v>
      </c>
      <c r="I94" s="14"/>
      <c r="J94" s="14"/>
      <c r="K94" s="14"/>
      <c r="L94" s="15"/>
      <c r="M94" s="12" t="s">
        <v>72</v>
      </c>
      <c r="N94" s="5"/>
      <c r="O94" s="12"/>
      <c r="P94" s="5" t="s">
        <v>4813</v>
      </c>
      <c r="Q94" s="12" t="s">
        <v>4814</v>
      </c>
      <c r="R94" s="12" t="s">
        <v>4076</v>
      </c>
      <c r="S94" s="5" t="s">
        <v>4815</v>
      </c>
      <c r="T94" s="5" t="s">
        <v>4405</v>
      </c>
      <c r="U94" s="12" t="n">
        <v>1</v>
      </c>
      <c r="V94" s="12" t="n">
        <v>2</v>
      </c>
      <c r="W94" s="12" t="n">
        <v>1</v>
      </c>
      <c r="X94" s="12" t="n">
        <v>1</v>
      </c>
      <c r="Y94" s="12" t="n">
        <v>0</v>
      </c>
    </row>
    <row r="95" customFormat="false" ht="135.75" hidden="false" customHeight="true" outlineLevel="0" collapsed="false">
      <c r="A95" s="10" t="s">
        <v>4817</v>
      </c>
      <c r="B95" s="11" t="s">
        <v>4818</v>
      </c>
      <c r="C95" s="12"/>
      <c r="D95" s="12" t="s">
        <v>120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t="s">
        <v>72</v>
      </c>
      <c r="N95" s="5"/>
      <c r="O95" s="12"/>
      <c r="P95" s="5" t="s">
        <v>4819</v>
      </c>
      <c r="Q95" s="12" t="s">
        <v>4814</v>
      </c>
      <c r="R95" s="12" t="s">
        <v>4076</v>
      </c>
      <c r="S95" s="5" t="s">
        <v>4820</v>
      </c>
      <c r="T95" s="5" t="s">
        <v>306</v>
      </c>
      <c r="U95" s="12" t="n">
        <v>2</v>
      </c>
      <c r="V95" s="12" t="n">
        <v>2</v>
      </c>
      <c r="W95" s="12" t="n">
        <v>1</v>
      </c>
      <c r="X95" s="12" t="n">
        <v>1</v>
      </c>
      <c r="Y95" s="12" t="n">
        <v>0</v>
      </c>
    </row>
    <row r="96" customFormat="false" ht="135.75" hidden="false" customHeight="true" outlineLevel="0" collapsed="false">
      <c r="A96" s="12" t="s">
        <v>4817</v>
      </c>
      <c r="B96" s="5" t="s">
        <v>4818</v>
      </c>
      <c r="C96" s="12" t="s">
        <v>4817</v>
      </c>
      <c r="D96" s="12" t="s">
        <v>120</v>
      </c>
      <c r="E96" s="5" t="s">
        <v>4821</v>
      </c>
      <c r="F96" s="14"/>
      <c r="G96" s="14"/>
      <c r="H96" s="14" t="s">
        <v>87</v>
      </c>
      <c r="I96" s="14"/>
      <c r="J96" s="14"/>
      <c r="K96" s="14"/>
      <c r="L96" s="15"/>
      <c r="M96" s="12" t="s">
        <v>72</v>
      </c>
      <c r="N96" s="5"/>
      <c r="O96" s="12"/>
      <c r="P96" s="5" t="s">
        <v>4819</v>
      </c>
      <c r="Q96" s="12" t="s">
        <v>4814</v>
      </c>
      <c r="R96" s="12" t="s">
        <v>4076</v>
      </c>
      <c r="S96" s="5" t="s">
        <v>4820</v>
      </c>
      <c r="T96" s="5" t="s">
        <v>306</v>
      </c>
      <c r="U96" s="12" t="n">
        <v>2</v>
      </c>
      <c r="V96" s="12" t="n">
        <v>2</v>
      </c>
      <c r="W96" s="12" t="n">
        <v>1</v>
      </c>
      <c r="X96" s="12" t="n">
        <v>1</v>
      </c>
      <c r="Y96" s="12" t="n">
        <v>0</v>
      </c>
    </row>
    <row r="97" customFormat="false" ht="135.75" hidden="false" customHeight="true" outlineLevel="0" collapsed="false">
      <c r="A97" s="10" t="s">
        <v>4822</v>
      </c>
      <c r="B97" s="11" t="s">
        <v>4823</v>
      </c>
      <c r="C97" s="12"/>
      <c r="D97" s="12" t="s">
        <v>120</v>
      </c>
      <c r="E97" s="5" t="s">
        <v>79</v>
      </c>
      <c r="F97" s="12"/>
      <c r="G97" s="12"/>
      <c r="H97" s="13" t="str">
        <f aca="false">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2"/>
      <c r="J97" s="12"/>
      <c r="K97" s="12"/>
      <c r="L97" s="12"/>
      <c r="M97" s="12" t="s">
        <v>72</v>
      </c>
      <c r="N97" s="5"/>
      <c r="O97" s="12"/>
      <c r="P97" s="5" t="s">
        <v>4824</v>
      </c>
      <c r="Q97" s="12" t="s">
        <v>4814</v>
      </c>
      <c r="R97" s="12" t="s">
        <v>4076</v>
      </c>
      <c r="S97" s="5" t="s">
        <v>4825</v>
      </c>
      <c r="T97" s="5" t="s">
        <v>306</v>
      </c>
      <c r="U97" s="12" t="n">
        <v>2</v>
      </c>
      <c r="V97" s="12" t="n">
        <v>2</v>
      </c>
      <c r="W97" s="12" t="n">
        <v>1</v>
      </c>
      <c r="X97" s="12" t="n">
        <v>1</v>
      </c>
      <c r="Y97" s="12" t="n">
        <v>0</v>
      </c>
    </row>
    <row r="98" customFormat="false" ht="135.75" hidden="false" customHeight="true" outlineLevel="0" collapsed="false">
      <c r="A98" s="12" t="s">
        <v>4822</v>
      </c>
      <c r="B98" s="5" t="s">
        <v>4823</v>
      </c>
      <c r="C98" s="12" t="s">
        <v>4822</v>
      </c>
      <c r="D98" s="12" t="s">
        <v>120</v>
      </c>
      <c r="E98" s="5" t="s">
        <v>4826</v>
      </c>
      <c r="F98" s="14"/>
      <c r="G98" s="14"/>
      <c r="H98" s="14" t="s">
        <v>87</v>
      </c>
      <c r="I98" s="14"/>
      <c r="J98" s="14"/>
      <c r="K98" s="14"/>
      <c r="L98" s="15"/>
      <c r="M98" s="12" t="s">
        <v>72</v>
      </c>
      <c r="N98" s="5"/>
      <c r="O98" s="12"/>
      <c r="P98" s="5" t="s">
        <v>4824</v>
      </c>
      <c r="Q98" s="12" t="s">
        <v>4814</v>
      </c>
      <c r="R98" s="12" t="s">
        <v>4076</v>
      </c>
      <c r="S98" s="5" t="s">
        <v>4825</v>
      </c>
      <c r="T98" s="5" t="s">
        <v>306</v>
      </c>
      <c r="U98" s="12" t="n">
        <v>2</v>
      </c>
      <c r="V98" s="12" t="n">
        <v>2</v>
      </c>
      <c r="W98" s="12" t="n">
        <v>1</v>
      </c>
      <c r="X98" s="12" t="n">
        <v>1</v>
      </c>
      <c r="Y98" s="12" t="n">
        <v>0</v>
      </c>
    </row>
    <row r="99" customFormat="false" ht="270" hidden="false" customHeight="true" outlineLevel="0" collapsed="false">
      <c r="A99" s="10" t="s">
        <v>4827</v>
      </c>
      <c r="B99" s="11" t="s">
        <v>4828</v>
      </c>
      <c r="C99" s="12"/>
      <c r="D99" s="12" t="s">
        <v>160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t="s">
        <v>72</v>
      </c>
      <c r="N99" s="5"/>
      <c r="O99" s="12"/>
      <c r="P99" s="5" t="s">
        <v>4829</v>
      </c>
      <c r="Q99" s="12" t="s">
        <v>4798</v>
      </c>
      <c r="R99" s="12" t="s">
        <v>688</v>
      </c>
      <c r="S99" s="5" t="s">
        <v>4830</v>
      </c>
      <c r="T99" s="5" t="s">
        <v>306</v>
      </c>
      <c r="U99" s="12" t="n">
        <v>5</v>
      </c>
      <c r="V99" s="12" t="n">
        <v>2</v>
      </c>
      <c r="W99" s="12" t="n">
        <v>1</v>
      </c>
      <c r="X99" s="12" t="n">
        <v>1</v>
      </c>
      <c r="Y99" s="12" t="n">
        <v>0</v>
      </c>
    </row>
    <row r="100" customFormat="false" ht="270" hidden="false" customHeight="true" outlineLevel="0" collapsed="false">
      <c r="A100" s="12" t="s">
        <v>4827</v>
      </c>
      <c r="B100" s="5" t="s">
        <v>4828</v>
      </c>
      <c r="C100" s="12" t="s">
        <v>4827</v>
      </c>
      <c r="D100" s="12" t="s">
        <v>160</v>
      </c>
      <c r="E100" s="5" t="s">
        <v>4831</v>
      </c>
      <c r="F100" s="14"/>
      <c r="G100" s="14"/>
      <c r="H100" s="14" t="s">
        <v>87</v>
      </c>
      <c r="I100" s="14"/>
      <c r="J100" s="14"/>
      <c r="K100" s="14"/>
      <c r="L100" s="15"/>
      <c r="M100" s="12" t="s">
        <v>72</v>
      </c>
      <c r="N100" s="5"/>
      <c r="O100" s="12"/>
      <c r="P100" s="5" t="s">
        <v>4829</v>
      </c>
      <c r="Q100" s="12" t="s">
        <v>4798</v>
      </c>
      <c r="R100" s="12" t="s">
        <v>688</v>
      </c>
      <c r="S100" s="5" t="s">
        <v>4830</v>
      </c>
      <c r="T100" s="5" t="s">
        <v>306</v>
      </c>
      <c r="U100" s="12" t="n">
        <v>5</v>
      </c>
      <c r="V100" s="12" t="n">
        <v>2</v>
      </c>
      <c r="W100" s="12" t="n">
        <v>1</v>
      </c>
      <c r="X100" s="12" t="n">
        <v>1</v>
      </c>
      <c r="Y100" s="12" t="n">
        <v>0</v>
      </c>
    </row>
    <row r="101" customFormat="false" ht="54.75" hidden="false" customHeight="true" outlineLevel="0" collapsed="false">
      <c r="A101" s="10" t="s">
        <v>4832</v>
      </c>
      <c r="B101" s="11" t="s">
        <v>4833</v>
      </c>
      <c r="C101" s="12"/>
      <c r="D101" s="12" t="s">
        <v>160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72</v>
      </c>
      <c r="N101" s="5"/>
      <c r="O101" s="12"/>
      <c r="P101" s="5" t="s">
        <v>4834</v>
      </c>
      <c r="Q101" s="12" t="s">
        <v>4798</v>
      </c>
      <c r="R101" s="12" t="s">
        <v>688</v>
      </c>
      <c r="S101" s="5" t="s">
        <v>4835</v>
      </c>
      <c r="T101" s="5" t="s">
        <v>306</v>
      </c>
      <c r="U101" s="12" t="n">
        <v>5</v>
      </c>
      <c r="V101" s="12" t="n">
        <v>2</v>
      </c>
      <c r="W101" s="12" t="n">
        <v>1</v>
      </c>
      <c r="X101" s="12" t="n">
        <v>1</v>
      </c>
      <c r="Y101" s="12" t="n">
        <v>0</v>
      </c>
    </row>
    <row r="102" customFormat="false" ht="54.75" hidden="false" customHeight="true" outlineLevel="0" collapsed="false">
      <c r="A102" s="12" t="s">
        <v>4832</v>
      </c>
      <c r="B102" s="5" t="s">
        <v>4833</v>
      </c>
      <c r="C102" s="12" t="s">
        <v>4832</v>
      </c>
      <c r="D102" s="12" t="s">
        <v>160</v>
      </c>
      <c r="E102" s="5" t="s">
        <v>4836</v>
      </c>
      <c r="F102" s="14"/>
      <c r="G102" s="14"/>
      <c r="H102" s="14" t="s">
        <v>87</v>
      </c>
      <c r="I102" s="14"/>
      <c r="J102" s="14"/>
      <c r="K102" s="14"/>
      <c r="L102" s="15"/>
      <c r="M102" s="12" t="s">
        <v>72</v>
      </c>
      <c r="N102" s="5"/>
      <c r="O102" s="12"/>
      <c r="P102" s="5" t="s">
        <v>4834</v>
      </c>
      <c r="Q102" s="12" t="s">
        <v>4798</v>
      </c>
      <c r="R102" s="12" t="s">
        <v>688</v>
      </c>
      <c r="S102" s="5" t="s">
        <v>4835</v>
      </c>
      <c r="T102" s="5" t="s">
        <v>306</v>
      </c>
      <c r="U102" s="12" t="n">
        <v>5</v>
      </c>
      <c r="V102" s="12" t="n">
        <v>2</v>
      </c>
      <c r="W102" s="12" t="n">
        <v>1</v>
      </c>
      <c r="X102" s="12" t="n">
        <v>1</v>
      </c>
      <c r="Y102" s="12" t="n">
        <v>0</v>
      </c>
    </row>
    <row r="103" customFormat="false" ht="297" hidden="false" customHeight="true" outlineLevel="0" collapsed="false">
      <c r="A103" s="10" t="s">
        <v>4837</v>
      </c>
      <c r="B103" s="11" t="s">
        <v>4838</v>
      </c>
      <c r="C103" s="12"/>
      <c r="D103" s="12" t="s">
        <v>120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72</v>
      </c>
      <c r="N103" s="5"/>
      <c r="O103" s="12"/>
      <c r="P103" s="5" t="s">
        <v>4839</v>
      </c>
      <c r="Q103" s="12" t="s">
        <v>4697</v>
      </c>
      <c r="R103" s="12" t="s">
        <v>688</v>
      </c>
      <c r="S103" s="5" t="s">
        <v>4840</v>
      </c>
      <c r="T103" s="5" t="s">
        <v>4841</v>
      </c>
      <c r="U103" s="12" t="n">
        <v>1</v>
      </c>
      <c r="V103" s="12" t="n">
        <v>2</v>
      </c>
      <c r="W103" s="12" t="n">
        <v>1</v>
      </c>
      <c r="X103" s="12" t="n">
        <v>1</v>
      </c>
      <c r="Y103" s="12" t="n">
        <v>0</v>
      </c>
    </row>
    <row r="104" customFormat="false" ht="297" hidden="false" customHeight="true" outlineLevel="0" collapsed="false">
      <c r="A104" s="12" t="s">
        <v>4837</v>
      </c>
      <c r="B104" s="5" t="s">
        <v>4838</v>
      </c>
      <c r="C104" s="12" t="s">
        <v>4837</v>
      </c>
      <c r="D104" s="12" t="s">
        <v>120</v>
      </c>
      <c r="E104" s="5" t="s">
        <v>4842</v>
      </c>
      <c r="F104" s="14"/>
      <c r="G104" s="14"/>
      <c r="H104" s="14" t="s">
        <v>87</v>
      </c>
      <c r="I104" s="14"/>
      <c r="J104" s="14"/>
      <c r="K104" s="14"/>
      <c r="L104" s="15"/>
      <c r="M104" s="12" t="s">
        <v>72</v>
      </c>
      <c r="N104" s="5"/>
      <c r="O104" s="12"/>
      <c r="P104" s="5" t="s">
        <v>4839</v>
      </c>
      <c r="Q104" s="12" t="s">
        <v>4697</v>
      </c>
      <c r="R104" s="12" t="s">
        <v>688</v>
      </c>
      <c r="S104" s="5" t="s">
        <v>4840</v>
      </c>
      <c r="T104" s="5" t="s">
        <v>4841</v>
      </c>
      <c r="U104" s="12" t="n">
        <v>1</v>
      </c>
      <c r="V104" s="12" t="n">
        <v>2</v>
      </c>
      <c r="W104" s="12" t="n">
        <v>1</v>
      </c>
      <c r="X104" s="12" t="n">
        <v>1</v>
      </c>
      <c r="Y104" s="12" t="n">
        <v>0</v>
      </c>
    </row>
    <row r="105" customFormat="false" ht="27.75" hidden="false" customHeight="true" outlineLevel="0" collapsed="false">
      <c r="A105" s="10" t="s">
        <v>4843</v>
      </c>
      <c r="B105" s="11" t="s">
        <v>4844</v>
      </c>
      <c r="C105" s="12"/>
      <c r="D105" s="12" t="s">
        <v>120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c r="N105" s="5"/>
      <c r="O105" s="12"/>
      <c r="P105" s="5" t="s">
        <v>4845</v>
      </c>
      <c r="Q105" s="12" t="s">
        <v>4846</v>
      </c>
      <c r="R105" s="12" t="s">
        <v>4076</v>
      </c>
      <c r="S105" s="5" t="s">
        <v>4847</v>
      </c>
      <c r="T105" s="5" t="s">
        <v>306</v>
      </c>
      <c r="U105" s="12" t="n">
        <v>2</v>
      </c>
      <c r="V105" s="12" t="n">
        <v>1</v>
      </c>
      <c r="W105" s="12" t="n">
        <v>1</v>
      </c>
      <c r="X105" s="12" t="n">
        <v>1</v>
      </c>
      <c r="Y105" s="12" t="n">
        <v>0</v>
      </c>
    </row>
    <row r="106" customFormat="false" ht="27.75" hidden="false" customHeight="true" outlineLevel="0" collapsed="false">
      <c r="A106" s="12" t="s">
        <v>4843</v>
      </c>
      <c r="B106" s="5" t="s">
        <v>4844</v>
      </c>
      <c r="C106" s="12" t="s">
        <v>4843</v>
      </c>
      <c r="D106" s="12" t="s">
        <v>120</v>
      </c>
      <c r="E106" s="5" t="s">
        <v>4848</v>
      </c>
      <c r="F106" s="14"/>
      <c r="G106" s="14"/>
      <c r="H106" s="14" t="s">
        <v>87</v>
      </c>
      <c r="I106" s="14"/>
      <c r="J106" s="14"/>
      <c r="K106" s="14"/>
      <c r="L106" s="15"/>
      <c r="M106" s="12"/>
      <c r="N106" s="5"/>
      <c r="O106" s="12"/>
      <c r="P106" s="5" t="s">
        <v>4845</v>
      </c>
      <c r="Q106" s="12" t="s">
        <v>4846</v>
      </c>
      <c r="R106" s="12" t="s">
        <v>4076</v>
      </c>
      <c r="S106" s="5" t="s">
        <v>4847</v>
      </c>
      <c r="T106" s="5" t="s">
        <v>306</v>
      </c>
      <c r="U106" s="12" t="n">
        <v>2</v>
      </c>
      <c r="V106" s="12" t="n">
        <v>1</v>
      </c>
      <c r="W106" s="12" t="n">
        <v>1</v>
      </c>
      <c r="X106" s="12" t="n">
        <v>1</v>
      </c>
      <c r="Y106" s="12" t="n">
        <v>0</v>
      </c>
    </row>
    <row r="107" customFormat="false" ht="68.25" hidden="false" customHeight="true" outlineLevel="0" collapsed="false">
      <c r="A107" s="10" t="s">
        <v>4849</v>
      </c>
      <c r="B107" s="11" t="s">
        <v>4850</v>
      </c>
      <c r="C107" s="12"/>
      <c r="D107" s="12" t="s">
        <v>120</v>
      </c>
      <c r="E107" s="5" t="s">
        <v>79</v>
      </c>
      <c r="F107" s="12"/>
      <c r="G107" s="12"/>
      <c r="H107" s="13" t="str">
        <f aca="false">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2"/>
      <c r="J107" s="12"/>
      <c r="K107" s="12"/>
      <c r="L107" s="12"/>
      <c r="M107" s="12" t="s">
        <v>72</v>
      </c>
      <c r="N107" s="5"/>
      <c r="O107" s="12"/>
      <c r="P107" s="5" t="s">
        <v>4851</v>
      </c>
      <c r="Q107" s="12" t="s">
        <v>4846</v>
      </c>
      <c r="R107" s="12" t="s">
        <v>4076</v>
      </c>
      <c r="S107" s="5" t="s">
        <v>4852</v>
      </c>
      <c r="T107" s="5" t="s">
        <v>306</v>
      </c>
      <c r="U107" s="12" t="n">
        <v>4</v>
      </c>
      <c r="V107" s="12" t="n">
        <v>2</v>
      </c>
      <c r="W107" s="12" t="n">
        <v>1</v>
      </c>
      <c r="X107" s="12" t="n">
        <v>1</v>
      </c>
      <c r="Y107" s="12" t="n">
        <v>0</v>
      </c>
    </row>
    <row r="108" customFormat="false" ht="68.25" hidden="false" customHeight="true" outlineLevel="0" collapsed="false">
      <c r="A108" s="12" t="s">
        <v>4849</v>
      </c>
      <c r="B108" s="5" t="s">
        <v>4850</v>
      </c>
      <c r="C108" s="12" t="s">
        <v>4849</v>
      </c>
      <c r="D108" s="12" t="s">
        <v>120</v>
      </c>
      <c r="E108" s="5" t="s">
        <v>4853</v>
      </c>
      <c r="F108" s="14"/>
      <c r="G108" s="14"/>
      <c r="H108" s="14" t="s">
        <v>87</v>
      </c>
      <c r="I108" s="14"/>
      <c r="J108" s="14"/>
      <c r="K108" s="14"/>
      <c r="L108" s="15"/>
      <c r="M108" s="12" t="s">
        <v>72</v>
      </c>
      <c r="N108" s="5"/>
      <c r="O108" s="12"/>
      <c r="P108" s="5" t="s">
        <v>4851</v>
      </c>
      <c r="Q108" s="12" t="s">
        <v>4846</v>
      </c>
      <c r="R108" s="12" t="s">
        <v>4076</v>
      </c>
      <c r="S108" s="5" t="s">
        <v>4852</v>
      </c>
      <c r="T108" s="5" t="s">
        <v>306</v>
      </c>
      <c r="U108" s="12" t="n">
        <v>4</v>
      </c>
      <c r="V108" s="12" t="n">
        <v>2</v>
      </c>
      <c r="W108" s="12" t="n">
        <v>1</v>
      </c>
      <c r="X108" s="12" t="n">
        <v>1</v>
      </c>
      <c r="Y108" s="12" t="n">
        <v>0</v>
      </c>
    </row>
    <row r="109" customFormat="false" ht="41.25" hidden="false" customHeight="true" outlineLevel="0" collapsed="false">
      <c r="A109" s="10" t="s">
        <v>4854</v>
      </c>
      <c r="B109" s="11" t="s">
        <v>4855</v>
      </c>
      <c r="C109" s="12"/>
      <c r="D109" s="12" t="s">
        <v>120</v>
      </c>
      <c r="E109" s="5" t="s">
        <v>79</v>
      </c>
      <c r="F109" s="12"/>
      <c r="G109" s="12"/>
      <c r="H109" s="13" t="str">
        <f aca="false">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2"/>
      <c r="J109" s="12"/>
      <c r="K109" s="12"/>
      <c r="L109" s="12"/>
      <c r="M109" s="12" t="s">
        <v>72</v>
      </c>
      <c r="N109" s="5"/>
      <c r="O109" s="12"/>
      <c r="P109" s="5" t="s">
        <v>4856</v>
      </c>
      <c r="Q109" s="12" t="s">
        <v>4798</v>
      </c>
      <c r="R109" s="12" t="s">
        <v>4076</v>
      </c>
      <c r="S109" s="5" t="s">
        <v>4857</v>
      </c>
      <c r="T109" s="5" t="s">
        <v>306</v>
      </c>
      <c r="U109" s="12" t="n">
        <v>2</v>
      </c>
      <c r="V109" s="12" t="n">
        <v>2</v>
      </c>
      <c r="W109" s="12" t="n">
        <v>1</v>
      </c>
      <c r="X109" s="12" t="n">
        <v>1</v>
      </c>
      <c r="Y109" s="12" t="n">
        <v>0</v>
      </c>
    </row>
    <row r="110" customFormat="false" ht="41.25" hidden="false" customHeight="true" outlineLevel="0" collapsed="false">
      <c r="A110" s="12" t="s">
        <v>4854</v>
      </c>
      <c r="B110" s="5" t="s">
        <v>4855</v>
      </c>
      <c r="C110" s="12" t="s">
        <v>4854</v>
      </c>
      <c r="D110" s="12" t="s">
        <v>120</v>
      </c>
      <c r="E110" s="5" t="s">
        <v>4858</v>
      </c>
      <c r="F110" s="14"/>
      <c r="G110" s="14"/>
      <c r="H110" s="14" t="s">
        <v>87</v>
      </c>
      <c r="I110" s="14"/>
      <c r="J110" s="14"/>
      <c r="K110" s="14"/>
      <c r="L110" s="15"/>
      <c r="M110" s="12" t="s">
        <v>72</v>
      </c>
      <c r="N110" s="5"/>
      <c r="O110" s="12"/>
      <c r="P110" s="5" t="s">
        <v>4856</v>
      </c>
      <c r="Q110" s="12" t="s">
        <v>4798</v>
      </c>
      <c r="R110" s="12" t="s">
        <v>4076</v>
      </c>
      <c r="S110" s="5" t="s">
        <v>4857</v>
      </c>
      <c r="T110" s="5" t="s">
        <v>306</v>
      </c>
      <c r="U110" s="12" t="n">
        <v>2</v>
      </c>
      <c r="V110" s="12" t="n">
        <v>2</v>
      </c>
      <c r="W110" s="12" t="n">
        <v>1</v>
      </c>
      <c r="X110" s="12" t="n">
        <v>1</v>
      </c>
      <c r="Y110" s="12" t="n">
        <v>0</v>
      </c>
    </row>
    <row r="111" customFormat="false" ht="68.25" hidden="false" customHeight="true" outlineLevel="0" collapsed="false">
      <c r="A111" s="10" t="s">
        <v>4859</v>
      </c>
      <c r="B111" s="11" t="s">
        <v>4860</v>
      </c>
      <c r="C111" s="12"/>
      <c r="D111" s="12" t="s">
        <v>120</v>
      </c>
      <c r="E111" s="5" t="s">
        <v>79</v>
      </c>
      <c r="F111" s="12"/>
      <c r="G111" s="12"/>
      <c r="H111" s="13" t="str">
        <f aca="false">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2"/>
      <c r="J111" s="12"/>
      <c r="K111" s="12"/>
      <c r="L111" s="12"/>
      <c r="M111" s="12"/>
      <c r="N111" s="5" t="s">
        <v>4861</v>
      </c>
      <c r="O111" s="12" t="s">
        <v>524</v>
      </c>
      <c r="P111" s="5" t="s">
        <v>4862</v>
      </c>
      <c r="Q111" s="12" t="s">
        <v>4863</v>
      </c>
      <c r="R111" s="12" t="s">
        <v>4076</v>
      </c>
      <c r="S111" s="5" t="s">
        <v>4864</v>
      </c>
      <c r="T111" s="5" t="s">
        <v>306</v>
      </c>
      <c r="U111" s="12" t="n">
        <v>2</v>
      </c>
      <c r="V111" s="12" t="n">
        <v>1</v>
      </c>
      <c r="W111" s="12" t="n">
        <v>1</v>
      </c>
      <c r="X111" s="12" t="n">
        <v>1</v>
      </c>
      <c r="Y111" s="12" t="n">
        <v>0</v>
      </c>
    </row>
    <row r="112" customFormat="false" ht="68.25" hidden="false" customHeight="true" outlineLevel="0" collapsed="false">
      <c r="A112" s="12" t="s">
        <v>4859</v>
      </c>
      <c r="B112" s="5" t="s">
        <v>4860</v>
      </c>
      <c r="C112" s="12" t="s">
        <v>4859</v>
      </c>
      <c r="D112" s="12" t="s">
        <v>120</v>
      </c>
      <c r="E112" s="5" t="s">
        <v>4865</v>
      </c>
      <c r="F112" s="14"/>
      <c r="G112" s="14"/>
      <c r="H112" s="14" t="s">
        <v>87</v>
      </c>
      <c r="I112" s="14"/>
      <c r="J112" s="14"/>
      <c r="K112" s="14"/>
      <c r="L112" s="15"/>
      <c r="M112" s="12"/>
      <c r="N112" s="5" t="s">
        <v>4861</v>
      </c>
      <c r="O112" s="12" t="s">
        <v>524</v>
      </c>
      <c r="P112" s="5" t="s">
        <v>4862</v>
      </c>
      <c r="Q112" s="12" t="s">
        <v>4863</v>
      </c>
      <c r="R112" s="12" t="s">
        <v>4076</v>
      </c>
      <c r="S112" s="5" t="s">
        <v>4864</v>
      </c>
      <c r="T112" s="5" t="s">
        <v>306</v>
      </c>
      <c r="U112" s="12" t="n">
        <v>2</v>
      </c>
      <c r="V112" s="12" t="n">
        <v>1</v>
      </c>
      <c r="W112" s="12" t="n">
        <v>1</v>
      </c>
      <c r="X112" s="12" t="n">
        <v>1</v>
      </c>
      <c r="Y112" s="12" t="n">
        <v>0</v>
      </c>
    </row>
    <row r="113" customFormat="false" ht="68.25" hidden="false" customHeight="true" outlineLevel="0" collapsed="false">
      <c r="A113" s="10" t="s">
        <v>4866</v>
      </c>
      <c r="B113" s="11" t="s">
        <v>4867</v>
      </c>
      <c r="C113" s="12"/>
      <c r="D113" s="12" t="s">
        <v>120</v>
      </c>
      <c r="E113" s="5" t="s">
        <v>79</v>
      </c>
      <c r="F113" s="12"/>
      <c r="G113" s="12"/>
      <c r="H113" s="13" t="str">
        <f aca="false">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2"/>
      <c r="J113" s="12"/>
      <c r="K113" s="12"/>
      <c r="L113" s="12"/>
      <c r="M113" s="12" t="s">
        <v>72</v>
      </c>
      <c r="N113" s="5" t="s">
        <v>4868</v>
      </c>
      <c r="O113" s="12" t="s">
        <v>661</v>
      </c>
      <c r="P113" s="5" t="s">
        <v>4869</v>
      </c>
      <c r="Q113" s="12" t="s">
        <v>687</v>
      </c>
      <c r="R113" s="12" t="s">
        <v>688</v>
      </c>
      <c r="S113" s="5" t="s">
        <v>4870</v>
      </c>
      <c r="T113" s="5" t="s">
        <v>306</v>
      </c>
      <c r="U113" s="12" t="n">
        <v>3</v>
      </c>
      <c r="V113" s="12" t="n">
        <v>2</v>
      </c>
      <c r="W113" s="12" t="n">
        <v>1</v>
      </c>
      <c r="X113" s="12" t="n">
        <v>1</v>
      </c>
      <c r="Y113" s="12" t="n">
        <v>0</v>
      </c>
    </row>
    <row r="114" customFormat="false" ht="68.25" hidden="false" customHeight="true" outlineLevel="0" collapsed="false">
      <c r="A114" s="12" t="s">
        <v>4866</v>
      </c>
      <c r="B114" s="5" t="s">
        <v>4867</v>
      </c>
      <c r="C114" s="12" t="s">
        <v>4866</v>
      </c>
      <c r="D114" s="12" t="s">
        <v>120</v>
      </c>
      <c r="E114" s="5" t="s">
        <v>4871</v>
      </c>
      <c r="F114" s="14"/>
      <c r="G114" s="14"/>
      <c r="H114" s="14" t="s">
        <v>87</v>
      </c>
      <c r="I114" s="14"/>
      <c r="J114" s="14"/>
      <c r="K114" s="14"/>
      <c r="L114" s="15"/>
      <c r="M114" s="12" t="s">
        <v>72</v>
      </c>
      <c r="N114" s="5" t="s">
        <v>4868</v>
      </c>
      <c r="O114" s="12" t="s">
        <v>661</v>
      </c>
      <c r="P114" s="5" t="s">
        <v>4869</v>
      </c>
      <c r="Q114" s="12" t="s">
        <v>687</v>
      </c>
      <c r="R114" s="12" t="s">
        <v>688</v>
      </c>
      <c r="S114" s="5" t="s">
        <v>4870</v>
      </c>
      <c r="T114" s="5" t="s">
        <v>306</v>
      </c>
      <c r="U114" s="12" t="n">
        <v>3</v>
      </c>
      <c r="V114" s="12" t="n">
        <v>2</v>
      </c>
      <c r="W114" s="12" t="n">
        <v>1</v>
      </c>
      <c r="X114" s="12" t="n">
        <v>1</v>
      </c>
      <c r="Y114" s="12" t="n">
        <v>0</v>
      </c>
    </row>
    <row r="115" customFormat="false" ht="175.5" hidden="false" customHeight="true" outlineLevel="0" collapsed="false">
      <c r="A115" s="10" t="s">
        <v>4872</v>
      </c>
      <c r="B115" s="11" t="s">
        <v>4873</v>
      </c>
      <c r="C115" s="12"/>
      <c r="D115" s="12" t="s">
        <v>120</v>
      </c>
      <c r="E115" s="5" t="s">
        <v>79</v>
      </c>
      <c r="F115" s="12"/>
      <c r="G115" s="12"/>
      <c r="H115" s="13" t="str">
        <f aca="false">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2"/>
      <c r="J115" s="12"/>
      <c r="K115" s="12"/>
      <c r="L115" s="12"/>
      <c r="M115" s="12" t="s">
        <v>72</v>
      </c>
      <c r="N115" s="5"/>
      <c r="O115" s="12"/>
      <c r="P115" s="5" t="s">
        <v>4874</v>
      </c>
      <c r="Q115" s="12" t="s">
        <v>687</v>
      </c>
      <c r="R115" s="12" t="s">
        <v>688</v>
      </c>
      <c r="S115" s="5" t="s">
        <v>4875</v>
      </c>
      <c r="T115" s="5" t="s">
        <v>109</v>
      </c>
      <c r="U115" s="12" t="n">
        <v>3</v>
      </c>
      <c r="V115" s="12" t="n">
        <v>2</v>
      </c>
      <c r="W115" s="12" t="n">
        <v>1</v>
      </c>
      <c r="X115" s="12" t="n">
        <v>1</v>
      </c>
      <c r="Y115" s="12" t="n">
        <v>0</v>
      </c>
    </row>
    <row r="116" customFormat="false" ht="175.5" hidden="false" customHeight="true" outlineLevel="0" collapsed="false">
      <c r="A116" s="12" t="s">
        <v>4872</v>
      </c>
      <c r="B116" s="5" t="s">
        <v>4873</v>
      </c>
      <c r="C116" s="12" t="s">
        <v>4872</v>
      </c>
      <c r="D116" s="12" t="s">
        <v>120</v>
      </c>
      <c r="E116" s="5" t="s">
        <v>4876</v>
      </c>
      <c r="F116" s="14"/>
      <c r="G116" s="14"/>
      <c r="H116" s="14" t="s">
        <v>87</v>
      </c>
      <c r="I116" s="14"/>
      <c r="J116" s="14"/>
      <c r="K116" s="14"/>
      <c r="L116" s="15"/>
      <c r="M116" s="12" t="s">
        <v>72</v>
      </c>
      <c r="N116" s="5"/>
      <c r="O116" s="12"/>
      <c r="P116" s="5" t="s">
        <v>4874</v>
      </c>
      <c r="Q116" s="12" t="s">
        <v>687</v>
      </c>
      <c r="R116" s="12" t="s">
        <v>688</v>
      </c>
      <c r="S116" s="5" t="s">
        <v>4875</v>
      </c>
      <c r="T116" s="5" t="s">
        <v>109</v>
      </c>
      <c r="U116" s="12" t="n">
        <v>3</v>
      </c>
      <c r="V116" s="12" t="n">
        <v>2</v>
      </c>
      <c r="W116" s="12" t="n">
        <v>1</v>
      </c>
      <c r="X116" s="12" t="n">
        <v>1</v>
      </c>
      <c r="Y116" s="12" t="n">
        <v>0</v>
      </c>
    </row>
    <row r="117" customFormat="false" ht="122.25" hidden="false" customHeight="true" outlineLevel="0" collapsed="false">
      <c r="A117" s="10" t="s">
        <v>4877</v>
      </c>
      <c r="B117" s="11" t="s">
        <v>4878</v>
      </c>
      <c r="C117" s="12"/>
      <c r="D117" s="12" t="s">
        <v>120</v>
      </c>
      <c r="E117" s="5" t="s">
        <v>79</v>
      </c>
      <c r="F117" s="12"/>
      <c r="G117" s="12"/>
      <c r="H117" s="13" t="str">
        <f aca="false">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2"/>
      <c r="J117" s="12"/>
      <c r="K117" s="12"/>
      <c r="L117" s="12"/>
      <c r="M117" s="12"/>
      <c r="N117" s="5"/>
      <c r="O117" s="12"/>
      <c r="P117" s="5" t="s">
        <v>4879</v>
      </c>
      <c r="Q117" s="12" t="s">
        <v>4798</v>
      </c>
      <c r="R117" s="12" t="s">
        <v>688</v>
      </c>
      <c r="S117" s="5" t="s">
        <v>4880</v>
      </c>
      <c r="T117" s="5" t="s">
        <v>306</v>
      </c>
      <c r="U117" s="12" t="n">
        <v>1</v>
      </c>
      <c r="V117" s="12" t="n">
        <v>1</v>
      </c>
      <c r="W117" s="12" t="n">
        <v>1</v>
      </c>
      <c r="X117" s="12" t="n">
        <v>1</v>
      </c>
      <c r="Y117" s="12" t="n">
        <v>0</v>
      </c>
    </row>
    <row r="118" customFormat="false" ht="122.25" hidden="false" customHeight="true" outlineLevel="0" collapsed="false">
      <c r="A118" s="12" t="s">
        <v>4877</v>
      </c>
      <c r="B118" s="5" t="s">
        <v>4878</v>
      </c>
      <c r="C118" s="12" t="s">
        <v>4877</v>
      </c>
      <c r="D118" s="12" t="s">
        <v>120</v>
      </c>
      <c r="E118" s="5" t="s">
        <v>4881</v>
      </c>
      <c r="F118" s="14"/>
      <c r="G118" s="14"/>
      <c r="H118" s="14" t="s">
        <v>87</v>
      </c>
      <c r="I118" s="14"/>
      <c r="J118" s="14"/>
      <c r="K118" s="14"/>
      <c r="L118" s="15"/>
      <c r="M118" s="12"/>
      <c r="N118" s="5"/>
      <c r="O118" s="12"/>
      <c r="P118" s="5" t="s">
        <v>4879</v>
      </c>
      <c r="Q118" s="12" t="s">
        <v>4798</v>
      </c>
      <c r="R118" s="12" t="s">
        <v>688</v>
      </c>
      <c r="S118" s="5" t="s">
        <v>4880</v>
      </c>
      <c r="T118" s="5" t="s">
        <v>306</v>
      </c>
      <c r="U118" s="12" t="n">
        <v>1</v>
      </c>
      <c r="V118" s="12" t="n">
        <v>1</v>
      </c>
      <c r="W118" s="12" t="n">
        <v>1</v>
      </c>
      <c r="X118" s="12" t="n">
        <v>1</v>
      </c>
      <c r="Y118" s="12" t="n">
        <v>0</v>
      </c>
    </row>
    <row r="119" customFormat="false" ht="216" hidden="false" customHeight="true" outlineLevel="0" collapsed="false">
      <c r="A119" s="10" t="s">
        <v>4882</v>
      </c>
      <c r="B119" s="11" t="s">
        <v>4883</v>
      </c>
      <c r="C119" s="12"/>
      <c r="D119" s="12" t="s">
        <v>120</v>
      </c>
      <c r="E119" s="5" t="s">
        <v>79</v>
      </c>
      <c r="F119" s="12"/>
      <c r="G119" s="12"/>
      <c r="H119" s="13" t="str">
        <f aca="false">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2"/>
      <c r="J119" s="12"/>
      <c r="K119" s="12"/>
      <c r="L119" s="12"/>
      <c r="M119" s="12" t="s">
        <v>72</v>
      </c>
      <c r="N119" s="5"/>
      <c r="O119" s="12"/>
      <c r="P119" s="5" t="s">
        <v>4884</v>
      </c>
      <c r="Q119" s="12" t="s">
        <v>4885</v>
      </c>
      <c r="R119" s="12" t="s">
        <v>688</v>
      </c>
      <c r="S119" s="5" t="s">
        <v>4886</v>
      </c>
      <c r="T119" s="5" t="s">
        <v>4887</v>
      </c>
      <c r="U119" s="12" t="n">
        <v>2</v>
      </c>
      <c r="V119" s="12" t="n">
        <v>2</v>
      </c>
      <c r="W119" s="12" t="n">
        <v>1</v>
      </c>
      <c r="X119" s="12" t="n">
        <v>1</v>
      </c>
      <c r="Y119" s="12" t="n">
        <v>0</v>
      </c>
    </row>
    <row r="120" customFormat="false" ht="216" hidden="false" customHeight="true" outlineLevel="0" collapsed="false">
      <c r="A120" s="12" t="s">
        <v>4882</v>
      </c>
      <c r="B120" s="5" t="s">
        <v>4883</v>
      </c>
      <c r="C120" s="12" t="s">
        <v>4882</v>
      </c>
      <c r="D120" s="12" t="s">
        <v>120</v>
      </c>
      <c r="E120" s="5" t="s">
        <v>4888</v>
      </c>
      <c r="F120" s="14"/>
      <c r="G120" s="14"/>
      <c r="H120" s="14" t="s">
        <v>87</v>
      </c>
      <c r="I120" s="14"/>
      <c r="J120" s="14"/>
      <c r="K120" s="14"/>
      <c r="L120" s="15"/>
      <c r="M120" s="12" t="s">
        <v>72</v>
      </c>
      <c r="N120" s="5"/>
      <c r="O120" s="12"/>
      <c r="P120" s="5" t="s">
        <v>4884</v>
      </c>
      <c r="Q120" s="12" t="s">
        <v>4885</v>
      </c>
      <c r="R120" s="12" t="s">
        <v>688</v>
      </c>
      <c r="S120" s="5" t="s">
        <v>4886</v>
      </c>
      <c r="T120" s="5" t="s">
        <v>4887</v>
      </c>
      <c r="U120" s="12" t="n">
        <v>2</v>
      </c>
      <c r="V120" s="12" t="n">
        <v>2</v>
      </c>
      <c r="W120" s="12" t="n">
        <v>1</v>
      </c>
      <c r="X120" s="12" t="n">
        <v>1</v>
      </c>
      <c r="Y120" s="12" t="n">
        <v>0</v>
      </c>
    </row>
    <row r="121" customFormat="false" ht="81.75" hidden="false" customHeight="true" outlineLevel="0" collapsed="false">
      <c r="A121" s="10" t="s">
        <v>4889</v>
      </c>
      <c r="B121" s="11" t="s">
        <v>4890</v>
      </c>
      <c r="C121" s="12"/>
      <c r="D121" s="12" t="s">
        <v>160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c r="N121" s="5"/>
      <c r="O121" s="12"/>
      <c r="P121" s="5" t="s">
        <v>4891</v>
      </c>
      <c r="Q121" s="12" t="s">
        <v>687</v>
      </c>
      <c r="R121" s="12" t="s">
        <v>688</v>
      </c>
      <c r="S121" s="5" t="s">
        <v>4892</v>
      </c>
      <c r="T121" s="5" t="s">
        <v>306</v>
      </c>
      <c r="U121" s="12" t="n">
        <v>5</v>
      </c>
      <c r="V121" s="12" t="n">
        <v>1</v>
      </c>
      <c r="W121" s="12" t="n">
        <v>1</v>
      </c>
      <c r="X121" s="12" t="n">
        <v>1</v>
      </c>
      <c r="Y121" s="12" t="n">
        <v>0</v>
      </c>
    </row>
    <row r="122" customFormat="false" ht="81.75" hidden="false" customHeight="true" outlineLevel="0" collapsed="false">
      <c r="A122" s="12" t="s">
        <v>4889</v>
      </c>
      <c r="B122" s="5" t="s">
        <v>4890</v>
      </c>
      <c r="C122" s="12" t="s">
        <v>4889</v>
      </c>
      <c r="D122" s="12" t="s">
        <v>160</v>
      </c>
      <c r="E122" s="5" t="s">
        <v>4893</v>
      </c>
      <c r="F122" s="14"/>
      <c r="G122" s="14"/>
      <c r="H122" s="14" t="s">
        <v>87</v>
      </c>
      <c r="I122" s="14"/>
      <c r="J122" s="14"/>
      <c r="K122" s="14"/>
      <c r="L122" s="15"/>
      <c r="M122" s="12"/>
      <c r="N122" s="5"/>
      <c r="O122" s="12"/>
      <c r="P122" s="5" t="s">
        <v>4891</v>
      </c>
      <c r="Q122" s="12" t="s">
        <v>687</v>
      </c>
      <c r="R122" s="12" t="s">
        <v>688</v>
      </c>
      <c r="S122" s="5" t="s">
        <v>4892</v>
      </c>
      <c r="T122" s="5" t="s">
        <v>306</v>
      </c>
      <c r="U122" s="12" t="n">
        <v>5</v>
      </c>
      <c r="V122" s="12" t="n">
        <v>1</v>
      </c>
      <c r="W122" s="12" t="n">
        <v>1</v>
      </c>
      <c r="X122" s="12" t="n">
        <v>1</v>
      </c>
      <c r="Y122" s="12" t="n">
        <v>0</v>
      </c>
    </row>
    <row r="123" customFormat="false" ht="95.25" hidden="false" customHeight="true" outlineLevel="0" collapsed="false">
      <c r="A123" s="10" t="s">
        <v>4894</v>
      </c>
      <c r="B123" s="11" t="s">
        <v>4895</v>
      </c>
      <c r="C123" s="12"/>
      <c r="D123" s="12" t="s">
        <v>160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t="s">
        <v>72</v>
      </c>
      <c r="N123" s="5"/>
      <c r="O123" s="12"/>
      <c r="P123" s="5" t="s">
        <v>4896</v>
      </c>
      <c r="Q123" s="12" t="s">
        <v>4897</v>
      </c>
      <c r="R123" s="12" t="s">
        <v>688</v>
      </c>
      <c r="S123" s="5" t="s">
        <v>4898</v>
      </c>
      <c r="T123" s="5" t="s">
        <v>306</v>
      </c>
      <c r="U123" s="12" t="n">
        <v>4</v>
      </c>
      <c r="V123" s="12" t="n">
        <v>2</v>
      </c>
      <c r="W123" s="12" t="n">
        <v>1</v>
      </c>
      <c r="X123" s="12" t="n">
        <v>1</v>
      </c>
      <c r="Y123" s="12" t="n">
        <v>0</v>
      </c>
    </row>
    <row r="124" customFormat="false" ht="95.25" hidden="false" customHeight="true" outlineLevel="0" collapsed="false">
      <c r="A124" s="12" t="s">
        <v>4894</v>
      </c>
      <c r="B124" s="5" t="s">
        <v>4895</v>
      </c>
      <c r="C124" s="12" t="s">
        <v>4894</v>
      </c>
      <c r="D124" s="12" t="s">
        <v>160</v>
      </c>
      <c r="E124" s="5" t="s">
        <v>4899</v>
      </c>
      <c r="F124" s="14"/>
      <c r="G124" s="14"/>
      <c r="H124" s="14" t="s">
        <v>87</v>
      </c>
      <c r="I124" s="14"/>
      <c r="J124" s="14"/>
      <c r="K124" s="14"/>
      <c r="L124" s="15"/>
      <c r="M124" s="12" t="s">
        <v>72</v>
      </c>
      <c r="N124" s="5"/>
      <c r="O124" s="12"/>
      <c r="P124" s="5" t="s">
        <v>4896</v>
      </c>
      <c r="Q124" s="12" t="s">
        <v>4897</v>
      </c>
      <c r="R124" s="12" t="s">
        <v>688</v>
      </c>
      <c r="S124" s="5" t="s">
        <v>4898</v>
      </c>
      <c r="T124" s="5" t="s">
        <v>306</v>
      </c>
      <c r="U124" s="12" t="n">
        <v>4</v>
      </c>
      <c r="V124" s="12" t="n">
        <v>2</v>
      </c>
      <c r="W124" s="12" t="n">
        <v>1</v>
      </c>
      <c r="X124" s="12" t="n">
        <v>1</v>
      </c>
      <c r="Y124" s="12" t="n">
        <v>0</v>
      </c>
    </row>
    <row r="125" customFormat="false" ht="54.75" hidden="false" customHeight="true" outlineLevel="0" collapsed="false">
      <c r="A125" s="10" t="s">
        <v>4900</v>
      </c>
      <c r="B125" s="11" t="s">
        <v>4901</v>
      </c>
      <c r="C125" s="12"/>
      <c r="D125" s="12" t="s">
        <v>120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72</v>
      </c>
      <c r="N125" s="5"/>
      <c r="O125" s="12"/>
      <c r="P125" s="5" t="s">
        <v>4902</v>
      </c>
      <c r="Q125" s="12" t="s">
        <v>4897</v>
      </c>
      <c r="R125" s="12" t="s">
        <v>688</v>
      </c>
      <c r="S125" s="5" t="s">
        <v>4903</v>
      </c>
      <c r="T125" s="5" t="s">
        <v>306</v>
      </c>
      <c r="U125" s="12" t="n">
        <v>2</v>
      </c>
      <c r="V125" s="12" t="n">
        <v>2</v>
      </c>
      <c r="W125" s="12" t="n">
        <v>1</v>
      </c>
      <c r="X125" s="12" t="n">
        <v>1</v>
      </c>
      <c r="Y125" s="12" t="n">
        <v>0</v>
      </c>
    </row>
    <row r="126" customFormat="false" ht="54.75" hidden="false" customHeight="true" outlineLevel="0" collapsed="false">
      <c r="A126" s="12" t="s">
        <v>4900</v>
      </c>
      <c r="B126" s="5" t="s">
        <v>4901</v>
      </c>
      <c r="C126" s="12" t="s">
        <v>4900</v>
      </c>
      <c r="D126" s="12" t="s">
        <v>120</v>
      </c>
      <c r="E126" s="5" t="s">
        <v>4904</v>
      </c>
      <c r="F126" s="14"/>
      <c r="G126" s="14"/>
      <c r="H126" s="14" t="s">
        <v>87</v>
      </c>
      <c r="I126" s="14"/>
      <c r="J126" s="14"/>
      <c r="K126" s="14"/>
      <c r="L126" s="15"/>
      <c r="M126" s="12" t="s">
        <v>72</v>
      </c>
      <c r="N126" s="5"/>
      <c r="O126" s="12"/>
      <c r="P126" s="5" t="s">
        <v>4902</v>
      </c>
      <c r="Q126" s="12" t="s">
        <v>4897</v>
      </c>
      <c r="R126" s="12" t="s">
        <v>688</v>
      </c>
      <c r="S126" s="5" t="s">
        <v>4903</v>
      </c>
      <c r="T126" s="5" t="s">
        <v>306</v>
      </c>
      <c r="U126" s="12" t="n">
        <v>2</v>
      </c>
      <c r="V126" s="12" t="n">
        <v>2</v>
      </c>
      <c r="W126" s="12" t="n">
        <v>1</v>
      </c>
      <c r="X126" s="12" t="n">
        <v>1</v>
      </c>
      <c r="Y126" s="12" t="n">
        <v>0</v>
      </c>
    </row>
    <row r="127" customFormat="false" ht="81.75" hidden="false" customHeight="true" outlineLevel="0" collapsed="false">
      <c r="A127" s="10" t="s">
        <v>4905</v>
      </c>
      <c r="B127" s="11" t="s">
        <v>4906</v>
      </c>
      <c r="C127" s="12"/>
      <c r="D127" s="12" t="s">
        <v>120</v>
      </c>
      <c r="E127" s="5" t="s">
        <v>79</v>
      </c>
      <c r="F127" s="12"/>
      <c r="G127" s="12"/>
      <c r="H127" s="13" t="str">
        <f aca="false">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2"/>
      <c r="J127" s="12"/>
      <c r="K127" s="12"/>
      <c r="L127" s="12"/>
      <c r="M127" s="12" t="s">
        <v>72</v>
      </c>
      <c r="N127" s="5"/>
      <c r="O127" s="12"/>
      <c r="P127" s="5" t="s">
        <v>4907</v>
      </c>
      <c r="Q127" s="12" t="s">
        <v>4908</v>
      </c>
      <c r="R127" s="12" t="s">
        <v>4076</v>
      </c>
      <c r="S127" s="5" t="s">
        <v>4909</v>
      </c>
      <c r="T127" s="5" t="s">
        <v>306</v>
      </c>
      <c r="U127" s="12" t="n">
        <v>2</v>
      </c>
      <c r="V127" s="12" t="n">
        <v>2</v>
      </c>
      <c r="W127" s="12" t="n">
        <v>1</v>
      </c>
      <c r="X127" s="12" t="n">
        <v>1</v>
      </c>
      <c r="Y127" s="12" t="n">
        <v>0</v>
      </c>
    </row>
    <row r="128" customFormat="false" ht="81.75" hidden="false" customHeight="true" outlineLevel="0" collapsed="false">
      <c r="A128" s="12" t="s">
        <v>4905</v>
      </c>
      <c r="B128" s="5" t="s">
        <v>4906</v>
      </c>
      <c r="C128" s="12" t="s">
        <v>4905</v>
      </c>
      <c r="D128" s="12" t="s">
        <v>120</v>
      </c>
      <c r="E128" s="5" t="s">
        <v>4910</v>
      </c>
      <c r="F128" s="14"/>
      <c r="G128" s="14"/>
      <c r="H128" s="14" t="s">
        <v>87</v>
      </c>
      <c r="I128" s="14"/>
      <c r="J128" s="14"/>
      <c r="K128" s="14"/>
      <c r="L128" s="15"/>
      <c r="M128" s="12" t="s">
        <v>72</v>
      </c>
      <c r="N128" s="5"/>
      <c r="O128" s="12"/>
      <c r="P128" s="5" t="s">
        <v>4907</v>
      </c>
      <c r="Q128" s="12" t="s">
        <v>4908</v>
      </c>
      <c r="R128" s="12" t="s">
        <v>4076</v>
      </c>
      <c r="S128" s="5" t="s">
        <v>4909</v>
      </c>
      <c r="T128" s="5" t="s">
        <v>306</v>
      </c>
      <c r="U128" s="12" t="n">
        <v>2</v>
      </c>
      <c r="V128" s="12" t="n">
        <v>2</v>
      </c>
      <c r="W128" s="12" t="n">
        <v>1</v>
      </c>
      <c r="X128" s="12" t="n">
        <v>1</v>
      </c>
      <c r="Y128" s="12" t="n">
        <v>0</v>
      </c>
    </row>
    <row r="129" customFormat="false" ht="27.75" hidden="false" customHeight="true" outlineLevel="0" collapsed="false">
      <c r="A129" s="10" t="s">
        <v>4911</v>
      </c>
      <c r="B129" s="11" t="s">
        <v>4912</v>
      </c>
      <c r="C129" s="12"/>
      <c r="D129" s="12" t="s">
        <v>120</v>
      </c>
      <c r="E129" s="5" t="s">
        <v>79</v>
      </c>
      <c r="F129" s="12"/>
      <c r="G129" s="12"/>
      <c r="H129" s="13" t="str">
        <f aca="false">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2"/>
      <c r="J129" s="12"/>
      <c r="K129" s="12"/>
      <c r="L129" s="12"/>
      <c r="M129" s="12" t="s">
        <v>72</v>
      </c>
      <c r="N129" s="5"/>
      <c r="O129" s="12"/>
      <c r="P129" s="5" t="s">
        <v>4913</v>
      </c>
      <c r="Q129" s="12" t="s">
        <v>687</v>
      </c>
      <c r="R129" s="12" t="s">
        <v>688</v>
      </c>
      <c r="S129" s="5" t="s">
        <v>4914</v>
      </c>
      <c r="T129" s="5" t="s">
        <v>306</v>
      </c>
      <c r="U129" s="12" t="n">
        <v>2</v>
      </c>
      <c r="V129" s="12" t="n">
        <v>2</v>
      </c>
      <c r="W129" s="12" t="n">
        <v>1</v>
      </c>
      <c r="X129" s="12" t="n">
        <v>1</v>
      </c>
      <c r="Y129" s="12" t="n">
        <v>0</v>
      </c>
    </row>
    <row r="130" customFormat="false" ht="27.75" hidden="false" customHeight="true" outlineLevel="0" collapsed="false">
      <c r="A130" s="12" t="s">
        <v>4911</v>
      </c>
      <c r="B130" s="5" t="s">
        <v>4912</v>
      </c>
      <c r="C130" s="12" t="s">
        <v>4911</v>
      </c>
      <c r="D130" s="12" t="s">
        <v>120</v>
      </c>
      <c r="E130" s="5" t="s">
        <v>4915</v>
      </c>
      <c r="F130" s="14"/>
      <c r="G130" s="14"/>
      <c r="H130" s="14" t="s">
        <v>87</v>
      </c>
      <c r="I130" s="14"/>
      <c r="J130" s="14"/>
      <c r="K130" s="14"/>
      <c r="L130" s="15"/>
      <c r="M130" s="12" t="s">
        <v>72</v>
      </c>
      <c r="N130" s="5"/>
      <c r="O130" s="12"/>
      <c r="P130" s="5" t="s">
        <v>4913</v>
      </c>
      <c r="Q130" s="12" t="s">
        <v>687</v>
      </c>
      <c r="R130" s="12" t="s">
        <v>688</v>
      </c>
      <c r="S130" s="5" t="s">
        <v>4914</v>
      </c>
      <c r="T130" s="5" t="s">
        <v>306</v>
      </c>
      <c r="U130" s="12" t="n">
        <v>2</v>
      </c>
      <c r="V130" s="12" t="n">
        <v>2</v>
      </c>
      <c r="W130" s="12" t="n">
        <v>1</v>
      </c>
      <c r="X130" s="12" t="n">
        <v>1</v>
      </c>
      <c r="Y130" s="12" t="n">
        <v>0</v>
      </c>
    </row>
    <row r="131" customFormat="false" ht="108.75" hidden="false" customHeight="true" outlineLevel="0" collapsed="false">
      <c r="A131" s="10" t="s">
        <v>4916</v>
      </c>
      <c r="B131" s="11" t="s">
        <v>4917</v>
      </c>
      <c r="C131" s="12"/>
      <c r="D131" s="12" t="s">
        <v>120</v>
      </c>
      <c r="E131" s="5" t="s">
        <v>79</v>
      </c>
      <c r="F131" s="12"/>
      <c r="G131" s="12"/>
      <c r="H131" s="13" t="str">
        <f aca="false">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2"/>
      <c r="J131" s="12"/>
      <c r="K131" s="12"/>
      <c r="L131" s="12"/>
      <c r="M131" s="12" t="s">
        <v>74</v>
      </c>
      <c r="N131" s="5"/>
      <c r="O131" s="12"/>
      <c r="P131" s="5" t="s">
        <v>4918</v>
      </c>
      <c r="Q131" s="12" t="s">
        <v>2936</v>
      </c>
      <c r="R131" s="12" t="s">
        <v>688</v>
      </c>
      <c r="S131" s="5" t="s">
        <v>4919</v>
      </c>
      <c r="T131" s="5" t="s">
        <v>306</v>
      </c>
      <c r="U131" s="12" t="n">
        <v>3</v>
      </c>
      <c r="V131" s="12" t="n">
        <v>1</v>
      </c>
      <c r="W131" s="12" t="n">
        <v>1</v>
      </c>
      <c r="X131" s="12" t="n">
        <v>2</v>
      </c>
      <c r="Y131" s="12" t="n">
        <v>0</v>
      </c>
    </row>
    <row r="132" customFormat="false" ht="108.75" hidden="false" customHeight="true" outlineLevel="0" collapsed="false">
      <c r="A132" s="12" t="s">
        <v>4916</v>
      </c>
      <c r="B132" s="5" t="s">
        <v>4917</v>
      </c>
      <c r="C132" s="12" t="s">
        <v>4916</v>
      </c>
      <c r="D132" s="12" t="s">
        <v>120</v>
      </c>
      <c r="E132" s="5" t="s">
        <v>4920</v>
      </c>
      <c r="F132" s="14"/>
      <c r="G132" s="14"/>
      <c r="H132" s="14" t="s">
        <v>87</v>
      </c>
      <c r="I132" s="14"/>
      <c r="J132" s="14"/>
      <c r="K132" s="14"/>
      <c r="L132" s="15"/>
      <c r="M132" s="12" t="s">
        <v>74</v>
      </c>
      <c r="N132" s="5"/>
      <c r="O132" s="12"/>
      <c r="P132" s="5" t="s">
        <v>4918</v>
      </c>
      <c r="Q132" s="12" t="s">
        <v>2936</v>
      </c>
      <c r="R132" s="12" t="s">
        <v>688</v>
      </c>
      <c r="S132" s="5" t="s">
        <v>4919</v>
      </c>
      <c r="T132" s="5" t="s">
        <v>306</v>
      </c>
      <c r="U132" s="12" t="n">
        <v>3</v>
      </c>
      <c r="V132" s="12" t="n">
        <v>1</v>
      </c>
      <c r="W132" s="12" t="n">
        <v>1</v>
      </c>
      <c r="X132" s="12" t="n">
        <v>2</v>
      </c>
      <c r="Y132" s="12" t="n">
        <v>0</v>
      </c>
    </row>
    <row r="133" customFormat="false" ht="41.25" hidden="false" customHeight="true" outlineLevel="0" collapsed="false">
      <c r="A133" s="10" t="s">
        <v>4921</v>
      </c>
      <c r="B133" s="11" t="s">
        <v>4922</v>
      </c>
      <c r="C133" s="12"/>
      <c r="D133" s="12" t="s">
        <v>120</v>
      </c>
      <c r="E133" s="5" t="s">
        <v>79</v>
      </c>
      <c r="F133" s="12"/>
      <c r="G133" s="12"/>
      <c r="H133" s="13" t="str">
        <f aca="false">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2"/>
      <c r="J133" s="12"/>
      <c r="K133" s="12"/>
      <c r="L133" s="12"/>
      <c r="M133" s="12" t="s">
        <v>74</v>
      </c>
      <c r="N133" s="5"/>
      <c r="O133" s="12"/>
      <c r="P133" s="5" t="s">
        <v>4923</v>
      </c>
      <c r="Q133" s="12" t="s">
        <v>836</v>
      </c>
      <c r="R133" s="12" t="s">
        <v>4076</v>
      </c>
      <c r="S133" s="5" t="s">
        <v>4924</v>
      </c>
      <c r="T133" s="5" t="s">
        <v>306</v>
      </c>
      <c r="U133" s="12" t="n">
        <v>3</v>
      </c>
      <c r="V133" s="12" t="n">
        <v>1</v>
      </c>
      <c r="W133" s="12" t="n">
        <v>1</v>
      </c>
      <c r="X133" s="12" t="n">
        <v>2</v>
      </c>
      <c r="Y133" s="12" t="n">
        <v>0</v>
      </c>
    </row>
    <row r="134" customFormat="false" ht="41.25" hidden="false" customHeight="true" outlineLevel="0" collapsed="false">
      <c r="A134" s="12" t="s">
        <v>4921</v>
      </c>
      <c r="B134" s="5" t="s">
        <v>4922</v>
      </c>
      <c r="C134" s="12" t="s">
        <v>4921</v>
      </c>
      <c r="D134" s="12" t="s">
        <v>120</v>
      </c>
      <c r="E134" s="5" t="s">
        <v>4925</v>
      </c>
      <c r="F134" s="14"/>
      <c r="G134" s="14"/>
      <c r="H134" s="14" t="s">
        <v>87</v>
      </c>
      <c r="I134" s="14"/>
      <c r="J134" s="14"/>
      <c r="K134" s="14"/>
      <c r="L134" s="15"/>
      <c r="M134" s="12" t="s">
        <v>74</v>
      </c>
      <c r="N134" s="5"/>
      <c r="O134" s="12"/>
      <c r="P134" s="5" t="s">
        <v>4923</v>
      </c>
      <c r="Q134" s="12" t="s">
        <v>836</v>
      </c>
      <c r="R134" s="12" t="s">
        <v>4076</v>
      </c>
      <c r="S134" s="5" t="s">
        <v>4924</v>
      </c>
      <c r="T134" s="5" t="s">
        <v>306</v>
      </c>
      <c r="U134" s="12" t="n">
        <v>3</v>
      </c>
      <c r="V134" s="12" t="n">
        <v>1</v>
      </c>
      <c r="W134" s="12" t="n">
        <v>1</v>
      </c>
      <c r="X134" s="12" t="n">
        <v>2</v>
      </c>
      <c r="Y134" s="12" t="n">
        <v>0</v>
      </c>
    </row>
    <row r="135" customFormat="false" ht="283.5" hidden="false" customHeight="true" outlineLevel="0" collapsed="false">
      <c r="A135" s="10" t="s">
        <v>4926</v>
      </c>
      <c r="B135" s="11" t="s">
        <v>4927</v>
      </c>
      <c r="C135" s="12"/>
      <c r="D135" s="12" t="s">
        <v>160</v>
      </c>
      <c r="E135" s="5" t="s">
        <v>79</v>
      </c>
      <c r="F135" s="12"/>
      <c r="G135" s="12"/>
      <c r="H135" s="13" t="str">
        <f aca="false">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2"/>
      <c r="J135" s="12"/>
      <c r="K135" s="12"/>
      <c r="L135" s="12"/>
      <c r="M135" s="12" t="s">
        <v>74</v>
      </c>
      <c r="N135" s="5"/>
      <c r="O135" s="12"/>
      <c r="P135" s="5" t="s">
        <v>4928</v>
      </c>
      <c r="Q135" s="12" t="s">
        <v>836</v>
      </c>
      <c r="R135" s="12" t="s">
        <v>4076</v>
      </c>
      <c r="S135" s="5" t="s">
        <v>4929</v>
      </c>
      <c r="T135" s="5" t="s">
        <v>3177</v>
      </c>
      <c r="U135" s="12" t="n">
        <v>3</v>
      </c>
      <c r="V135" s="12" t="n">
        <v>0</v>
      </c>
      <c r="W135" s="12" t="n">
        <v>1</v>
      </c>
      <c r="X135" s="12" t="n">
        <v>2</v>
      </c>
      <c r="Y135" s="12" t="n">
        <v>0</v>
      </c>
    </row>
    <row r="136" customFormat="false" ht="283.5" hidden="false" customHeight="true" outlineLevel="0" collapsed="false">
      <c r="A136" s="12" t="s">
        <v>4926</v>
      </c>
      <c r="B136" s="5" t="s">
        <v>4927</v>
      </c>
      <c r="C136" s="12" t="s">
        <v>4926</v>
      </c>
      <c r="D136" s="12" t="s">
        <v>160</v>
      </c>
      <c r="E136" s="5" t="s">
        <v>4930</v>
      </c>
      <c r="F136" s="14"/>
      <c r="G136" s="14"/>
      <c r="H136" s="14" t="s">
        <v>87</v>
      </c>
      <c r="I136" s="14"/>
      <c r="J136" s="14"/>
      <c r="K136" s="14"/>
      <c r="L136" s="15"/>
      <c r="M136" s="12" t="s">
        <v>74</v>
      </c>
      <c r="N136" s="5"/>
      <c r="O136" s="12"/>
      <c r="P136" s="5" t="s">
        <v>4928</v>
      </c>
      <c r="Q136" s="12" t="s">
        <v>836</v>
      </c>
      <c r="R136" s="12" t="s">
        <v>4076</v>
      </c>
      <c r="S136" s="5" t="s">
        <v>4929</v>
      </c>
      <c r="T136" s="5" t="s">
        <v>3177</v>
      </c>
      <c r="U136" s="12" t="n">
        <v>3</v>
      </c>
      <c r="V136" s="12" t="n">
        <v>0</v>
      </c>
      <c r="W136" s="12" t="n">
        <v>1</v>
      </c>
      <c r="X136" s="12" t="n">
        <v>2</v>
      </c>
      <c r="Y136" s="12" t="n">
        <v>0</v>
      </c>
    </row>
    <row r="137" customFormat="false" ht="202.5" hidden="false" customHeight="true" outlineLevel="0" collapsed="false">
      <c r="A137" s="10" t="s">
        <v>4931</v>
      </c>
      <c r="B137" s="11" t="s">
        <v>4932</v>
      </c>
      <c r="C137" s="12"/>
      <c r="D137" s="12" t="s">
        <v>120</v>
      </c>
      <c r="E137" s="5" t="s">
        <v>79</v>
      </c>
      <c r="F137" s="12"/>
      <c r="G137" s="12"/>
      <c r="H137" s="13" t="str">
        <f aca="false">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2"/>
      <c r="J137" s="12"/>
      <c r="K137" s="12"/>
      <c r="L137" s="12"/>
      <c r="M137" s="12" t="s">
        <v>72</v>
      </c>
      <c r="N137" s="5"/>
      <c r="O137" s="12"/>
      <c r="P137" s="5" t="s">
        <v>4933</v>
      </c>
      <c r="Q137" s="12" t="s">
        <v>687</v>
      </c>
      <c r="R137" s="12" t="s">
        <v>4076</v>
      </c>
      <c r="S137" s="5" t="s">
        <v>4934</v>
      </c>
      <c r="T137" s="5" t="s">
        <v>109</v>
      </c>
      <c r="U137" s="12" t="n">
        <v>3</v>
      </c>
      <c r="V137" s="12" t="n">
        <v>2</v>
      </c>
      <c r="W137" s="12" t="n">
        <v>1</v>
      </c>
      <c r="X137" s="12" t="n">
        <v>1</v>
      </c>
      <c r="Y137" s="12" t="n">
        <v>0</v>
      </c>
    </row>
    <row r="138" customFormat="false" ht="202.5" hidden="false" customHeight="true" outlineLevel="0" collapsed="false">
      <c r="A138" s="12" t="s">
        <v>4931</v>
      </c>
      <c r="B138" s="5" t="s">
        <v>4932</v>
      </c>
      <c r="C138" s="12" t="s">
        <v>4931</v>
      </c>
      <c r="D138" s="12" t="s">
        <v>120</v>
      </c>
      <c r="E138" s="5" t="s">
        <v>4935</v>
      </c>
      <c r="F138" s="14"/>
      <c r="G138" s="14"/>
      <c r="H138" s="14" t="s">
        <v>87</v>
      </c>
      <c r="I138" s="14"/>
      <c r="J138" s="14"/>
      <c r="K138" s="14"/>
      <c r="L138" s="15"/>
      <c r="M138" s="12" t="s">
        <v>72</v>
      </c>
      <c r="N138" s="5"/>
      <c r="O138" s="12"/>
      <c r="P138" s="5" t="s">
        <v>4933</v>
      </c>
      <c r="Q138" s="12" t="s">
        <v>687</v>
      </c>
      <c r="R138" s="12" t="s">
        <v>4076</v>
      </c>
      <c r="S138" s="5" t="s">
        <v>4934</v>
      </c>
      <c r="T138" s="5" t="s">
        <v>109</v>
      </c>
      <c r="U138" s="12" t="n">
        <v>3</v>
      </c>
      <c r="V138" s="12" t="n">
        <v>2</v>
      </c>
      <c r="W138" s="12" t="n">
        <v>1</v>
      </c>
      <c r="X138" s="12" t="n">
        <v>1</v>
      </c>
      <c r="Y138" s="12" t="n">
        <v>0</v>
      </c>
    </row>
    <row r="139" customFormat="false" ht="256.5" hidden="false" customHeight="true" outlineLevel="0" collapsed="false">
      <c r="A139" s="10" t="s">
        <v>4936</v>
      </c>
      <c r="B139" s="11" t="s">
        <v>4937</v>
      </c>
      <c r="C139" s="12"/>
      <c r="D139" s="12" t="s">
        <v>120</v>
      </c>
      <c r="E139" s="5" t="s">
        <v>79</v>
      </c>
      <c r="F139" s="12"/>
      <c r="G139" s="12"/>
      <c r="H139" s="13" t="str">
        <f aca="false">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2"/>
      <c r="J139" s="12"/>
      <c r="K139" s="12"/>
      <c r="L139" s="12"/>
      <c r="M139" s="12" t="s">
        <v>72</v>
      </c>
      <c r="N139" s="5"/>
      <c r="O139" s="12"/>
      <c r="P139" s="5" t="s">
        <v>4938</v>
      </c>
      <c r="Q139" s="12" t="s">
        <v>687</v>
      </c>
      <c r="R139" s="12" t="s">
        <v>4076</v>
      </c>
      <c r="S139" s="5" t="s">
        <v>4939</v>
      </c>
      <c r="T139" s="5" t="s">
        <v>306</v>
      </c>
      <c r="U139" s="12" t="n">
        <v>2</v>
      </c>
      <c r="V139" s="12" t="n">
        <v>2</v>
      </c>
      <c r="W139" s="12" t="n">
        <v>1</v>
      </c>
      <c r="X139" s="12" t="n">
        <v>1</v>
      </c>
      <c r="Y139" s="12" t="n">
        <v>0</v>
      </c>
    </row>
    <row r="140" customFormat="false" ht="256.5" hidden="false" customHeight="true" outlineLevel="0" collapsed="false">
      <c r="A140" s="12" t="s">
        <v>4936</v>
      </c>
      <c r="B140" s="5" t="s">
        <v>4937</v>
      </c>
      <c r="C140" s="12" t="s">
        <v>4936</v>
      </c>
      <c r="D140" s="12" t="s">
        <v>120</v>
      </c>
      <c r="E140" s="5" t="s">
        <v>4940</v>
      </c>
      <c r="F140" s="14"/>
      <c r="G140" s="14"/>
      <c r="H140" s="14" t="s">
        <v>87</v>
      </c>
      <c r="I140" s="14"/>
      <c r="J140" s="14"/>
      <c r="K140" s="14"/>
      <c r="L140" s="15"/>
      <c r="M140" s="12" t="s">
        <v>72</v>
      </c>
      <c r="N140" s="5"/>
      <c r="O140" s="12"/>
      <c r="P140" s="5" t="s">
        <v>4938</v>
      </c>
      <c r="Q140" s="12" t="s">
        <v>687</v>
      </c>
      <c r="R140" s="12" t="s">
        <v>4076</v>
      </c>
      <c r="S140" s="5" t="s">
        <v>4939</v>
      </c>
      <c r="T140" s="5" t="s">
        <v>306</v>
      </c>
      <c r="U140" s="12" t="n">
        <v>2</v>
      </c>
      <c r="V140" s="12" t="n">
        <v>2</v>
      </c>
      <c r="W140" s="12" t="n">
        <v>1</v>
      </c>
      <c r="X140" s="12" t="n">
        <v>1</v>
      </c>
      <c r="Y140" s="12" t="n">
        <v>0</v>
      </c>
    </row>
    <row r="141" customFormat="false" ht="122.25" hidden="false" customHeight="true" outlineLevel="0" collapsed="false">
      <c r="A141" s="10" t="s">
        <v>4941</v>
      </c>
      <c r="B141" s="11" t="s">
        <v>4942</v>
      </c>
      <c r="C141" s="12"/>
      <c r="D141" s="12" t="s">
        <v>120</v>
      </c>
      <c r="E141" s="5" t="s">
        <v>79</v>
      </c>
      <c r="F141" s="12"/>
      <c r="G141" s="12"/>
      <c r="H141" s="13" t="str">
        <f aca="false">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2"/>
      <c r="J141" s="12"/>
      <c r="K141" s="12"/>
      <c r="L141" s="12"/>
      <c r="M141" s="12"/>
      <c r="N141" s="5" t="s">
        <v>4943</v>
      </c>
      <c r="O141" s="12" t="s">
        <v>524</v>
      </c>
      <c r="P141" s="5" t="s">
        <v>4944</v>
      </c>
      <c r="Q141" s="12" t="s">
        <v>687</v>
      </c>
      <c r="R141" s="12" t="s">
        <v>688</v>
      </c>
      <c r="S141" s="5" t="s">
        <v>4945</v>
      </c>
      <c r="T141" s="5" t="s">
        <v>306</v>
      </c>
      <c r="U141" s="12" t="n">
        <v>3</v>
      </c>
      <c r="V141" s="12" t="n">
        <v>1</v>
      </c>
      <c r="W141" s="12" t="n">
        <v>1</v>
      </c>
      <c r="X141" s="12" t="n">
        <v>1</v>
      </c>
      <c r="Y141" s="12" t="n">
        <v>0</v>
      </c>
    </row>
    <row r="142" customFormat="false" ht="122.25" hidden="false" customHeight="true" outlineLevel="0" collapsed="false">
      <c r="A142" s="12" t="s">
        <v>4941</v>
      </c>
      <c r="B142" s="5" t="s">
        <v>4942</v>
      </c>
      <c r="C142" s="12" t="s">
        <v>4941</v>
      </c>
      <c r="D142" s="12" t="s">
        <v>120</v>
      </c>
      <c r="E142" s="5" t="s">
        <v>4946</v>
      </c>
      <c r="F142" s="14"/>
      <c r="G142" s="14"/>
      <c r="H142" s="14" t="s">
        <v>87</v>
      </c>
      <c r="I142" s="14"/>
      <c r="J142" s="14"/>
      <c r="K142" s="14"/>
      <c r="L142" s="15"/>
      <c r="M142" s="12"/>
      <c r="N142" s="5" t="s">
        <v>4943</v>
      </c>
      <c r="O142" s="12" t="s">
        <v>524</v>
      </c>
      <c r="P142" s="5" t="s">
        <v>4944</v>
      </c>
      <c r="Q142" s="12" t="s">
        <v>687</v>
      </c>
      <c r="R142" s="12" t="s">
        <v>688</v>
      </c>
      <c r="S142" s="5" t="s">
        <v>4945</v>
      </c>
      <c r="T142" s="5" t="s">
        <v>306</v>
      </c>
      <c r="U142" s="12" t="n">
        <v>3</v>
      </c>
      <c r="V142" s="12" t="n">
        <v>1</v>
      </c>
      <c r="W142" s="12" t="n">
        <v>1</v>
      </c>
      <c r="X142" s="12" t="n">
        <v>1</v>
      </c>
      <c r="Y142" s="12" t="n">
        <v>0</v>
      </c>
    </row>
    <row r="143" customFormat="false" ht="216" hidden="false" customHeight="true" outlineLevel="0" collapsed="false">
      <c r="A143" s="10" t="s">
        <v>4947</v>
      </c>
      <c r="B143" s="11" t="s">
        <v>4948</v>
      </c>
      <c r="C143" s="12"/>
      <c r="D143" s="12" t="s">
        <v>120</v>
      </c>
      <c r="E143" s="5" t="s">
        <v>79</v>
      </c>
      <c r="F143" s="12"/>
      <c r="G143" s="12"/>
      <c r="H143" s="13" t="str">
        <f aca="false">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Bitte Teilanforderungen ausfüllen</v>
      </c>
      <c r="I143" s="12"/>
      <c r="J143" s="12"/>
      <c r="K143" s="12"/>
      <c r="L143" s="12"/>
      <c r="M143" s="12" t="s">
        <v>72</v>
      </c>
      <c r="N143" s="5"/>
      <c r="O143" s="12"/>
      <c r="P143" s="5" t="s">
        <v>4949</v>
      </c>
      <c r="Q143" s="12" t="s">
        <v>687</v>
      </c>
      <c r="R143" s="12" t="s">
        <v>4076</v>
      </c>
      <c r="S143" s="5" t="s">
        <v>4950</v>
      </c>
      <c r="T143" s="5" t="s">
        <v>306</v>
      </c>
      <c r="U143" s="12" t="n">
        <v>2</v>
      </c>
      <c r="V143" s="12" t="n">
        <v>2</v>
      </c>
      <c r="W143" s="12" t="n">
        <v>1</v>
      </c>
      <c r="X143" s="12" t="n">
        <v>1</v>
      </c>
      <c r="Y143" s="12" t="n">
        <v>0</v>
      </c>
    </row>
    <row r="144" customFormat="false" ht="216" hidden="false" customHeight="true" outlineLevel="0" collapsed="false">
      <c r="A144" s="12" t="s">
        <v>4947</v>
      </c>
      <c r="B144" s="5" t="s">
        <v>4948</v>
      </c>
      <c r="C144" s="12" t="s">
        <v>4947</v>
      </c>
      <c r="D144" s="12" t="s">
        <v>120</v>
      </c>
      <c r="E144" s="5" t="s">
        <v>4951</v>
      </c>
      <c r="F144" s="14"/>
      <c r="G144" s="14"/>
      <c r="H144" s="14" t="s">
        <v>87</v>
      </c>
      <c r="I144" s="14"/>
      <c r="J144" s="14"/>
      <c r="K144" s="14"/>
      <c r="L144" s="15"/>
      <c r="M144" s="12" t="s">
        <v>72</v>
      </c>
      <c r="N144" s="5"/>
      <c r="O144" s="12"/>
      <c r="P144" s="5" t="s">
        <v>4949</v>
      </c>
      <c r="Q144" s="12" t="s">
        <v>687</v>
      </c>
      <c r="R144" s="12" t="s">
        <v>4076</v>
      </c>
      <c r="S144" s="5" t="s">
        <v>4950</v>
      </c>
      <c r="T144" s="5" t="s">
        <v>306</v>
      </c>
      <c r="U144" s="12" t="n">
        <v>2</v>
      </c>
      <c r="V144" s="12" t="n">
        <v>2</v>
      </c>
      <c r="W144" s="12" t="n">
        <v>1</v>
      </c>
      <c r="X144" s="12" t="n">
        <v>1</v>
      </c>
      <c r="Y144" s="12" t="n">
        <v>0</v>
      </c>
    </row>
    <row r="145" customFormat="false" ht="81.75" hidden="false" customHeight="true" outlineLevel="0" collapsed="false">
      <c r="A145" s="10" t="s">
        <v>4952</v>
      </c>
      <c r="B145" s="11" t="s">
        <v>4953</v>
      </c>
      <c r="C145" s="12"/>
      <c r="D145" s="12" t="s">
        <v>120</v>
      </c>
      <c r="E145" s="5" t="s">
        <v>79</v>
      </c>
      <c r="F145" s="12"/>
      <c r="G145" s="12"/>
      <c r="H145" s="13" t="str">
        <f aca="false">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Bitte Teilanforderungen ausfüllen</v>
      </c>
      <c r="I145" s="12"/>
      <c r="J145" s="12"/>
      <c r="K145" s="12"/>
      <c r="L145" s="12"/>
      <c r="M145" s="12"/>
      <c r="N145" s="5"/>
      <c r="O145" s="12"/>
      <c r="P145" s="5" t="s">
        <v>4954</v>
      </c>
      <c r="Q145" s="12" t="s">
        <v>687</v>
      </c>
      <c r="R145" s="12" t="s">
        <v>4076</v>
      </c>
      <c r="S145" s="5" t="s">
        <v>4955</v>
      </c>
      <c r="T145" s="5" t="s">
        <v>306</v>
      </c>
      <c r="U145" s="12" t="n">
        <v>4</v>
      </c>
      <c r="V145" s="12" t="n">
        <v>1</v>
      </c>
      <c r="W145" s="12" t="n">
        <v>1</v>
      </c>
      <c r="X145" s="12" t="n">
        <v>1</v>
      </c>
      <c r="Y145" s="12" t="n">
        <v>0</v>
      </c>
    </row>
    <row r="146" customFormat="false" ht="81.75" hidden="false" customHeight="true" outlineLevel="0" collapsed="false">
      <c r="A146" s="12" t="s">
        <v>4952</v>
      </c>
      <c r="B146" s="5" t="s">
        <v>4953</v>
      </c>
      <c r="C146" s="12" t="s">
        <v>4952</v>
      </c>
      <c r="D146" s="12" t="s">
        <v>120</v>
      </c>
      <c r="E146" s="5" t="s">
        <v>4956</v>
      </c>
      <c r="F146" s="14"/>
      <c r="G146" s="14"/>
      <c r="H146" s="14" t="s">
        <v>87</v>
      </c>
      <c r="I146" s="14"/>
      <c r="J146" s="14"/>
      <c r="K146" s="14"/>
      <c r="L146" s="15"/>
      <c r="M146" s="12"/>
      <c r="N146" s="5"/>
      <c r="O146" s="12"/>
      <c r="P146" s="5" t="s">
        <v>4954</v>
      </c>
      <c r="Q146" s="12" t="s">
        <v>687</v>
      </c>
      <c r="R146" s="12" t="s">
        <v>4076</v>
      </c>
      <c r="S146" s="5" t="s">
        <v>4955</v>
      </c>
      <c r="T146" s="5" t="s">
        <v>306</v>
      </c>
      <c r="U146" s="12" t="n">
        <v>4</v>
      </c>
      <c r="V146" s="12" t="n">
        <v>1</v>
      </c>
      <c r="W146" s="12" t="n">
        <v>1</v>
      </c>
      <c r="X146" s="12" t="n">
        <v>1</v>
      </c>
      <c r="Y146" s="12" t="n">
        <v>0</v>
      </c>
    </row>
    <row r="147" customFormat="false" ht="135.75" hidden="false" customHeight="true" outlineLevel="0" collapsed="false">
      <c r="A147" s="10" t="s">
        <v>4957</v>
      </c>
      <c r="B147" s="11" t="s">
        <v>4958</v>
      </c>
      <c r="C147" s="12"/>
      <c r="D147" s="12" t="s">
        <v>160</v>
      </c>
      <c r="E147" s="5" t="s">
        <v>79</v>
      </c>
      <c r="F147" s="12"/>
      <c r="G147" s="12"/>
      <c r="H147" s="13" t="str">
        <f aca="false">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Bitte Teilanforderungen ausfüllen</v>
      </c>
      <c r="I147" s="12"/>
      <c r="J147" s="12"/>
      <c r="K147" s="12"/>
      <c r="L147" s="12"/>
      <c r="M147" s="12"/>
      <c r="N147" s="5"/>
      <c r="O147" s="12"/>
      <c r="P147" s="5" t="s">
        <v>4959</v>
      </c>
      <c r="Q147" s="12" t="s">
        <v>687</v>
      </c>
      <c r="R147" s="12" t="s">
        <v>688</v>
      </c>
      <c r="S147" s="5" t="s">
        <v>4960</v>
      </c>
      <c r="T147" s="5" t="s">
        <v>306</v>
      </c>
      <c r="U147" s="12" t="n">
        <v>3</v>
      </c>
      <c r="V147" s="12" t="n">
        <v>1</v>
      </c>
      <c r="W147" s="12" t="n">
        <v>1</v>
      </c>
      <c r="X147" s="12" t="n">
        <v>1</v>
      </c>
      <c r="Y147" s="12" t="n">
        <v>0</v>
      </c>
    </row>
    <row r="148" customFormat="false" ht="135.75" hidden="false" customHeight="true" outlineLevel="0" collapsed="false">
      <c r="A148" s="12" t="s">
        <v>4957</v>
      </c>
      <c r="B148" s="5" t="s">
        <v>4958</v>
      </c>
      <c r="C148" s="12" t="s">
        <v>4957</v>
      </c>
      <c r="D148" s="12" t="s">
        <v>160</v>
      </c>
      <c r="E148" s="5" t="s">
        <v>4961</v>
      </c>
      <c r="F148" s="14"/>
      <c r="G148" s="14"/>
      <c r="H148" s="14" t="s">
        <v>87</v>
      </c>
      <c r="I148" s="14"/>
      <c r="J148" s="14"/>
      <c r="K148" s="14"/>
      <c r="L148" s="15"/>
      <c r="M148" s="12"/>
      <c r="N148" s="5"/>
      <c r="O148" s="12"/>
      <c r="P148" s="5" t="s">
        <v>4959</v>
      </c>
      <c r="Q148" s="12" t="s">
        <v>687</v>
      </c>
      <c r="R148" s="12" t="s">
        <v>688</v>
      </c>
      <c r="S148" s="5" t="s">
        <v>4960</v>
      </c>
      <c r="T148" s="5" t="s">
        <v>306</v>
      </c>
      <c r="U148" s="12" t="n">
        <v>3</v>
      </c>
      <c r="V148" s="12" t="n">
        <v>1</v>
      </c>
      <c r="W148" s="12" t="n">
        <v>1</v>
      </c>
      <c r="X148" s="12" t="n">
        <v>1</v>
      </c>
      <c r="Y148" s="12" t="n">
        <v>0</v>
      </c>
    </row>
    <row r="149" customFormat="false" ht="216" hidden="false" customHeight="true" outlineLevel="0" collapsed="false">
      <c r="A149" s="10" t="s">
        <v>4962</v>
      </c>
      <c r="B149" s="11" t="s">
        <v>4963</v>
      </c>
      <c r="C149" s="12"/>
      <c r="D149" s="12" t="s">
        <v>120</v>
      </c>
      <c r="E149" s="5" t="s">
        <v>79</v>
      </c>
      <c r="F149" s="12"/>
      <c r="G149" s="12"/>
      <c r="H149" s="13" t="str">
        <f aca="false">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2"/>
      <c r="J149" s="12"/>
      <c r="K149" s="12"/>
      <c r="L149" s="12"/>
      <c r="M149" s="12"/>
      <c r="N149" s="5"/>
      <c r="O149" s="12"/>
      <c r="P149" s="5" t="s">
        <v>4964</v>
      </c>
      <c r="Q149" s="12" t="s">
        <v>687</v>
      </c>
      <c r="R149" s="12" t="s">
        <v>4076</v>
      </c>
      <c r="S149" s="5" t="s">
        <v>4965</v>
      </c>
      <c r="T149" s="5" t="s">
        <v>306</v>
      </c>
      <c r="U149" s="12" t="n">
        <v>4</v>
      </c>
      <c r="V149" s="12" t="n">
        <v>1</v>
      </c>
      <c r="W149" s="12" t="n">
        <v>1</v>
      </c>
      <c r="X149" s="12" t="n">
        <v>1</v>
      </c>
      <c r="Y149" s="12" t="n">
        <v>0</v>
      </c>
    </row>
    <row r="150" customFormat="false" ht="216" hidden="false" customHeight="true" outlineLevel="0" collapsed="false">
      <c r="A150" s="12" t="s">
        <v>4962</v>
      </c>
      <c r="B150" s="5" t="s">
        <v>4963</v>
      </c>
      <c r="C150" s="12" t="s">
        <v>4962</v>
      </c>
      <c r="D150" s="12" t="s">
        <v>120</v>
      </c>
      <c r="E150" s="5" t="s">
        <v>4966</v>
      </c>
      <c r="F150" s="14"/>
      <c r="G150" s="14"/>
      <c r="H150" s="14" t="s">
        <v>87</v>
      </c>
      <c r="I150" s="14"/>
      <c r="J150" s="14"/>
      <c r="K150" s="14"/>
      <c r="L150" s="15"/>
      <c r="M150" s="12"/>
      <c r="N150" s="5"/>
      <c r="O150" s="12"/>
      <c r="P150" s="5" t="s">
        <v>4964</v>
      </c>
      <c r="Q150" s="12" t="s">
        <v>687</v>
      </c>
      <c r="R150" s="12" t="s">
        <v>4076</v>
      </c>
      <c r="S150" s="5" t="s">
        <v>4965</v>
      </c>
      <c r="T150" s="5" t="s">
        <v>306</v>
      </c>
      <c r="U150" s="12" t="n">
        <v>4</v>
      </c>
      <c r="V150" s="12" t="n">
        <v>1</v>
      </c>
      <c r="W150" s="12" t="n">
        <v>1</v>
      </c>
      <c r="X150" s="12" t="n">
        <v>1</v>
      </c>
      <c r="Y150" s="12" t="n">
        <v>0</v>
      </c>
    </row>
    <row r="151" customFormat="false" ht="149.25" hidden="false" customHeight="true" outlineLevel="0" collapsed="false">
      <c r="A151" s="10" t="s">
        <v>4967</v>
      </c>
      <c r="B151" s="11" t="s">
        <v>4968</v>
      </c>
      <c r="C151" s="12"/>
      <c r="D151" s="12" t="s">
        <v>120</v>
      </c>
      <c r="E151" s="5" t="s">
        <v>79</v>
      </c>
      <c r="F151" s="12"/>
      <c r="G151" s="12"/>
      <c r="H151" s="13" t="str">
        <f aca="false">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2"/>
      <c r="J151" s="12"/>
      <c r="K151" s="12"/>
      <c r="L151" s="12"/>
      <c r="M151" s="12"/>
      <c r="N151" s="5"/>
      <c r="O151" s="12"/>
      <c r="P151" s="5" t="s">
        <v>4969</v>
      </c>
      <c r="Q151" s="12" t="s">
        <v>759</v>
      </c>
      <c r="R151" s="12" t="s">
        <v>4076</v>
      </c>
      <c r="S151" s="5" t="s">
        <v>4970</v>
      </c>
      <c r="T151" s="5" t="s">
        <v>4971</v>
      </c>
      <c r="U151" s="12" t="n">
        <v>2</v>
      </c>
      <c r="V151" s="12" t="n">
        <v>1</v>
      </c>
      <c r="W151" s="12" t="n">
        <v>1</v>
      </c>
      <c r="X151" s="12" t="n">
        <v>1</v>
      </c>
      <c r="Y151" s="12" t="n">
        <v>1</v>
      </c>
    </row>
    <row r="152" customFormat="false" ht="149.25" hidden="false" customHeight="true" outlineLevel="0" collapsed="false">
      <c r="A152" s="12" t="s">
        <v>4967</v>
      </c>
      <c r="B152" s="5" t="s">
        <v>4968</v>
      </c>
      <c r="C152" s="12" t="s">
        <v>4967</v>
      </c>
      <c r="D152" s="12" t="s">
        <v>120</v>
      </c>
      <c r="E152" s="5" t="s">
        <v>4972</v>
      </c>
      <c r="F152" s="14"/>
      <c r="G152" s="14"/>
      <c r="H152" s="14" t="s">
        <v>87</v>
      </c>
      <c r="I152" s="14"/>
      <c r="J152" s="14"/>
      <c r="K152" s="14"/>
      <c r="L152" s="15"/>
      <c r="M152" s="12"/>
      <c r="N152" s="5"/>
      <c r="O152" s="12"/>
      <c r="P152" s="5" t="s">
        <v>4969</v>
      </c>
      <c r="Q152" s="12" t="s">
        <v>759</v>
      </c>
      <c r="R152" s="12" t="s">
        <v>4076</v>
      </c>
      <c r="S152" s="5" t="s">
        <v>4970</v>
      </c>
      <c r="T152" s="5" t="s">
        <v>4971</v>
      </c>
      <c r="U152" s="12" t="n">
        <v>2</v>
      </c>
      <c r="V152" s="12" t="n">
        <v>1</v>
      </c>
      <c r="W152" s="12" t="n">
        <v>1</v>
      </c>
      <c r="X152" s="12" t="n">
        <v>1</v>
      </c>
      <c r="Y152" s="12" t="n">
        <v>1</v>
      </c>
    </row>
    <row r="153" customFormat="false" ht="309.75" hidden="false" customHeight="true" outlineLevel="0" collapsed="false">
      <c r="A153" s="10" t="s">
        <v>4973</v>
      </c>
      <c r="B153" s="11" t="s">
        <v>4974</v>
      </c>
      <c r="C153" s="12"/>
      <c r="D153" s="12" t="s">
        <v>120</v>
      </c>
      <c r="E153" s="5" t="s">
        <v>79</v>
      </c>
      <c r="F153" s="12"/>
      <c r="G153" s="12"/>
      <c r="H153" s="13" t="str">
        <f aca="false">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2"/>
      <c r="J153" s="12"/>
      <c r="K153" s="12"/>
      <c r="L153" s="12"/>
      <c r="M153" s="12"/>
      <c r="N153" s="5"/>
      <c r="O153" s="12"/>
      <c r="P153" s="5" t="s">
        <v>4975</v>
      </c>
      <c r="Q153" s="12" t="s">
        <v>759</v>
      </c>
      <c r="R153" s="12" t="s">
        <v>4076</v>
      </c>
      <c r="S153" s="5" t="s">
        <v>4976</v>
      </c>
      <c r="T153" s="5" t="s">
        <v>4977</v>
      </c>
      <c r="U153" s="12" t="n">
        <v>2</v>
      </c>
      <c r="V153" s="12" t="n">
        <v>1</v>
      </c>
      <c r="W153" s="12" t="n">
        <v>1</v>
      </c>
      <c r="X153" s="12" t="n">
        <v>1</v>
      </c>
      <c r="Y153" s="12" t="n">
        <v>1</v>
      </c>
    </row>
    <row r="154" customFormat="false" ht="309.75" hidden="false" customHeight="true" outlineLevel="0" collapsed="false">
      <c r="A154" s="12" t="s">
        <v>4973</v>
      </c>
      <c r="B154" s="5" t="s">
        <v>4974</v>
      </c>
      <c r="C154" s="12" t="s">
        <v>4973</v>
      </c>
      <c r="D154" s="12" t="s">
        <v>120</v>
      </c>
      <c r="E154" s="5" t="s">
        <v>4978</v>
      </c>
      <c r="F154" s="14"/>
      <c r="G154" s="14"/>
      <c r="H154" s="14" t="s">
        <v>87</v>
      </c>
      <c r="I154" s="14"/>
      <c r="J154" s="14"/>
      <c r="K154" s="14"/>
      <c r="L154" s="15"/>
      <c r="M154" s="12"/>
      <c r="N154" s="5"/>
      <c r="O154" s="12"/>
      <c r="P154" s="5" t="s">
        <v>4975</v>
      </c>
      <c r="Q154" s="12" t="s">
        <v>759</v>
      </c>
      <c r="R154" s="12" t="s">
        <v>4076</v>
      </c>
      <c r="S154" s="5" t="s">
        <v>4976</v>
      </c>
      <c r="T154" s="5" t="s">
        <v>4977</v>
      </c>
      <c r="U154" s="12" t="n">
        <v>2</v>
      </c>
      <c r="V154" s="12" t="n">
        <v>1</v>
      </c>
      <c r="W154" s="12" t="n">
        <v>1</v>
      </c>
      <c r="X154" s="12" t="n">
        <v>1</v>
      </c>
      <c r="Y154" s="12" t="n">
        <v>1</v>
      </c>
    </row>
    <row r="155" customFormat="false" ht="108.75" hidden="false" customHeight="true" outlineLevel="0" collapsed="false">
      <c r="A155" s="10" t="s">
        <v>4979</v>
      </c>
      <c r="B155" s="11" t="s">
        <v>4980</v>
      </c>
      <c r="C155" s="12"/>
      <c r="D155" s="12" t="s">
        <v>120</v>
      </c>
      <c r="E155" s="5" t="s">
        <v>79</v>
      </c>
      <c r="F155" s="12"/>
      <c r="G155" s="12"/>
      <c r="H155" s="13" t="str">
        <f aca="false">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2"/>
      <c r="J155" s="12"/>
      <c r="K155" s="12"/>
      <c r="L155" s="12"/>
      <c r="M155" s="12"/>
      <c r="N155" s="5"/>
      <c r="O155" s="12"/>
      <c r="P155" s="5" t="s">
        <v>4981</v>
      </c>
      <c r="Q155" s="12" t="s">
        <v>759</v>
      </c>
      <c r="R155" s="12" t="s">
        <v>4076</v>
      </c>
      <c r="S155" s="5" t="s">
        <v>4982</v>
      </c>
      <c r="T155" s="5" t="s">
        <v>4971</v>
      </c>
      <c r="U155" s="12" t="n">
        <v>3</v>
      </c>
      <c r="V155" s="12" t="n">
        <v>1</v>
      </c>
      <c r="W155" s="12" t="n">
        <v>1</v>
      </c>
      <c r="X155" s="12" t="n">
        <v>1</v>
      </c>
      <c r="Y155" s="12" t="n">
        <v>1</v>
      </c>
    </row>
    <row r="156" customFormat="false" ht="108.75" hidden="false" customHeight="true" outlineLevel="0" collapsed="false">
      <c r="A156" s="12" t="s">
        <v>4979</v>
      </c>
      <c r="B156" s="5" t="s">
        <v>4980</v>
      </c>
      <c r="C156" s="12" t="s">
        <v>4979</v>
      </c>
      <c r="D156" s="12" t="s">
        <v>120</v>
      </c>
      <c r="E156" s="5" t="s">
        <v>4983</v>
      </c>
      <c r="F156" s="14"/>
      <c r="G156" s="14"/>
      <c r="H156" s="14" t="s">
        <v>87</v>
      </c>
      <c r="I156" s="14"/>
      <c r="J156" s="14"/>
      <c r="K156" s="14"/>
      <c r="L156" s="15"/>
      <c r="M156" s="12"/>
      <c r="N156" s="5"/>
      <c r="O156" s="12"/>
      <c r="P156" s="5" t="s">
        <v>4981</v>
      </c>
      <c r="Q156" s="12" t="s">
        <v>759</v>
      </c>
      <c r="R156" s="12" t="s">
        <v>4076</v>
      </c>
      <c r="S156" s="5" t="s">
        <v>4982</v>
      </c>
      <c r="T156" s="5" t="s">
        <v>4971</v>
      </c>
      <c r="U156" s="12" t="n">
        <v>3</v>
      </c>
      <c r="V156" s="12" t="n">
        <v>1</v>
      </c>
      <c r="W156" s="12" t="n">
        <v>1</v>
      </c>
      <c r="X156" s="12" t="n">
        <v>1</v>
      </c>
      <c r="Y156" s="12" t="n">
        <v>1</v>
      </c>
    </row>
    <row r="157" customFormat="false" ht="283.5" hidden="false" customHeight="true" outlineLevel="0" collapsed="false">
      <c r="A157" s="10" t="s">
        <v>4984</v>
      </c>
      <c r="B157" s="11" t="s">
        <v>4985</v>
      </c>
      <c r="C157" s="12"/>
      <c r="D157" s="12" t="s">
        <v>120</v>
      </c>
      <c r="E157" s="5" t="s">
        <v>79</v>
      </c>
      <c r="F157" s="12"/>
      <c r="G157" s="12"/>
      <c r="H157" s="13" t="str">
        <f aca="false">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Bitte Teilanforderungen ausfüllen</v>
      </c>
      <c r="I157" s="12"/>
      <c r="J157" s="12"/>
      <c r="K157" s="12"/>
      <c r="L157" s="12"/>
      <c r="M157" s="12"/>
      <c r="N157" s="5"/>
      <c r="O157" s="12"/>
      <c r="P157" s="5" t="s">
        <v>4986</v>
      </c>
      <c r="Q157" s="12" t="s">
        <v>4987</v>
      </c>
      <c r="R157" s="12" t="s">
        <v>4076</v>
      </c>
      <c r="S157" s="5" t="s">
        <v>4988</v>
      </c>
      <c r="T157" s="5" t="s">
        <v>4971</v>
      </c>
      <c r="U157" s="12" t="n">
        <v>2</v>
      </c>
      <c r="V157" s="12" t="n">
        <v>1</v>
      </c>
      <c r="W157" s="12" t="n">
        <v>1</v>
      </c>
      <c r="X157" s="12" t="n">
        <v>1</v>
      </c>
      <c r="Y157" s="12" t="n">
        <v>0</v>
      </c>
    </row>
    <row r="158" customFormat="false" ht="283.5" hidden="false" customHeight="true" outlineLevel="0" collapsed="false">
      <c r="A158" s="12" t="s">
        <v>4984</v>
      </c>
      <c r="B158" s="5" t="s">
        <v>4985</v>
      </c>
      <c r="C158" s="12" t="s">
        <v>4984</v>
      </c>
      <c r="D158" s="12" t="s">
        <v>120</v>
      </c>
      <c r="E158" s="5" t="s">
        <v>4989</v>
      </c>
      <c r="F158" s="14"/>
      <c r="G158" s="14"/>
      <c r="H158" s="14" t="s">
        <v>87</v>
      </c>
      <c r="I158" s="14"/>
      <c r="J158" s="14"/>
      <c r="K158" s="14"/>
      <c r="L158" s="15"/>
      <c r="M158" s="12"/>
      <c r="N158" s="5"/>
      <c r="O158" s="12"/>
      <c r="P158" s="5" t="s">
        <v>4986</v>
      </c>
      <c r="Q158" s="12" t="s">
        <v>4987</v>
      </c>
      <c r="R158" s="12" t="s">
        <v>4076</v>
      </c>
      <c r="S158" s="5" t="s">
        <v>4988</v>
      </c>
      <c r="T158" s="5" t="s">
        <v>4971</v>
      </c>
      <c r="U158" s="12" t="n">
        <v>2</v>
      </c>
      <c r="V158" s="12" t="n">
        <v>1</v>
      </c>
      <c r="W158" s="12" t="n">
        <v>1</v>
      </c>
      <c r="X158" s="12" t="n">
        <v>1</v>
      </c>
      <c r="Y158" s="12" t="n">
        <v>0</v>
      </c>
    </row>
    <row r="159" customFormat="false" ht="162" hidden="false" customHeight="true" outlineLevel="0" collapsed="false">
      <c r="A159" s="10" t="s">
        <v>4990</v>
      </c>
      <c r="B159" s="11" t="s">
        <v>4991</v>
      </c>
      <c r="C159" s="12"/>
      <c r="D159" s="12" t="s">
        <v>120</v>
      </c>
      <c r="E159" s="5" t="s">
        <v>79</v>
      </c>
      <c r="F159" s="12"/>
      <c r="G159" s="12"/>
      <c r="H159" s="13" t="str">
        <f aca="false">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2"/>
      <c r="J159" s="12"/>
      <c r="K159" s="12"/>
      <c r="L159" s="12"/>
      <c r="M159" s="12"/>
      <c r="N159" s="5"/>
      <c r="O159" s="12"/>
      <c r="P159" s="5" t="s">
        <v>4992</v>
      </c>
      <c r="Q159" s="12" t="s">
        <v>759</v>
      </c>
      <c r="R159" s="12" t="s">
        <v>4076</v>
      </c>
      <c r="S159" s="5" t="s">
        <v>4993</v>
      </c>
      <c r="T159" s="5" t="s">
        <v>4971</v>
      </c>
      <c r="U159" s="12" t="n">
        <v>3</v>
      </c>
      <c r="V159" s="12" t="n">
        <v>1</v>
      </c>
      <c r="W159" s="12" t="n">
        <v>1</v>
      </c>
      <c r="X159" s="12" t="n">
        <v>1</v>
      </c>
      <c r="Y159" s="12" t="n">
        <v>0</v>
      </c>
    </row>
    <row r="160" customFormat="false" ht="162" hidden="false" customHeight="true" outlineLevel="0" collapsed="false">
      <c r="A160" s="12" t="s">
        <v>4990</v>
      </c>
      <c r="B160" s="5" t="s">
        <v>4991</v>
      </c>
      <c r="C160" s="12" t="s">
        <v>4990</v>
      </c>
      <c r="D160" s="12" t="s">
        <v>120</v>
      </c>
      <c r="E160" s="5" t="s">
        <v>4994</v>
      </c>
      <c r="F160" s="14"/>
      <c r="G160" s="14"/>
      <c r="H160" s="14" t="s">
        <v>87</v>
      </c>
      <c r="I160" s="14"/>
      <c r="J160" s="14"/>
      <c r="K160" s="14"/>
      <c r="L160" s="15"/>
      <c r="M160" s="12"/>
      <c r="N160" s="5"/>
      <c r="O160" s="12"/>
      <c r="P160" s="5" t="s">
        <v>4992</v>
      </c>
      <c r="Q160" s="12" t="s">
        <v>759</v>
      </c>
      <c r="R160" s="12" t="s">
        <v>4076</v>
      </c>
      <c r="S160" s="5" t="s">
        <v>4993</v>
      </c>
      <c r="T160" s="5" t="s">
        <v>4971</v>
      </c>
      <c r="U160" s="12" t="n">
        <v>3</v>
      </c>
      <c r="V160" s="12" t="n">
        <v>1</v>
      </c>
      <c r="W160" s="12" t="n">
        <v>1</v>
      </c>
      <c r="X160" s="12" t="n">
        <v>1</v>
      </c>
      <c r="Y160" s="12" t="n">
        <v>0</v>
      </c>
    </row>
    <row r="161" customFormat="false" ht="68.25" hidden="false" customHeight="true" outlineLevel="0" collapsed="false">
      <c r="A161" s="10" t="s">
        <v>4995</v>
      </c>
      <c r="B161" s="11" t="s">
        <v>4996</v>
      </c>
      <c r="C161" s="12"/>
      <c r="D161" s="12" t="s">
        <v>120</v>
      </c>
      <c r="E161" s="5" t="s">
        <v>79</v>
      </c>
      <c r="F161" s="12"/>
      <c r="G161" s="12"/>
      <c r="H161" s="13" t="str">
        <f aca="false">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2"/>
      <c r="J161" s="12"/>
      <c r="K161" s="12"/>
      <c r="L161" s="12"/>
      <c r="M161" s="12"/>
      <c r="N161" s="5" t="s">
        <v>4997</v>
      </c>
      <c r="O161" s="12" t="s">
        <v>524</v>
      </c>
      <c r="P161" s="5" t="s">
        <v>4998</v>
      </c>
      <c r="Q161" s="12" t="s">
        <v>4999</v>
      </c>
      <c r="R161" s="12" t="s">
        <v>4076</v>
      </c>
      <c r="S161" s="5" t="s">
        <v>5000</v>
      </c>
      <c r="T161" s="5" t="s">
        <v>306</v>
      </c>
      <c r="U161" s="12" t="n">
        <v>2</v>
      </c>
      <c r="V161" s="12" t="n">
        <v>1</v>
      </c>
      <c r="W161" s="12" t="n">
        <v>1</v>
      </c>
      <c r="X161" s="12" t="n">
        <v>1</v>
      </c>
      <c r="Y161" s="12" t="n">
        <v>0</v>
      </c>
    </row>
    <row r="162" customFormat="false" ht="68.25" hidden="false" customHeight="true" outlineLevel="0" collapsed="false">
      <c r="A162" s="12" t="s">
        <v>4995</v>
      </c>
      <c r="B162" s="5" t="s">
        <v>4996</v>
      </c>
      <c r="C162" s="12" t="s">
        <v>4995</v>
      </c>
      <c r="D162" s="12" t="s">
        <v>120</v>
      </c>
      <c r="E162" s="5" t="s">
        <v>5001</v>
      </c>
      <c r="F162" s="14"/>
      <c r="G162" s="14"/>
      <c r="H162" s="14" t="s">
        <v>87</v>
      </c>
      <c r="I162" s="14"/>
      <c r="J162" s="14"/>
      <c r="K162" s="14"/>
      <c r="L162" s="15"/>
      <c r="M162" s="12"/>
      <c r="N162" s="5" t="s">
        <v>4997</v>
      </c>
      <c r="O162" s="12" t="s">
        <v>524</v>
      </c>
      <c r="P162" s="5" t="s">
        <v>4998</v>
      </c>
      <c r="Q162" s="12" t="s">
        <v>4999</v>
      </c>
      <c r="R162" s="12" t="s">
        <v>4076</v>
      </c>
      <c r="S162" s="5" t="s">
        <v>5000</v>
      </c>
      <c r="T162" s="5" t="s">
        <v>306</v>
      </c>
      <c r="U162" s="12" t="n">
        <v>2</v>
      </c>
      <c r="V162" s="12" t="n">
        <v>1</v>
      </c>
      <c r="W162" s="12" t="n">
        <v>1</v>
      </c>
      <c r="X162" s="12" t="n">
        <v>1</v>
      </c>
      <c r="Y162" s="12" t="n">
        <v>0</v>
      </c>
    </row>
    <row r="163" customFormat="false" ht="41.25" hidden="false" customHeight="true" outlineLevel="0" collapsed="false">
      <c r="A163" s="10" t="s">
        <v>5002</v>
      </c>
      <c r="B163" s="11" t="s">
        <v>5003</v>
      </c>
      <c r="C163" s="12"/>
      <c r="D163" s="12" t="s">
        <v>120</v>
      </c>
      <c r="E163" s="5" t="s">
        <v>79</v>
      </c>
      <c r="F163" s="12"/>
      <c r="G163" s="12"/>
      <c r="H163" s="13" t="str">
        <f aca="false">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2"/>
      <c r="J163" s="12"/>
      <c r="K163" s="12"/>
      <c r="L163" s="12"/>
      <c r="M163" s="12"/>
      <c r="N163" s="5" t="s">
        <v>5004</v>
      </c>
      <c r="O163" s="12" t="s">
        <v>524</v>
      </c>
      <c r="P163" s="5" t="s">
        <v>5005</v>
      </c>
      <c r="Q163" s="12" t="s">
        <v>5006</v>
      </c>
      <c r="R163" s="12" t="s">
        <v>4076</v>
      </c>
      <c r="S163" s="5" t="s">
        <v>5007</v>
      </c>
      <c r="T163" s="5" t="s">
        <v>306</v>
      </c>
      <c r="U163" s="12" t="n">
        <v>1</v>
      </c>
      <c r="V163" s="12" t="n">
        <v>1</v>
      </c>
      <c r="W163" s="12" t="n">
        <v>1</v>
      </c>
      <c r="X163" s="12" t="n">
        <v>1</v>
      </c>
      <c r="Y163" s="12" t="n">
        <v>0</v>
      </c>
    </row>
    <row r="164" customFormat="false" ht="41.25" hidden="false" customHeight="true" outlineLevel="0" collapsed="false">
      <c r="A164" s="12" t="s">
        <v>5002</v>
      </c>
      <c r="B164" s="5" t="s">
        <v>5003</v>
      </c>
      <c r="C164" s="12" t="s">
        <v>5002</v>
      </c>
      <c r="D164" s="12" t="s">
        <v>120</v>
      </c>
      <c r="E164" s="5" t="s">
        <v>5008</v>
      </c>
      <c r="F164" s="14"/>
      <c r="G164" s="14"/>
      <c r="H164" s="14" t="s">
        <v>87</v>
      </c>
      <c r="I164" s="14"/>
      <c r="J164" s="14"/>
      <c r="K164" s="14"/>
      <c r="L164" s="15"/>
      <c r="M164" s="12"/>
      <c r="N164" s="5" t="s">
        <v>5004</v>
      </c>
      <c r="O164" s="12" t="s">
        <v>524</v>
      </c>
      <c r="P164" s="5" t="s">
        <v>5005</v>
      </c>
      <c r="Q164" s="12" t="s">
        <v>5006</v>
      </c>
      <c r="R164" s="12" t="s">
        <v>4076</v>
      </c>
      <c r="S164" s="5" t="s">
        <v>5007</v>
      </c>
      <c r="T164" s="5" t="s">
        <v>306</v>
      </c>
      <c r="U164" s="12" t="n">
        <v>1</v>
      </c>
      <c r="V164" s="12" t="n">
        <v>1</v>
      </c>
      <c r="W164" s="12" t="n">
        <v>1</v>
      </c>
      <c r="X164" s="12" t="n">
        <v>1</v>
      </c>
      <c r="Y164" s="12" t="n">
        <v>0</v>
      </c>
    </row>
    <row r="165" customFormat="false" ht="336.75" hidden="false" customHeight="true" outlineLevel="0" collapsed="false">
      <c r="A165" s="10" t="s">
        <v>5009</v>
      </c>
      <c r="B165" s="11" t="s">
        <v>5010</v>
      </c>
      <c r="C165" s="12"/>
      <c r="D165" s="12" t="s">
        <v>120</v>
      </c>
      <c r="E165" s="5" t="s">
        <v>79</v>
      </c>
      <c r="F165" s="12"/>
      <c r="G165" s="12"/>
      <c r="H165" s="13" t="str">
        <f aca="false">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2"/>
      <c r="J165" s="12"/>
      <c r="K165" s="12"/>
      <c r="L165" s="12"/>
      <c r="M165" s="12"/>
      <c r="N165" s="5"/>
      <c r="O165" s="12"/>
      <c r="P165" s="5" t="s">
        <v>5011</v>
      </c>
      <c r="Q165" s="12" t="s">
        <v>5006</v>
      </c>
      <c r="R165" s="12" t="s">
        <v>4076</v>
      </c>
      <c r="S165" s="5" t="s">
        <v>5012</v>
      </c>
      <c r="T165" s="5" t="s">
        <v>4405</v>
      </c>
      <c r="U165" s="12" t="n">
        <v>1</v>
      </c>
      <c r="V165" s="12" t="n">
        <v>1</v>
      </c>
      <c r="W165" s="12" t="n">
        <v>1</v>
      </c>
      <c r="X165" s="12" t="n">
        <v>0</v>
      </c>
      <c r="Y165" s="12" t="n">
        <v>0</v>
      </c>
    </row>
    <row r="166" customFormat="false" ht="336.75" hidden="false" customHeight="true" outlineLevel="0" collapsed="false">
      <c r="A166" s="12" t="s">
        <v>5009</v>
      </c>
      <c r="B166" s="5" t="s">
        <v>5010</v>
      </c>
      <c r="C166" s="12" t="s">
        <v>5009</v>
      </c>
      <c r="D166" s="12" t="s">
        <v>120</v>
      </c>
      <c r="E166" s="5" t="s">
        <v>5013</v>
      </c>
      <c r="F166" s="14"/>
      <c r="G166" s="14"/>
      <c r="H166" s="14" t="s">
        <v>87</v>
      </c>
      <c r="I166" s="14"/>
      <c r="J166" s="14"/>
      <c r="K166" s="14"/>
      <c r="L166" s="15"/>
      <c r="M166" s="12"/>
      <c r="N166" s="5"/>
      <c r="O166" s="12"/>
      <c r="P166" s="5" t="s">
        <v>5011</v>
      </c>
      <c r="Q166" s="12" t="s">
        <v>5006</v>
      </c>
      <c r="R166" s="12" t="s">
        <v>4076</v>
      </c>
      <c r="S166" s="5" t="s">
        <v>5012</v>
      </c>
      <c r="T166" s="5" t="s">
        <v>4405</v>
      </c>
      <c r="U166" s="12" t="n">
        <v>1</v>
      </c>
      <c r="V166" s="12" t="n">
        <v>1</v>
      </c>
      <c r="W166" s="12" t="n">
        <v>1</v>
      </c>
      <c r="X166" s="12" t="n">
        <v>0</v>
      </c>
      <c r="Y166" s="12" t="n">
        <v>0</v>
      </c>
    </row>
    <row r="167" customFormat="false" ht="108.75" hidden="false" customHeight="true" outlineLevel="0" collapsed="false">
      <c r="A167" s="10" t="s">
        <v>5014</v>
      </c>
      <c r="B167" s="11" t="s">
        <v>5015</v>
      </c>
      <c r="C167" s="12"/>
      <c r="D167" s="12" t="s">
        <v>160</v>
      </c>
      <c r="E167" s="5" t="s">
        <v>79</v>
      </c>
      <c r="F167" s="12"/>
      <c r="G167" s="12"/>
      <c r="H167" s="13" t="str">
        <f aca="false">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2"/>
      <c r="J167" s="12"/>
      <c r="K167" s="12"/>
      <c r="L167" s="12"/>
      <c r="M167" s="12"/>
      <c r="N167" s="5" t="s">
        <v>4567</v>
      </c>
      <c r="O167" s="12" t="s">
        <v>524</v>
      </c>
      <c r="P167" s="5" t="s">
        <v>5016</v>
      </c>
      <c r="Q167" s="12" t="s">
        <v>687</v>
      </c>
      <c r="R167" s="12" t="s">
        <v>4076</v>
      </c>
      <c r="S167" s="5" t="s">
        <v>5017</v>
      </c>
      <c r="T167" s="5" t="s">
        <v>4405</v>
      </c>
      <c r="U167" s="12" t="n">
        <v>5</v>
      </c>
      <c r="V167" s="12" t="n">
        <v>1</v>
      </c>
      <c r="W167" s="12" t="n">
        <v>1</v>
      </c>
      <c r="X167" s="12" t="n">
        <v>0</v>
      </c>
      <c r="Y167" s="12" t="n">
        <v>0</v>
      </c>
    </row>
    <row r="168" customFormat="false" ht="108.75" hidden="false" customHeight="true" outlineLevel="0" collapsed="false">
      <c r="A168" s="12" t="s">
        <v>5014</v>
      </c>
      <c r="B168" s="5" t="s">
        <v>5015</v>
      </c>
      <c r="C168" s="12" t="s">
        <v>5014</v>
      </c>
      <c r="D168" s="12" t="s">
        <v>160</v>
      </c>
      <c r="E168" s="5" t="s">
        <v>5018</v>
      </c>
      <c r="F168" s="14"/>
      <c r="G168" s="14"/>
      <c r="H168" s="14" t="s">
        <v>87</v>
      </c>
      <c r="I168" s="14"/>
      <c r="J168" s="14"/>
      <c r="K168" s="14"/>
      <c r="L168" s="15"/>
      <c r="M168" s="12"/>
      <c r="N168" s="5" t="s">
        <v>4567</v>
      </c>
      <c r="O168" s="12" t="s">
        <v>524</v>
      </c>
      <c r="P168" s="5" t="s">
        <v>5016</v>
      </c>
      <c r="Q168" s="12" t="s">
        <v>687</v>
      </c>
      <c r="R168" s="12" t="s">
        <v>4076</v>
      </c>
      <c r="S168" s="5" t="s">
        <v>5017</v>
      </c>
      <c r="T168" s="5" t="s">
        <v>4405</v>
      </c>
      <c r="U168" s="12" t="n">
        <v>5</v>
      </c>
      <c r="V168" s="12" t="n">
        <v>1</v>
      </c>
      <c r="W168" s="12" t="n">
        <v>1</v>
      </c>
      <c r="X168" s="12" t="n">
        <v>0</v>
      </c>
      <c r="Y168" s="12" t="n">
        <v>0</v>
      </c>
    </row>
  </sheetData>
  <autoFilter ref="A6:Y6"/>
  <conditionalFormatting sqref="H7:H1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H21 H23 H25 H27 H29:H30 H32 H34 H36 H38: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610</v>
      </c>
      <c r="B3" s="7" t="s">
        <v>611</v>
      </c>
    </row>
    <row r="4" customFormat="false" ht="15" hidden="false" customHeight="true" outlineLevel="0" collapsed="false">
      <c r="A4" s="4" t="s">
        <v>50</v>
      </c>
      <c r="B4" s="8" t="str">
        <f aca="false">IF(Praktiken!D21="","",Praktiken!D21)</f>
        <v/>
      </c>
    </row>
    <row r="5" customFormat="false" ht="15" hidden="false" customHeight="true" outlineLevel="0" collapsed="false">
      <c r="A5" s="4" t="s">
        <v>51</v>
      </c>
      <c r="B5" s="8" t="str">
        <f aca="false">IF(Praktiken!S21="","",Praktiken!S21)</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35.75" hidden="false" customHeight="true" outlineLevel="0" collapsed="false">
      <c r="A7" s="10" t="s">
        <v>5019</v>
      </c>
      <c r="B7" s="11" t="s">
        <v>5020</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5021</v>
      </c>
      <c r="Q7" s="12"/>
      <c r="R7" s="12" t="s">
        <v>5022</v>
      </c>
      <c r="S7" s="5" t="s">
        <v>5023</v>
      </c>
      <c r="T7" s="5"/>
      <c r="U7" s="12" t="n">
        <v>0</v>
      </c>
      <c r="V7" s="12"/>
      <c r="W7" s="12"/>
      <c r="X7" s="12"/>
      <c r="Y7" s="12"/>
    </row>
    <row r="8" customFormat="false" ht="135.75" hidden="false" customHeight="true" outlineLevel="0" collapsed="false">
      <c r="A8" s="12" t="s">
        <v>5019</v>
      </c>
      <c r="B8" s="5" t="s">
        <v>5020</v>
      </c>
      <c r="C8" s="12" t="s">
        <v>5019</v>
      </c>
      <c r="D8" s="12" t="s">
        <v>78</v>
      </c>
      <c r="E8" s="5" t="s">
        <v>5024</v>
      </c>
      <c r="F8" s="14"/>
      <c r="G8" s="14"/>
      <c r="H8" s="14" t="s">
        <v>87</v>
      </c>
      <c r="I8" s="14"/>
      <c r="J8" s="14"/>
      <c r="K8" s="14"/>
      <c r="L8" s="15"/>
      <c r="M8" s="12"/>
      <c r="N8" s="5"/>
      <c r="O8" s="12"/>
      <c r="P8" s="5" t="s">
        <v>5021</v>
      </c>
      <c r="Q8" s="12"/>
      <c r="R8" s="12" t="s">
        <v>5022</v>
      </c>
      <c r="S8" s="5" t="s">
        <v>5023</v>
      </c>
      <c r="T8" s="5"/>
      <c r="U8" s="12" t="n">
        <v>0</v>
      </c>
      <c r="V8" s="12"/>
      <c r="W8" s="12"/>
      <c r="X8" s="12"/>
      <c r="Y8" s="12"/>
    </row>
    <row r="9" customFormat="false" ht="54.75" hidden="false" customHeight="true" outlineLevel="0" collapsed="false">
      <c r="A9" s="10" t="s">
        <v>5025</v>
      </c>
      <c r="B9" s="11" t="s">
        <v>5026</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5027</v>
      </c>
      <c r="Q9" s="12"/>
      <c r="R9" s="12" t="s">
        <v>5022</v>
      </c>
      <c r="S9" s="5" t="s">
        <v>5028</v>
      </c>
      <c r="T9" s="5"/>
      <c r="U9" s="12" t="n">
        <v>0</v>
      </c>
      <c r="V9" s="12"/>
      <c r="W9" s="12"/>
      <c r="X9" s="12"/>
      <c r="Y9" s="12"/>
    </row>
    <row r="10" customFormat="false" ht="54.75" hidden="false" customHeight="true" outlineLevel="0" collapsed="false">
      <c r="A10" s="12" t="s">
        <v>5025</v>
      </c>
      <c r="B10" s="5" t="s">
        <v>5026</v>
      </c>
      <c r="C10" s="12" t="s">
        <v>5025</v>
      </c>
      <c r="D10" s="12" t="s">
        <v>78</v>
      </c>
      <c r="E10" s="5" t="s">
        <v>5029</v>
      </c>
      <c r="F10" s="14"/>
      <c r="G10" s="14"/>
      <c r="H10" s="14" t="s">
        <v>87</v>
      </c>
      <c r="I10" s="14"/>
      <c r="J10" s="14"/>
      <c r="K10" s="14"/>
      <c r="L10" s="15"/>
      <c r="M10" s="12"/>
      <c r="N10" s="5"/>
      <c r="O10" s="12"/>
      <c r="P10" s="5" t="s">
        <v>5027</v>
      </c>
      <c r="Q10" s="12"/>
      <c r="R10" s="12" t="s">
        <v>5022</v>
      </c>
      <c r="S10" s="5" t="s">
        <v>5028</v>
      </c>
      <c r="T10" s="5"/>
      <c r="U10" s="12" t="n">
        <v>0</v>
      </c>
      <c r="V10" s="12"/>
      <c r="W10" s="12"/>
      <c r="X10" s="12"/>
      <c r="Y10" s="12"/>
    </row>
    <row r="11" customFormat="false" ht="95.25" hidden="false" customHeight="true" outlineLevel="0" collapsed="false">
      <c r="A11" s="10" t="s">
        <v>5030</v>
      </c>
      <c r="B11" s="11" t="s">
        <v>5031</v>
      </c>
      <c r="C11" s="12"/>
      <c r="D11" s="12" t="s">
        <v>78</v>
      </c>
      <c r="E11" s="5" t="s">
        <v>79</v>
      </c>
      <c r="F11" s="12"/>
      <c r="G11" s="12"/>
      <c r="H11" s="13" t="str">
        <f aca="false">IF(OR(COUNTBLANK($H$12:$H$19)&gt;0,COUNTIF($H$12:$H$19,"unbearbeitet")=COUNTA($H$12:$H$19)),"Bitte Teilanforderungen ausfüllen",IF(COUNTIF($H$12:$H$19,"zu klären")&gt;0,"zu klären",IF(COUNTIF($H$12:$H$19,"entbehrlich")=COUNTA($H$12:$H$19),"entbehrlich",IF(COUNTIF($H$12:$H$19,"verwiesen")=COUNTA($H$12:$H$19),"verwiesen",IF(COUNTIF($H$12:$H$19,"nein")+COUNTIF($H$12:$H$19,"entbehrlich")=COUNTA($H$12:$H$19),"nein",IF(COUNTIF($H$12:$H$19,"ja")+COUNTIF($H$12:$H$19,"entbehrlich")+COUNTIF($H$12:$H$19,"verwiesen")=COUNTA($H$12:$H$19),"ja","teilweise"))))))</f>
        <v>Bitte Teilanforderungen ausfüllen</v>
      </c>
      <c r="I11" s="12"/>
      <c r="J11" s="12"/>
      <c r="K11" s="12"/>
      <c r="L11" s="12"/>
      <c r="M11" s="12"/>
      <c r="N11" s="5"/>
      <c r="O11" s="12"/>
      <c r="P11" s="5" t="s">
        <v>5032</v>
      </c>
      <c r="Q11" s="12"/>
      <c r="R11" s="12" t="s">
        <v>5033</v>
      </c>
      <c r="S11" s="5" t="s">
        <v>5034</v>
      </c>
      <c r="T11" s="5"/>
      <c r="U11" s="12" t="n">
        <v>0</v>
      </c>
      <c r="V11" s="12"/>
      <c r="W11" s="12"/>
      <c r="X11" s="12"/>
      <c r="Y11" s="12"/>
    </row>
    <row r="12" customFormat="false" ht="162" hidden="false" customHeight="true" outlineLevel="0" collapsed="false">
      <c r="A12" s="12" t="s">
        <v>5030</v>
      </c>
      <c r="B12" s="5" t="s">
        <v>5031</v>
      </c>
      <c r="C12" s="12" t="s">
        <v>5035</v>
      </c>
      <c r="D12" s="12" t="s">
        <v>78</v>
      </c>
      <c r="E12" s="5" t="s">
        <v>5036</v>
      </c>
      <c r="F12" s="14"/>
      <c r="G12" s="14"/>
      <c r="H12" s="14" t="s">
        <v>87</v>
      </c>
      <c r="I12" s="14"/>
      <c r="J12" s="14"/>
      <c r="K12" s="14"/>
      <c r="L12" s="15"/>
      <c r="M12" s="12"/>
      <c r="N12" s="5"/>
      <c r="O12" s="12"/>
      <c r="P12" s="5" t="s">
        <v>5037</v>
      </c>
      <c r="Q12" s="12"/>
      <c r="R12" s="12" t="s">
        <v>5033</v>
      </c>
      <c r="S12" s="5" t="s">
        <v>5038</v>
      </c>
      <c r="T12" s="5"/>
      <c r="U12" s="12" t="n">
        <v>0</v>
      </c>
      <c r="V12" s="12"/>
      <c r="W12" s="12"/>
      <c r="X12" s="12"/>
      <c r="Y12" s="12"/>
    </row>
    <row r="13" customFormat="false" ht="216" hidden="false" customHeight="true" outlineLevel="0" collapsed="false">
      <c r="A13" s="12" t="s">
        <v>5030</v>
      </c>
      <c r="B13" s="5" t="s">
        <v>5031</v>
      </c>
      <c r="C13" s="12" t="s">
        <v>5039</v>
      </c>
      <c r="D13" s="12" t="s">
        <v>78</v>
      </c>
      <c r="E13" s="5" t="s">
        <v>5040</v>
      </c>
      <c r="F13" s="14"/>
      <c r="G13" s="14"/>
      <c r="H13" s="14" t="s">
        <v>87</v>
      </c>
      <c r="I13" s="14"/>
      <c r="J13" s="14"/>
      <c r="K13" s="14"/>
      <c r="L13" s="15"/>
      <c r="M13" s="12"/>
      <c r="N13" s="5"/>
      <c r="O13" s="12"/>
      <c r="P13" s="5" t="s">
        <v>5041</v>
      </c>
      <c r="Q13" s="12"/>
      <c r="R13" s="12" t="s">
        <v>5033</v>
      </c>
      <c r="S13" s="5" t="s">
        <v>5042</v>
      </c>
      <c r="T13" s="5"/>
      <c r="U13" s="12" t="n">
        <v>0</v>
      </c>
      <c r="V13" s="12"/>
      <c r="W13" s="12"/>
      <c r="X13" s="12"/>
      <c r="Y13" s="12"/>
    </row>
    <row r="14" customFormat="false" ht="122.25" hidden="false" customHeight="true" outlineLevel="0" collapsed="false">
      <c r="A14" s="12" t="s">
        <v>5030</v>
      </c>
      <c r="B14" s="5" t="s">
        <v>5031</v>
      </c>
      <c r="C14" s="12" t="s">
        <v>5043</v>
      </c>
      <c r="D14" s="12" t="s">
        <v>78</v>
      </c>
      <c r="E14" s="5" t="s">
        <v>5044</v>
      </c>
      <c r="F14" s="14"/>
      <c r="G14" s="14"/>
      <c r="H14" s="14" t="s">
        <v>87</v>
      </c>
      <c r="I14" s="14"/>
      <c r="J14" s="14"/>
      <c r="K14" s="14"/>
      <c r="L14" s="15"/>
      <c r="M14" s="12"/>
      <c r="N14" s="5"/>
      <c r="O14" s="12"/>
      <c r="P14" s="5" t="s">
        <v>5045</v>
      </c>
      <c r="Q14" s="12"/>
      <c r="R14" s="12" t="s">
        <v>5033</v>
      </c>
      <c r="S14" s="5" t="s">
        <v>5046</v>
      </c>
      <c r="T14" s="5"/>
      <c r="U14" s="12" t="n">
        <v>0</v>
      </c>
      <c r="V14" s="12"/>
      <c r="W14" s="12"/>
      <c r="X14" s="12"/>
      <c r="Y14" s="12"/>
    </row>
    <row r="15" customFormat="false" ht="162" hidden="false" customHeight="true" outlineLevel="0" collapsed="false">
      <c r="A15" s="12" t="s">
        <v>5030</v>
      </c>
      <c r="B15" s="5" t="s">
        <v>5031</v>
      </c>
      <c r="C15" s="12" t="s">
        <v>5047</v>
      </c>
      <c r="D15" s="12" t="s">
        <v>78</v>
      </c>
      <c r="E15" s="5" t="s">
        <v>5048</v>
      </c>
      <c r="F15" s="14"/>
      <c r="G15" s="14"/>
      <c r="H15" s="14" t="s">
        <v>87</v>
      </c>
      <c r="I15" s="14"/>
      <c r="J15" s="14"/>
      <c r="K15" s="14"/>
      <c r="L15" s="15"/>
      <c r="M15" s="12"/>
      <c r="N15" s="5"/>
      <c r="O15" s="12"/>
      <c r="P15" s="5" t="s">
        <v>5049</v>
      </c>
      <c r="Q15" s="12"/>
      <c r="R15" s="12" t="s">
        <v>5033</v>
      </c>
      <c r="S15" s="5" t="s">
        <v>5050</v>
      </c>
      <c r="T15" s="5"/>
      <c r="U15" s="12" t="n">
        <v>0</v>
      </c>
      <c r="V15" s="12"/>
      <c r="W15" s="12"/>
      <c r="X15" s="12"/>
      <c r="Y15" s="12"/>
    </row>
    <row r="16" customFormat="false" ht="95.25" hidden="false" customHeight="true" outlineLevel="0" collapsed="false">
      <c r="A16" s="12" t="s">
        <v>5030</v>
      </c>
      <c r="B16" s="5" t="s">
        <v>5031</v>
      </c>
      <c r="C16" s="12" t="s">
        <v>5051</v>
      </c>
      <c r="D16" s="12" t="s">
        <v>78</v>
      </c>
      <c r="E16" s="5" t="s">
        <v>5052</v>
      </c>
      <c r="F16" s="14"/>
      <c r="G16" s="14"/>
      <c r="H16" s="14" t="s">
        <v>87</v>
      </c>
      <c r="I16" s="14"/>
      <c r="J16" s="14"/>
      <c r="K16" s="14"/>
      <c r="L16" s="15"/>
      <c r="M16" s="12"/>
      <c r="N16" s="5"/>
      <c r="O16" s="12"/>
      <c r="P16" s="5" t="s">
        <v>5053</v>
      </c>
      <c r="Q16" s="12"/>
      <c r="R16" s="12" t="s">
        <v>5033</v>
      </c>
      <c r="S16" s="5" t="s">
        <v>5054</v>
      </c>
      <c r="T16" s="5"/>
      <c r="U16" s="12" t="n">
        <v>0</v>
      </c>
      <c r="V16" s="12"/>
      <c r="W16" s="12"/>
      <c r="X16" s="12"/>
      <c r="Y16" s="12"/>
    </row>
    <row r="17" customFormat="false" ht="162" hidden="false" customHeight="true" outlineLevel="0" collapsed="false">
      <c r="A17" s="12" t="s">
        <v>5030</v>
      </c>
      <c r="B17" s="5" t="s">
        <v>5031</v>
      </c>
      <c r="C17" s="12" t="s">
        <v>5055</v>
      </c>
      <c r="D17" s="12" t="s">
        <v>78</v>
      </c>
      <c r="E17" s="5" t="s">
        <v>5056</v>
      </c>
      <c r="F17" s="14"/>
      <c r="G17" s="14"/>
      <c r="H17" s="14" t="s">
        <v>87</v>
      </c>
      <c r="I17" s="14"/>
      <c r="J17" s="14"/>
      <c r="K17" s="14"/>
      <c r="L17" s="15"/>
      <c r="M17" s="12"/>
      <c r="N17" s="5"/>
      <c r="O17" s="12"/>
      <c r="P17" s="5" t="s">
        <v>5057</v>
      </c>
      <c r="Q17" s="12"/>
      <c r="R17" s="12" t="s">
        <v>5033</v>
      </c>
      <c r="S17" s="5" t="s">
        <v>5058</v>
      </c>
      <c r="T17" s="5"/>
      <c r="U17" s="12" t="n">
        <v>0</v>
      </c>
      <c r="V17" s="12"/>
      <c r="W17" s="12"/>
      <c r="X17" s="12"/>
      <c r="Y17" s="12"/>
    </row>
    <row r="18" customFormat="false" ht="229.5" hidden="false" customHeight="true" outlineLevel="0" collapsed="false">
      <c r="A18" s="12" t="s">
        <v>5030</v>
      </c>
      <c r="B18" s="5" t="s">
        <v>5031</v>
      </c>
      <c r="C18" s="12" t="s">
        <v>5059</v>
      </c>
      <c r="D18" s="12" t="s">
        <v>78</v>
      </c>
      <c r="E18" s="5" t="s">
        <v>5060</v>
      </c>
      <c r="F18" s="14"/>
      <c r="G18" s="14"/>
      <c r="H18" s="14" t="s">
        <v>87</v>
      </c>
      <c r="I18" s="14"/>
      <c r="J18" s="14"/>
      <c r="K18" s="14"/>
      <c r="L18" s="15"/>
      <c r="M18" s="12"/>
      <c r="N18" s="5"/>
      <c r="O18" s="12"/>
      <c r="P18" s="5" t="s">
        <v>5061</v>
      </c>
      <c r="Q18" s="12"/>
      <c r="R18" s="12" t="s">
        <v>5033</v>
      </c>
      <c r="S18" s="5" t="s">
        <v>5062</v>
      </c>
      <c r="T18" s="5"/>
      <c r="U18" s="12" t="n">
        <v>0</v>
      </c>
      <c r="V18" s="12"/>
      <c r="W18" s="12"/>
      <c r="X18" s="12"/>
      <c r="Y18" s="12"/>
    </row>
    <row r="19" customFormat="false" ht="122.25" hidden="false" customHeight="true" outlineLevel="0" collapsed="false">
      <c r="A19" s="12" t="s">
        <v>5030</v>
      </c>
      <c r="B19" s="5" t="s">
        <v>5031</v>
      </c>
      <c r="C19" s="12" t="s">
        <v>5063</v>
      </c>
      <c r="D19" s="12" t="s">
        <v>78</v>
      </c>
      <c r="E19" s="5" t="s">
        <v>5064</v>
      </c>
      <c r="F19" s="14"/>
      <c r="G19" s="14"/>
      <c r="H19" s="14" t="s">
        <v>87</v>
      </c>
      <c r="I19" s="14"/>
      <c r="J19" s="14"/>
      <c r="K19" s="14"/>
      <c r="L19" s="15"/>
      <c r="M19" s="12"/>
      <c r="N19" s="5"/>
      <c r="O19" s="12"/>
      <c r="P19" s="5" t="s">
        <v>5065</v>
      </c>
      <c r="Q19" s="12"/>
      <c r="R19" s="12" t="s">
        <v>5033</v>
      </c>
      <c r="S19" s="5" t="s">
        <v>5066</v>
      </c>
      <c r="T19" s="5"/>
      <c r="U19" s="12" t="n">
        <v>0</v>
      </c>
      <c r="V19" s="12"/>
      <c r="W19" s="12"/>
      <c r="X19" s="12"/>
      <c r="Y19" s="12"/>
    </row>
    <row r="20" customFormat="false" ht="68.25" hidden="false" customHeight="true" outlineLevel="0" collapsed="false">
      <c r="A20" s="10" t="s">
        <v>5067</v>
      </c>
      <c r="B20" s="11" t="s">
        <v>5068</v>
      </c>
      <c r="C20" s="12"/>
      <c r="D20" s="12" t="s">
        <v>120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c r="N20" s="5"/>
      <c r="O20" s="12"/>
      <c r="P20" s="5" t="s">
        <v>5069</v>
      </c>
      <c r="Q20" s="12"/>
      <c r="R20" s="12"/>
      <c r="S20" s="5" t="s">
        <v>5070</v>
      </c>
      <c r="T20" s="5"/>
      <c r="U20" s="12" t="n">
        <v>2</v>
      </c>
      <c r="V20" s="12"/>
      <c r="W20" s="12"/>
      <c r="X20" s="12"/>
      <c r="Y20" s="12"/>
    </row>
    <row r="21" customFormat="false" ht="68.25" hidden="false" customHeight="true" outlineLevel="0" collapsed="false">
      <c r="A21" s="12" t="s">
        <v>5067</v>
      </c>
      <c r="B21" s="5" t="s">
        <v>5068</v>
      </c>
      <c r="C21" s="12" t="s">
        <v>5067</v>
      </c>
      <c r="D21" s="12" t="s">
        <v>120</v>
      </c>
      <c r="E21" s="5" t="s">
        <v>5071</v>
      </c>
      <c r="F21" s="14"/>
      <c r="G21" s="14"/>
      <c r="H21" s="14" t="s">
        <v>87</v>
      </c>
      <c r="I21" s="14"/>
      <c r="J21" s="14"/>
      <c r="K21" s="14"/>
      <c r="L21" s="15"/>
      <c r="M21" s="12"/>
      <c r="N21" s="5"/>
      <c r="O21" s="12"/>
      <c r="P21" s="5" t="s">
        <v>5069</v>
      </c>
      <c r="Q21" s="12"/>
      <c r="R21" s="12"/>
      <c r="S21" s="5" t="s">
        <v>5070</v>
      </c>
      <c r="T21" s="5"/>
      <c r="U21" s="12" t="n">
        <v>2</v>
      </c>
      <c r="V21" s="12"/>
      <c r="W21" s="12"/>
      <c r="X21" s="12"/>
      <c r="Y21" s="12"/>
    </row>
    <row r="22" customFormat="false" ht="95.25" hidden="false" customHeight="true" outlineLevel="0" collapsed="false">
      <c r="A22" s="10" t="s">
        <v>5072</v>
      </c>
      <c r="B22" s="11" t="s">
        <v>5073</v>
      </c>
      <c r="C22" s="12"/>
      <c r="D22" s="12" t="s">
        <v>78</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c r="O22" s="12"/>
      <c r="P22" s="5" t="s">
        <v>5074</v>
      </c>
      <c r="Q22" s="12"/>
      <c r="R22" s="12"/>
      <c r="S22" s="5" t="s">
        <v>5075</v>
      </c>
      <c r="T22" s="5"/>
      <c r="U22" s="12" t="n">
        <v>0</v>
      </c>
      <c r="V22" s="12"/>
      <c r="W22" s="12"/>
      <c r="X22" s="12"/>
      <c r="Y22" s="12"/>
    </row>
    <row r="23" customFormat="false" ht="95.25" hidden="false" customHeight="true" outlineLevel="0" collapsed="false">
      <c r="A23" s="12" t="s">
        <v>5072</v>
      </c>
      <c r="B23" s="5" t="s">
        <v>5073</v>
      </c>
      <c r="C23" s="12" t="s">
        <v>5072</v>
      </c>
      <c r="D23" s="12" t="s">
        <v>78</v>
      </c>
      <c r="E23" s="5" t="s">
        <v>5076</v>
      </c>
      <c r="F23" s="14"/>
      <c r="G23" s="14"/>
      <c r="H23" s="14" t="s">
        <v>87</v>
      </c>
      <c r="I23" s="14"/>
      <c r="J23" s="14"/>
      <c r="K23" s="14"/>
      <c r="L23" s="15"/>
      <c r="M23" s="12"/>
      <c r="N23" s="5"/>
      <c r="O23" s="12"/>
      <c r="P23" s="5" t="s">
        <v>5074</v>
      </c>
      <c r="Q23" s="12"/>
      <c r="R23" s="12"/>
      <c r="S23" s="5" t="s">
        <v>5075</v>
      </c>
      <c r="T23" s="5"/>
      <c r="U23" s="12" t="n">
        <v>0</v>
      </c>
      <c r="V23" s="12"/>
      <c r="W23" s="12"/>
      <c r="X23" s="12"/>
      <c r="Y23" s="12"/>
    </row>
    <row r="24" customFormat="false" ht="189" hidden="false" customHeight="true" outlineLevel="0" collapsed="false">
      <c r="A24" s="10" t="s">
        <v>5077</v>
      </c>
      <c r="B24" s="11" t="s">
        <v>5078</v>
      </c>
      <c r="C24" s="12"/>
      <c r="D24" s="12" t="s">
        <v>78</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c r="N24" s="5"/>
      <c r="O24" s="12"/>
      <c r="P24" s="5" t="s">
        <v>5079</v>
      </c>
      <c r="Q24" s="12"/>
      <c r="R24" s="12"/>
      <c r="S24" s="5" t="s">
        <v>5080</v>
      </c>
      <c r="T24" s="5"/>
      <c r="U24" s="12" t="n">
        <v>0</v>
      </c>
      <c r="V24" s="12"/>
      <c r="W24" s="12"/>
      <c r="X24" s="12"/>
      <c r="Y24" s="12"/>
    </row>
    <row r="25" customFormat="false" ht="189" hidden="false" customHeight="true" outlineLevel="0" collapsed="false">
      <c r="A25" s="12" t="s">
        <v>5077</v>
      </c>
      <c r="B25" s="5" t="s">
        <v>5078</v>
      </c>
      <c r="C25" s="12" t="s">
        <v>5077</v>
      </c>
      <c r="D25" s="12" t="s">
        <v>78</v>
      </c>
      <c r="E25" s="5" t="s">
        <v>5081</v>
      </c>
      <c r="F25" s="14"/>
      <c r="G25" s="14"/>
      <c r="H25" s="14" t="s">
        <v>87</v>
      </c>
      <c r="I25" s="14"/>
      <c r="J25" s="14"/>
      <c r="K25" s="14"/>
      <c r="L25" s="15"/>
      <c r="M25" s="12"/>
      <c r="N25" s="5"/>
      <c r="O25" s="12"/>
      <c r="P25" s="5" t="s">
        <v>5079</v>
      </c>
      <c r="Q25" s="12"/>
      <c r="R25" s="12"/>
      <c r="S25" s="5" t="s">
        <v>5080</v>
      </c>
      <c r="T25" s="5"/>
      <c r="U25" s="12" t="n">
        <v>0</v>
      </c>
      <c r="V25" s="12"/>
      <c r="W25" s="12"/>
      <c r="X25" s="12"/>
      <c r="Y25" s="12"/>
    </row>
  </sheetData>
  <autoFilter ref="A6:Y6"/>
  <conditionalFormatting sqref="H7:H25">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H19 H21 H23 H25"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612</v>
      </c>
      <c r="B3" s="7" t="s">
        <v>613</v>
      </c>
    </row>
    <row r="4" customFormat="false" ht="15" hidden="false" customHeight="true" outlineLevel="0" collapsed="false">
      <c r="A4" s="4" t="s">
        <v>50</v>
      </c>
      <c r="B4" s="8" t="str">
        <f aca="false">IF(Praktiken!D22="","",Praktiken!D22)</f>
        <v/>
      </c>
    </row>
    <row r="5" customFormat="false" ht="15" hidden="false" customHeight="true" outlineLevel="0" collapsed="false">
      <c r="A5" s="4" t="s">
        <v>51</v>
      </c>
      <c r="B5" s="8" t="str">
        <f aca="false">IF(Praktiken!S22="","",Praktiken!S22)</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297" hidden="false" customHeight="true" outlineLevel="0" collapsed="false">
      <c r="A7" s="10" t="s">
        <v>5082</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5083</v>
      </c>
      <c r="O7" s="12" t="s">
        <v>467</v>
      </c>
      <c r="P7" s="5" t="s">
        <v>5084</v>
      </c>
      <c r="Q7" s="12"/>
      <c r="R7" s="12" t="s">
        <v>92</v>
      </c>
      <c r="S7" s="5" t="s">
        <v>5085</v>
      </c>
      <c r="T7" s="5" t="s">
        <v>306</v>
      </c>
      <c r="U7" s="12" t="n">
        <v>0</v>
      </c>
      <c r="V7" s="12" t="n">
        <v>1</v>
      </c>
      <c r="W7" s="12" t="n">
        <v>1</v>
      </c>
      <c r="X7" s="12" t="n">
        <v>1</v>
      </c>
      <c r="Y7" s="12" t="n">
        <v>0</v>
      </c>
    </row>
    <row r="8" customFormat="false" ht="216" hidden="false" customHeight="true" outlineLevel="0" collapsed="false">
      <c r="A8" s="12" t="s">
        <v>5082</v>
      </c>
      <c r="B8" s="5" t="s">
        <v>77</v>
      </c>
      <c r="C8" s="12" t="s">
        <v>5086</v>
      </c>
      <c r="D8" s="12" t="s">
        <v>78</v>
      </c>
      <c r="E8" s="5" t="s">
        <v>5087</v>
      </c>
      <c r="F8" s="14"/>
      <c r="G8" s="14"/>
      <c r="H8" s="14" t="s">
        <v>87</v>
      </c>
      <c r="I8" s="14"/>
      <c r="J8" s="14"/>
      <c r="K8" s="14"/>
      <c r="L8" s="15"/>
      <c r="M8" s="12"/>
      <c r="N8" s="5" t="s">
        <v>5088</v>
      </c>
      <c r="O8" s="12" t="s">
        <v>425</v>
      </c>
      <c r="P8" s="5" t="s">
        <v>624</v>
      </c>
      <c r="Q8" s="12"/>
      <c r="R8" s="12" t="s">
        <v>92</v>
      </c>
      <c r="S8" s="5" t="s">
        <v>93</v>
      </c>
      <c r="T8" s="5" t="s">
        <v>306</v>
      </c>
      <c r="U8" s="12" t="n">
        <v>0</v>
      </c>
      <c r="V8" s="12" t="n">
        <v>1</v>
      </c>
      <c r="W8" s="12" t="n">
        <v>1</v>
      </c>
      <c r="X8" s="12" t="n">
        <v>1</v>
      </c>
      <c r="Y8" s="12" t="n">
        <v>0</v>
      </c>
    </row>
    <row r="9" customFormat="false" ht="336.75" hidden="false" customHeight="true" outlineLevel="0" collapsed="false">
      <c r="A9" s="12" t="s">
        <v>5082</v>
      </c>
      <c r="B9" s="5" t="s">
        <v>77</v>
      </c>
      <c r="C9" s="12" t="s">
        <v>5089</v>
      </c>
      <c r="D9" s="12" t="s">
        <v>78</v>
      </c>
      <c r="E9" s="5" t="s">
        <v>5090</v>
      </c>
      <c r="F9" s="14"/>
      <c r="G9" s="14"/>
      <c r="H9" s="14" t="s">
        <v>87</v>
      </c>
      <c r="I9" s="14"/>
      <c r="J9" s="14"/>
      <c r="K9" s="14"/>
      <c r="L9" s="15"/>
      <c r="M9" s="12"/>
      <c r="N9" s="5" t="s">
        <v>5091</v>
      </c>
      <c r="O9" s="12" t="s">
        <v>661</v>
      </c>
      <c r="P9" s="5" t="s">
        <v>628</v>
      </c>
      <c r="Q9" s="12"/>
      <c r="R9" s="12" t="s">
        <v>100</v>
      </c>
      <c r="S9" s="5" t="s">
        <v>101</v>
      </c>
      <c r="T9" s="5" t="s">
        <v>306</v>
      </c>
      <c r="U9" s="12" t="n">
        <v>0</v>
      </c>
      <c r="V9" s="12" t="n">
        <v>1</v>
      </c>
      <c r="W9" s="12" t="n">
        <v>1</v>
      </c>
      <c r="X9" s="12" t="n">
        <v>1</v>
      </c>
      <c r="Y9" s="12" t="n">
        <v>0</v>
      </c>
    </row>
    <row r="10" customFormat="false" ht="175.5" hidden="false" customHeight="true" outlineLevel="0" collapsed="false">
      <c r="A10" s="12" t="s">
        <v>5082</v>
      </c>
      <c r="B10" s="5" t="s">
        <v>77</v>
      </c>
      <c r="C10" s="12" t="s">
        <v>5092</v>
      </c>
      <c r="D10" s="12" t="s">
        <v>78</v>
      </c>
      <c r="E10" s="5" t="s">
        <v>5093</v>
      </c>
      <c r="F10" s="14"/>
      <c r="G10" s="14"/>
      <c r="H10" s="14" t="s">
        <v>87</v>
      </c>
      <c r="I10" s="14"/>
      <c r="J10" s="14"/>
      <c r="K10" s="14"/>
      <c r="L10" s="15"/>
      <c r="M10" s="12"/>
      <c r="N10" s="5" t="s">
        <v>5094</v>
      </c>
      <c r="O10" s="12" t="s">
        <v>2147</v>
      </c>
      <c r="P10" s="5" t="s">
        <v>631</v>
      </c>
      <c r="Q10" s="12"/>
      <c r="R10" s="12" t="s">
        <v>92</v>
      </c>
      <c r="S10" s="5" t="s">
        <v>108</v>
      </c>
      <c r="T10" s="5" t="s">
        <v>109</v>
      </c>
      <c r="U10" s="12" t="n">
        <v>0</v>
      </c>
      <c r="V10" s="12" t="n">
        <v>1</v>
      </c>
      <c r="W10" s="12" t="n">
        <v>1</v>
      </c>
      <c r="X10" s="12" t="n">
        <v>1</v>
      </c>
      <c r="Y10" s="12" t="n">
        <v>0</v>
      </c>
    </row>
    <row r="11" customFormat="false" ht="189" hidden="false" customHeight="true" outlineLevel="0" collapsed="false">
      <c r="A11" s="10" t="s">
        <v>5095</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t="s">
        <v>5096</v>
      </c>
      <c r="O11" s="12" t="s">
        <v>318</v>
      </c>
      <c r="P11" s="5" t="s">
        <v>114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5095</v>
      </c>
      <c r="B12" s="5" t="s">
        <v>111</v>
      </c>
      <c r="C12" s="12" t="s">
        <v>5095</v>
      </c>
      <c r="D12" s="12" t="s">
        <v>78</v>
      </c>
      <c r="E12" s="5" t="s">
        <v>5097</v>
      </c>
      <c r="F12" s="14"/>
      <c r="G12" s="14"/>
      <c r="H12" s="14" t="s">
        <v>87</v>
      </c>
      <c r="I12" s="14"/>
      <c r="J12" s="14"/>
      <c r="K12" s="14"/>
      <c r="L12" s="15"/>
      <c r="M12" s="12"/>
      <c r="N12" s="5" t="s">
        <v>5096</v>
      </c>
      <c r="O12" s="12" t="s">
        <v>318</v>
      </c>
      <c r="P12" s="5" t="s">
        <v>114</v>
      </c>
      <c r="Q12" s="12"/>
      <c r="R12" s="12" t="s">
        <v>115</v>
      </c>
      <c r="S12" s="5" t="s">
        <v>93</v>
      </c>
      <c r="T12" s="5" t="s">
        <v>306</v>
      </c>
      <c r="U12" s="12" t="n">
        <v>0</v>
      </c>
      <c r="V12" s="12" t="n">
        <v>1</v>
      </c>
      <c r="W12" s="12" t="n">
        <v>1</v>
      </c>
      <c r="X12" s="12" t="n">
        <v>1</v>
      </c>
      <c r="Y12" s="12" t="n">
        <v>0</v>
      </c>
    </row>
    <row r="13" customFormat="false" ht="270" hidden="false" customHeight="true" outlineLevel="0" collapsed="false">
      <c r="A13" s="10" t="s">
        <v>5098</v>
      </c>
      <c r="B13" s="11" t="s">
        <v>5099</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88</v>
      </c>
      <c r="N13" s="5" t="s">
        <v>5100</v>
      </c>
      <c r="O13" s="12" t="s">
        <v>5101</v>
      </c>
      <c r="P13" s="5" t="s">
        <v>5102</v>
      </c>
      <c r="Q13" s="12"/>
      <c r="R13" s="12" t="s">
        <v>92</v>
      </c>
      <c r="S13" s="5" t="s">
        <v>5103</v>
      </c>
      <c r="T13" s="5" t="s">
        <v>5104</v>
      </c>
      <c r="U13" s="12" t="n">
        <v>2</v>
      </c>
      <c r="V13" s="12" t="n">
        <v>2</v>
      </c>
      <c r="W13" s="12" t="n">
        <v>2</v>
      </c>
      <c r="X13" s="12" t="n">
        <v>1</v>
      </c>
      <c r="Y13" s="12" t="n">
        <v>1</v>
      </c>
    </row>
    <row r="14" customFormat="false" ht="270" hidden="false" customHeight="true" outlineLevel="0" collapsed="false">
      <c r="A14" s="12" t="s">
        <v>5098</v>
      </c>
      <c r="B14" s="5" t="s">
        <v>5099</v>
      </c>
      <c r="C14" s="12" t="s">
        <v>5098</v>
      </c>
      <c r="D14" s="12" t="s">
        <v>120</v>
      </c>
      <c r="E14" s="5" t="s">
        <v>5105</v>
      </c>
      <c r="F14" s="14"/>
      <c r="G14" s="14"/>
      <c r="H14" s="14" t="s">
        <v>87</v>
      </c>
      <c r="I14" s="14"/>
      <c r="J14" s="14"/>
      <c r="K14" s="14"/>
      <c r="L14" s="15"/>
      <c r="M14" s="12" t="s">
        <v>88</v>
      </c>
      <c r="N14" s="5" t="s">
        <v>5100</v>
      </c>
      <c r="O14" s="12" t="s">
        <v>5101</v>
      </c>
      <c r="P14" s="5" t="s">
        <v>5102</v>
      </c>
      <c r="Q14" s="12"/>
      <c r="R14" s="12" t="s">
        <v>92</v>
      </c>
      <c r="S14" s="5" t="s">
        <v>5103</v>
      </c>
      <c r="T14" s="5" t="s">
        <v>5104</v>
      </c>
      <c r="U14" s="12" t="n">
        <v>2</v>
      </c>
      <c r="V14" s="12" t="n">
        <v>2</v>
      </c>
      <c r="W14" s="12" t="n">
        <v>2</v>
      </c>
      <c r="X14" s="12" t="n">
        <v>1</v>
      </c>
      <c r="Y14" s="12" t="n">
        <v>1</v>
      </c>
    </row>
    <row r="15" customFormat="false" ht="41.25" hidden="false" customHeight="true" outlineLevel="0" collapsed="false">
      <c r="A15" s="10" t="s">
        <v>5106</v>
      </c>
      <c r="B15" s="11" t="s">
        <v>5107</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t="s">
        <v>5108</v>
      </c>
      <c r="O15" s="12" t="s">
        <v>5109</v>
      </c>
      <c r="P15" s="5" t="s">
        <v>5110</v>
      </c>
      <c r="Q15" s="12"/>
      <c r="R15" s="12" t="s">
        <v>793</v>
      </c>
      <c r="S15" s="5" t="s">
        <v>5111</v>
      </c>
      <c r="T15" s="5" t="s">
        <v>306</v>
      </c>
      <c r="U15" s="12" t="n">
        <v>3</v>
      </c>
      <c r="V15" s="12" t="n">
        <v>1</v>
      </c>
      <c r="W15" s="12" t="n">
        <v>1</v>
      </c>
      <c r="X15" s="12" t="n">
        <v>1</v>
      </c>
      <c r="Y15" s="12" t="n">
        <v>0</v>
      </c>
    </row>
    <row r="16" customFormat="false" ht="41.25" hidden="false" customHeight="true" outlineLevel="0" collapsed="false">
      <c r="A16" s="12" t="s">
        <v>5106</v>
      </c>
      <c r="B16" s="5" t="s">
        <v>5107</v>
      </c>
      <c r="C16" s="12" t="s">
        <v>5106</v>
      </c>
      <c r="D16" s="12" t="s">
        <v>120</v>
      </c>
      <c r="E16" s="5" t="s">
        <v>5112</v>
      </c>
      <c r="F16" s="14"/>
      <c r="G16" s="14"/>
      <c r="H16" s="14" t="s">
        <v>87</v>
      </c>
      <c r="I16" s="14"/>
      <c r="J16" s="14"/>
      <c r="K16" s="14"/>
      <c r="L16" s="15"/>
      <c r="M16" s="12"/>
      <c r="N16" s="5" t="s">
        <v>5108</v>
      </c>
      <c r="O16" s="12" t="s">
        <v>5109</v>
      </c>
      <c r="P16" s="5" t="s">
        <v>5110</v>
      </c>
      <c r="Q16" s="12"/>
      <c r="R16" s="12" t="s">
        <v>793</v>
      </c>
      <c r="S16" s="5" t="s">
        <v>5111</v>
      </c>
      <c r="T16" s="5" t="s">
        <v>306</v>
      </c>
      <c r="U16" s="12" t="n">
        <v>3</v>
      </c>
      <c r="V16" s="12" t="n">
        <v>1</v>
      </c>
      <c r="W16" s="12" t="n">
        <v>1</v>
      </c>
      <c r="X16" s="12" t="n">
        <v>1</v>
      </c>
      <c r="Y16" s="12" t="n">
        <v>0</v>
      </c>
    </row>
    <row r="17" customFormat="false" ht="81.75" hidden="false" customHeight="true" outlineLevel="0" collapsed="false">
      <c r="A17" s="10" t="s">
        <v>5113</v>
      </c>
      <c r="B17" s="11" t="s">
        <v>5114</v>
      </c>
      <c r="C17" s="12"/>
      <c r="D17" s="12" t="s">
        <v>120</v>
      </c>
      <c r="E17" s="5" t="s">
        <v>79</v>
      </c>
      <c r="F17" s="12"/>
      <c r="G17" s="12"/>
      <c r="H17" s="13" t="str">
        <f aca="false">IF(OR(COUNTBLANK($H$18:$H$21)&gt;0,COUNTIF($H$18:$H$21,"unbearbeitet")=COUNTA($H$18:$H$21)),"Bitte Teilanforderungen ausfüllen",IF(COUNTIF($H$18:$H$21,"zu klären")&gt;0,"zu klären",IF(COUNTIF($H$18:$H$21,"entbehrlich")=COUNTA($H$18:$H$21),"entbehrlich",IF(COUNTIF($H$18:$H$21,"verwiesen")=COUNTA($H$18:$H$21),"verwiesen",IF(COUNTIF($H$18:$H$21,"nein")+COUNTIF($H$18:$H$21,"entbehrlich")=COUNTA($H$18:$H$21),"nein",IF(COUNTIF($H$18:$H$21,"ja")+COUNTIF($H$18:$H$21,"entbehrlich")+COUNTIF($H$18:$H$21,"verwiesen")=COUNTA($H$18:$H$21),"ja","teilweise"))))))</f>
        <v>Bitte Teilanforderungen ausfüllen</v>
      </c>
      <c r="I17" s="12"/>
      <c r="J17" s="12"/>
      <c r="K17" s="12"/>
      <c r="L17" s="12"/>
      <c r="M17" s="12"/>
      <c r="N17" s="5" t="s">
        <v>5115</v>
      </c>
      <c r="O17" s="12" t="s">
        <v>5116</v>
      </c>
      <c r="P17" s="5" t="s">
        <v>5117</v>
      </c>
      <c r="Q17" s="12" t="s">
        <v>759</v>
      </c>
      <c r="R17" s="12" t="s">
        <v>92</v>
      </c>
      <c r="S17" s="5" t="s">
        <v>5118</v>
      </c>
      <c r="T17" s="5" t="s">
        <v>306</v>
      </c>
      <c r="U17" s="12" t="n">
        <v>2</v>
      </c>
      <c r="V17" s="12" t="n">
        <v>1</v>
      </c>
      <c r="W17" s="12" t="n">
        <v>1</v>
      </c>
      <c r="X17" s="12" t="n">
        <v>1</v>
      </c>
      <c r="Y17" s="12" t="n">
        <v>0</v>
      </c>
    </row>
    <row r="18" customFormat="false" ht="81.75" hidden="false" customHeight="true" outlineLevel="0" collapsed="false">
      <c r="A18" s="12" t="s">
        <v>5113</v>
      </c>
      <c r="B18" s="5" t="s">
        <v>5114</v>
      </c>
      <c r="C18" s="12" t="s">
        <v>5113</v>
      </c>
      <c r="D18" s="12" t="s">
        <v>120</v>
      </c>
      <c r="E18" s="5" t="s">
        <v>5119</v>
      </c>
      <c r="F18" s="14"/>
      <c r="G18" s="14"/>
      <c r="H18" s="14" t="s">
        <v>87</v>
      </c>
      <c r="I18" s="14"/>
      <c r="J18" s="14"/>
      <c r="K18" s="14"/>
      <c r="L18" s="15"/>
      <c r="M18" s="12"/>
      <c r="N18" s="5" t="s">
        <v>5115</v>
      </c>
      <c r="O18" s="12" t="s">
        <v>5116</v>
      </c>
      <c r="P18" s="5" t="s">
        <v>5117</v>
      </c>
      <c r="Q18" s="12" t="s">
        <v>759</v>
      </c>
      <c r="R18" s="12" t="s">
        <v>92</v>
      </c>
      <c r="S18" s="5" t="s">
        <v>5118</v>
      </c>
      <c r="T18" s="5" t="s">
        <v>306</v>
      </c>
      <c r="U18" s="12" t="n">
        <v>2</v>
      </c>
      <c r="V18" s="12" t="n">
        <v>1</v>
      </c>
      <c r="W18" s="12" t="n">
        <v>1</v>
      </c>
      <c r="X18" s="12" t="n">
        <v>1</v>
      </c>
      <c r="Y18" s="12" t="n">
        <v>0</v>
      </c>
    </row>
    <row r="19" customFormat="false" ht="68.25" hidden="false" customHeight="true" outlineLevel="0" collapsed="false">
      <c r="A19" s="12" t="s">
        <v>5113</v>
      </c>
      <c r="B19" s="5" t="s">
        <v>5114</v>
      </c>
      <c r="C19" s="12" t="s">
        <v>5120</v>
      </c>
      <c r="D19" s="12" t="s">
        <v>120</v>
      </c>
      <c r="E19" s="5" t="s">
        <v>5121</v>
      </c>
      <c r="F19" s="14"/>
      <c r="G19" s="14"/>
      <c r="H19" s="14" t="s">
        <v>87</v>
      </c>
      <c r="I19" s="14"/>
      <c r="J19" s="14"/>
      <c r="K19" s="14"/>
      <c r="L19" s="15"/>
      <c r="M19" s="12"/>
      <c r="N19" s="5" t="s">
        <v>5122</v>
      </c>
      <c r="O19" s="12" t="s">
        <v>524</v>
      </c>
      <c r="P19" s="5" t="s">
        <v>5123</v>
      </c>
      <c r="Q19" s="12"/>
      <c r="R19" s="12" t="s">
        <v>92</v>
      </c>
      <c r="S19" s="5" t="s">
        <v>5124</v>
      </c>
      <c r="T19" s="5" t="s">
        <v>306</v>
      </c>
      <c r="U19" s="12" t="n">
        <v>3</v>
      </c>
      <c r="V19" s="12" t="n">
        <v>1</v>
      </c>
      <c r="W19" s="12" t="n">
        <v>1</v>
      </c>
      <c r="X19" s="12" t="n">
        <v>1</v>
      </c>
      <c r="Y19" s="12" t="n">
        <v>0</v>
      </c>
    </row>
    <row r="20" customFormat="false" ht="54.75" hidden="false" customHeight="true" outlineLevel="0" collapsed="false">
      <c r="A20" s="12" t="s">
        <v>5113</v>
      </c>
      <c r="B20" s="5" t="s">
        <v>5114</v>
      </c>
      <c r="C20" s="12" t="s">
        <v>5125</v>
      </c>
      <c r="D20" s="12" t="s">
        <v>120</v>
      </c>
      <c r="E20" s="5" t="s">
        <v>5126</v>
      </c>
      <c r="F20" s="14"/>
      <c r="G20" s="14"/>
      <c r="H20" s="14" t="s">
        <v>87</v>
      </c>
      <c r="I20" s="14"/>
      <c r="J20" s="14"/>
      <c r="K20" s="14"/>
      <c r="L20" s="15"/>
      <c r="M20" s="12"/>
      <c r="N20" s="5" t="s">
        <v>5127</v>
      </c>
      <c r="O20" s="12" t="s">
        <v>5128</v>
      </c>
      <c r="P20" s="5" t="s">
        <v>5129</v>
      </c>
      <c r="Q20" s="12"/>
      <c r="R20" s="12" t="s">
        <v>1027</v>
      </c>
      <c r="S20" s="5" t="s">
        <v>5130</v>
      </c>
      <c r="T20" s="5" t="s">
        <v>306</v>
      </c>
      <c r="U20" s="12" t="n">
        <v>2</v>
      </c>
      <c r="V20" s="12" t="n">
        <v>1</v>
      </c>
      <c r="W20" s="12" t="n">
        <v>1</v>
      </c>
      <c r="X20" s="12" t="n">
        <v>1</v>
      </c>
      <c r="Y20" s="12" t="n">
        <v>0</v>
      </c>
    </row>
    <row r="21" customFormat="false" ht="81.75" hidden="false" customHeight="true" outlineLevel="0" collapsed="false">
      <c r="A21" s="12" t="s">
        <v>5113</v>
      </c>
      <c r="B21" s="5" t="s">
        <v>5114</v>
      </c>
      <c r="C21" s="12" t="s">
        <v>5131</v>
      </c>
      <c r="D21" s="12" t="s">
        <v>120</v>
      </c>
      <c r="E21" s="5" t="s">
        <v>5132</v>
      </c>
      <c r="F21" s="14"/>
      <c r="G21" s="14"/>
      <c r="H21" s="14" t="s">
        <v>87</v>
      </c>
      <c r="I21" s="14"/>
      <c r="J21" s="14"/>
      <c r="K21" s="14"/>
      <c r="L21" s="15"/>
      <c r="M21" s="12" t="s">
        <v>74</v>
      </c>
      <c r="N21" s="5" t="s">
        <v>5133</v>
      </c>
      <c r="O21" s="12" t="s">
        <v>5134</v>
      </c>
      <c r="P21" s="5" t="s">
        <v>5135</v>
      </c>
      <c r="Q21" s="12"/>
      <c r="R21" s="12" t="s">
        <v>1149</v>
      </c>
      <c r="S21" s="5" t="s">
        <v>5136</v>
      </c>
      <c r="T21" s="5" t="s">
        <v>5137</v>
      </c>
      <c r="U21" s="12" t="n">
        <v>4</v>
      </c>
      <c r="V21" s="12" t="n">
        <v>1</v>
      </c>
      <c r="W21" s="12" t="n">
        <v>1</v>
      </c>
      <c r="X21" s="12" t="n">
        <v>2</v>
      </c>
      <c r="Y21" s="12" t="n">
        <v>0</v>
      </c>
    </row>
    <row r="22" customFormat="false" ht="149.25" hidden="false" customHeight="true" outlineLevel="0" collapsed="false">
      <c r="A22" s="10" t="s">
        <v>5138</v>
      </c>
      <c r="B22" s="11" t="s">
        <v>5139</v>
      </c>
      <c r="C22" s="12"/>
      <c r="D22" s="12" t="s">
        <v>120</v>
      </c>
      <c r="E22" s="5" t="s">
        <v>79</v>
      </c>
      <c r="F22" s="12"/>
      <c r="G22" s="12"/>
      <c r="H22" s="13" t="str">
        <f aca="false">IF(OR(COUNTBLANK($H$23:$H$34)&gt;0,COUNTIF($H$23:$H$34,"unbearbeitet")=COUNTA($H$23:$H$34)),"Bitte Teilanforderungen ausfüllen",IF(COUNTIF($H$23:$H$34,"zu klären")&gt;0,"zu klären",IF(COUNTIF($H$23:$H$34,"entbehrlich")=COUNTA($H$23:$H$34),"entbehrlich",IF(COUNTIF($H$23:$H$34,"verwiesen")=COUNTA($H$23:$H$34),"verwiesen",IF(COUNTIF($H$23:$H$34,"nein")+COUNTIF($H$23:$H$34,"entbehrlich")=COUNTA($H$23:$H$34),"nein",IF(COUNTIF($H$23:$H$34,"ja")+COUNTIF($H$23:$H$34,"entbehrlich")+COUNTIF($H$23:$H$34,"verwiesen")=COUNTA($H$23:$H$34),"ja","teilweise"))))))</f>
        <v>Bitte Teilanforderungen ausfüllen</v>
      </c>
      <c r="I22" s="12"/>
      <c r="J22" s="12"/>
      <c r="K22" s="12"/>
      <c r="L22" s="12"/>
      <c r="M22" s="12" t="s">
        <v>74</v>
      </c>
      <c r="N22" s="5" t="s">
        <v>5140</v>
      </c>
      <c r="O22" s="12" t="s">
        <v>5141</v>
      </c>
      <c r="P22" s="5" t="s">
        <v>5142</v>
      </c>
      <c r="Q22" s="12"/>
      <c r="R22" s="12" t="s">
        <v>2453</v>
      </c>
      <c r="S22" s="5" t="s">
        <v>5143</v>
      </c>
      <c r="T22" s="5" t="s">
        <v>5144</v>
      </c>
      <c r="U22" s="12" t="n">
        <v>3</v>
      </c>
      <c r="V22" s="12" t="n">
        <v>1</v>
      </c>
      <c r="W22" s="12" t="n">
        <v>1</v>
      </c>
      <c r="X22" s="12" t="n">
        <v>2</v>
      </c>
      <c r="Y22" s="12" t="n">
        <v>0</v>
      </c>
    </row>
    <row r="23" customFormat="false" ht="149.25" hidden="false" customHeight="true" outlineLevel="0" collapsed="false">
      <c r="A23" s="12" t="s">
        <v>5138</v>
      </c>
      <c r="B23" s="5" t="s">
        <v>5139</v>
      </c>
      <c r="C23" s="12" t="s">
        <v>5138</v>
      </c>
      <c r="D23" s="12" t="s">
        <v>120</v>
      </c>
      <c r="E23" s="5" t="s">
        <v>5145</v>
      </c>
      <c r="F23" s="14"/>
      <c r="G23" s="14"/>
      <c r="H23" s="14" t="s">
        <v>87</v>
      </c>
      <c r="I23" s="14"/>
      <c r="J23" s="14"/>
      <c r="K23" s="14"/>
      <c r="L23" s="15"/>
      <c r="M23" s="12" t="s">
        <v>74</v>
      </c>
      <c r="N23" s="5" t="s">
        <v>5140</v>
      </c>
      <c r="O23" s="12" t="s">
        <v>5141</v>
      </c>
      <c r="P23" s="5" t="s">
        <v>5142</v>
      </c>
      <c r="Q23" s="12"/>
      <c r="R23" s="12" t="s">
        <v>2453</v>
      </c>
      <c r="S23" s="5" t="s">
        <v>5143</v>
      </c>
      <c r="T23" s="5" t="s">
        <v>5144</v>
      </c>
      <c r="U23" s="12" t="n">
        <v>3</v>
      </c>
      <c r="V23" s="12" t="n">
        <v>1</v>
      </c>
      <c r="W23" s="12" t="n">
        <v>1</v>
      </c>
      <c r="X23" s="12" t="n">
        <v>2</v>
      </c>
      <c r="Y23" s="12" t="n">
        <v>0</v>
      </c>
    </row>
    <row r="24" customFormat="false" ht="431.25" hidden="false" customHeight="true" outlineLevel="0" collapsed="false">
      <c r="A24" s="12" t="s">
        <v>5138</v>
      </c>
      <c r="B24" s="5" t="s">
        <v>5139</v>
      </c>
      <c r="C24" s="12" t="s">
        <v>5146</v>
      </c>
      <c r="D24" s="12" t="s">
        <v>120</v>
      </c>
      <c r="E24" s="5" t="s">
        <v>5147</v>
      </c>
      <c r="F24" s="14"/>
      <c r="G24" s="14"/>
      <c r="H24" s="14" t="s">
        <v>87</v>
      </c>
      <c r="I24" s="14"/>
      <c r="J24" s="14"/>
      <c r="K24" s="14"/>
      <c r="L24" s="15"/>
      <c r="M24" s="12" t="s">
        <v>88</v>
      </c>
      <c r="N24" s="5" t="s">
        <v>5148</v>
      </c>
      <c r="O24" s="12" t="s">
        <v>5149</v>
      </c>
      <c r="P24" s="5" t="s">
        <v>5150</v>
      </c>
      <c r="Q24" s="12"/>
      <c r="R24" s="12" t="s">
        <v>2453</v>
      </c>
      <c r="S24" s="5" t="s">
        <v>5151</v>
      </c>
      <c r="T24" s="5" t="s">
        <v>5152</v>
      </c>
      <c r="U24" s="12" t="n">
        <v>4</v>
      </c>
      <c r="V24" s="12" t="n">
        <v>2</v>
      </c>
      <c r="W24" s="12" t="n">
        <v>2</v>
      </c>
      <c r="X24" s="12" t="n">
        <v>1</v>
      </c>
      <c r="Y24" s="12" t="n">
        <v>1</v>
      </c>
    </row>
    <row r="25" customFormat="false" ht="297" hidden="false" customHeight="true" outlineLevel="0" collapsed="false">
      <c r="A25" s="12" t="s">
        <v>5138</v>
      </c>
      <c r="B25" s="5" t="s">
        <v>5139</v>
      </c>
      <c r="C25" s="12" t="s">
        <v>5153</v>
      </c>
      <c r="D25" s="12" t="s">
        <v>120</v>
      </c>
      <c r="E25" s="5" t="s">
        <v>5154</v>
      </c>
      <c r="F25" s="14"/>
      <c r="G25" s="14"/>
      <c r="H25" s="14" t="s">
        <v>87</v>
      </c>
      <c r="I25" s="14"/>
      <c r="J25" s="14"/>
      <c r="K25" s="14"/>
      <c r="L25" s="15"/>
      <c r="M25" s="12" t="s">
        <v>73</v>
      </c>
      <c r="N25" s="5" t="s">
        <v>5155</v>
      </c>
      <c r="O25" s="12" t="s">
        <v>5156</v>
      </c>
      <c r="P25" s="5" t="s">
        <v>5157</v>
      </c>
      <c r="Q25" s="12"/>
      <c r="R25" s="12" t="s">
        <v>2453</v>
      </c>
      <c r="S25" s="5" t="s">
        <v>2521</v>
      </c>
      <c r="T25" s="5" t="s">
        <v>2522</v>
      </c>
      <c r="U25" s="12" t="n">
        <v>3</v>
      </c>
      <c r="V25" s="12" t="n">
        <v>1</v>
      </c>
      <c r="W25" s="12" t="n">
        <v>2</v>
      </c>
      <c r="X25" s="12" t="n">
        <v>1</v>
      </c>
      <c r="Y25" s="12" t="n">
        <v>1</v>
      </c>
    </row>
    <row r="26" customFormat="false" ht="108.75" hidden="false" customHeight="true" outlineLevel="0" collapsed="false">
      <c r="A26" s="12" t="s">
        <v>5138</v>
      </c>
      <c r="B26" s="5" t="s">
        <v>5139</v>
      </c>
      <c r="C26" s="12" t="s">
        <v>5158</v>
      </c>
      <c r="D26" s="12" t="s">
        <v>120</v>
      </c>
      <c r="E26" s="5" t="s">
        <v>5159</v>
      </c>
      <c r="F26" s="14"/>
      <c r="G26" s="14"/>
      <c r="H26" s="14" t="s">
        <v>87</v>
      </c>
      <c r="I26" s="14"/>
      <c r="J26" s="14"/>
      <c r="K26" s="14"/>
      <c r="L26" s="15"/>
      <c r="M26" s="12" t="s">
        <v>88</v>
      </c>
      <c r="N26" s="5" t="s">
        <v>5160</v>
      </c>
      <c r="O26" s="12" t="s">
        <v>406</v>
      </c>
      <c r="P26" s="5" t="s">
        <v>5161</v>
      </c>
      <c r="Q26" s="12"/>
      <c r="R26" s="12" t="s">
        <v>2453</v>
      </c>
      <c r="S26" s="5" t="s">
        <v>5162</v>
      </c>
      <c r="T26" s="5" t="s">
        <v>5163</v>
      </c>
      <c r="U26" s="12" t="n">
        <v>3</v>
      </c>
      <c r="V26" s="12" t="n">
        <v>2</v>
      </c>
      <c r="W26" s="12" t="n">
        <v>2</v>
      </c>
      <c r="X26" s="12" t="n">
        <v>1</v>
      </c>
      <c r="Y26" s="12" t="n">
        <v>1</v>
      </c>
    </row>
    <row r="27" customFormat="false" ht="297" hidden="false" customHeight="true" outlineLevel="0" collapsed="false">
      <c r="A27" s="12" t="s">
        <v>5138</v>
      </c>
      <c r="B27" s="5" t="s">
        <v>5139</v>
      </c>
      <c r="C27" s="12" t="s">
        <v>5164</v>
      </c>
      <c r="D27" s="12" t="s">
        <v>120</v>
      </c>
      <c r="E27" s="5" t="s">
        <v>5165</v>
      </c>
      <c r="F27" s="14"/>
      <c r="G27" s="14"/>
      <c r="H27" s="14" t="s">
        <v>87</v>
      </c>
      <c r="I27" s="14"/>
      <c r="J27" s="14"/>
      <c r="K27" s="14"/>
      <c r="L27" s="15"/>
      <c r="M27" s="12"/>
      <c r="N27" s="5" t="s">
        <v>5166</v>
      </c>
      <c r="O27" s="12" t="s">
        <v>5167</v>
      </c>
      <c r="P27" s="5" t="s">
        <v>5168</v>
      </c>
      <c r="Q27" s="12"/>
      <c r="R27" s="12" t="s">
        <v>282</v>
      </c>
      <c r="S27" s="5" t="s">
        <v>5169</v>
      </c>
      <c r="T27" s="5" t="s">
        <v>5170</v>
      </c>
      <c r="U27" s="12" t="n">
        <v>4</v>
      </c>
      <c r="V27" s="12" t="n">
        <v>1</v>
      </c>
      <c r="W27" s="12" t="n">
        <v>1</v>
      </c>
      <c r="X27" s="12" t="n">
        <v>1</v>
      </c>
      <c r="Y27" s="12" t="n">
        <v>0</v>
      </c>
    </row>
    <row r="28" customFormat="false" ht="363.75" hidden="false" customHeight="true" outlineLevel="0" collapsed="false">
      <c r="A28" s="12" t="s">
        <v>5138</v>
      </c>
      <c r="B28" s="5" t="s">
        <v>5139</v>
      </c>
      <c r="C28" s="12" t="s">
        <v>5171</v>
      </c>
      <c r="D28" s="12" t="s">
        <v>120</v>
      </c>
      <c r="E28" s="5" t="s">
        <v>5172</v>
      </c>
      <c r="F28" s="14"/>
      <c r="G28" s="14"/>
      <c r="H28" s="14" t="s">
        <v>87</v>
      </c>
      <c r="I28" s="14"/>
      <c r="J28" s="14"/>
      <c r="K28" s="14"/>
      <c r="L28" s="15"/>
      <c r="M28" s="12"/>
      <c r="N28" s="5" t="s">
        <v>5173</v>
      </c>
      <c r="O28" s="12" t="s">
        <v>517</v>
      </c>
      <c r="P28" s="5" t="s">
        <v>5174</v>
      </c>
      <c r="Q28" s="12"/>
      <c r="R28" s="12" t="s">
        <v>92</v>
      </c>
      <c r="S28" s="5" t="s">
        <v>5175</v>
      </c>
      <c r="T28" s="5" t="s">
        <v>2575</v>
      </c>
      <c r="U28" s="12" t="n">
        <v>4</v>
      </c>
      <c r="V28" s="12" t="n">
        <v>1</v>
      </c>
      <c r="W28" s="12" t="n">
        <v>1</v>
      </c>
      <c r="X28" s="12" t="n">
        <v>1</v>
      </c>
      <c r="Y28" s="12" t="n">
        <v>0</v>
      </c>
    </row>
    <row r="29" customFormat="false" ht="363.75" hidden="false" customHeight="true" outlineLevel="0" collapsed="false">
      <c r="A29" s="12" t="s">
        <v>5138</v>
      </c>
      <c r="B29" s="5" t="s">
        <v>5139</v>
      </c>
      <c r="C29" s="12" t="s">
        <v>5176</v>
      </c>
      <c r="D29" s="12" t="s">
        <v>160</v>
      </c>
      <c r="E29" s="5" t="s">
        <v>5177</v>
      </c>
      <c r="F29" s="14"/>
      <c r="G29" s="14"/>
      <c r="H29" s="14" t="s">
        <v>87</v>
      </c>
      <c r="I29" s="14"/>
      <c r="J29" s="14"/>
      <c r="K29" s="14"/>
      <c r="L29" s="15"/>
      <c r="M29" s="12"/>
      <c r="N29" s="5" t="s">
        <v>5178</v>
      </c>
      <c r="O29" s="12" t="s">
        <v>467</v>
      </c>
      <c r="P29" s="5" t="s">
        <v>5179</v>
      </c>
      <c r="Q29" s="12"/>
      <c r="R29" s="12" t="s">
        <v>2453</v>
      </c>
      <c r="S29" s="5" t="s">
        <v>5180</v>
      </c>
      <c r="T29" s="5" t="s">
        <v>2575</v>
      </c>
      <c r="U29" s="12" t="n">
        <v>5</v>
      </c>
      <c r="V29" s="12" t="n">
        <v>1</v>
      </c>
      <c r="W29" s="12" t="n">
        <v>1</v>
      </c>
      <c r="X29" s="12" t="n">
        <v>1</v>
      </c>
      <c r="Y29" s="12" t="n">
        <v>0</v>
      </c>
    </row>
    <row r="30" customFormat="false" ht="243" hidden="false" customHeight="true" outlineLevel="0" collapsed="false">
      <c r="A30" s="12" t="s">
        <v>5138</v>
      </c>
      <c r="B30" s="5" t="s">
        <v>5139</v>
      </c>
      <c r="C30" s="12" t="s">
        <v>5181</v>
      </c>
      <c r="D30" s="12" t="s">
        <v>160</v>
      </c>
      <c r="E30" s="5" t="s">
        <v>5182</v>
      </c>
      <c r="F30" s="14"/>
      <c r="G30" s="14"/>
      <c r="H30" s="14" t="s">
        <v>87</v>
      </c>
      <c r="I30" s="14"/>
      <c r="J30" s="14"/>
      <c r="K30" s="14"/>
      <c r="L30" s="15"/>
      <c r="M30" s="12"/>
      <c r="N30" s="5"/>
      <c r="O30" s="12"/>
      <c r="P30" s="5" t="s">
        <v>5183</v>
      </c>
      <c r="Q30" s="12"/>
      <c r="R30" s="12" t="s">
        <v>2453</v>
      </c>
      <c r="S30" s="5" t="s">
        <v>5184</v>
      </c>
      <c r="T30" s="5" t="s">
        <v>5185</v>
      </c>
      <c r="U30" s="12" t="n">
        <v>5</v>
      </c>
      <c r="V30" s="12" t="n">
        <v>1</v>
      </c>
      <c r="W30" s="12" t="n">
        <v>1</v>
      </c>
      <c r="X30" s="12" t="n">
        <v>1</v>
      </c>
      <c r="Y30" s="12" t="n">
        <v>0</v>
      </c>
    </row>
    <row r="31" customFormat="false" ht="108.75" hidden="false" customHeight="true" outlineLevel="0" collapsed="false">
      <c r="A31" s="12" t="s">
        <v>5138</v>
      </c>
      <c r="B31" s="5" t="s">
        <v>5139</v>
      </c>
      <c r="C31" s="12" t="s">
        <v>5186</v>
      </c>
      <c r="D31" s="12" t="s">
        <v>160</v>
      </c>
      <c r="E31" s="5" t="s">
        <v>5187</v>
      </c>
      <c r="F31" s="14"/>
      <c r="G31" s="14"/>
      <c r="H31" s="14" t="s">
        <v>87</v>
      </c>
      <c r="I31" s="14"/>
      <c r="J31" s="14"/>
      <c r="K31" s="14"/>
      <c r="L31" s="15"/>
      <c r="M31" s="12"/>
      <c r="N31" s="5" t="s">
        <v>5188</v>
      </c>
      <c r="O31" s="12" t="s">
        <v>2294</v>
      </c>
      <c r="P31" s="5" t="s">
        <v>5189</v>
      </c>
      <c r="Q31" s="12"/>
      <c r="R31" s="12" t="s">
        <v>2453</v>
      </c>
      <c r="S31" s="5" t="s">
        <v>5190</v>
      </c>
      <c r="T31" s="5" t="s">
        <v>5191</v>
      </c>
      <c r="U31" s="12" t="n">
        <v>5</v>
      </c>
      <c r="V31" s="12" t="n">
        <v>1</v>
      </c>
      <c r="W31" s="12" t="n">
        <v>1</v>
      </c>
      <c r="X31" s="12" t="n">
        <v>1</v>
      </c>
      <c r="Y31" s="12" t="n">
        <v>0</v>
      </c>
    </row>
    <row r="32" customFormat="false" ht="189" hidden="false" customHeight="true" outlineLevel="0" collapsed="false">
      <c r="A32" s="12" t="s">
        <v>5138</v>
      </c>
      <c r="B32" s="5" t="s">
        <v>5139</v>
      </c>
      <c r="C32" s="12" t="s">
        <v>5192</v>
      </c>
      <c r="D32" s="12" t="s">
        <v>160</v>
      </c>
      <c r="E32" s="5" t="s">
        <v>5193</v>
      </c>
      <c r="F32" s="14"/>
      <c r="G32" s="14"/>
      <c r="H32" s="14" t="s">
        <v>87</v>
      </c>
      <c r="I32" s="14"/>
      <c r="J32" s="14"/>
      <c r="K32" s="14"/>
      <c r="L32" s="15"/>
      <c r="M32" s="12" t="s">
        <v>88</v>
      </c>
      <c r="N32" s="5" t="s">
        <v>5194</v>
      </c>
      <c r="O32" s="12" t="s">
        <v>5195</v>
      </c>
      <c r="P32" s="5" t="s">
        <v>5196</v>
      </c>
      <c r="Q32" s="12"/>
      <c r="R32" s="12" t="s">
        <v>2453</v>
      </c>
      <c r="S32" s="5" t="s">
        <v>5197</v>
      </c>
      <c r="T32" s="5" t="s">
        <v>3258</v>
      </c>
      <c r="U32" s="12" t="n">
        <v>5</v>
      </c>
      <c r="V32" s="12" t="n">
        <v>2</v>
      </c>
      <c r="W32" s="12" t="n">
        <v>2</v>
      </c>
      <c r="X32" s="12" t="n">
        <v>1</v>
      </c>
      <c r="Y32" s="12" t="n">
        <v>0</v>
      </c>
    </row>
    <row r="33" customFormat="false" ht="81.75" hidden="false" customHeight="true" outlineLevel="0" collapsed="false">
      <c r="A33" s="12" t="s">
        <v>5138</v>
      </c>
      <c r="B33" s="5" t="s">
        <v>5139</v>
      </c>
      <c r="C33" s="12" t="s">
        <v>5198</v>
      </c>
      <c r="D33" s="12" t="s">
        <v>160</v>
      </c>
      <c r="E33" s="5" t="s">
        <v>5199</v>
      </c>
      <c r="F33" s="14"/>
      <c r="G33" s="14"/>
      <c r="H33" s="14" t="s">
        <v>87</v>
      </c>
      <c r="I33" s="14"/>
      <c r="J33" s="14"/>
      <c r="K33" s="14"/>
      <c r="L33" s="15"/>
      <c r="M33" s="12"/>
      <c r="N33" s="5" t="s">
        <v>5200</v>
      </c>
      <c r="O33" s="12" t="s">
        <v>5201</v>
      </c>
      <c r="P33" s="5" t="s">
        <v>5202</v>
      </c>
      <c r="Q33" s="12"/>
      <c r="R33" s="12" t="s">
        <v>2453</v>
      </c>
      <c r="S33" s="5" t="s">
        <v>5203</v>
      </c>
      <c r="T33" s="5" t="s">
        <v>2575</v>
      </c>
      <c r="U33" s="12" t="n">
        <v>5</v>
      </c>
      <c r="V33" s="12" t="n">
        <v>1</v>
      </c>
      <c r="W33" s="12" t="n">
        <v>1</v>
      </c>
      <c r="X33" s="12" t="n">
        <v>1</v>
      </c>
      <c r="Y33" s="12" t="n">
        <v>0</v>
      </c>
    </row>
    <row r="34" customFormat="false" ht="243" hidden="false" customHeight="true" outlineLevel="0" collapsed="false">
      <c r="A34" s="12" t="s">
        <v>5138</v>
      </c>
      <c r="B34" s="5" t="s">
        <v>5139</v>
      </c>
      <c r="C34" s="12" t="s">
        <v>5204</v>
      </c>
      <c r="D34" s="12" t="s">
        <v>160</v>
      </c>
      <c r="E34" s="5" t="s">
        <v>5205</v>
      </c>
      <c r="F34" s="14"/>
      <c r="G34" s="14"/>
      <c r="H34" s="14" t="s">
        <v>87</v>
      </c>
      <c r="I34" s="14"/>
      <c r="J34" s="14"/>
      <c r="K34" s="14"/>
      <c r="L34" s="15"/>
      <c r="M34" s="12" t="s">
        <v>88</v>
      </c>
      <c r="N34" s="5"/>
      <c r="O34" s="12"/>
      <c r="P34" s="5" t="s">
        <v>5206</v>
      </c>
      <c r="Q34" s="12"/>
      <c r="R34" s="12" t="s">
        <v>2453</v>
      </c>
      <c r="S34" s="5" t="s">
        <v>5207</v>
      </c>
      <c r="T34" s="5" t="s">
        <v>2278</v>
      </c>
      <c r="U34" s="12" t="n">
        <v>5</v>
      </c>
      <c r="V34" s="12" t="n">
        <v>2</v>
      </c>
      <c r="W34" s="12" t="n">
        <v>2</v>
      </c>
      <c r="X34" s="12" t="n">
        <v>1</v>
      </c>
      <c r="Y34" s="12" t="n">
        <v>0</v>
      </c>
    </row>
    <row r="35" customFormat="false" ht="377.25" hidden="false" customHeight="true" outlineLevel="0" collapsed="false">
      <c r="A35" s="10" t="s">
        <v>5208</v>
      </c>
      <c r="B35" s="11" t="s">
        <v>5209</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t="s">
        <v>74</v>
      </c>
      <c r="N35" s="5" t="s">
        <v>5210</v>
      </c>
      <c r="O35" s="12" t="s">
        <v>406</v>
      </c>
      <c r="P35" s="5" t="s">
        <v>5211</v>
      </c>
      <c r="Q35" s="12"/>
      <c r="R35" s="12" t="s">
        <v>115</v>
      </c>
      <c r="S35" s="5" t="s">
        <v>5212</v>
      </c>
      <c r="T35" s="5" t="s">
        <v>5213</v>
      </c>
      <c r="U35" s="12" t="n">
        <v>3</v>
      </c>
      <c r="V35" s="12" t="n">
        <v>1</v>
      </c>
      <c r="W35" s="12" t="n">
        <v>1</v>
      </c>
      <c r="X35" s="12" t="n">
        <v>2</v>
      </c>
      <c r="Y35" s="12" t="n">
        <v>0</v>
      </c>
    </row>
    <row r="36" customFormat="false" ht="377.25" hidden="false" customHeight="true" outlineLevel="0" collapsed="false">
      <c r="A36" s="12" t="s">
        <v>5208</v>
      </c>
      <c r="B36" s="5" t="s">
        <v>5209</v>
      </c>
      <c r="C36" s="12" t="s">
        <v>5208</v>
      </c>
      <c r="D36" s="12" t="s">
        <v>120</v>
      </c>
      <c r="E36" s="5" t="s">
        <v>5214</v>
      </c>
      <c r="F36" s="14"/>
      <c r="G36" s="14"/>
      <c r="H36" s="14" t="s">
        <v>87</v>
      </c>
      <c r="I36" s="14"/>
      <c r="J36" s="14"/>
      <c r="K36" s="14"/>
      <c r="L36" s="15"/>
      <c r="M36" s="12" t="s">
        <v>74</v>
      </c>
      <c r="N36" s="5" t="s">
        <v>5210</v>
      </c>
      <c r="O36" s="12" t="s">
        <v>406</v>
      </c>
      <c r="P36" s="5" t="s">
        <v>5211</v>
      </c>
      <c r="Q36" s="12"/>
      <c r="R36" s="12" t="s">
        <v>115</v>
      </c>
      <c r="S36" s="5" t="s">
        <v>5212</v>
      </c>
      <c r="T36" s="5" t="s">
        <v>5213</v>
      </c>
      <c r="U36" s="12" t="n">
        <v>3</v>
      </c>
      <c r="V36" s="12" t="n">
        <v>1</v>
      </c>
      <c r="W36" s="12" t="n">
        <v>1</v>
      </c>
      <c r="X36" s="12" t="n">
        <v>2</v>
      </c>
      <c r="Y36" s="12" t="n">
        <v>0</v>
      </c>
    </row>
    <row r="37" customFormat="false" ht="256.5" hidden="false" customHeight="true" outlineLevel="0" collapsed="false">
      <c r="A37" s="10" t="s">
        <v>5215</v>
      </c>
      <c r="B37" s="11" t="s">
        <v>5216</v>
      </c>
      <c r="C37" s="12"/>
      <c r="D37" s="12" t="s">
        <v>120</v>
      </c>
      <c r="E37" s="5" t="s">
        <v>79</v>
      </c>
      <c r="F37" s="12"/>
      <c r="G37" s="12"/>
      <c r="H37" s="13" t="str">
        <f aca="false">IF(OR(COUNTBLANK($H$38:$H$41)&gt;0,COUNTIF($H$38:$H$41,"unbearbeitet")=COUNTA($H$38:$H$41)),"Bitte Teilanforderungen ausfüllen",IF(COUNTIF($H$38:$H$41,"zu klären")&gt;0,"zu klären",IF(COUNTIF($H$38:$H$41,"entbehrlich")=COUNTA($H$38:$H$41),"entbehrlich",IF(COUNTIF($H$38:$H$41,"verwiesen")=COUNTA($H$38:$H$41),"verwiesen",IF(COUNTIF($H$38:$H$41,"nein")+COUNTIF($H$38:$H$41,"entbehrlich")=COUNTA($H$38:$H$41),"nein",IF(COUNTIF($H$38:$H$41,"ja")+COUNTIF($H$38:$H$41,"entbehrlich")+COUNTIF($H$38:$H$41,"verwiesen")=COUNTA($H$38:$H$41),"ja","teilweise"))))))</f>
        <v>Bitte Teilanforderungen ausfüllen</v>
      </c>
      <c r="I37" s="12"/>
      <c r="J37" s="12"/>
      <c r="K37" s="12"/>
      <c r="L37" s="12"/>
      <c r="M37" s="12"/>
      <c r="N37" s="5" t="s">
        <v>5217</v>
      </c>
      <c r="O37" s="12" t="s">
        <v>524</v>
      </c>
      <c r="P37" s="5" t="s">
        <v>5218</v>
      </c>
      <c r="Q37" s="12"/>
      <c r="R37" s="12" t="s">
        <v>92</v>
      </c>
      <c r="S37" s="5" t="s">
        <v>5219</v>
      </c>
      <c r="T37" s="5" t="s">
        <v>306</v>
      </c>
      <c r="U37" s="12" t="n">
        <v>3</v>
      </c>
      <c r="V37" s="12" t="n">
        <v>1</v>
      </c>
      <c r="W37" s="12" t="n">
        <v>1</v>
      </c>
      <c r="X37" s="12" t="n">
        <v>1</v>
      </c>
      <c r="Y37" s="12" t="n">
        <v>0</v>
      </c>
    </row>
    <row r="38" customFormat="false" ht="256.5" hidden="false" customHeight="true" outlineLevel="0" collapsed="false">
      <c r="A38" s="12" t="s">
        <v>5215</v>
      </c>
      <c r="B38" s="5" t="s">
        <v>5216</v>
      </c>
      <c r="C38" s="12" t="s">
        <v>5215</v>
      </c>
      <c r="D38" s="12" t="s">
        <v>120</v>
      </c>
      <c r="E38" s="5" t="s">
        <v>5220</v>
      </c>
      <c r="F38" s="14"/>
      <c r="G38" s="14"/>
      <c r="H38" s="14" t="s">
        <v>87</v>
      </c>
      <c r="I38" s="14"/>
      <c r="J38" s="14"/>
      <c r="K38" s="14"/>
      <c r="L38" s="15"/>
      <c r="M38" s="12"/>
      <c r="N38" s="5" t="s">
        <v>5217</v>
      </c>
      <c r="O38" s="12" t="s">
        <v>524</v>
      </c>
      <c r="P38" s="5" t="s">
        <v>5218</v>
      </c>
      <c r="Q38" s="12"/>
      <c r="R38" s="12" t="s">
        <v>92</v>
      </c>
      <c r="S38" s="5" t="s">
        <v>5219</v>
      </c>
      <c r="T38" s="5" t="s">
        <v>306</v>
      </c>
      <c r="U38" s="12" t="n">
        <v>3</v>
      </c>
      <c r="V38" s="12" t="n">
        <v>1</v>
      </c>
      <c r="W38" s="12" t="n">
        <v>1</v>
      </c>
      <c r="X38" s="12" t="n">
        <v>1</v>
      </c>
      <c r="Y38" s="12" t="n">
        <v>0</v>
      </c>
    </row>
    <row r="39" customFormat="false" ht="202.5" hidden="false" customHeight="true" outlineLevel="0" collapsed="false">
      <c r="A39" s="12" t="s">
        <v>5215</v>
      </c>
      <c r="B39" s="5" t="s">
        <v>5216</v>
      </c>
      <c r="C39" s="12" t="s">
        <v>5221</v>
      </c>
      <c r="D39" s="12" t="s">
        <v>160</v>
      </c>
      <c r="E39" s="5" t="s">
        <v>5222</v>
      </c>
      <c r="F39" s="14"/>
      <c r="G39" s="14"/>
      <c r="H39" s="14" t="s">
        <v>87</v>
      </c>
      <c r="I39" s="14"/>
      <c r="J39" s="14"/>
      <c r="K39" s="14"/>
      <c r="L39" s="15"/>
      <c r="M39" s="12"/>
      <c r="N39" s="5" t="s">
        <v>5223</v>
      </c>
      <c r="O39" s="12" t="s">
        <v>2527</v>
      </c>
      <c r="P39" s="5" t="s">
        <v>5224</v>
      </c>
      <c r="Q39" s="12"/>
      <c r="R39" s="12" t="s">
        <v>92</v>
      </c>
      <c r="S39" s="5" t="s">
        <v>5219</v>
      </c>
      <c r="T39" s="5" t="s">
        <v>306</v>
      </c>
      <c r="U39" s="12" t="n">
        <v>4</v>
      </c>
      <c r="V39" s="12" t="n">
        <v>1</v>
      </c>
      <c r="W39" s="12" t="n">
        <v>1</v>
      </c>
      <c r="X39" s="12" t="n">
        <v>1</v>
      </c>
      <c r="Y39" s="12" t="n">
        <v>0</v>
      </c>
    </row>
    <row r="40" customFormat="false" ht="95.25" hidden="false" customHeight="true" outlineLevel="0" collapsed="false">
      <c r="A40" s="12" t="s">
        <v>5215</v>
      </c>
      <c r="B40" s="5" t="s">
        <v>5216</v>
      </c>
      <c r="C40" s="12" t="s">
        <v>5225</v>
      </c>
      <c r="D40" s="12" t="s">
        <v>120</v>
      </c>
      <c r="E40" s="5" t="s">
        <v>5226</v>
      </c>
      <c r="F40" s="14"/>
      <c r="G40" s="14"/>
      <c r="H40" s="14" t="s">
        <v>87</v>
      </c>
      <c r="I40" s="14"/>
      <c r="J40" s="14"/>
      <c r="K40" s="14"/>
      <c r="L40" s="15"/>
      <c r="M40" s="12" t="s">
        <v>74</v>
      </c>
      <c r="N40" s="5" t="s">
        <v>5227</v>
      </c>
      <c r="O40" s="12" t="s">
        <v>5228</v>
      </c>
      <c r="P40" s="5" t="s">
        <v>5229</v>
      </c>
      <c r="Q40" s="12"/>
      <c r="R40" s="12" t="s">
        <v>92</v>
      </c>
      <c r="S40" s="5" t="s">
        <v>5230</v>
      </c>
      <c r="T40" s="5" t="s">
        <v>5231</v>
      </c>
      <c r="U40" s="12" t="n">
        <v>4</v>
      </c>
      <c r="V40" s="12" t="n">
        <v>1</v>
      </c>
      <c r="W40" s="12" t="n">
        <v>1</v>
      </c>
      <c r="X40" s="12" t="n">
        <v>2</v>
      </c>
      <c r="Y40" s="12" t="n">
        <v>0</v>
      </c>
    </row>
    <row r="41" customFormat="false" ht="95.25" hidden="false" customHeight="true" outlineLevel="0" collapsed="false">
      <c r="A41" s="12" t="s">
        <v>5215</v>
      </c>
      <c r="B41" s="5" t="s">
        <v>5216</v>
      </c>
      <c r="C41" s="12" t="s">
        <v>5232</v>
      </c>
      <c r="D41" s="12" t="s">
        <v>120</v>
      </c>
      <c r="E41" s="5" t="s">
        <v>5233</v>
      </c>
      <c r="F41" s="14"/>
      <c r="G41" s="14"/>
      <c r="H41" s="14" t="s">
        <v>87</v>
      </c>
      <c r="I41" s="14"/>
      <c r="J41" s="14"/>
      <c r="K41" s="14"/>
      <c r="L41" s="15"/>
      <c r="M41" s="12" t="s">
        <v>88</v>
      </c>
      <c r="N41" s="5"/>
      <c r="O41" s="12"/>
      <c r="P41" s="5" t="s">
        <v>5234</v>
      </c>
      <c r="Q41" s="12"/>
      <c r="R41" s="12" t="s">
        <v>92</v>
      </c>
      <c r="S41" s="5" t="s">
        <v>5235</v>
      </c>
      <c r="T41" s="5" t="s">
        <v>625</v>
      </c>
      <c r="U41" s="12" t="n">
        <v>4</v>
      </c>
      <c r="V41" s="12" t="n">
        <v>2</v>
      </c>
      <c r="W41" s="12" t="n">
        <v>2</v>
      </c>
      <c r="X41" s="12" t="n">
        <v>1</v>
      </c>
      <c r="Y41" s="12" t="n">
        <v>1</v>
      </c>
    </row>
    <row r="42" customFormat="false" ht="270" hidden="false" customHeight="true" outlineLevel="0" collapsed="false">
      <c r="A42" s="10" t="s">
        <v>5236</v>
      </c>
      <c r="B42" s="11" t="s">
        <v>5237</v>
      </c>
      <c r="C42" s="12"/>
      <c r="D42" s="12" t="s">
        <v>160</v>
      </c>
      <c r="E42" s="5" t="s">
        <v>79</v>
      </c>
      <c r="F42" s="12"/>
      <c r="G42" s="12"/>
      <c r="H42" s="13" t="str">
        <f aca="false">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Bitte Teilanforderungen ausfüllen</v>
      </c>
      <c r="I42" s="12"/>
      <c r="J42" s="12"/>
      <c r="K42" s="12"/>
      <c r="L42" s="12"/>
      <c r="M42" s="12" t="s">
        <v>74</v>
      </c>
      <c r="N42" s="5" t="s">
        <v>5238</v>
      </c>
      <c r="O42" s="12" t="s">
        <v>1953</v>
      </c>
      <c r="P42" s="5" t="s">
        <v>5239</v>
      </c>
      <c r="Q42" s="12"/>
      <c r="R42" s="12" t="s">
        <v>92</v>
      </c>
      <c r="S42" s="5" t="s">
        <v>5240</v>
      </c>
      <c r="T42" s="5" t="s">
        <v>5241</v>
      </c>
      <c r="U42" s="12" t="n">
        <v>5</v>
      </c>
      <c r="V42" s="12" t="n">
        <v>1</v>
      </c>
      <c r="W42" s="12" t="n">
        <v>1</v>
      </c>
      <c r="X42" s="12" t="n">
        <v>2</v>
      </c>
      <c r="Y42" s="12" t="n">
        <v>0</v>
      </c>
    </row>
    <row r="43" customFormat="false" ht="270" hidden="false" customHeight="true" outlineLevel="0" collapsed="false">
      <c r="A43" s="12" t="s">
        <v>5236</v>
      </c>
      <c r="B43" s="5" t="s">
        <v>5237</v>
      </c>
      <c r="C43" s="12" t="s">
        <v>5236</v>
      </c>
      <c r="D43" s="12" t="s">
        <v>160</v>
      </c>
      <c r="E43" s="5" t="s">
        <v>5242</v>
      </c>
      <c r="F43" s="14"/>
      <c r="G43" s="14"/>
      <c r="H43" s="14" t="s">
        <v>87</v>
      </c>
      <c r="I43" s="14"/>
      <c r="J43" s="14"/>
      <c r="K43" s="14"/>
      <c r="L43" s="15"/>
      <c r="M43" s="12" t="s">
        <v>74</v>
      </c>
      <c r="N43" s="5" t="s">
        <v>5238</v>
      </c>
      <c r="O43" s="12" t="s">
        <v>1953</v>
      </c>
      <c r="P43" s="5" t="s">
        <v>5239</v>
      </c>
      <c r="Q43" s="12"/>
      <c r="R43" s="12" t="s">
        <v>92</v>
      </c>
      <c r="S43" s="5" t="s">
        <v>5240</v>
      </c>
      <c r="T43" s="5" t="s">
        <v>5241</v>
      </c>
      <c r="U43" s="12" t="n">
        <v>5</v>
      </c>
      <c r="V43" s="12" t="n">
        <v>1</v>
      </c>
      <c r="W43" s="12" t="n">
        <v>1</v>
      </c>
      <c r="X43" s="12" t="n">
        <v>2</v>
      </c>
      <c r="Y43" s="12" t="n">
        <v>0</v>
      </c>
    </row>
    <row r="44" customFormat="false" ht="81.75" hidden="false" customHeight="true" outlineLevel="0" collapsed="false">
      <c r="A44" s="10" t="s">
        <v>5243</v>
      </c>
      <c r="B44" s="11" t="s">
        <v>5244</v>
      </c>
      <c r="C44" s="12"/>
      <c r="D44" s="12" t="s">
        <v>120</v>
      </c>
      <c r="E44" s="5" t="s">
        <v>79</v>
      </c>
      <c r="F44" s="12"/>
      <c r="G44" s="12"/>
      <c r="H44" s="13" t="str">
        <f aca="false">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2"/>
      <c r="J44" s="12"/>
      <c r="K44" s="12"/>
      <c r="L44" s="12"/>
      <c r="M44" s="12"/>
      <c r="N44" s="5" t="s">
        <v>5245</v>
      </c>
      <c r="O44" s="12" t="s">
        <v>5246</v>
      </c>
      <c r="P44" s="5" t="s">
        <v>5247</v>
      </c>
      <c r="Q44" s="12"/>
      <c r="R44" s="12" t="s">
        <v>92</v>
      </c>
      <c r="S44" s="5" t="s">
        <v>5248</v>
      </c>
      <c r="T44" s="5" t="s">
        <v>306</v>
      </c>
      <c r="U44" s="12" t="n">
        <v>3</v>
      </c>
      <c r="V44" s="12" t="n">
        <v>1</v>
      </c>
      <c r="W44" s="12" t="n">
        <v>1</v>
      </c>
      <c r="X44" s="12" t="n">
        <v>1</v>
      </c>
      <c r="Y44" s="12" t="n">
        <v>0</v>
      </c>
    </row>
    <row r="45" customFormat="false" ht="81.75" hidden="false" customHeight="true" outlineLevel="0" collapsed="false">
      <c r="A45" s="12" t="s">
        <v>5243</v>
      </c>
      <c r="B45" s="5" t="s">
        <v>5244</v>
      </c>
      <c r="C45" s="12" t="s">
        <v>5243</v>
      </c>
      <c r="D45" s="12" t="s">
        <v>120</v>
      </c>
      <c r="E45" s="5" t="s">
        <v>5249</v>
      </c>
      <c r="F45" s="14"/>
      <c r="G45" s="14"/>
      <c r="H45" s="14" t="s">
        <v>87</v>
      </c>
      <c r="I45" s="14"/>
      <c r="J45" s="14"/>
      <c r="K45" s="14"/>
      <c r="L45" s="15"/>
      <c r="M45" s="12"/>
      <c r="N45" s="5" t="s">
        <v>5245</v>
      </c>
      <c r="O45" s="12" t="s">
        <v>5246</v>
      </c>
      <c r="P45" s="5" t="s">
        <v>5247</v>
      </c>
      <c r="Q45" s="12"/>
      <c r="R45" s="12" t="s">
        <v>92</v>
      </c>
      <c r="S45" s="5" t="s">
        <v>5248</v>
      </c>
      <c r="T45" s="5" t="s">
        <v>306</v>
      </c>
      <c r="U45" s="12" t="n">
        <v>3</v>
      </c>
      <c r="V45" s="12" t="n">
        <v>1</v>
      </c>
      <c r="W45" s="12" t="n">
        <v>1</v>
      </c>
      <c r="X45" s="12" t="n">
        <v>1</v>
      </c>
      <c r="Y45" s="12" t="n">
        <v>0</v>
      </c>
    </row>
    <row r="46" customFormat="false" ht="270" hidden="false" customHeight="true" outlineLevel="0" collapsed="false">
      <c r="A46" s="10" t="s">
        <v>5250</v>
      </c>
      <c r="B46" s="11" t="s">
        <v>5251</v>
      </c>
      <c r="C46" s="12"/>
      <c r="D46" s="12" t="s">
        <v>120</v>
      </c>
      <c r="E46" s="5" t="s">
        <v>79</v>
      </c>
      <c r="F46" s="12"/>
      <c r="G46" s="12"/>
      <c r="H46" s="13" t="str">
        <f aca="false">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2"/>
      <c r="J46" s="12"/>
      <c r="K46" s="12"/>
      <c r="L46" s="12"/>
      <c r="M46" s="12" t="s">
        <v>74</v>
      </c>
      <c r="N46" s="5" t="s">
        <v>5252</v>
      </c>
      <c r="O46" s="12" t="s">
        <v>5253</v>
      </c>
      <c r="P46" s="5" t="s">
        <v>5254</v>
      </c>
      <c r="Q46" s="12"/>
      <c r="R46" s="12" t="s">
        <v>92</v>
      </c>
      <c r="S46" s="5" t="s">
        <v>5255</v>
      </c>
      <c r="T46" s="5" t="s">
        <v>512</v>
      </c>
      <c r="U46" s="12" t="n">
        <v>3</v>
      </c>
      <c r="V46" s="12" t="n">
        <v>1</v>
      </c>
      <c r="W46" s="12" t="n">
        <v>1</v>
      </c>
      <c r="X46" s="12" t="n">
        <v>2</v>
      </c>
      <c r="Y46" s="12" t="n">
        <v>0</v>
      </c>
    </row>
    <row r="47" customFormat="false" ht="270" hidden="false" customHeight="true" outlineLevel="0" collapsed="false">
      <c r="A47" s="12" t="s">
        <v>5250</v>
      </c>
      <c r="B47" s="5" t="s">
        <v>5251</v>
      </c>
      <c r="C47" s="12" t="s">
        <v>5250</v>
      </c>
      <c r="D47" s="12" t="s">
        <v>120</v>
      </c>
      <c r="E47" s="5" t="s">
        <v>5256</v>
      </c>
      <c r="F47" s="14"/>
      <c r="G47" s="14"/>
      <c r="H47" s="14" t="s">
        <v>87</v>
      </c>
      <c r="I47" s="14"/>
      <c r="J47" s="14"/>
      <c r="K47" s="14"/>
      <c r="L47" s="15"/>
      <c r="M47" s="12" t="s">
        <v>74</v>
      </c>
      <c r="N47" s="5" t="s">
        <v>5252</v>
      </c>
      <c r="O47" s="12" t="s">
        <v>5253</v>
      </c>
      <c r="P47" s="5" t="s">
        <v>5254</v>
      </c>
      <c r="Q47" s="12"/>
      <c r="R47" s="12" t="s">
        <v>92</v>
      </c>
      <c r="S47" s="5" t="s">
        <v>5255</v>
      </c>
      <c r="T47" s="5" t="s">
        <v>512</v>
      </c>
      <c r="U47" s="12" t="n">
        <v>3</v>
      </c>
      <c r="V47" s="12" t="n">
        <v>1</v>
      </c>
      <c r="W47" s="12" t="n">
        <v>1</v>
      </c>
      <c r="X47" s="12" t="n">
        <v>2</v>
      </c>
      <c r="Y47" s="12" t="n">
        <v>0</v>
      </c>
    </row>
    <row r="48" customFormat="false" ht="81.75" hidden="false" customHeight="true" outlineLevel="0" collapsed="false">
      <c r="A48" s="10" t="s">
        <v>5257</v>
      </c>
      <c r="B48" s="11" t="s">
        <v>5258</v>
      </c>
      <c r="C48" s="12"/>
      <c r="D48" s="12" t="s">
        <v>120</v>
      </c>
      <c r="E48" s="5" t="s">
        <v>79</v>
      </c>
      <c r="F48" s="12"/>
      <c r="G48" s="12"/>
      <c r="H48" s="13" t="str">
        <f aca="false">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2"/>
      <c r="J48" s="12"/>
      <c r="K48" s="12"/>
      <c r="L48" s="12"/>
      <c r="M48" s="12" t="s">
        <v>74</v>
      </c>
      <c r="N48" s="5" t="s">
        <v>5259</v>
      </c>
      <c r="O48" s="12" t="s">
        <v>5260</v>
      </c>
      <c r="P48" s="5" t="s">
        <v>5261</v>
      </c>
      <c r="Q48" s="12"/>
      <c r="R48" s="12" t="s">
        <v>92</v>
      </c>
      <c r="S48" s="5" t="s">
        <v>5262</v>
      </c>
      <c r="T48" s="5" t="s">
        <v>1857</v>
      </c>
      <c r="U48" s="12" t="n">
        <v>3</v>
      </c>
      <c r="V48" s="12" t="n">
        <v>1</v>
      </c>
      <c r="W48" s="12" t="n">
        <v>1</v>
      </c>
      <c r="X48" s="12" t="n">
        <v>2</v>
      </c>
      <c r="Y48" s="12" t="n">
        <v>0</v>
      </c>
    </row>
    <row r="49" customFormat="false" ht="81.75" hidden="false" customHeight="true" outlineLevel="0" collapsed="false">
      <c r="A49" s="12" t="s">
        <v>5257</v>
      </c>
      <c r="B49" s="5" t="s">
        <v>5258</v>
      </c>
      <c r="C49" s="12" t="s">
        <v>5257</v>
      </c>
      <c r="D49" s="12" t="s">
        <v>120</v>
      </c>
      <c r="E49" s="5" t="s">
        <v>5263</v>
      </c>
      <c r="F49" s="14"/>
      <c r="G49" s="14"/>
      <c r="H49" s="14" t="s">
        <v>87</v>
      </c>
      <c r="I49" s="14"/>
      <c r="J49" s="14"/>
      <c r="K49" s="14"/>
      <c r="L49" s="15"/>
      <c r="M49" s="12" t="s">
        <v>74</v>
      </c>
      <c r="N49" s="5" t="s">
        <v>5259</v>
      </c>
      <c r="O49" s="12" t="s">
        <v>5260</v>
      </c>
      <c r="P49" s="5" t="s">
        <v>5261</v>
      </c>
      <c r="Q49" s="12"/>
      <c r="R49" s="12" t="s">
        <v>92</v>
      </c>
      <c r="S49" s="5" t="s">
        <v>5262</v>
      </c>
      <c r="T49" s="5" t="s">
        <v>1857</v>
      </c>
      <c r="U49" s="12" t="n">
        <v>3</v>
      </c>
      <c r="V49" s="12" t="n">
        <v>1</v>
      </c>
      <c r="W49" s="12" t="n">
        <v>1</v>
      </c>
      <c r="X49" s="12" t="n">
        <v>2</v>
      </c>
      <c r="Y49" s="12" t="n">
        <v>0</v>
      </c>
    </row>
    <row r="50" customFormat="false" ht="323.25" hidden="false" customHeight="true" outlineLevel="0" collapsed="false">
      <c r="A50" s="10" t="s">
        <v>5264</v>
      </c>
      <c r="B50" s="11" t="s">
        <v>5265</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t="s">
        <v>72</v>
      </c>
      <c r="N50" s="5" t="s">
        <v>5266</v>
      </c>
      <c r="O50" s="12" t="s">
        <v>2111</v>
      </c>
      <c r="P50" s="5" t="s">
        <v>5267</v>
      </c>
      <c r="Q50" s="12"/>
      <c r="R50" s="12" t="s">
        <v>282</v>
      </c>
      <c r="S50" s="5" t="s">
        <v>2603</v>
      </c>
      <c r="T50" s="5" t="s">
        <v>5268</v>
      </c>
      <c r="U50" s="12" t="n">
        <v>3</v>
      </c>
      <c r="V50" s="12" t="n">
        <v>2</v>
      </c>
      <c r="W50" s="12" t="n">
        <v>1</v>
      </c>
      <c r="X50" s="12" t="n">
        <v>1</v>
      </c>
      <c r="Y50" s="12" t="n">
        <v>0</v>
      </c>
    </row>
    <row r="51" customFormat="false" ht="323.25" hidden="false" customHeight="true" outlineLevel="0" collapsed="false">
      <c r="A51" s="12" t="s">
        <v>5264</v>
      </c>
      <c r="B51" s="5" t="s">
        <v>5265</v>
      </c>
      <c r="C51" s="12" t="s">
        <v>5264</v>
      </c>
      <c r="D51" s="12" t="s">
        <v>120</v>
      </c>
      <c r="E51" s="5" t="s">
        <v>5269</v>
      </c>
      <c r="F51" s="14"/>
      <c r="G51" s="14"/>
      <c r="H51" s="14" t="s">
        <v>87</v>
      </c>
      <c r="I51" s="14"/>
      <c r="J51" s="14"/>
      <c r="K51" s="14"/>
      <c r="L51" s="15"/>
      <c r="M51" s="12" t="s">
        <v>72</v>
      </c>
      <c r="N51" s="5" t="s">
        <v>5266</v>
      </c>
      <c r="O51" s="12" t="s">
        <v>2111</v>
      </c>
      <c r="P51" s="5" t="s">
        <v>5267</v>
      </c>
      <c r="Q51" s="12"/>
      <c r="R51" s="12" t="s">
        <v>282</v>
      </c>
      <c r="S51" s="5" t="s">
        <v>2603</v>
      </c>
      <c r="T51" s="5" t="s">
        <v>5268</v>
      </c>
      <c r="U51" s="12" t="n">
        <v>3</v>
      </c>
      <c r="V51" s="12" t="n">
        <v>2</v>
      </c>
      <c r="W51" s="12" t="n">
        <v>1</v>
      </c>
      <c r="X51" s="12" t="n">
        <v>1</v>
      </c>
      <c r="Y51" s="12" t="n">
        <v>0</v>
      </c>
    </row>
    <row r="52" customFormat="false" ht="336.75" hidden="false" customHeight="true" outlineLevel="0" collapsed="false">
      <c r="A52" s="10" t="s">
        <v>5270</v>
      </c>
      <c r="B52" s="11" t="s">
        <v>5271</v>
      </c>
      <c r="C52" s="12"/>
      <c r="D52" s="12" t="s">
        <v>160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c r="N52" s="5" t="s">
        <v>5272</v>
      </c>
      <c r="O52" s="12" t="s">
        <v>1169</v>
      </c>
      <c r="P52" s="5" t="s">
        <v>5273</v>
      </c>
      <c r="Q52" s="12"/>
      <c r="R52" s="12" t="s">
        <v>282</v>
      </c>
      <c r="S52" s="5" t="s">
        <v>5274</v>
      </c>
      <c r="T52" s="5" t="s">
        <v>306</v>
      </c>
      <c r="U52" s="12" t="n">
        <v>5</v>
      </c>
      <c r="V52" s="12" t="n">
        <v>1</v>
      </c>
      <c r="W52" s="12" t="n">
        <v>1</v>
      </c>
      <c r="X52" s="12" t="n">
        <v>1</v>
      </c>
      <c r="Y52" s="12" t="n">
        <v>0</v>
      </c>
    </row>
    <row r="53" customFormat="false" ht="336.75" hidden="false" customHeight="true" outlineLevel="0" collapsed="false">
      <c r="A53" s="12" t="s">
        <v>5270</v>
      </c>
      <c r="B53" s="5" t="s">
        <v>5271</v>
      </c>
      <c r="C53" s="12" t="s">
        <v>5270</v>
      </c>
      <c r="D53" s="12" t="s">
        <v>160</v>
      </c>
      <c r="E53" s="5" t="s">
        <v>5275</v>
      </c>
      <c r="F53" s="14"/>
      <c r="G53" s="14"/>
      <c r="H53" s="14" t="s">
        <v>87</v>
      </c>
      <c r="I53" s="14"/>
      <c r="J53" s="14"/>
      <c r="K53" s="14"/>
      <c r="L53" s="15"/>
      <c r="M53" s="12"/>
      <c r="N53" s="5" t="s">
        <v>5272</v>
      </c>
      <c r="O53" s="12" t="s">
        <v>1169</v>
      </c>
      <c r="P53" s="5" t="s">
        <v>5273</v>
      </c>
      <c r="Q53" s="12"/>
      <c r="R53" s="12" t="s">
        <v>282</v>
      </c>
      <c r="S53" s="5" t="s">
        <v>5274</v>
      </c>
      <c r="T53" s="5" t="s">
        <v>306</v>
      </c>
      <c r="U53" s="12" t="n">
        <v>5</v>
      </c>
      <c r="V53" s="12" t="n">
        <v>1</v>
      </c>
      <c r="W53" s="12" t="n">
        <v>1</v>
      </c>
      <c r="X53" s="12" t="n">
        <v>1</v>
      </c>
      <c r="Y53" s="12" t="n">
        <v>0</v>
      </c>
    </row>
    <row r="54" customFormat="false" ht="189" hidden="false" customHeight="true" outlineLevel="0" collapsed="false">
      <c r="A54" s="10" t="s">
        <v>5276</v>
      </c>
      <c r="B54" s="11" t="s">
        <v>5277</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73</v>
      </c>
      <c r="N54" s="5" t="s">
        <v>5278</v>
      </c>
      <c r="O54" s="12" t="s">
        <v>5279</v>
      </c>
      <c r="P54" s="5" t="s">
        <v>5280</v>
      </c>
      <c r="Q54" s="12"/>
      <c r="R54" s="12" t="s">
        <v>282</v>
      </c>
      <c r="S54" s="5" t="s">
        <v>5281</v>
      </c>
      <c r="T54" s="5" t="s">
        <v>5282</v>
      </c>
      <c r="U54" s="12" t="n">
        <v>3</v>
      </c>
      <c r="V54" s="12" t="n">
        <v>1</v>
      </c>
      <c r="W54" s="12" t="n">
        <v>2</v>
      </c>
      <c r="X54" s="12" t="n">
        <v>1</v>
      </c>
      <c r="Y54" s="12" t="n">
        <v>1</v>
      </c>
    </row>
    <row r="55" customFormat="false" ht="189" hidden="false" customHeight="true" outlineLevel="0" collapsed="false">
      <c r="A55" s="12" t="s">
        <v>5276</v>
      </c>
      <c r="B55" s="5" t="s">
        <v>5277</v>
      </c>
      <c r="C55" s="12" t="s">
        <v>5276</v>
      </c>
      <c r="D55" s="12" t="s">
        <v>120</v>
      </c>
      <c r="E55" s="5" t="s">
        <v>5283</v>
      </c>
      <c r="F55" s="14"/>
      <c r="G55" s="14"/>
      <c r="H55" s="14" t="s">
        <v>87</v>
      </c>
      <c r="I55" s="14"/>
      <c r="J55" s="14"/>
      <c r="K55" s="14"/>
      <c r="L55" s="15"/>
      <c r="M55" s="12" t="s">
        <v>73</v>
      </c>
      <c r="N55" s="5" t="s">
        <v>5278</v>
      </c>
      <c r="O55" s="12" t="s">
        <v>5279</v>
      </c>
      <c r="P55" s="5" t="s">
        <v>5280</v>
      </c>
      <c r="Q55" s="12"/>
      <c r="R55" s="12" t="s">
        <v>282</v>
      </c>
      <c r="S55" s="5" t="s">
        <v>5281</v>
      </c>
      <c r="T55" s="5" t="s">
        <v>5282</v>
      </c>
      <c r="U55" s="12" t="n">
        <v>3</v>
      </c>
      <c r="V55" s="12" t="n">
        <v>1</v>
      </c>
      <c r="W55" s="12" t="n">
        <v>2</v>
      </c>
      <c r="X55" s="12" t="n">
        <v>1</v>
      </c>
      <c r="Y55" s="12" t="n">
        <v>1</v>
      </c>
    </row>
    <row r="56" customFormat="false" ht="95.25" hidden="false" customHeight="true" outlineLevel="0" collapsed="false">
      <c r="A56" s="10" t="s">
        <v>5284</v>
      </c>
      <c r="B56" s="11" t="s">
        <v>5285</v>
      </c>
      <c r="C56" s="12"/>
      <c r="D56" s="12" t="s">
        <v>120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c r="N56" s="5" t="s">
        <v>5286</v>
      </c>
      <c r="O56" s="12" t="s">
        <v>255</v>
      </c>
      <c r="P56" s="5" t="s">
        <v>5287</v>
      </c>
      <c r="Q56" s="12"/>
      <c r="R56" s="12" t="s">
        <v>115</v>
      </c>
      <c r="S56" s="5" t="s">
        <v>5288</v>
      </c>
      <c r="T56" s="5" t="s">
        <v>306</v>
      </c>
      <c r="U56" s="12" t="n">
        <v>4</v>
      </c>
      <c r="V56" s="12" t="n">
        <v>1</v>
      </c>
      <c r="W56" s="12" t="n">
        <v>1</v>
      </c>
      <c r="X56" s="12" t="n">
        <v>1</v>
      </c>
      <c r="Y56" s="12" t="n">
        <v>0</v>
      </c>
    </row>
    <row r="57" customFormat="false" ht="95.25" hidden="false" customHeight="true" outlineLevel="0" collapsed="false">
      <c r="A57" s="12" t="s">
        <v>5284</v>
      </c>
      <c r="B57" s="5" t="s">
        <v>5285</v>
      </c>
      <c r="C57" s="12" t="s">
        <v>5284</v>
      </c>
      <c r="D57" s="12" t="s">
        <v>120</v>
      </c>
      <c r="E57" s="5" t="s">
        <v>5289</v>
      </c>
      <c r="F57" s="14"/>
      <c r="G57" s="14"/>
      <c r="H57" s="14" t="s">
        <v>87</v>
      </c>
      <c r="I57" s="14"/>
      <c r="J57" s="14"/>
      <c r="K57" s="14"/>
      <c r="L57" s="15"/>
      <c r="M57" s="12"/>
      <c r="N57" s="5" t="s">
        <v>5286</v>
      </c>
      <c r="O57" s="12" t="s">
        <v>255</v>
      </c>
      <c r="P57" s="5" t="s">
        <v>5287</v>
      </c>
      <c r="Q57" s="12"/>
      <c r="R57" s="12" t="s">
        <v>115</v>
      </c>
      <c r="S57" s="5" t="s">
        <v>5288</v>
      </c>
      <c r="T57" s="5" t="s">
        <v>306</v>
      </c>
      <c r="U57" s="12" t="n">
        <v>4</v>
      </c>
      <c r="V57" s="12" t="n">
        <v>1</v>
      </c>
      <c r="W57" s="12" t="n">
        <v>1</v>
      </c>
      <c r="X57" s="12" t="n">
        <v>1</v>
      </c>
      <c r="Y57" s="12" t="n">
        <v>0</v>
      </c>
    </row>
  </sheetData>
  <autoFilter ref="A6:Y6"/>
  <conditionalFormatting sqref="H7:H57">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H21 H23:H34 H36 H38:H41 H43 H45 H47 H49 H51 H53 H55 H57"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614</v>
      </c>
      <c r="B3" s="7" t="s">
        <v>57</v>
      </c>
    </row>
    <row r="4" customFormat="false" ht="15" hidden="false" customHeight="true" outlineLevel="0" collapsed="false">
      <c r="A4" s="4" t="s">
        <v>50</v>
      </c>
      <c r="B4" s="8" t="str">
        <f aca="false">IF(Praktiken!D23="","",Praktiken!D23)</f>
        <v/>
      </c>
    </row>
    <row r="5" customFormat="false" ht="15" hidden="false" customHeight="true" outlineLevel="0" collapsed="false">
      <c r="A5" s="4" t="s">
        <v>51</v>
      </c>
      <c r="B5" s="8" t="str">
        <f aca="false">IF(Praktiken!S23="","",Praktiken!S23)</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54.75" hidden="false" customHeight="true" outlineLevel="0" collapsed="false">
      <c r="A7" s="10" t="s">
        <v>5290</v>
      </c>
      <c r="B7" s="11" t="s">
        <v>5291</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5292</v>
      </c>
      <c r="Q7" s="12"/>
      <c r="R7" s="12"/>
      <c r="S7" s="5" t="s">
        <v>5293</v>
      </c>
      <c r="T7" s="5"/>
      <c r="U7" s="12" t="n">
        <v>0</v>
      </c>
      <c r="V7" s="12"/>
      <c r="W7" s="12"/>
      <c r="X7" s="12"/>
      <c r="Y7" s="12"/>
    </row>
    <row r="8" customFormat="false" ht="54.75" hidden="false" customHeight="true" outlineLevel="0" collapsed="false">
      <c r="A8" s="12" t="s">
        <v>5290</v>
      </c>
      <c r="B8" s="5" t="s">
        <v>5291</v>
      </c>
      <c r="C8" s="12" t="s">
        <v>5290</v>
      </c>
      <c r="D8" s="12" t="s">
        <v>78</v>
      </c>
      <c r="E8" s="5" t="s">
        <v>5294</v>
      </c>
      <c r="F8" s="14"/>
      <c r="G8" s="14"/>
      <c r="H8" s="14" t="s">
        <v>87</v>
      </c>
      <c r="I8" s="14"/>
      <c r="J8" s="14"/>
      <c r="K8" s="14"/>
      <c r="L8" s="15"/>
      <c r="M8" s="12"/>
      <c r="N8" s="5"/>
      <c r="O8" s="12"/>
      <c r="P8" s="5" t="s">
        <v>5292</v>
      </c>
      <c r="Q8" s="12"/>
      <c r="R8" s="12"/>
      <c r="S8" s="5" t="s">
        <v>5293</v>
      </c>
      <c r="T8" s="5"/>
      <c r="U8" s="12" t="n">
        <v>0</v>
      </c>
      <c r="V8" s="12"/>
      <c r="W8" s="12"/>
      <c r="X8" s="12"/>
      <c r="Y8" s="12"/>
    </row>
    <row r="9" customFormat="false" ht="41.25" hidden="false" customHeight="true" outlineLevel="0" collapsed="false">
      <c r="A9" s="10" t="s">
        <v>5295</v>
      </c>
      <c r="B9" s="11" t="s">
        <v>5296</v>
      </c>
      <c r="C9" s="12"/>
      <c r="D9" s="12" t="s">
        <v>120</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5297</v>
      </c>
      <c r="Q9" s="12"/>
      <c r="R9" s="12"/>
      <c r="S9" s="5" t="s">
        <v>5298</v>
      </c>
      <c r="T9" s="5"/>
      <c r="U9" s="12" t="n">
        <v>2</v>
      </c>
      <c r="V9" s="12"/>
      <c r="W9" s="12"/>
      <c r="X9" s="12"/>
      <c r="Y9" s="12"/>
    </row>
    <row r="10" customFormat="false" ht="41.25" hidden="false" customHeight="true" outlineLevel="0" collapsed="false">
      <c r="A10" s="12" t="s">
        <v>5295</v>
      </c>
      <c r="B10" s="5" t="s">
        <v>5296</v>
      </c>
      <c r="C10" s="12" t="s">
        <v>5295</v>
      </c>
      <c r="D10" s="12" t="s">
        <v>120</v>
      </c>
      <c r="E10" s="5" t="s">
        <v>5299</v>
      </c>
      <c r="F10" s="14"/>
      <c r="G10" s="14"/>
      <c r="H10" s="14" t="s">
        <v>87</v>
      </c>
      <c r="I10" s="14"/>
      <c r="J10" s="14"/>
      <c r="K10" s="14"/>
      <c r="L10" s="15"/>
      <c r="M10" s="12"/>
      <c r="N10" s="5"/>
      <c r="O10" s="12"/>
      <c r="P10" s="5" t="s">
        <v>5297</v>
      </c>
      <c r="Q10" s="12"/>
      <c r="R10" s="12"/>
      <c r="S10" s="5" t="s">
        <v>5298</v>
      </c>
      <c r="T10" s="5"/>
      <c r="U10" s="12" t="n">
        <v>2</v>
      </c>
      <c r="V10" s="12"/>
      <c r="W10" s="12"/>
      <c r="X10" s="12"/>
      <c r="Y10" s="12"/>
    </row>
    <row r="11" customFormat="false" ht="95.25" hidden="false" customHeight="true" outlineLevel="0" collapsed="false">
      <c r="A11" s="10" t="s">
        <v>5300</v>
      </c>
      <c r="B11" s="11" t="s">
        <v>5301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5302</v>
      </c>
      <c r="Q11" s="12"/>
      <c r="R11" s="12" t="s">
        <v>4563</v>
      </c>
      <c r="S11" s="5" t="s">
        <v>5303</v>
      </c>
      <c r="T11" s="5"/>
      <c r="U11" s="12" t="n">
        <v>0</v>
      </c>
      <c r="V11" s="12"/>
      <c r="W11" s="12"/>
      <c r="X11" s="12"/>
      <c r="Y11" s="12"/>
    </row>
    <row r="12" customFormat="false" ht="95.25" hidden="false" customHeight="true" outlineLevel="0" collapsed="false">
      <c r="A12" s="12" t="s">
        <v>5300</v>
      </c>
      <c r="B12" s="5" t="s">
        <v>5301</v>
      </c>
      <c r="C12" s="12" t="s">
        <v>5300</v>
      </c>
      <c r="D12" s="12" t="s">
        <v>78</v>
      </c>
      <c r="E12" s="5" t="s">
        <v>5304</v>
      </c>
      <c r="F12" s="14"/>
      <c r="G12" s="14"/>
      <c r="H12" s="14" t="s">
        <v>87</v>
      </c>
      <c r="I12" s="14"/>
      <c r="J12" s="14"/>
      <c r="K12" s="14"/>
      <c r="L12" s="15"/>
      <c r="M12" s="12"/>
      <c r="N12" s="5"/>
      <c r="O12" s="12"/>
      <c r="P12" s="5" t="s">
        <v>5302</v>
      </c>
      <c r="Q12" s="12"/>
      <c r="R12" s="12" t="s">
        <v>4563</v>
      </c>
      <c r="S12" s="5" t="s">
        <v>5303</v>
      </c>
      <c r="T12" s="5"/>
      <c r="U12" s="12" t="n">
        <v>0</v>
      </c>
      <c r="V12" s="12"/>
      <c r="W12" s="12"/>
      <c r="X12" s="12"/>
      <c r="Y12" s="12"/>
    </row>
    <row r="13" customFormat="false" ht="68.25" hidden="false" customHeight="true" outlineLevel="0" collapsed="false">
      <c r="A13" s="10" t="s">
        <v>5305</v>
      </c>
      <c r="B13" s="11" t="s">
        <v>5306</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5307</v>
      </c>
      <c r="Q13" s="12"/>
      <c r="R13" s="12" t="s">
        <v>4563</v>
      </c>
      <c r="S13" s="5" t="s">
        <v>5308</v>
      </c>
      <c r="T13" s="5"/>
      <c r="U13" s="12" t="n">
        <v>0</v>
      </c>
      <c r="V13" s="12"/>
      <c r="W13" s="12"/>
      <c r="X13" s="12"/>
      <c r="Y13" s="12"/>
    </row>
    <row r="14" customFormat="false" ht="68.25" hidden="false" customHeight="true" outlineLevel="0" collapsed="false">
      <c r="A14" s="12" t="s">
        <v>5305</v>
      </c>
      <c r="B14" s="5" t="s">
        <v>5306</v>
      </c>
      <c r="C14" s="12" t="s">
        <v>5305</v>
      </c>
      <c r="D14" s="12" t="s">
        <v>78</v>
      </c>
      <c r="E14" s="5" t="s">
        <v>5309</v>
      </c>
      <c r="F14" s="14"/>
      <c r="G14" s="14"/>
      <c r="H14" s="14" t="s">
        <v>87</v>
      </c>
      <c r="I14" s="14"/>
      <c r="J14" s="14"/>
      <c r="K14" s="14"/>
      <c r="L14" s="15"/>
      <c r="M14" s="12"/>
      <c r="N14" s="5"/>
      <c r="O14" s="12"/>
      <c r="P14" s="5" t="s">
        <v>5307</v>
      </c>
      <c r="Q14" s="12"/>
      <c r="R14" s="12" t="s">
        <v>4563</v>
      </c>
      <c r="S14" s="5" t="s">
        <v>5308</v>
      </c>
      <c r="T14" s="5"/>
      <c r="U14" s="12" t="n">
        <v>0</v>
      </c>
      <c r="V14" s="12"/>
      <c r="W14" s="12"/>
      <c r="X14" s="12"/>
      <c r="Y14" s="12"/>
    </row>
    <row r="15" customFormat="false" ht="108.75" hidden="false" customHeight="true" outlineLevel="0" collapsed="false">
      <c r="A15" s="10" t="s">
        <v>5310</v>
      </c>
      <c r="B15" s="11" t="s">
        <v>5311</v>
      </c>
      <c r="C15" s="12"/>
      <c r="D15" s="12" t="s">
        <v>78</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5312</v>
      </c>
      <c r="Q15" s="12"/>
      <c r="R15" s="12" t="s">
        <v>4563</v>
      </c>
      <c r="S15" s="5" t="s">
        <v>5313</v>
      </c>
      <c r="T15" s="5"/>
      <c r="U15" s="12" t="n">
        <v>0</v>
      </c>
      <c r="V15" s="12"/>
      <c r="W15" s="12"/>
      <c r="X15" s="12"/>
      <c r="Y15" s="12"/>
    </row>
    <row r="16" customFormat="false" ht="108.75" hidden="false" customHeight="true" outlineLevel="0" collapsed="false">
      <c r="A16" s="12" t="s">
        <v>5310</v>
      </c>
      <c r="B16" s="5" t="s">
        <v>5311</v>
      </c>
      <c r="C16" s="12" t="s">
        <v>5310</v>
      </c>
      <c r="D16" s="12" t="s">
        <v>78</v>
      </c>
      <c r="E16" s="5" t="s">
        <v>5314</v>
      </c>
      <c r="F16" s="14"/>
      <c r="G16" s="14"/>
      <c r="H16" s="14" t="s">
        <v>87</v>
      </c>
      <c r="I16" s="14"/>
      <c r="J16" s="14"/>
      <c r="K16" s="14"/>
      <c r="L16" s="15"/>
      <c r="M16" s="12"/>
      <c r="N16" s="5"/>
      <c r="O16" s="12"/>
      <c r="P16" s="5" t="s">
        <v>5312</v>
      </c>
      <c r="Q16" s="12"/>
      <c r="R16" s="12" t="s">
        <v>4563</v>
      </c>
      <c r="S16" s="5" t="s">
        <v>5313</v>
      </c>
      <c r="T16" s="5"/>
      <c r="U16" s="12" t="n">
        <v>0</v>
      </c>
      <c r="V16" s="12"/>
      <c r="W16" s="12"/>
      <c r="X16" s="12"/>
      <c r="Y16" s="12"/>
    </row>
    <row r="17" customFormat="false" ht="68.25" hidden="false" customHeight="true" outlineLevel="0" collapsed="false">
      <c r="A17" s="10" t="s">
        <v>5315</v>
      </c>
      <c r="B17" s="11" t="s">
        <v>5316</v>
      </c>
      <c r="C17" s="12"/>
      <c r="D17" s="12" t="s">
        <v>78</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5317</v>
      </c>
      <c r="Q17" s="12"/>
      <c r="R17" s="12" t="s">
        <v>4563</v>
      </c>
      <c r="S17" s="5" t="s">
        <v>5318</v>
      </c>
      <c r="T17" s="5"/>
      <c r="U17" s="12" t="n">
        <v>0</v>
      </c>
      <c r="V17" s="12"/>
      <c r="W17" s="12"/>
      <c r="X17" s="12"/>
      <c r="Y17" s="12"/>
    </row>
    <row r="18" customFormat="false" ht="68.25" hidden="false" customHeight="true" outlineLevel="0" collapsed="false">
      <c r="A18" s="12" t="s">
        <v>5315</v>
      </c>
      <c r="B18" s="5" t="s">
        <v>5316</v>
      </c>
      <c r="C18" s="12" t="s">
        <v>5315</v>
      </c>
      <c r="D18" s="12" t="s">
        <v>78</v>
      </c>
      <c r="E18" s="5" t="s">
        <v>5319</v>
      </c>
      <c r="F18" s="14"/>
      <c r="G18" s="14"/>
      <c r="H18" s="14" t="s">
        <v>87</v>
      </c>
      <c r="I18" s="14"/>
      <c r="J18" s="14"/>
      <c r="K18" s="14"/>
      <c r="L18" s="15"/>
      <c r="M18" s="12"/>
      <c r="N18" s="5"/>
      <c r="O18" s="12"/>
      <c r="P18" s="5" t="s">
        <v>5317</v>
      </c>
      <c r="Q18" s="12"/>
      <c r="R18" s="12" t="s">
        <v>4563</v>
      </c>
      <c r="S18" s="5" t="s">
        <v>5318</v>
      </c>
      <c r="T18" s="5"/>
      <c r="U18" s="12" t="n">
        <v>0</v>
      </c>
      <c r="V18" s="12"/>
      <c r="W18" s="12"/>
      <c r="X18" s="12"/>
      <c r="Y18" s="12"/>
    </row>
    <row r="19" customFormat="false" ht="81.75" hidden="false" customHeight="true" outlineLevel="0" collapsed="false">
      <c r="A19" s="10" t="s">
        <v>5320</v>
      </c>
      <c r="B19" s="11" t="s">
        <v>5321</v>
      </c>
      <c r="C19" s="12"/>
      <c r="D19" s="12" t="s">
        <v>78</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c r="O19" s="12"/>
      <c r="P19" s="5" t="s">
        <v>5322</v>
      </c>
      <c r="Q19" s="12"/>
      <c r="R19" s="12"/>
      <c r="S19" s="5" t="s">
        <v>5323</v>
      </c>
      <c r="T19" s="5"/>
      <c r="U19" s="12" t="n">
        <v>0</v>
      </c>
      <c r="V19" s="12"/>
      <c r="W19" s="12"/>
      <c r="X19" s="12"/>
      <c r="Y19" s="12"/>
    </row>
    <row r="20" customFormat="false" ht="81.75" hidden="false" customHeight="true" outlineLevel="0" collapsed="false">
      <c r="A20" s="12" t="s">
        <v>5320</v>
      </c>
      <c r="B20" s="5" t="s">
        <v>5321</v>
      </c>
      <c r="C20" s="12" t="s">
        <v>5320</v>
      </c>
      <c r="D20" s="12" t="s">
        <v>78</v>
      </c>
      <c r="E20" s="5" t="s">
        <v>5324</v>
      </c>
      <c r="F20" s="14"/>
      <c r="G20" s="14"/>
      <c r="H20" s="14" t="s">
        <v>87</v>
      </c>
      <c r="I20" s="14"/>
      <c r="J20" s="14"/>
      <c r="K20" s="14"/>
      <c r="L20" s="15"/>
      <c r="M20" s="12"/>
      <c r="N20" s="5"/>
      <c r="O20" s="12"/>
      <c r="P20" s="5" t="s">
        <v>5322</v>
      </c>
      <c r="Q20" s="12"/>
      <c r="R20" s="12"/>
      <c r="S20" s="5" t="s">
        <v>5323</v>
      </c>
      <c r="T20" s="5"/>
      <c r="U20" s="12" t="n">
        <v>0</v>
      </c>
      <c r="V20" s="12"/>
      <c r="W20" s="12"/>
      <c r="X20" s="12"/>
      <c r="Y20" s="12"/>
    </row>
    <row r="21" customFormat="false" ht="122.25" hidden="false" customHeight="true" outlineLevel="0" collapsed="false">
      <c r="A21" s="10" t="s">
        <v>5325</v>
      </c>
      <c r="B21" s="11" t="s">
        <v>5326</v>
      </c>
      <c r="C21" s="12"/>
      <c r="D21" s="12" t="s">
        <v>78</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5327</v>
      </c>
      <c r="Q21" s="12"/>
      <c r="R21" s="12" t="s">
        <v>5328</v>
      </c>
      <c r="S21" s="5" t="s">
        <v>5329</v>
      </c>
      <c r="T21" s="5"/>
      <c r="U21" s="12" t="n">
        <v>0</v>
      </c>
      <c r="V21" s="12"/>
      <c r="W21" s="12"/>
      <c r="X21" s="12"/>
      <c r="Y21" s="12"/>
    </row>
    <row r="22" customFormat="false" ht="122.25" hidden="false" customHeight="true" outlineLevel="0" collapsed="false">
      <c r="A22" s="12" t="s">
        <v>5325</v>
      </c>
      <c r="B22" s="5" t="s">
        <v>5326</v>
      </c>
      <c r="C22" s="12" t="s">
        <v>5325</v>
      </c>
      <c r="D22" s="12" t="s">
        <v>78</v>
      </c>
      <c r="E22" s="5" t="s">
        <v>5330</v>
      </c>
      <c r="F22" s="14"/>
      <c r="G22" s="14"/>
      <c r="H22" s="14" t="s">
        <v>87</v>
      </c>
      <c r="I22" s="14"/>
      <c r="J22" s="14"/>
      <c r="K22" s="14"/>
      <c r="L22" s="15"/>
      <c r="M22" s="12"/>
      <c r="N22" s="5"/>
      <c r="O22" s="12"/>
      <c r="P22" s="5" t="s">
        <v>5327</v>
      </c>
      <c r="Q22" s="12"/>
      <c r="R22" s="12" t="s">
        <v>5328</v>
      </c>
      <c r="S22" s="5" t="s">
        <v>5329</v>
      </c>
      <c r="T22" s="5"/>
      <c r="U22" s="12" t="n">
        <v>0</v>
      </c>
      <c r="V22" s="12"/>
      <c r="W22" s="12"/>
      <c r="X22" s="12"/>
      <c r="Y22" s="12"/>
    </row>
    <row r="23" customFormat="false" ht="175.5" hidden="false" customHeight="true" outlineLevel="0" collapsed="false">
      <c r="A23" s="10" t="s">
        <v>5331</v>
      </c>
      <c r="B23" s="11" t="s">
        <v>5332</v>
      </c>
      <c r="C23" s="12"/>
      <c r="D23" s="12" t="s">
        <v>78</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5333</v>
      </c>
      <c r="Q23" s="12"/>
      <c r="R23" s="12" t="s">
        <v>4563</v>
      </c>
      <c r="S23" s="5" t="s">
        <v>5334</v>
      </c>
      <c r="T23" s="5"/>
      <c r="U23" s="12" t="n">
        <v>0</v>
      </c>
      <c r="V23" s="12"/>
      <c r="W23" s="12"/>
      <c r="X23" s="12"/>
      <c r="Y23" s="12"/>
    </row>
    <row r="24" customFormat="false" ht="175.5" hidden="false" customHeight="true" outlineLevel="0" collapsed="false">
      <c r="A24" s="12" t="s">
        <v>5331</v>
      </c>
      <c r="B24" s="5" t="s">
        <v>5332</v>
      </c>
      <c r="C24" s="12" t="s">
        <v>5331</v>
      </c>
      <c r="D24" s="12" t="s">
        <v>78</v>
      </c>
      <c r="E24" s="5" t="s">
        <v>5335</v>
      </c>
      <c r="F24" s="14"/>
      <c r="G24" s="14"/>
      <c r="H24" s="14" t="s">
        <v>87</v>
      </c>
      <c r="I24" s="14"/>
      <c r="J24" s="14"/>
      <c r="K24" s="14"/>
      <c r="L24" s="15"/>
      <c r="M24" s="12"/>
      <c r="N24" s="5"/>
      <c r="O24" s="12"/>
      <c r="P24" s="5" t="s">
        <v>5333</v>
      </c>
      <c r="Q24" s="12"/>
      <c r="R24" s="12" t="s">
        <v>4563</v>
      </c>
      <c r="S24" s="5" t="s">
        <v>5334</v>
      </c>
      <c r="T24" s="5"/>
      <c r="U24" s="12" t="n">
        <v>0</v>
      </c>
      <c r="V24" s="12"/>
      <c r="W24" s="12"/>
      <c r="X24" s="12"/>
      <c r="Y24" s="12"/>
    </row>
    <row r="25" customFormat="false" ht="68.25" hidden="false" customHeight="true" outlineLevel="0" collapsed="false">
      <c r="A25" s="10" t="s">
        <v>5336</v>
      </c>
      <c r="B25" s="11" t="s">
        <v>5337</v>
      </c>
      <c r="C25" s="12"/>
      <c r="D25" s="12" t="s">
        <v>78</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c r="N25" s="5"/>
      <c r="O25" s="12"/>
      <c r="P25" s="5" t="s">
        <v>5338</v>
      </c>
      <c r="Q25" s="12"/>
      <c r="R25" s="12" t="s">
        <v>4563</v>
      </c>
      <c r="S25" s="5" t="s">
        <v>5339</v>
      </c>
      <c r="T25" s="5"/>
      <c r="U25" s="12" t="n">
        <v>0</v>
      </c>
      <c r="V25" s="12"/>
      <c r="W25" s="12"/>
      <c r="X25" s="12"/>
      <c r="Y25" s="12"/>
    </row>
    <row r="26" customFormat="false" ht="68.25" hidden="false" customHeight="true" outlineLevel="0" collapsed="false">
      <c r="A26" s="12" t="s">
        <v>5336</v>
      </c>
      <c r="B26" s="5" t="s">
        <v>5337</v>
      </c>
      <c r="C26" s="12" t="s">
        <v>5336</v>
      </c>
      <c r="D26" s="12" t="s">
        <v>78</v>
      </c>
      <c r="E26" s="5" t="s">
        <v>5340</v>
      </c>
      <c r="F26" s="14"/>
      <c r="G26" s="14"/>
      <c r="H26" s="14" t="s">
        <v>87</v>
      </c>
      <c r="I26" s="14"/>
      <c r="J26" s="14"/>
      <c r="K26" s="14"/>
      <c r="L26" s="15"/>
      <c r="M26" s="12"/>
      <c r="N26" s="5"/>
      <c r="O26" s="12"/>
      <c r="P26" s="5" t="s">
        <v>5338</v>
      </c>
      <c r="Q26" s="12"/>
      <c r="R26" s="12" t="s">
        <v>4563</v>
      </c>
      <c r="S26" s="5" t="s">
        <v>5339</v>
      </c>
      <c r="T26" s="5"/>
      <c r="U26" s="12" t="n">
        <v>0</v>
      </c>
      <c r="V26" s="12"/>
      <c r="W26" s="12"/>
      <c r="X26" s="12"/>
      <c r="Y26" s="12"/>
    </row>
    <row r="27" customFormat="false" ht="95.25" hidden="false" customHeight="true" outlineLevel="0" collapsed="false">
      <c r="A27" s="10" t="s">
        <v>5341</v>
      </c>
      <c r="B27" s="11" t="s">
        <v>5342</v>
      </c>
      <c r="C27" s="12"/>
      <c r="D27" s="12" t="s">
        <v>78</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c r="N27" s="5"/>
      <c r="O27" s="12"/>
      <c r="P27" s="5" t="s">
        <v>5343</v>
      </c>
      <c r="Q27" s="12"/>
      <c r="R27" s="12" t="s">
        <v>1619</v>
      </c>
      <c r="S27" s="5" t="s">
        <v>5344</v>
      </c>
      <c r="T27" s="5"/>
      <c r="U27" s="12" t="n">
        <v>0</v>
      </c>
      <c r="V27" s="12"/>
      <c r="W27" s="12"/>
      <c r="X27" s="12"/>
      <c r="Y27" s="12"/>
    </row>
    <row r="28" customFormat="false" ht="95.25" hidden="false" customHeight="true" outlineLevel="0" collapsed="false">
      <c r="A28" s="12" t="s">
        <v>5341</v>
      </c>
      <c r="B28" s="5" t="s">
        <v>5342</v>
      </c>
      <c r="C28" s="12" t="s">
        <v>5341</v>
      </c>
      <c r="D28" s="12" t="s">
        <v>78</v>
      </c>
      <c r="E28" s="5" t="s">
        <v>5345</v>
      </c>
      <c r="F28" s="14"/>
      <c r="G28" s="14"/>
      <c r="H28" s="14" t="s">
        <v>87</v>
      </c>
      <c r="I28" s="14"/>
      <c r="J28" s="14"/>
      <c r="K28" s="14"/>
      <c r="L28" s="15"/>
      <c r="M28" s="12"/>
      <c r="N28" s="5"/>
      <c r="O28" s="12"/>
      <c r="P28" s="5" t="s">
        <v>5343</v>
      </c>
      <c r="Q28" s="12"/>
      <c r="R28" s="12" t="s">
        <v>1619</v>
      </c>
      <c r="S28" s="5" t="s">
        <v>5344</v>
      </c>
      <c r="T28" s="5"/>
      <c r="U28" s="12" t="n">
        <v>0</v>
      </c>
      <c r="V28" s="12"/>
      <c r="W28" s="12"/>
      <c r="X28" s="12"/>
      <c r="Y28" s="12"/>
    </row>
  </sheetData>
  <autoFilter ref="A6:Y6"/>
  <conditionalFormatting sqref="H7:H2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 H18 H20 H22 H24 H26 H2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615</v>
      </c>
      <c r="B3" s="7" t="s">
        <v>616</v>
      </c>
    </row>
    <row r="4" customFormat="false" ht="15" hidden="false" customHeight="true" outlineLevel="0" collapsed="false">
      <c r="A4" s="4" t="s">
        <v>50</v>
      </c>
      <c r="B4" s="8" t="str">
        <f aca="false">IF(Praktiken!D24="","",Praktiken!D24)</f>
        <v/>
      </c>
    </row>
    <row r="5" customFormat="false" ht="15" hidden="false" customHeight="true" outlineLevel="0" collapsed="false">
      <c r="A5" s="4" t="s">
        <v>51</v>
      </c>
      <c r="B5" s="8" t="str">
        <f aca="false">IF(Praktiken!S24="","",Praktiken!S24)</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5346</v>
      </c>
      <c r="B7" s="11" t="s">
        <v>5347</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5348</v>
      </c>
      <c r="Q7" s="12"/>
      <c r="R7" s="12"/>
      <c r="S7" s="5" t="s">
        <v>5349</v>
      </c>
      <c r="T7" s="5"/>
      <c r="U7" s="12" t="n">
        <v>0</v>
      </c>
      <c r="V7" s="12"/>
      <c r="W7" s="12"/>
      <c r="X7" s="12"/>
      <c r="Y7" s="12"/>
    </row>
    <row r="8" customFormat="false" ht="108.75" hidden="false" customHeight="true" outlineLevel="0" collapsed="false">
      <c r="A8" s="12" t="s">
        <v>5346</v>
      </c>
      <c r="B8" s="5" t="s">
        <v>5347</v>
      </c>
      <c r="C8" s="12" t="s">
        <v>5346</v>
      </c>
      <c r="D8" s="12" t="s">
        <v>78</v>
      </c>
      <c r="E8" s="5" t="s">
        <v>5350</v>
      </c>
      <c r="F8" s="14"/>
      <c r="G8" s="14"/>
      <c r="H8" s="14" t="s">
        <v>87</v>
      </c>
      <c r="I8" s="14"/>
      <c r="J8" s="14"/>
      <c r="K8" s="14"/>
      <c r="L8" s="15"/>
      <c r="M8" s="12"/>
      <c r="N8" s="5"/>
      <c r="O8" s="12"/>
      <c r="P8" s="5" t="s">
        <v>5348</v>
      </c>
      <c r="Q8" s="12"/>
      <c r="R8" s="12"/>
      <c r="S8" s="5" t="s">
        <v>5349</v>
      </c>
      <c r="T8" s="5"/>
      <c r="U8" s="12" t="n">
        <v>0</v>
      </c>
      <c r="V8" s="12"/>
      <c r="W8" s="12"/>
      <c r="X8" s="12"/>
      <c r="Y8" s="12"/>
    </row>
    <row r="9" customFormat="false" ht="95.25" hidden="false" customHeight="true" outlineLevel="0" collapsed="false">
      <c r="A9" s="10" t="s">
        <v>5351</v>
      </c>
      <c r="B9" s="11" t="s">
        <v>5352</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5353</v>
      </c>
      <c r="Q9" s="12"/>
      <c r="R9" s="12"/>
      <c r="S9" s="5" t="s">
        <v>5354</v>
      </c>
      <c r="T9" s="5"/>
      <c r="U9" s="12" t="n">
        <v>0</v>
      </c>
      <c r="V9" s="12"/>
      <c r="W9" s="12"/>
      <c r="X9" s="12"/>
      <c r="Y9" s="12"/>
    </row>
    <row r="10" customFormat="false" ht="95.25" hidden="false" customHeight="true" outlineLevel="0" collapsed="false">
      <c r="A10" s="12" t="s">
        <v>5351</v>
      </c>
      <c r="B10" s="5" t="s">
        <v>5352</v>
      </c>
      <c r="C10" s="12" t="s">
        <v>5351</v>
      </c>
      <c r="D10" s="12" t="s">
        <v>78</v>
      </c>
      <c r="E10" s="5" t="s">
        <v>5355</v>
      </c>
      <c r="F10" s="14"/>
      <c r="G10" s="14"/>
      <c r="H10" s="14" t="s">
        <v>87</v>
      </c>
      <c r="I10" s="14"/>
      <c r="J10" s="14"/>
      <c r="K10" s="14"/>
      <c r="L10" s="15"/>
      <c r="M10" s="12"/>
      <c r="N10" s="5"/>
      <c r="O10" s="12"/>
      <c r="P10" s="5" t="s">
        <v>5353</v>
      </c>
      <c r="Q10" s="12"/>
      <c r="R10" s="12"/>
      <c r="S10" s="5" t="s">
        <v>5354</v>
      </c>
      <c r="T10" s="5"/>
      <c r="U10" s="12" t="n">
        <v>0</v>
      </c>
      <c r="V10" s="12"/>
      <c r="W10" s="12"/>
      <c r="X10" s="12"/>
      <c r="Y10" s="12"/>
    </row>
    <row r="11" customFormat="false" ht="122.25" hidden="false" customHeight="true" outlineLevel="0" collapsed="false">
      <c r="A11" s="10" t="s">
        <v>5356</v>
      </c>
      <c r="B11" s="11" t="s">
        <v>5357</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5358</v>
      </c>
      <c r="Q11" s="12"/>
      <c r="R11" s="12"/>
      <c r="S11" s="5" t="s">
        <v>5359</v>
      </c>
      <c r="T11" s="5"/>
      <c r="U11" s="12" t="n">
        <v>0</v>
      </c>
      <c r="V11" s="12"/>
      <c r="W11" s="12"/>
      <c r="X11" s="12"/>
      <c r="Y11" s="12"/>
    </row>
    <row r="12" customFormat="false" ht="122.25" hidden="false" customHeight="true" outlineLevel="0" collapsed="false">
      <c r="A12" s="12" t="s">
        <v>5356</v>
      </c>
      <c r="B12" s="5" t="s">
        <v>5357</v>
      </c>
      <c r="C12" s="12" t="s">
        <v>5356</v>
      </c>
      <c r="D12" s="12" t="s">
        <v>78</v>
      </c>
      <c r="E12" s="5" t="s">
        <v>5360</v>
      </c>
      <c r="F12" s="14"/>
      <c r="G12" s="14"/>
      <c r="H12" s="14" t="s">
        <v>87</v>
      </c>
      <c r="I12" s="14"/>
      <c r="J12" s="14"/>
      <c r="K12" s="14"/>
      <c r="L12" s="15"/>
      <c r="M12" s="12"/>
      <c r="N12" s="5"/>
      <c r="O12" s="12"/>
      <c r="P12" s="5" t="s">
        <v>5358</v>
      </c>
      <c r="Q12" s="12"/>
      <c r="R12" s="12"/>
      <c r="S12" s="5" t="s">
        <v>5359</v>
      </c>
      <c r="T12" s="5"/>
      <c r="U12" s="12" t="n">
        <v>0</v>
      </c>
      <c r="V12" s="12"/>
      <c r="W12" s="12"/>
      <c r="X12" s="12"/>
      <c r="Y12" s="12"/>
    </row>
    <row r="13" customFormat="false" ht="283.5" hidden="false" customHeight="true" outlineLevel="0" collapsed="false">
      <c r="A13" s="10" t="s">
        <v>5361</v>
      </c>
      <c r="B13" s="11" t="s">
        <v>5362</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5363</v>
      </c>
      <c r="Q13" s="12"/>
      <c r="R13" s="12"/>
      <c r="S13" s="5" t="s">
        <v>5364</v>
      </c>
      <c r="T13" s="5"/>
      <c r="U13" s="12" t="n">
        <v>0</v>
      </c>
      <c r="V13" s="12"/>
      <c r="W13" s="12"/>
      <c r="X13" s="12"/>
      <c r="Y13" s="12"/>
    </row>
    <row r="14" customFormat="false" ht="283.5" hidden="false" customHeight="true" outlineLevel="0" collapsed="false">
      <c r="A14" s="12" t="s">
        <v>5361</v>
      </c>
      <c r="B14" s="5" t="s">
        <v>5362</v>
      </c>
      <c r="C14" s="12" t="s">
        <v>5361</v>
      </c>
      <c r="D14" s="12" t="s">
        <v>78</v>
      </c>
      <c r="E14" s="5" t="s">
        <v>5365</v>
      </c>
      <c r="F14" s="14"/>
      <c r="G14" s="14"/>
      <c r="H14" s="14" t="s">
        <v>87</v>
      </c>
      <c r="I14" s="14"/>
      <c r="J14" s="14"/>
      <c r="K14" s="14"/>
      <c r="L14" s="15"/>
      <c r="M14" s="12"/>
      <c r="N14" s="5"/>
      <c r="O14" s="12"/>
      <c r="P14" s="5" t="s">
        <v>5363</v>
      </c>
      <c r="Q14" s="12"/>
      <c r="R14" s="12"/>
      <c r="S14" s="5" t="s">
        <v>5364</v>
      </c>
      <c r="T14" s="5"/>
      <c r="U14" s="12" t="n">
        <v>0</v>
      </c>
      <c r="V14" s="12"/>
      <c r="W14" s="12"/>
      <c r="X14" s="12"/>
      <c r="Y14" s="12"/>
    </row>
    <row r="15" customFormat="false" ht="202.5" hidden="false" customHeight="true" outlineLevel="0" collapsed="false">
      <c r="A15" s="10" t="s">
        <v>5366</v>
      </c>
      <c r="B15" s="11" t="s">
        <v>5367</v>
      </c>
      <c r="C15" s="12"/>
      <c r="D15" s="12" t="s">
        <v>78</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5368</v>
      </c>
      <c r="Q15" s="12"/>
      <c r="R15" s="12"/>
      <c r="S15" s="5" t="s">
        <v>5369</v>
      </c>
      <c r="T15" s="5"/>
      <c r="U15" s="12" t="n">
        <v>0</v>
      </c>
      <c r="V15" s="12"/>
      <c r="W15" s="12"/>
      <c r="X15" s="12"/>
      <c r="Y15" s="12"/>
    </row>
    <row r="16" customFormat="false" ht="202.5" hidden="false" customHeight="true" outlineLevel="0" collapsed="false">
      <c r="A16" s="12" t="s">
        <v>5366</v>
      </c>
      <c r="B16" s="5" t="s">
        <v>5367</v>
      </c>
      <c r="C16" s="12" t="s">
        <v>5366</v>
      </c>
      <c r="D16" s="12" t="s">
        <v>78</v>
      </c>
      <c r="E16" s="5" t="s">
        <v>5370</v>
      </c>
      <c r="F16" s="14"/>
      <c r="G16" s="14"/>
      <c r="H16" s="14" t="s">
        <v>87</v>
      </c>
      <c r="I16" s="14"/>
      <c r="J16" s="14"/>
      <c r="K16" s="14"/>
      <c r="L16" s="15"/>
      <c r="M16" s="12"/>
      <c r="N16" s="5"/>
      <c r="O16" s="12"/>
      <c r="P16" s="5" t="s">
        <v>5368</v>
      </c>
      <c r="Q16" s="12"/>
      <c r="R16" s="12"/>
      <c r="S16" s="5" t="s">
        <v>5369</v>
      </c>
      <c r="T16" s="5"/>
      <c r="U16" s="12" t="n">
        <v>0</v>
      </c>
      <c r="V16" s="12"/>
      <c r="W16" s="12"/>
      <c r="X16" s="12"/>
      <c r="Y16" s="12"/>
    </row>
    <row r="17" customFormat="false" ht="108.75" hidden="false" customHeight="true" outlineLevel="0" collapsed="false">
      <c r="A17" s="10" t="s">
        <v>5371</v>
      </c>
      <c r="B17" s="11" t="s">
        <v>5372</v>
      </c>
      <c r="C17" s="12"/>
      <c r="D17" s="12" t="s">
        <v>78</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5373</v>
      </c>
      <c r="Q17" s="12"/>
      <c r="R17" s="12"/>
      <c r="S17" s="5" t="s">
        <v>5374</v>
      </c>
      <c r="T17" s="5"/>
      <c r="U17" s="12" t="n">
        <v>0</v>
      </c>
      <c r="V17" s="12"/>
      <c r="W17" s="12"/>
      <c r="X17" s="12"/>
      <c r="Y17" s="12"/>
    </row>
    <row r="18" customFormat="false" ht="108.75" hidden="false" customHeight="true" outlineLevel="0" collapsed="false">
      <c r="A18" s="12" t="s">
        <v>5371</v>
      </c>
      <c r="B18" s="5" t="s">
        <v>5372</v>
      </c>
      <c r="C18" s="12" t="s">
        <v>5371</v>
      </c>
      <c r="D18" s="12" t="s">
        <v>78</v>
      </c>
      <c r="E18" s="5" t="s">
        <v>5375</v>
      </c>
      <c r="F18" s="14"/>
      <c r="G18" s="14"/>
      <c r="H18" s="14" t="s">
        <v>87</v>
      </c>
      <c r="I18" s="14"/>
      <c r="J18" s="14"/>
      <c r="K18" s="14"/>
      <c r="L18" s="15"/>
      <c r="M18" s="12"/>
      <c r="N18" s="5"/>
      <c r="O18" s="12"/>
      <c r="P18" s="5" t="s">
        <v>5373</v>
      </c>
      <c r="Q18" s="12"/>
      <c r="R18" s="12"/>
      <c r="S18" s="5" t="s">
        <v>5374</v>
      </c>
      <c r="T18" s="5"/>
      <c r="U18" s="12" t="n">
        <v>0</v>
      </c>
      <c r="V18" s="12"/>
      <c r="W18" s="12"/>
      <c r="X18" s="12"/>
      <c r="Y18" s="12"/>
    </row>
    <row r="19" customFormat="false" ht="122.25" hidden="false" customHeight="true" outlineLevel="0" collapsed="false">
      <c r="A19" s="10" t="s">
        <v>5376</v>
      </c>
      <c r="B19" s="11" t="s">
        <v>5306</v>
      </c>
      <c r="C19" s="12"/>
      <c r="D19" s="12" t="s">
        <v>78</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c r="O19" s="12"/>
      <c r="P19" s="5" t="s">
        <v>5377</v>
      </c>
      <c r="Q19" s="12"/>
      <c r="R19" s="12" t="s">
        <v>4563</v>
      </c>
      <c r="S19" s="5" t="s">
        <v>5378</v>
      </c>
      <c r="T19" s="5"/>
      <c r="U19" s="12" t="n">
        <v>0</v>
      </c>
      <c r="V19" s="12"/>
      <c r="W19" s="12"/>
      <c r="X19" s="12"/>
      <c r="Y19" s="12"/>
    </row>
    <row r="20" customFormat="false" ht="122.25" hidden="false" customHeight="true" outlineLevel="0" collapsed="false">
      <c r="A20" s="12" t="s">
        <v>5376</v>
      </c>
      <c r="B20" s="5" t="s">
        <v>5306</v>
      </c>
      <c r="C20" s="12" t="s">
        <v>5376</v>
      </c>
      <c r="D20" s="12" t="s">
        <v>78</v>
      </c>
      <c r="E20" s="5" t="s">
        <v>5379</v>
      </c>
      <c r="F20" s="14"/>
      <c r="G20" s="14"/>
      <c r="H20" s="14" t="s">
        <v>87</v>
      </c>
      <c r="I20" s="14"/>
      <c r="J20" s="14"/>
      <c r="K20" s="14"/>
      <c r="L20" s="15"/>
      <c r="M20" s="12"/>
      <c r="N20" s="5"/>
      <c r="O20" s="12"/>
      <c r="P20" s="5" t="s">
        <v>5377</v>
      </c>
      <c r="Q20" s="12"/>
      <c r="R20" s="12" t="s">
        <v>4563</v>
      </c>
      <c r="S20" s="5" t="s">
        <v>5378</v>
      </c>
      <c r="T20" s="5"/>
      <c r="U20" s="12" t="n">
        <v>0</v>
      </c>
      <c r="V20" s="12"/>
      <c r="W20" s="12"/>
      <c r="X20" s="12"/>
      <c r="Y20" s="12"/>
    </row>
    <row r="21" customFormat="false" ht="68.25" hidden="false" customHeight="true" outlineLevel="0" collapsed="false">
      <c r="A21" s="10" t="s">
        <v>5380</v>
      </c>
      <c r="B21" s="11" t="s">
        <v>5381</v>
      </c>
      <c r="C21" s="12"/>
      <c r="D21" s="12" t="s">
        <v>78</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5382</v>
      </c>
      <c r="Q21" s="12"/>
      <c r="R21" s="12"/>
      <c r="S21" s="5" t="s">
        <v>5383</v>
      </c>
      <c r="T21" s="5"/>
      <c r="U21" s="12" t="n">
        <v>0</v>
      </c>
      <c r="V21" s="12"/>
      <c r="W21" s="12"/>
      <c r="X21" s="12"/>
      <c r="Y21" s="12"/>
    </row>
    <row r="22" customFormat="false" ht="68.25" hidden="false" customHeight="true" outlineLevel="0" collapsed="false">
      <c r="A22" s="12" t="s">
        <v>5380</v>
      </c>
      <c r="B22" s="5" t="s">
        <v>5381</v>
      </c>
      <c r="C22" s="12" t="s">
        <v>5380</v>
      </c>
      <c r="D22" s="12" t="s">
        <v>78</v>
      </c>
      <c r="E22" s="5" t="s">
        <v>5384</v>
      </c>
      <c r="F22" s="14"/>
      <c r="G22" s="14"/>
      <c r="H22" s="14" t="s">
        <v>87</v>
      </c>
      <c r="I22" s="14"/>
      <c r="J22" s="14"/>
      <c r="K22" s="14"/>
      <c r="L22" s="15"/>
      <c r="M22" s="12"/>
      <c r="N22" s="5"/>
      <c r="O22" s="12"/>
      <c r="P22" s="5" t="s">
        <v>5382</v>
      </c>
      <c r="Q22" s="12"/>
      <c r="R22" s="12"/>
      <c r="S22" s="5" t="s">
        <v>5383</v>
      </c>
      <c r="T22" s="5"/>
      <c r="U22" s="12" t="n">
        <v>0</v>
      </c>
      <c r="V22" s="12"/>
      <c r="W22" s="12"/>
      <c r="X22" s="12"/>
      <c r="Y22" s="12"/>
    </row>
    <row r="23" customFormat="false" ht="81.75" hidden="false" customHeight="true" outlineLevel="0" collapsed="false">
      <c r="A23" s="10" t="s">
        <v>5385</v>
      </c>
      <c r="B23" s="11" t="s">
        <v>5386</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5387</v>
      </c>
      <c r="Q23" s="12"/>
      <c r="R23" s="12"/>
      <c r="S23" s="5" t="s">
        <v>5388</v>
      </c>
      <c r="T23" s="5"/>
      <c r="U23" s="12" t="n">
        <v>2</v>
      </c>
      <c r="V23" s="12"/>
      <c r="W23" s="12"/>
      <c r="X23" s="12"/>
      <c r="Y23" s="12"/>
    </row>
    <row r="24" customFormat="false" ht="81.75" hidden="false" customHeight="true" outlineLevel="0" collapsed="false">
      <c r="A24" s="12" t="s">
        <v>5385</v>
      </c>
      <c r="B24" s="5" t="s">
        <v>5386</v>
      </c>
      <c r="C24" s="12" t="s">
        <v>5385</v>
      </c>
      <c r="D24" s="12" t="s">
        <v>120</v>
      </c>
      <c r="E24" s="5" t="s">
        <v>5389</v>
      </c>
      <c r="F24" s="14"/>
      <c r="G24" s="14"/>
      <c r="H24" s="14" t="s">
        <v>87</v>
      </c>
      <c r="I24" s="14"/>
      <c r="J24" s="14"/>
      <c r="K24" s="14"/>
      <c r="L24" s="15"/>
      <c r="M24" s="12"/>
      <c r="N24" s="5"/>
      <c r="O24" s="12"/>
      <c r="P24" s="5" t="s">
        <v>5387</v>
      </c>
      <c r="Q24" s="12"/>
      <c r="R24" s="12"/>
      <c r="S24" s="5" t="s">
        <v>5388</v>
      </c>
      <c r="T24" s="5"/>
      <c r="U24" s="12" t="n">
        <v>2</v>
      </c>
      <c r="V24" s="12"/>
      <c r="W24" s="12"/>
      <c r="X24" s="12"/>
      <c r="Y24" s="12"/>
    </row>
    <row r="25" customFormat="false" ht="95.25" hidden="false" customHeight="true" outlineLevel="0" collapsed="false">
      <c r="A25" s="10" t="s">
        <v>5390</v>
      </c>
      <c r="B25" s="11" t="s">
        <v>5391</v>
      </c>
      <c r="C25" s="12"/>
      <c r="D25" s="12" t="s">
        <v>120</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c r="N25" s="5"/>
      <c r="O25" s="12"/>
      <c r="P25" s="5" t="s">
        <v>5392</v>
      </c>
      <c r="Q25" s="12"/>
      <c r="R25" s="12" t="s">
        <v>1619</v>
      </c>
      <c r="S25" s="5" t="s">
        <v>5393</v>
      </c>
      <c r="T25" s="5"/>
      <c r="U25" s="12" t="n">
        <v>2</v>
      </c>
      <c r="V25" s="12"/>
      <c r="W25" s="12"/>
      <c r="X25" s="12"/>
      <c r="Y25" s="12"/>
    </row>
    <row r="26" customFormat="false" ht="95.25" hidden="false" customHeight="true" outlineLevel="0" collapsed="false">
      <c r="A26" s="12" t="s">
        <v>5390</v>
      </c>
      <c r="B26" s="5" t="s">
        <v>5391</v>
      </c>
      <c r="C26" s="12" t="s">
        <v>5390</v>
      </c>
      <c r="D26" s="12" t="s">
        <v>120</v>
      </c>
      <c r="E26" s="5" t="s">
        <v>5394</v>
      </c>
      <c r="F26" s="14"/>
      <c r="G26" s="14"/>
      <c r="H26" s="14" t="s">
        <v>87</v>
      </c>
      <c r="I26" s="14"/>
      <c r="J26" s="14"/>
      <c r="K26" s="14"/>
      <c r="L26" s="15"/>
      <c r="M26" s="12"/>
      <c r="N26" s="5"/>
      <c r="O26" s="12"/>
      <c r="P26" s="5" t="s">
        <v>5392</v>
      </c>
      <c r="Q26" s="12"/>
      <c r="R26" s="12" t="s">
        <v>1619</v>
      </c>
      <c r="S26" s="5" t="s">
        <v>5393</v>
      </c>
      <c r="T26" s="5"/>
      <c r="U26" s="12" t="n">
        <v>2</v>
      </c>
      <c r="V26" s="12"/>
      <c r="W26" s="12"/>
      <c r="X26" s="12"/>
      <c r="Y26" s="12"/>
    </row>
  </sheetData>
  <autoFilter ref="A6:Y6"/>
  <conditionalFormatting sqref="H7:H2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 H18 H20 H22 H24 H2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6"/>
    <col collapsed="false" customWidth="true" hidden="false" outlineLevel="0" max="3" min="3" style="1" width="130"/>
  </cols>
  <sheetData>
    <row r="1" customFormat="false" ht="27.75" hidden="false" customHeight="true" outlineLevel="0" collapsed="false">
      <c r="A1" s="9" t="s">
        <v>5395</v>
      </c>
      <c r="B1" s="9" t="s">
        <v>5396</v>
      </c>
      <c r="C1" s="9" t="s">
        <v>5397</v>
      </c>
    </row>
    <row r="2" customFormat="false" ht="213" hidden="false" customHeight="true" outlineLevel="0" collapsed="false">
      <c r="A2" s="10" t="s">
        <v>5398</v>
      </c>
      <c r="B2" s="5" t="s">
        <v>5399</v>
      </c>
      <c r="C2" s="5" t="s">
        <v>5400</v>
      </c>
    </row>
    <row r="3" customFormat="false" ht="135.75" hidden="false" customHeight="true" outlineLevel="0" collapsed="false">
      <c r="A3" s="10" t="s">
        <v>5401</v>
      </c>
      <c r="B3" s="5" t="s">
        <v>5402</v>
      </c>
      <c r="C3" s="5" t="s">
        <v>5403</v>
      </c>
    </row>
    <row r="4" customFormat="false" ht="190.5" hidden="false" customHeight="true" outlineLevel="0" collapsed="false">
      <c r="A4" s="10" t="s">
        <v>5404</v>
      </c>
      <c r="B4" s="5" t="s">
        <v>5405</v>
      </c>
      <c r="C4" s="5" t="s">
        <v>5406</v>
      </c>
    </row>
    <row r="5" customFormat="false" ht="234.75" hidden="false" customHeight="true" outlineLevel="0" collapsed="false">
      <c r="A5" s="10" t="s">
        <v>5407</v>
      </c>
      <c r="B5" s="5" t="s">
        <v>5408</v>
      </c>
      <c r="C5" s="5" t="s">
        <v>5409</v>
      </c>
    </row>
    <row r="6" customFormat="false" ht="240" hidden="false" customHeight="true" outlineLevel="0" collapsed="false">
      <c r="A6" s="10" t="s">
        <v>5410</v>
      </c>
      <c r="B6" s="5" t="s">
        <v>5411</v>
      </c>
      <c r="C6" s="5" t="s">
        <v>5412</v>
      </c>
    </row>
    <row r="7" customFormat="false" ht="190.5" hidden="false" customHeight="true" outlineLevel="0" collapsed="false">
      <c r="A7" s="10" t="s">
        <v>5413</v>
      </c>
      <c r="B7" s="5" t="s">
        <v>5414</v>
      </c>
      <c r="C7" s="5" t="s">
        <v>5415</v>
      </c>
    </row>
    <row r="8" customFormat="false" ht="135.75" hidden="false" customHeight="true" outlineLevel="0" collapsed="false">
      <c r="A8" s="10" t="s">
        <v>5416</v>
      </c>
      <c r="B8" s="5" t="s">
        <v>5417</v>
      </c>
      <c r="C8" s="5" t="s">
        <v>5418</v>
      </c>
    </row>
    <row r="9" customFormat="false" ht="240" hidden="false" customHeight="true" outlineLevel="0" collapsed="false">
      <c r="A9" s="10" t="s">
        <v>5419</v>
      </c>
      <c r="B9" s="5" t="s">
        <v>5420</v>
      </c>
      <c r="C9" s="5" t="s">
        <v>5421</v>
      </c>
    </row>
    <row r="10" customFormat="false" ht="168.75" hidden="false" customHeight="true" outlineLevel="0" collapsed="false">
      <c r="A10" s="10" t="s">
        <v>5422</v>
      </c>
      <c r="B10" s="5" t="s">
        <v>5423</v>
      </c>
      <c r="C10" s="5" t="s">
        <v>5424</v>
      </c>
    </row>
    <row r="11" customFormat="false" ht="157.5" hidden="false" customHeight="true" outlineLevel="0" collapsed="false">
      <c r="A11" s="10" t="s">
        <v>5425</v>
      </c>
      <c r="B11" s="5" t="s">
        <v>5426</v>
      </c>
      <c r="C11" s="5" t="s">
        <v>5427</v>
      </c>
    </row>
    <row r="12" customFormat="false" ht="234.75" hidden="false" customHeight="true" outlineLevel="0" collapsed="false">
      <c r="A12" s="10" t="s">
        <v>5428</v>
      </c>
      <c r="B12" s="5" t="s">
        <v>5429</v>
      </c>
      <c r="C12" s="5" t="s">
        <v>5430</v>
      </c>
    </row>
    <row r="13" customFormat="false" ht="213" hidden="false" customHeight="true" outlineLevel="0" collapsed="false">
      <c r="A13" s="10" t="s">
        <v>5431</v>
      </c>
      <c r="B13" s="5" t="s">
        <v>5432</v>
      </c>
      <c r="C13" s="5" t="s">
        <v>5433</v>
      </c>
    </row>
    <row r="14" customFormat="false" ht="201.75" hidden="false" customHeight="true" outlineLevel="0" collapsed="false">
      <c r="A14" s="10" t="s">
        <v>5434</v>
      </c>
      <c r="B14" s="5" t="s">
        <v>5435</v>
      </c>
      <c r="C14" s="5" t="s">
        <v>5436</v>
      </c>
    </row>
    <row r="15" customFormat="false" ht="180" hidden="false" customHeight="true" outlineLevel="0" collapsed="false">
      <c r="A15" s="10" t="s">
        <v>5437</v>
      </c>
      <c r="B15" s="5" t="s">
        <v>5438</v>
      </c>
      <c r="C15" s="5" t="s">
        <v>5439</v>
      </c>
    </row>
    <row r="16" customFormat="false" ht="240" hidden="false" customHeight="true" outlineLevel="0" collapsed="false">
      <c r="A16" s="10" t="s">
        <v>5440</v>
      </c>
      <c r="B16" s="5" t="s">
        <v>5441</v>
      </c>
      <c r="C16" s="5" t="s">
        <v>5442</v>
      </c>
    </row>
    <row r="17" customFormat="false" ht="234.75" hidden="false" customHeight="true" outlineLevel="0" collapsed="false">
      <c r="A17" s="10" t="s">
        <v>5443</v>
      </c>
      <c r="B17" s="5" t="s">
        <v>5444</v>
      </c>
      <c r="C17" s="5" t="s">
        <v>5445</v>
      </c>
    </row>
    <row r="18" customFormat="false" ht="168.75" hidden="false" customHeight="true" outlineLevel="0" collapsed="false">
      <c r="A18" s="10" t="s">
        <v>5446</v>
      </c>
      <c r="B18" s="5" t="s">
        <v>5447</v>
      </c>
      <c r="C18" s="5" t="s">
        <v>5448</v>
      </c>
    </row>
    <row r="19" customFormat="false" ht="168.75" hidden="false" customHeight="true" outlineLevel="0" collapsed="false">
      <c r="A19" s="10" t="s">
        <v>5449</v>
      </c>
      <c r="B19" s="5" t="s">
        <v>5450</v>
      </c>
      <c r="C19" s="5" t="s">
        <v>5451</v>
      </c>
    </row>
    <row r="20" customFormat="false" ht="147" hidden="false" customHeight="true" outlineLevel="0" collapsed="false">
      <c r="A20" s="10" t="s">
        <v>5452</v>
      </c>
      <c r="B20" s="5" t="s">
        <v>5453</v>
      </c>
      <c r="C20" s="5" t="s">
        <v>5454</v>
      </c>
    </row>
    <row r="21" customFormat="false" ht="124.5" hidden="false" customHeight="true" outlineLevel="0" collapsed="false">
      <c r="A21" s="10" t="s">
        <v>5455</v>
      </c>
      <c r="B21" s="5" t="s">
        <v>5456</v>
      </c>
      <c r="C21" s="5" t="s">
        <v>5457</v>
      </c>
    </row>
    <row r="22" customFormat="false" ht="135.75" hidden="false" customHeight="true" outlineLevel="0" collapsed="false">
      <c r="A22" s="10" t="s">
        <v>5458</v>
      </c>
      <c r="B22" s="5" t="s">
        <v>5459</v>
      </c>
      <c r="C22" s="5" t="s">
        <v>5460</v>
      </c>
    </row>
    <row r="23" customFormat="false" ht="81" hidden="false" customHeight="true" outlineLevel="0" collapsed="false">
      <c r="A23" s="10" t="s">
        <v>5461</v>
      </c>
      <c r="B23" s="5" t="s">
        <v>5462</v>
      </c>
      <c r="C23" s="5" t="s">
        <v>5463</v>
      </c>
    </row>
    <row r="24" customFormat="false" ht="201.75" hidden="false" customHeight="true" outlineLevel="0" collapsed="false">
      <c r="A24" s="10" t="s">
        <v>5464</v>
      </c>
      <c r="B24" s="5" t="s">
        <v>5465</v>
      </c>
      <c r="C24" s="5" t="s">
        <v>5466</v>
      </c>
    </row>
    <row r="25" customFormat="false" ht="240" hidden="false" customHeight="true" outlineLevel="0" collapsed="false">
      <c r="A25" s="10" t="s">
        <v>5467</v>
      </c>
      <c r="B25" s="5" t="s">
        <v>5468</v>
      </c>
      <c r="C25" s="5" t="s">
        <v>5469</v>
      </c>
    </row>
    <row r="26" customFormat="false" ht="157.5" hidden="false" customHeight="true" outlineLevel="0" collapsed="false">
      <c r="A26" s="10" t="s">
        <v>5470</v>
      </c>
      <c r="B26" s="5" t="s">
        <v>5471</v>
      </c>
      <c r="C26" s="5" t="s">
        <v>5472</v>
      </c>
    </row>
    <row r="27" customFormat="false" ht="240" hidden="false" customHeight="true" outlineLevel="0" collapsed="false">
      <c r="A27" s="10" t="s">
        <v>5473</v>
      </c>
      <c r="B27" s="5" t="s">
        <v>5474</v>
      </c>
      <c r="C27" s="5" t="s">
        <v>5475</v>
      </c>
    </row>
    <row r="28" customFormat="false" ht="168.75" hidden="false" customHeight="true" outlineLevel="0" collapsed="false">
      <c r="A28" s="10" t="s">
        <v>5476</v>
      </c>
      <c r="B28" s="5" t="s">
        <v>5477</v>
      </c>
      <c r="C28" s="5" t="s">
        <v>5478</v>
      </c>
    </row>
    <row r="29" customFormat="false" ht="147" hidden="false" customHeight="true" outlineLevel="0" collapsed="false">
      <c r="A29" s="10" t="s">
        <v>5479</v>
      </c>
      <c r="B29" s="5" t="s">
        <v>5480</v>
      </c>
      <c r="C29" s="5" t="s">
        <v>5481</v>
      </c>
    </row>
    <row r="30" customFormat="false" ht="190.5" hidden="false" customHeight="true" outlineLevel="0" collapsed="false">
      <c r="A30" s="10" t="s">
        <v>5482</v>
      </c>
      <c r="B30" s="5" t="s">
        <v>5483</v>
      </c>
      <c r="C30" s="5" t="s">
        <v>5484</v>
      </c>
    </row>
    <row r="31" customFormat="false" ht="190.5" hidden="false" customHeight="true" outlineLevel="0" collapsed="false">
      <c r="A31" s="10" t="s">
        <v>5485</v>
      </c>
      <c r="B31" s="5" t="s">
        <v>5486</v>
      </c>
      <c r="C31" s="5" t="s">
        <v>5487</v>
      </c>
    </row>
    <row r="32" customFormat="false" ht="114" hidden="false" customHeight="true" outlineLevel="0" collapsed="false">
      <c r="A32" s="10" t="s">
        <v>5488</v>
      </c>
      <c r="B32" s="5" t="s">
        <v>5489</v>
      </c>
      <c r="C32" s="5" t="s">
        <v>5490</v>
      </c>
    </row>
    <row r="33" customFormat="false" ht="223.5" hidden="false" customHeight="true" outlineLevel="0" collapsed="false">
      <c r="A33" s="10" t="s">
        <v>5491</v>
      </c>
      <c r="B33" s="5" t="s">
        <v>5492</v>
      </c>
      <c r="C33" s="5" t="s">
        <v>5493</v>
      </c>
    </row>
    <row r="34" customFormat="false" ht="157.5" hidden="false" customHeight="true" outlineLevel="0" collapsed="false">
      <c r="A34" s="10" t="s">
        <v>5494</v>
      </c>
      <c r="B34" s="5" t="s">
        <v>5495</v>
      </c>
      <c r="C34" s="5" t="s">
        <v>5496</v>
      </c>
    </row>
    <row r="35" customFormat="false" ht="135.75" hidden="false" customHeight="true" outlineLevel="0" collapsed="false">
      <c r="A35" s="10" t="s">
        <v>5497</v>
      </c>
      <c r="B35" s="5" t="s">
        <v>5498</v>
      </c>
      <c r="C35" s="5" t="s">
        <v>5499</v>
      </c>
    </row>
    <row r="36" customFormat="false" ht="180" hidden="false" customHeight="true" outlineLevel="0" collapsed="false">
      <c r="A36" s="10" t="s">
        <v>5500</v>
      </c>
      <c r="B36" s="5" t="s">
        <v>4634</v>
      </c>
      <c r="C36" s="5" t="s">
        <v>5501</v>
      </c>
    </row>
    <row r="37" customFormat="false" ht="157.5" hidden="false" customHeight="true" outlineLevel="0" collapsed="false">
      <c r="A37" s="10" t="s">
        <v>5502</v>
      </c>
      <c r="B37" s="5" t="s">
        <v>5503</v>
      </c>
      <c r="C37" s="5" t="s">
        <v>5504</v>
      </c>
    </row>
    <row r="38" customFormat="false" ht="190.5" hidden="false" customHeight="true" outlineLevel="0" collapsed="false">
      <c r="A38" s="10" t="s">
        <v>5505</v>
      </c>
      <c r="B38" s="5" t="s">
        <v>5506</v>
      </c>
      <c r="C38" s="5" t="s">
        <v>5507</v>
      </c>
    </row>
    <row r="39" customFormat="false" ht="240" hidden="false" customHeight="true" outlineLevel="0" collapsed="false">
      <c r="A39" s="10" t="s">
        <v>5508</v>
      </c>
      <c r="B39" s="5" t="s">
        <v>5509</v>
      </c>
      <c r="C39" s="5" t="s">
        <v>5510</v>
      </c>
    </row>
    <row r="40" customFormat="false" ht="201.75" hidden="false" customHeight="true" outlineLevel="0" collapsed="false">
      <c r="A40" s="10" t="s">
        <v>5511</v>
      </c>
      <c r="B40" s="5" t="s">
        <v>5512</v>
      </c>
      <c r="C40" s="5" t="s">
        <v>5513</v>
      </c>
    </row>
    <row r="41" customFormat="false" ht="157.5" hidden="false" customHeight="true" outlineLevel="0" collapsed="false">
      <c r="A41" s="10" t="s">
        <v>5514</v>
      </c>
      <c r="B41" s="5" t="s">
        <v>5515</v>
      </c>
      <c r="C41" s="5" t="s">
        <v>5516</v>
      </c>
    </row>
    <row r="42" customFormat="false" ht="201.75" hidden="false" customHeight="true" outlineLevel="0" collapsed="false">
      <c r="A42" s="10" t="s">
        <v>5517</v>
      </c>
      <c r="B42" s="5" t="s">
        <v>5518</v>
      </c>
      <c r="C42" s="5" t="s">
        <v>5519</v>
      </c>
    </row>
    <row r="43" customFormat="false" ht="201.75" hidden="false" customHeight="true" outlineLevel="0" collapsed="false">
      <c r="A43" s="10" t="s">
        <v>5520</v>
      </c>
      <c r="B43" s="5" t="s">
        <v>5521</v>
      </c>
      <c r="C43" s="5" t="s">
        <v>5522</v>
      </c>
    </row>
    <row r="44" customFormat="false" ht="157.5" hidden="false" customHeight="true" outlineLevel="0" collapsed="false">
      <c r="A44" s="10" t="s">
        <v>5523</v>
      </c>
      <c r="B44" s="5" t="s">
        <v>5524</v>
      </c>
      <c r="C44" s="5" t="s">
        <v>5525</v>
      </c>
    </row>
    <row r="46" customFormat="false" ht="15" hidden="false" customHeight="true" outlineLevel="0" collapsed="false">
      <c r="A46" s="16" t="s">
        <v>5526</v>
      </c>
    </row>
  </sheetData>
  <autoFilter ref="A1:C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3" style="1" width="30"/>
  </cols>
  <sheetData>
    <row r="1" customFormat="false" ht="15" hidden="false" customHeight="true" outlineLevel="0" collapsed="false">
      <c r="A1" s="4" t="s">
        <v>563</v>
      </c>
      <c r="C1" s="4" t="s">
        <v>59</v>
      </c>
    </row>
    <row r="2" customFormat="false" ht="15" hidden="false" customHeight="true" outlineLevel="0" collapsed="false">
      <c r="A2" s="3" t="s">
        <v>581</v>
      </c>
      <c r="C2" s="3" t="s">
        <v>568</v>
      </c>
    </row>
    <row r="3" customFormat="false" ht="15" hidden="false" customHeight="true" outlineLevel="0" collapsed="false">
      <c r="A3" s="3" t="s">
        <v>5527</v>
      </c>
      <c r="C3" s="3" t="s">
        <v>569</v>
      </c>
    </row>
    <row r="4" customFormat="false" ht="15" hidden="false" customHeight="true" outlineLevel="0" collapsed="false">
      <c r="A4" s="3" t="s">
        <v>5528</v>
      </c>
      <c r="C4" s="3" t="s">
        <v>570</v>
      </c>
    </row>
    <row r="5" customFormat="false" ht="15" hidden="false" customHeight="true" outlineLevel="0" collapsed="false">
      <c r="C5" s="3" t="s">
        <v>571</v>
      </c>
    </row>
    <row r="6" customFormat="false" ht="15" hidden="false" customHeight="true" outlineLevel="0" collapsed="false">
      <c r="C6" s="3" t="s">
        <v>572</v>
      </c>
    </row>
    <row r="7" customFormat="false" ht="15" hidden="false" customHeight="true" outlineLevel="0" collapsed="false">
      <c r="C7" s="3" t="s">
        <v>573</v>
      </c>
    </row>
    <row r="8" customFormat="false" ht="15" hidden="false" customHeight="true" outlineLevel="0" collapsed="false">
      <c r="C8" s="3"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2026-08-17T14:38:18Z</dcterms:created>
  <dc:creator>openpyxl</dc:creator>
  <dc:description/>
  <dc:language>en-US</dc:language>
  <cp:lastModifiedBy/>
  <dcterms:modified xsi:type="dcterms:W3CDTF">2026-08-18T14:30:53Z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